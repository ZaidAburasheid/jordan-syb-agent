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H:\Tabels\His\20\"/>
    </mc:Choice>
  </mc:AlternateContent>
  <bookViews>
    <workbookView xWindow="0" yWindow="0" windowWidth="19635" windowHeight="8715" activeTab="2"/>
  </bookViews>
  <sheets>
    <sheet name="Cover Page" sheetId="1" r:id="rId1"/>
    <sheet name="Source Table" sheetId="2" r:id="rId2"/>
    <sheet name="Relational DB" sheetId="3" r:id="rId3"/>
    <sheet name="Sheet1" sheetId="7" r:id="rId4"/>
    <sheet name="Template Data" sheetId="4" r:id="rId5"/>
    <sheet name="Help" sheetId="6" r:id="rId6"/>
  </sheets>
  <definedNames>
    <definedName name="_xlnm.Print_Area" localSheetId="1">'Source Table'!$B$2:$E$17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1" i="3" l="1"/>
  <c r="F201" i="3"/>
  <c r="G200" i="3"/>
  <c r="F200" i="3"/>
  <c r="G199" i="3"/>
  <c r="F199" i="3"/>
  <c r="G198" i="3"/>
  <c r="F198" i="3"/>
  <c r="G197" i="3"/>
  <c r="F197" i="3"/>
  <c r="G196" i="3"/>
  <c r="F196" i="3"/>
  <c r="G195" i="3"/>
  <c r="F195" i="3"/>
  <c r="G194" i="3"/>
  <c r="F194" i="3"/>
  <c r="G193" i="3"/>
  <c r="F193" i="3"/>
  <c r="G192" i="3"/>
  <c r="F192" i="3"/>
  <c r="G191" i="3"/>
  <c r="F191" i="3"/>
  <c r="I190" i="3"/>
  <c r="H190" i="3"/>
  <c r="G190" i="3"/>
  <c r="F190" i="3"/>
  <c r="I189" i="3"/>
  <c r="H189" i="3"/>
  <c r="G189" i="3"/>
  <c r="F189" i="3"/>
  <c r="I188" i="3"/>
  <c r="H188" i="3"/>
  <c r="G188" i="3"/>
  <c r="F188" i="3"/>
  <c r="I187" i="3"/>
  <c r="H187" i="3"/>
  <c r="G187" i="3"/>
  <c r="F187" i="3"/>
  <c r="I186" i="3"/>
  <c r="H186" i="3"/>
  <c r="G186" i="3"/>
  <c r="F186" i="3"/>
  <c r="I185" i="3"/>
  <c r="H185" i="3"/>
  <c r="G185" i="3"/>
  <c r="F185" i="3"/>
  <c r="I184" i="3"/>
  <c r="H184" i="3"/>
  <c r="G184" i="3"/>
  <c r="F184" i="3"/>
  <c r="I183" i="3"/>
  <c r="H183" i="3"/>
  <c r="G183" i="3"/>
  <c r="F183" i="3"/>
  <c r="I182" i="3"/>
  <c r="H182" i="3"/>
  <c r="G182" i="3"/>
  <c r="F182" i="3"/>
  <c r="I181" i="3"/>
  <c r="H181" i="3"/>
  <c r="G181" i="3"/>
  <c r="F181" i="3"/>
  <c r="I180" i="3"/>
  <c r="H180" i="3"/>
  <c r="G180" i="3"/>
  <c r="F180" i="3"/>
  <c r="I179" i="3"/>
  <c r="H179" i="3"/>
  <c r="G179" i="3"/>
  <c r="F179" i="3"/>
  <c r="I178" i="3"/>
  <c r="H178" i="3"/>
  <c r="G178" i="3"/>
  <c r="F178" i="3"/>
  <c r="I177" i="3"/>
  <c r="H177" i="3"/>
  <c r="G177" i="3"/>
  <c r="F177" i="3"/>
  <c r="I176" i="3"/>
  <c r="H176" i="3"/>
  <c r="G176" i="3"/>
  <c r="F176" i="3"/>
  <c r="I175" i="3"/>
  <c r="H175" i="3"/>
  <c r="G175" i="3"/>
  <c r="F175" i="3"/>
  <c r="I174" i="3"/>
  <c r="H174" i="3"/>
  <c r="G174" i="3"/>
  <c r="F174" i="3"/>
  <c r="I173" i="3"/>
  <c r="H173" i="3"/>
  <c r="G173" i="3"/>
  <c r="F173" i="3"/>
  <c r="I172" i="3"/>
  <c r="H172" i="3"/>
  <c r="G172" i="3"/>
  <c r="F172" i="3"/>
  <c r="I171" i="3"/>
  <c r="H171" i="3"/>
  <c r="G171" i="3"/>
  <c r="F171" i="3"/>
  <c r="I170" i="3"/>
  <c r="H170" i="3"/>
  <c r="G170" i="3"/>
  <c r="F170" i="3"/>
  <c r="I169" i="3"/>
  <c r="H169" i="3"/>
  <c r="G169" i="3"/>
  <c r="F169" i="3"/>
  <c r="G168" i="3"/>
  <c r="F168" i="3"/>
  <c r="G167" i="3"/>
  <c r="F167" i="3"/>
  <c r="G166" i="3"/>
  <c r="F166" i="3"/>
  <c r="G165" i="3"/>
  <c r="F165" i="3"/>
  <c r="G164" i="3"/>
  <c r="F164" i="3"/>
  <c r="G163" i="3"/>
  <c r="F163" i="3"/>
  <c r="G162" i="3"/>
  <c r="F162" i="3"/>
  <c r="G161" i="3"/>
  <c r="F161" i="3"/>
  <c r="G160" i="3"/>
  <c r="F160" i="3"/>
  <c r="G159" i="3"/>
  <c r="F159" i="3"/>
  <c r="G158" i="3"/>
  <c r="F158" i="3"/>
  <c r="I157" i="3"/>
  <c r="H157" i="3"/>
  <c r="G157" i="3"/>
  <c r="F157" i="3"/>
  <c r="I156" i="3"/>
  <c r="H156" i="3"/>
  <c r="G156" i="3"/>
  <c r="F156" i="3"/>
  <c r="I155" i="3"/>
  <c r="H155" i="3"/>
  <c r="G155" i="3"/>
  <c r="F155" i="3"/>
  <c r="I154" i="3"/>
  <c r="H154" i="3"/>
  <c r="G154" i="3"/>
  <c r="F154" i="3"/>
  <c r="I153" i="3"/>
  <c r="H153" i="3"/>
  <c r="G153" i="3"/>
  <c r="F153" i="3"/>
  <c r="I152" i="3"/>
  <c r="H152" i="3"/>
  <c r="G152" i="3"/>
  <c r="F152" i="3"/>
  <c r="I151" i="3"/>
  <c r="H151" i="3"/>
  <c r="G151" i="3"/>
  <c r="F151" i="3"/>
  <c r="I150" i="3"/>
  <c r="H150" i="3"/>
  <c r="G150" i="3"/>
  <c r="F150" i="3"/>
  <c r="I149" i="3"/>
  <c r="H149" i="3"/>
  <c r="G149" i="3"/>
  <c r="F149" i="3"/>
  <c r="I148" i="3"/>
  <c r="H148" i="3"/>
  <c r="G148" i="3"/>
  <c r="F148" i="3"/>
  <c r="I147" i="3"/>
  <c r="H147" i="3"/>
  <c r="G147" i="3"/>
  <c r="F147" i="3"/>
  <c r="I146" i="3"/>
  <c r="H146" i="3"/>
  <c r="G146" i="3"/>
  <c r="F146" i="3"/>
  <c r="I145" i="3"/>
  <c r="H145" i="3"/>
  <c r="G145" i="3"/>
  <c r="F145" i="3"/>
  <c r="I144" i="3"/>
  <c r="H144" i="3"/>
  <c r="G144" i="3"/>
  <c r="F144" i="3"/>
  <c r="I143" i="3"/>
  <c r="H143" i="3"/>
  <c r="G143" i="3"/>
  <c r="F143" i="3"/>
  <c r="I142" i="3"/>
  <c r="H142" i="3"/>
  <c r="G142" i="3"/>
  <c r="F142" i="3"/>
  <c r="I141" i="3"/>
  <c r="H141" i="3"/>
  <c r="G141" i="3"/>
  <c r="F141" i="3"/>
  <c r="I140" i="3"/>
  <c r="H140" i="3"/>
  <c r="G140" i="3"/>
  <c r="F140" i="3"/>
  <c r="I139" i="3"/>
  <c r="H139" i="3"/>
  <c r="G139" i="3"/>
  <c r="F139" i="3"/>
  <c r="I138" i="3"/>
  <c r="H138" i="3"/>
  <c r="G138" i="3"/>
  <c r="F138" i="3"/>
  <c r="I137" i="3"/>
  <c r="H137" i="3"/>
  <c r="G137" i="3"/>
  <c r="F137" i="3"/>
  <c r="I136" i="3"/>
  <c r="H136" i="3"/>
  <c r="G136" i="3"/>
  <c r="F136" i="3"/>
  <c r="G135" i="3"/>
  <c r="F135" i="3"/>
  <c r="G134" i="3"/>
  <c r="F134" i="3"/>
  <c r="G133" i="3"/>
  <c r="F133" i="3"/>
  <c r="G132" i="3"/>
  <c r="F132" i="3"/>
  <c r="G131" i="3"/>
  <c r="F131" i="3"/>
  <c r="G130" i="3"/>
  <c r="F130" i="3"/>
  <c r="G129" i="3"/>
  <c r="F129" i="3"/>
  <c r="G128" i="3"/>
  <c r="F128" i="3"/>
  <c r="G127" i="3"/>
  <c r="F127" i="3"/>
  <c r="G126" i="3"/>
  <c r="F126" i="3"/>
  <c r="G125" i="3"/>
  <c r="F125" i="3"/>
  <c r="I124" i="3"/>
  <c r="H124" i="3"/>
  <c r="G124" i="3"/>
  <c r="F124" i="3"/>
  <c r="I123" i="3"/>
  <c r="H123" i="3"/>
  <c r="G123" i="3"/>
  <c r="F123" i="3"/>
  <c r="I122" i="3"/>
  <c r="H122" i="3"/>
  <c r="G122" i="3"/>
  <c r="F122" i="3"/>
  <c r="I121" i="3"/>
  <c r="H121" i="3"/>
  <c r="G121" i="3"/>
  <c r="F121" i="3"/>
  <c r="I120" i="3"/>
  <c r="H120" i="3"/>
  <c r="G120" i="3"/>
  <c r="F120" i="3"/>
  <c r="I119" i="3"/>
  <c r="H119" i="3"/>
  <c r="G119" i="3"/>
  <c r="F119" i="3"/>
  <c r="I118" i="3"/>
  <c r="H118" i="3"/>
  <c r="G118" i="3"/>
  <c r="F118" i="3"/>
  <c r="I117" i="3"/>
  <c r="H117" i="3"/>
  <c r="G117" i="3"/>
  <c r="F117" i="3"/>
  <c r="I116" i="3"/>
  <c r="H116" i="3"/>
  <c r="G116" i="3"/>
  <c r="F116" i="3"/>
  <c r="I115" i="3"/>
  <c r="H115" i="3"/>
  <c r="G115" i="3"/>
  <c r="F115" i="3"/>
  <c r="I114" i="3"/>
  <c r="H114" i="3"/>
  <c r="G114" i="3"/>
  <c r="F114" i="3"/>
  <c r="I113" i="3"/>
  <c r="H113" i="3"/>
  <c r="G113" i="3"/>
  <c r="F113" i="3"/>
  <c r="I112" i="3"/>
  <c r="H112" i="3"/>
  <c r="G112" i="3"/>
  <c r="F112" i="3"/>
  <c r="I111" i="3"/>
  <c r="H111" i="3"/>
  <c r="G111" i="3"/>
  <c r="F111" i="3"/>
  <c r="I110" i="3"/>
  <c r="H110" i="3"/>
  <c r="G110" i="3"/>
  <c r="F110" i="3"/>
  <c r="I109" i="3"/>
  <c r="H109" i="3"/>
  <c r="G109" i="3"/>
  <c r="F109" i="3"/>
  <c r="I108" i="3"/>
  <c r="H108" i="3"/>
  <c r="G108" i="3"/>
  <c r="F108" i="3"/>
  <c r="I107" i="3"/>
  <c r="H107" i="3"/>
  <c r="G107" i="3"/>
  <c r="F107" i="3"/>
  <c r="I106" i="3"/>
  <c r="H106" i="3"/>
  <c r="G106" i="3"/>
  <c r="F106" i="3"/>
  <c r="I105" i="3"/>
  <c r="H105" i="3"/>
  <c r="G105" i="3"/>
  <c r="F105" i="3"/>
  <c r="I104" i="3"/>
  <c r="H104" i="3"/>
  <c r="G104" i="3"/>
  <c r="F104" i="3"/>
  <c r="I103" i="3"/>
  <c r="H103" i="3"/>
  <c r="G103" i="3"/>
  <c r="F103" i="3"/>
  <c r="G102" i="3"/>
  <c r="F102" i="3"/>
  <c r="G101" i="3"/>
  <c r="F101" i="3"/>
  <c r="G100" i="3"/>
  <c r="F100" i="3"/>
  <c r="G99" i="3"/>
  <c r="F99" i="3"/>
  <c r="G98" i="3"/>
  <c r="F98" i="3"/>
  <c r="G97" i="3"/>
  <c r="F97" i="3"/>
  <c r="G96" i="3"/>
  <c r="F96" i="3"/>
  <c r="G95" i="3"/>
  <c r="F95" i="3"/>
  <c r="G94" i="3"/>
  <c r="F94" i="3"/>
  <c r="G93" i="3"/>
  <c r="F93" i="3"/>
  <c r="G92" i="3"/>
  <c r="F92" i="3"/>
  <c r="I91" i="3"/>
  <c r="H91" i="3"/>
  <c r="G91" i="3"/>
  <c r="F91" i="3"/>
  <c r="I90" i="3"/>
  <c r="H90" i="3"/>
  <c r="G90" i="3"/>
  <c r="F90" i="3"/>
  <c r="I89" i="3"/>
  <c r="H89" i="3"/>
  <c r="G89" i="3"/>
  <c r="F89" i="3"/>
  <c r="I88" i="3"/>
  <c r="H88" i="3"/>
  <c r="G88" i="3"/>
  <c r="F88" i="3"/>
  <c r="I87" i="3"/>
  <c r="H87" i="3"/>
  <c r="G87" i="3"/>
  <c r="F87" i="3"/>
  <c r="I86" i="3"/>
  <c r="H86" i="3"/>
  <c r="G86" i="3"/>
  <c r="F86" i="3"/>
  <c r="I85" i="3"/>
  <c r="H85" i="3"/>
  <c r="G85" i="3"/>
  <c r="F85" i="3"/>
  <c r="I84" i="3"/>
  <c r="H84" i="3"/>
  <c r="G84" i="3"/>
  <c r="F84" i="3"/>
  <c r="I83" i="3"/>
  <c r="H83" i="3"/>
  <c r="G83" i="3"/>
  <c r="F83" i="3"/>
  <c r="I82" i="3"/>
  <c r="H82" i="3"/>
  <c r="G82" i="3"/>
  <c r="F82" i="3"/>
  <c r="I81" i="3"/>
  <c r="H81" i="3"/>
  <c r="G81" i="3"/>
  <c r="F81" i="3"/>
  <c r="I80" i="3"/>
  <c r="H80" i="3"/>
  <c r="G80" i="3"/>
  <c r="F80" i="3"/>
  <c r="I79" i="3"/>
  <c r="H79" i="3"/>
  <c r="G79" i="3"/>
  <c r="F79" i="3"/>
  <c r="I78" i="3"/>
  <c r="H78" i="3"/>
  <c r="G78" i="3"/>
  <c r="F78" i="3"/>
  <c r="I77" i="3"/>
  <c r="H77" i="3"/>
  <c r="G77" i="3"/>
  <c r="F77" i="3"/>
  <c r="I76" i="3"/>
  <c r="H76" i="3"/>
  <c r="G76" i="3"/>
  <c r="F76" i="3"/>
  <c r="I75" i="3"/>
  <c r="H75" i="3"/>
  <c r="G75" i="3"/>
  <c r="F75" i="3"/>
  <c r="I74" i="3"/>
  <c r="H74" i="3"/>
  <c r="G74" i="3"/>
  <c r="F74" i="3"/>
  <c r="I73" i="3"/>
  <c r="H73" i="3"/>
  <c r="G73" i="3"/>
  <c r="F73" i="3"/>
  <c r="I72" i="3"/>
  <c r="H72" i="3"/>
  <c r="G72" i="3"/>
  <c r="F72" i="3"/>
  <c r="I71" i="3"/>
  <c r="H71" i="3"/>
  <c r="G71" i="3"/>
  <c r="F71" i="3"/>
  <c r="I70" i="3"/>
  <c r="H70" i="3"/>
  <c r="G70" i="3"/>
  <c r="F70" i="3"/>
  <c r="G69" i="3"/>
  <c r="F69" i="3"/>
  <c r="G68" i="3"/>
  <c r="F68" i="3"/>
  <c r="G67" i="3"/>
  <c r="F67" i="3"/>
  <c r="G66" i="3"/>
  <c r="F66" i="3"/>
  <c r="G65" i="3"/>
  <c r="F65" i="3"/>
  <c r="G64" i="3"/>
  <c r="F64" i="3"/>
  <c r="G63" i="3"/>
  <c r="F63" i="3"/>
  <c r="G62" i="3"/>
  <c r="F62" i="3"/>
  <c r="G61" i="3"/>
  <c r="F61" i="3"/>
  <c r="G60" i="3"/>
  <c r="F60" i="3"/>
  <c r="G59" i="3"/>
  <c r="F59" i="3"/>
  <c r="I58" i="3"/>
  <c r="H58" i="3"/>
  <c r="G58" i="3"/>
  <c r="F58" i="3"/>
  <c r="I57" i="3"/>
  <c r="H57" i="3"/>
  <c r="G57" i="3"/>
  <c r="F57" i="3"/>
  <c r="I56" i="3"/>
  <c r="H56" i="3"/>
  <c r="G56" i="3"/>
  <c r="F56" i="3"/>
  <c r="I55" i="3"/>
  <c r="H55" i="3"/>
  <c r="G55" i="3"/>
  <c r="F55" i="3"/>
  <c r="I54" i="3"/>
  <c r="H54" i="3"/>
  <c r="G54" i="3"/>
  <c r="F54" i="3"/>
  <c r="I53" i="3"/>
  <c r="H53" i="3"/>
  <c r="G53" i="3"/>
  <c r="F53" i="3"/>
  <c r="I52" i="3"/>
  <c r="H52" i="3"/>
  <c r="G52" i="3"/>
  <c r="F52" i="3"/>
  <c r="I51" i="3"/>
  <c r="H51" i="3"/>
  <c r="G51" i="3"/>
  <c r="F51" i="3"/>
  <c r="I50" i="3"/>
  <c r="H50" i="3"/>
  <c r="G50" i="3"/>
  <c r="F50" i="3"/>
  <c r="I49" i="3"/>
  <c r="H49" i="3"/>
  <c r="G49" i="3"/>
  <c r="F49" i="3"/>
  <c r="I48" i="3"/>
  <c r="H48" i="3"/>
  <c r="G48" i="3"/>
  <c r="F48" i="3"/>
  <c r="I47" i="3"/>
  <c r="H47" i="3"/>
  <c r="G47" i="3"/>
  <c r="F47" i="3"/>
  <c r="I46" i="3"/>
  <c r="H46" i="3"/>
  <c r="G46" i="3"/>
  <c r="F46" i="3"/>
  <c r="I45" i="3"/>
  <c r="H45" i="3"/>
  <c r="G45" i="3"/>
  <c r="F45" i="3"/>
  <c r="I44" i="3"/>
  <c r="H44" i="3"/>
  <c r="G44" i="3"/>
  <c r="F44" i="3"/>
  <c r="I43" i="3"/>
  <c r="H43" i="3"/>
  <c r="G43" i="3"/>
  <c r="F43" i="3"/>
  <c r="I42" i="3"/>
  <c r="H42" i="3"/>
  <c r="G42" i="3"/>
  <c r="F42" i="3"/>
  <c r="I41" i="3"/>
  <c r="H41" i="3"/>
  <c r="G41" i="3"/>
  <c r="F41" i="3"/>
  <c r="I40" i="3"/>
  <c r="H40" i="3"/>
  <c r="G40" i="3"/>
  <c r="F40" i="3"/>
  <c r="I39" i="3"/>
  <c r="H39" i="3"/>
  <c r="G39" i="3"/>
  <c r="F39" i="3"/>
  <c r="I38" i="3"/>
  <c r="H38" i="3"/>
  <c r="G38" i="3"/>
  <c r="F38" i="3"/>
  <c r="I37" i="3"/>
  <c r="H37" i="3"/>
  <c r="G37" i="3"/>
  <c r="F37" i="3"/>
  <c r="G36" i="3"/>
  <c r="F36" i="3"/>
  <c r="G35" i="3"/>
  <c r="F35" i="3"/>
  <c r="G34" i="3"/>
  <c r="F34" i="3"/>
  <c r="G33" i="3"/>
  <c r="F33" i="3"/>
  <c r="G32" i="3"/>
  <c r="F32" i="3"/>
  <c r="G31" i="3"/>
  <c r="F31" i="3"/>
  <c r="G30" i="3"/>
  <c r="F30" i="3"/>
  <c r="G29" i="3"/>
  <c r="F29" i="3"/>
  <c r="G28" i="3"/>
  <c r="F28" i="3"/>
  <c r="G27" i="3"/>
  <c r="F27" i="3"/>
  <c r="G26" i="3"/>
  <c r="F26" i="3"/>
  <c r="F25" i="3"/>
  <c r="G25" i="3"/>
  <c r="H25" i="3"/>
  <c r="I25" i="3"/>
  <c r="I22" i="7" l="1"/>
  <c r="H22" i="7"/>
  <c r="G22" i="7"/>
  <c r="F22" i="7"/>
  <c r="I21" i="7"/>
  <c r="H21" i="7"/>
  <c r="G21" i="7"/>
  <c r="F21" i="7"/>
  <c r="I20" i="7"/>
  <c r="H20" i="7"/>
  <c r="G20" i="7"/>
  <c r="F20" i="7"/>
  <c r="I19" i="7"/>
  <c r="H19" i="7"/>
  <c r="G19" i="7"/>
  <c r="F19" i="7"/>
  <c r="I18" i="7"/>
  <c r="H18" i="7"/>
  <c r="G18" i="7"/>
  <c r="F18" i="7"/>
  <c r="I17" i="7"/>
  <c r="H17" i="7"/>
  <c r="G17" i="7"/>
  <c r="F17" i="7"/>
  <c r="I16" i="7"/>
  <c r="H16" i="7"/>
  <c r="G16" i="7"/>
  <c r="F16" i="7"/>
  <c r="I15" i="7"/>
  <c r="H15" i="7"/>
  <c r="G15" i="7"/>
  <c r="F15" i="7"/>
  <c r="I14" i="7"/>
  <c r="H14" i="7"/>
  <c r="G14" i="7"/>
  <c r="F14" i="7"/>
  <c r="I13" i="7"/>
  <c r="H13" i="7"/>
  <c r="G13" i="7"/>
  <c r="F13" i="7"/>
  <c r="I12" i="7"/>
  <c r="H12" i="7"/>
  <c r="G12" i="7"/>
  <c r="F12" i="7"/>
  <c r="I11" i="7"/>
  <c r="H11" i="7"/>
  <c r="G11" i="7"/>
  <c r="F11" i="7"/>
  <c r="I10" i="7"/>
  <c r="H10" i="7"/>
  <c r="G10" i="7"/>
  <c r="F10" i="7"/>
  <c r="I9" i="7"/>
  <c r="H9" i="7"/>
  <c r="G9" i="7"/>
  <c r="F9" i="7"/>
  <c r="I8" i="7"/>
  <c r="H8" i="7"/>
  <c r="G8" i="7"/>
  <c r="F8" i="7"/>
  <c r="I7" i="7"/>
  <c r="H7" i="7"/>
  <c r="G7" i="7"/>
  <c r="F7" i="7"/>
  <c r="I6" i="7"/>
  <c r="H6" i="7"/>
  <c r="G6" i="7"/>
  <c r="F6" i="7"/>
  <c r="I5" i="7"/>
  <c r="H5" i="7"/>
  <c r="G5" i="7"/>
  <c r="F5" i="7"/>
  <c r="I4" i="7"/>
  <c r="H4" i="7"/>
  <c r="G4" i="7"/>
  <c r="F4" i="7"/>
  <c r="I3" i="7"/>
  <c r="H3" i="7"/>
  <c r="G3" i="7"/>
  <c r="F3" i="7"/>
  <c r="I2" i="7"/>
  <c r="H2" i="7"/>
  <c r="G2" i="7"/>
  <c r="F2" i="7"/>
  <c r="I1" i="7"/>
  <c r="H1" i="7"/>
  <c r="G1" i="7"/>
  <c r="F1" i="7"/>
  <c r="H16" i="3" l="1"/>
  <c r="H17" i="3"/>
  <c r="H18" i="3"/>
  <c r="H19" i="3"/>
  <c r="H20" i="3"/>
  <c r="H21" i="3"/>
  <c r="H22" i="3"/>
  <c r="H23" i="3"/>
  <c r="H24" i="3"/>
  <c r="H15" i="3"/>
  <c r="H5" i="3"/>
  <c r="H6" i="3"/>
  <c r="H7" i="3"/>
  <c r="H8" i="3"/>
  <c r="H9" i="3"/>
  <c r="H10" i="3"/>
  <c r="H11" i="3"/>
  <c r="H12" i="3"/>
  <c r="H13" i="3"/>
  <c r="H14" i="3"/>
  <c r="H4" i="3"/>
  <c r="I5" i="3"/>
  <c r="I16" i="3"/>
  <c r="I6" i="3"/>
  <c r="I17" i="3"/>
  <c r="I7" i="3"/>
  <c r="I18" i="3"/>
  <c r="I8" i="3"/>
  <c r="I19" i="3"/>
  <c r="I9" i="3"/>
  <c r="I20" i="3"/>
  <c r="I10" i="3"/>
  <c r="I21" i="3"/>
  <c r="I11" i="3"/>
  <c r="I22" i="3"/>
  <c r="I12" i="3"/>
  <c r="I23" i="3"/>
  <c r="I13" i="3"/>
  <c r="I24" i="3"/>
  <c r="I14" i="3"/>
  <c r="I15" i="3"/>
  <c r="I4" i="3"/>
  <c r="G24" i="3"/>
  <c r="F24" i="3"/>
  <c r="G23" i="3"/>
  <c r="F23" i="3"/>
  <c r="G22" i="3"/>
  <c r="F22" i="3"/>
  <c r="G21" i="3"/>
  <c r="F21" i="3"/>
  <c r="G20" i="3"/>
  <c r="F20" i="3"/>
  <c r="G19" i="3"/>
  <c r="F19" i="3"/>
  <c r="G18" i="3"/>
  <c r="F18" i="3"/>
  <c r="G17" i="3"/>
  <c r="F17" i="3"/>
  <c r="G16" i="3"/>
  <c r="F16" i="3"/>
  <c r="G15" i="3"/>
  <c r="F15" i="3"/>
  <c r="C4" i="2"/>
  <c r="G14" i="3" l="1"/>
  <c r="G13" i="3"/>
  <c r="G12" i="3"/>
  <c r="G11" i="3"/>
  <c r="G10" i="3"/>
  <c r="G9" i="3"/>
  <c r="G8" i="3"/>
  <c r="G7" i="3"/>
  <c r="G6" i="3"/>
  <c r="G5" i="3"/>
  <c r="G4" i="3"/>
  <c r="F14" i="3"/>
  <c r="F13" i="3"/>
  <c r="F12" i="3"/>
  <c r="F11" i="3"/>
  <c r="F10" i="3"/>
  <c r="F9" i="3"/>
  <c r="F8" i="3"/>
  <c r="F7" i="3"/>
  <c r="F6" i="3"/>
  <c r="F5" i="3"/>
  <c r="F4" i="3"/>
  <c r="B1" i="4" l="1"/>
  <c r="B3" i="2"/>
  <c r="B2" i="2"/>
</calcChain>
</file>

<file path=xl/sharedStrings.xml><?xml version="1.0" encoding="utf-8"?>
<sst xmlns="http://schemas.openxmlformats.org/spreadsheetml/2006/main" count="1378" uniqueCount="126">
  <si>
    <t>Code</t>
  </si>
  <si>
    <t>Version</t>
  </si>
  <si>
    <t>V1</t>
  </si>
  <si>
    <t>اسم القالب</t>
  </si>
  <si>
    <t>Template Name</t>
  </si>
  <si>
    <t>دورية البيانات</t>
  </si>
  <si>
    <t>سنوي</t>
  </si>
  <si>
    <t>Data Frequency</t>
  </si>
  <si>
    <t>Annual</t>
  </si>
  <si>
    <t>الجهة المصدرية</t>
  </si>
  <si>
    <t>Data Source</t>
  </si>
  <si>
    <t>Year</t>
  </si>
  <si>
    <t>السنة</t>
  </si>
  <si>
    <t>Relational Sheet</t>
  </si>
  <si>
    <t>Measure_Name_Ar</t>
  </si>
  <si>
    <t>Measure_Name_En</t>
  </si>
  <si>
    <t>Measure_ID</t>
  </si>
  <si>
    <t>Unit_EN</t>
  </si>
  <si>
    <t>Unit_AR</t>
  </si>
  <si>
    <t>Obs_Value</t>
  </si>
  <si>
    <t>Time_Period_Y</t>
  </si>
  <si>
    <t>Time_Period_M</t>
  </si>
  <si>
    <t xml:space="preserve">اسم المؤشر </t>
  </si>
  <si>
    <t xml:space="preserve">Measure Name </t>
  </si>
  <si>
    <t>رمز المؤشر</t>
  </si>
  <si>
    <t>Unit</t>
  </si>
  <si>
    <t xml:space="preserve">الوحدة </t>
  </si>
  <si>
    <t>قيمة المؤشر</t>
  </si>
  <si>
    <t>سنة فترة القياس</t>
  </si>
  <si>
    <t>شهر فترة القياس</t>
  </si>
  <si>
    <t>M1</t>
  </si>
  <si>
    <t>Date</t>
  </si>
  <si>
    <t>Month</t>
  </si>
  <si>
    <t>Step 1: Cover Page</t>
  </si>
  <si>
    <t>الخطوة 1: Cover Page</t>
  </si>
  <si>
    <t>Update the template information, to ensure that any meta-information about the template, such as the title, version, and description, is accurate and up-to-date.</t>
  </si>
  <si>
    <t>قم بتحديث معلومات القالب للتأكد من أن أي معلومات وصفية حول القالب، مثل العنوان والإصدار والوصف، دقيقة ومحدثة.</t>
  </si>
  <si>
    <t>Step 2: Source Table</t>
  </si>
  <si>
    <t>الخطوة 2: Source Table</t>
  </si>
  <si>
    <r>
      <rPr>
        <sz val="11"/>
        <color theme="1"/>
        <rFont val="Aptos Narrow"/>
        <charset val="134"/>
        <scheme val="minor"/>
      </rPr>
      <t xml:space="preserve">Design your template, ensuring that the time period is mapped correctly to the date information in rows 1-3 of the </t>
    </r>
    <r>
      <rPr>
        <b/>
        <sz val="11"/>
        <color theme="1"/>
        <rFont val="Aptos Narrow"/>
        <charset val="134"/>
        <scheme val="minor"/>
      </rPr>
      <t>Template Data Sheet</t>
    </r>
    <r>
      <rPr>
        <sz val="11"/>
        <color theme="1"/>
        <rFont val="Aptos Narrow"/>
        <charset val="134"/>
        <scheme val="minor"/>
      </rPr>
      <t>.</t>
    </r>
  </si>
  <si>
    <r>
      <rPr>
        <sz val="11"/>
        <color theme="1"/>
        <rFont val="Aptos Narrow"/>
        <charset val="134"/>
        <scheme val="minor"/>
      </rPr>
      <t>قم بتصميم القالب الخاص بك، مع التأكد من أن فترة الوقت مرتبطة بشكل صحيح مع معلومات التاريخ في الصفوف 1-3 في ورقة</t>
    </r>
    <r>
      <rPr>
        <b/>
        <sz val="11"/>
        <color theme="1"/>
        <rFont val="Aptos Narrow"/>
        <charset val="134"/>
        <scheme val="minor"/>
      </rPr>
      <t xml:space="preserve"> Template Data</t>
    </r>
    <r>
      <rPr>
        <sz val="11"/>
        <color theme="1"/>
        <rFont val="Aptos Narrow"/>
        <charset val="134"/>
        <scheme val="minor"/>
      </rPr>
      <t>.</t>
    </r>
  </si>
  <si>
    <t>Step 3: Relational Sheet</t>
  </si>
  <si>
    <t>الخطوة 3: Relational Sheet</t>
  </si>
  <si>
    <t>Unpivot the data in the source table into a flat format. Follow these guidelines:</t>
  </si>
  <si>
    <t>قم بتحويل البيانات في جدول المصدر إلى تنسيق مسطح. اتبع هذه الإرشادات:</t>
  </si>
  <si>
    <r>
      <rPr>
        <b/>
        <sz val="11"/>
        <color theme="1"/>
        <rFont val="Aptos Narrow"/>
        <charset val="134"/>
        <scheme val="minor"/>
      </rPr>
      <t>1. Blue Columns</t>
    </r>
    <r>
      <rPr>
        <sz val="11"/>
        <color theme="1"/>
        <rFont val="Aptos Narrow"/>
        <charset val="134"/>
        <scheme val="minor"/>
      </rPr>
      <t>: Do not change the names of the blue columns. Update the data as per the current template.</t>
    </r>
  </si>
  <si>
    <r>
      <rPr>
        <b/>
        <sz val="11"/>
        <color theme="1"/>
        <rFont val="Aptos Narrow"/>
        <charset val="134"/>
        <scheme val="minor"/>
      </rPr>
      <t>1. الأعمدة الزرقاء</t>
    </r>
    <r>
      <rPr>
        <sz val="11"/>
        <color theme="1"/>
        <rFont val="Aptos Narrow"/>
        <charset val="134"/>
        <scheme val="minor"/>
      </rPr>
      <t>: لا تقم بتغيير أسماء الأعمدة الزرقاء. قم بتحديث البيانات وفقًا للقالب الحالي.</t>
    </r>
  </si>
  <si>
    <r>
      <rPr>
        <b/>
        <sz val="11"/>
        <color theme="1"/>
        <rFont val="Aptos Narrow"/>
        <charset val="134"/>
        <scheme val="minor"/>
      </rPr>
      <t>2. Code Lists</t>
    </r>
    <r>
      <rPr>
        <sz val="11"/>
        <color theme="1"/>
        <rFont val="Aptos Narrow"/>
        <charset val="134"/>
        <scheme val="minor"/>
      </rPr>
      <t xml:space="preserve">: Use the naming convention </t>
    </r>
    <r>
      <rPr>
        <sz val="10"/>
        <color theme="1"/>
        <rFont val="Arial Unicode MS"/>
        <charset val="134"/>
      </rPr>
      <t>CL_XXX_EN_V#</t>
    </r>
    <r>
      <rPr>
        <sz val="11"/>
        <color theme="1"/>
        <rFont val="Aptos Narrow"/>
        <charset val="134"/>
        <scheme val="minor"/>
      </rPr>
      <t xml:space="preserve"> for code lists, where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is the name, and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is the version, conforming with the definitions in the data dictionary.</t>
    </r>
  </si>
  <si>
    <r>
      <rPr>
        <b/>
        <sz val="11"/>
        <color theme="1"/>
        <rFont val="Aptos Narrow"/>
        <charset val="134"/>
        <scheme val="minor"/>
      </rPr>
      <t>2. قوائم الرموز</t>
    </r>
    <r>
      <rPr>
        <sz val="11"/>
        <color theme="1"/>
        <rFont val="Aptos Narrow"/>
        <charset val="134"/>
        <scheme val="minor"/>
      </rPr>
      <t xml:space="preserve">: استخدم قاعدة التسمية </t>
    </r>
    <r>
      <rPr>
        <sz val="10"/>
        <color theme="1"/>
        <rFont val="Arial Unicode MS"/>
        <charset val="134"/>
      </rPr>
      <t xml:space="preserve">CL_XXX_EN_V# </t>
    </r>
    <r>
      <rPr>
        <sz val="11"/>
        <color theme="1"/>
        <rFont val="Aptos Narrow"/>
        <charset val="134"/>
        <scheme val="minor"/>
      </rPr>
      <t xml:space="preserve">لقوائم الرموز، حيث أن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هو الاسم و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هو الإصدار، وفقًا للتعريفات في قاموس البيانات.</t>
    </r>
  </si>
  <si>
    <r>
      <rPr>
        <b/>
        <sz val="11"/>
        <color theme="1"/>
        <rFont val="Aptos Narrow"/>
        <charset val="134"/>
        <scheme val="minor"/>
      </rPr>
      <t>3. Code List Values</t>
    </r>
    <r>
      <rPr>
        <sz val="11"/>
        <color theme="1"/>
        <rFont val="Aptos Narrow"/>
        <charset val="134"/>
        <scheme val="minor"/>
      </rPr>
      <t>: Ensure the code list values match the definitions in the data dictionary.</t>
    </r>
  </si>
  <si>
    <r>
      <rPr>
        <b/>
        <sz val="11"/>
        <color theme="1"/>
        <rFont val="Aptos Narrow"/>
        <charset val="134"/>
        <scheme val="minor"/>
      </rPr>
      <t>3. قيم قائمة الرموز</t>
    </r>
    <r>
      <rPr>
        <sz val="11"/>
        <color theme="1"/>
        <rFont val="Aptos Narrow"/>
        <charset val="134"/>
        <scheme val="minor"/>
      </rPr>
      <t>: تأكد من أن قيم قائمة الرموز تتوافق مع التعريفات في قاموس البيانات.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</si>
  <si>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Leave empty if the data frequency is yearly.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</si>
  <si>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اتركها فارغة إذا كانت دورية البيانات سنوية.</t>
    </r>
  </si>
  <si>
    <r>
      <rPr>
        <b/>
        <sz val="11"/>
        <color theme="1"/>
        <rFont val="Aptos Narrow"/>
        <charset val="134"/>
        <scheme val="minor"/>
      </rPr>
      <t>5. Time_Period_M Format</t>
    </r>
    <r>
      <rPr>
        <sz val="11"/>
        <color theme="1"/>
        <rFont val="Aptos Narrow"/>
        <charset val="134"/>
        <scheme val="minor"/>
      </rPr>
      <t>: Use one of these formats:</t>
    </r>
  </si>
  <si>
    <r>
      <rPr>
        <b/>
        <sz val="11"/>
        <color theme="1"/>
        <rFont val="Aptos Narrow"/>
        <charset val="134"/>
        <scheme val="minor"/>
      </rPr>
      <t>5. تنسيق Time_Period_M</t>
    </r>
    <r>
      <rPr>
        <sz val="11"/>
        <color theme="1"/>
        <rFont val="Aptos Narrow"/>
        <charset val="134"/>
        <scheme val="minor"/>
      </rPr>
      <t>: استخدم أحد التنسيقات التالية:</t>
    </r>
  </si>
  <si>
    <r>
      <rPr>
        <sz val="11"/>
        <color theme="1"/>
        <rFont val="Aptos Narrow"/>
        <charset val="134"/>
        <scheme val="minor"/>
      </rPr>
      <t xml:space="preserve">Numeric: </t>
    </r>
    <r>
      <rPr>
        <sz val="10"/>
        <color theme="1"/>
        <rFont val="Arial Unicode MS"/>
        <charset val="134"/>
      </rPr>
      <t>(1, 2, 3, ..., 12)</t>
    </r>
    <r>
      <rPr>
        <sz val="11"/>
        <color theme="1"/>
        <rFont val="Aptos Narrow"/>
        <charset val="134"/>
        <scheme val="minor"/>
      </rPr>
      <t xml:space="preserve"> for months.</t>
    </r>
  </si>
  <si>
    <t>رقمي: (1، 2، 3، ...، 12) للأشهر.</t>
  </si>
  <si>
    <r>
      <rPr>
        <sz val="11"/>
        <color theme="1"/>
        <rFont val="Aptos Narrow"/>
        <charset val="134"/>
        <scheme val="minor"/>
      </rPr>
      <t xml:space="preserve">Text: </t>
    </r>
    <r>
      <rPr>
        <sz val="10"/>
        <color theme="1"/>
        <rFont val="Arial Unicode MS"/>
        <charset val="134"/>
      </rPr>
      <t>(Jan, Feb, Mar, ..., Dec)</t>
    </r>
    <r>
      <rPr>
        <sz val="11"/>
        <color theme="1"/>
        <rFont val="Aptos Narrow"/>
        <charset val="134"/>
        <scheme val="minor"/>
      </rPr>
      <t>.</t>
    </r>
  </si>
  <si>
    <t>نصي:(Jan, Feb, Mar, ..., Dec)</t>
  </si>
  <si>
    <r>
      <rPr>
        <b/>
        <sz val="11"/>
        <color theme="1"/>
        <rFont val="Aptos Narrow"/>
        <charset val="134"/>
        <scheme val="minor"/>
      </rPr>
      <t>6. Obs_Value</t>
    </r>
    <r>
      <rPr>
        <sz val="11"/>
        <color theme="1"/>
        <rFont val="Aptos Narrow"/>
        <charset val="134"/>
        <scheme val="minor"/>
      </rPr>
      <t>: It is recommended to use the formula =IF('Source Table'!XX="","",'Source Table'!XX) to handle empty data values correctly.</t>
    </r>
  </si>
  <si>
    <r>
      <rPr>
        <b/>
        <sz val="11"/>
        <color theme="1"/>
        <rFont val="Aptos Narrow"/>
        <charset val="134"/>
        <scheme val="minor"/>
      </rPr>
      <t xml:space="preserve">6. Obs_Value: </t>
    </r>
    <r>
      <rPr>
        <sz val="11"/>
        <color theme="1"/>
        <rFont val="Aptos Narrow"/>
        <charset val="134"/>
        <scheme val="minor"/>
      </rPr>
      <t>يُوصى باستخدام الصيغة =IF('Source Table'!XX="","",'Source Table'!XX) للتعامل بشكل صحيح مع القيم الفارغة في البيانات.</t>
    </r>
  </si>
  <si>
    <t>Step 4: Template Data</t>
  </si>
  <si>
    <t>الخطوة 4: Template Data</t>
  </si>
  <si>
    <r>
      <rPr>
        <sz val="11"/>
        <color theme="1"/>
        <rFont val="Aptos Narrow"/>
        <charset val="134"/>
        <scheme val="minor"/>
      </rPr>
      <t xml:space="preserve">Copy rows 2 and 3 from the </t>
    </r>
    <r>
      <rPr>
        <b/>
        <sz val="11"/>
        <color theme="1"/>
        <rFont val="Aptos Narrow"/>
        <charset val="134"/>
        <scheme val="minor"/>
      </rPr>
      <t>Relational DB</t>
    </r>
    <r>
      <rPr>
        <sz val="11"/>
        <color theme="1"/>
        <rFont val="Aptos Narrow"/>
        <charset val="134"/>
        <scheme val="minor"/>
      </rPr>
      <t xml:space="preserve"> sheet and paste them into rows 4 and 5 of the </t>
    </r>
    <r>
      <rPr>
        <b/>
        <sz val="11"/>
        <color theme="1"/>
        <rFont val="Aptos Narrow"/>
        <charset val="134"/>
        <scheme val="minor"/>
      </rPr>
      <t>Template Data</t>
    </r>
    <r>
      <rPr>
        <sz val="11"/>
        <color theme="1"/>
        <rFont val="Aptos Narrow"/>
        <charset val="134"/>
        <scheme val="minor"/>
      </rPr>
      <t xml:space="preserve"> sheet.</t>
    </r>
  </si>
  <si>
    <t>قم بنسخ الصفوف 2 و 3 من ورقة Relational DB والصقها في الصفوف 4 و 5 من ورقة Template Data.</t>
  </si>
  <si>
    <r>
      <rPr>
        <sz val="11"/>
        <color theme="1"/>
        <rFont val="Aptos Narrow"/>
        <charset val="134"/>
        <scheme val="minor"/>
      </rPr>
      <t xml:space="preserve">The system will update this sheet with data from the previous data upload, which can be used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</si>
  <si>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سيقوم النظام بتحديث هذه الورقة بالبيانات من التحميل السابق للبيانات، والتي يمكن استخدامها في ورقة Source Table.</t>
  </si>
  <si>
    <t>Step 5: Source Table Formatting</t>
  </si>
  <si>
    <t>الخطوة 5: Source Table Formatting</t>
  </si>
  <si>
    <r>
      <rPr>
        <sz val="11"/>
        <color theme="1"/>
        <rFont val="Aptos Narrow"/>
        <charset val="134"/>
        <scheme val="minor"/>
      </rPr>
      <t xml:space="preserve">1. Format individual cells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 to protect cells that are not dedicated to data entry.</t>
    </r>
  </si>
  <si>
    <t>1. قم بتنسيق الخلايا الفردية في ورقة Source Table لحماية الخلايا التي ليست مخصصة لإدخال البيانات.</t>
  </si>
  <si>
    <t>2. Protect the sheet to prevent any accidental changes to protected cells.</t>
  </si>
  <si>
    <t>2. قم بحماية الورقة لمنع أي تغييرات غير مقصودة على الخلايا المحمية.</t>
  </si>
  <si>
    <t>Step 6: Hide Sheets</t>
  </si>
  <si>
    <t>الخطوة 6: Hide Sheets</t>
  </si>
  <si>
    <r>
      <rPr>
        <sz val="11"/>
        <color theme="1"/>
        <rFont val="Aptos Narrow"/>
        <charset val="134"/>
        <scheme val="minor"/>
      </rPr>
      <t xml:space="preserve">Hide all sheets except for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</si>
  <si>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قم بإخفاء جميع الأوراق باستثناء ورقة Source Table.</t>
  </si>
  <si>
    <t>Step 7: Protect Workbook</t>
  </si>
  <si>
    <t>الخطوة 7: Protect Workbook</t>
  </si>
  <si>
    <t>Protect the entire workbook to prevent unauthorized or accidental changes to the structure of the file.</t>
  </si>
  <si>
    <t>قم بحماية الكتاب بأكمله لمنع التغييرات غير المصرح بها أو غير المقصودة على هيكل الملف.</t>
  </si>
  <si>
    <t xml:space="preserve"> وزارة  الاستثمار</t>
  </si>
  <si>
    <t>Ministry of  Investment</t>
  </si>
  <si>
    <t>الصناعة</t>
  </si>
  <si>
    <t>التجارة</t>
  </si>
  <si>
    <t>السياحة</t>
  </si>
  <si>
    <t>الزراعة</t>
  </si>
  <si>
    <t>المستشفيات</t>
  </si>
  <si>
    <t>الخدمات</t>
  </si>
  <si>
    <t>تكنولوجيا المعلومات</t>
  </si>
  <si>
    <t>انتاج فني</t>
  </si>
  <si>
    <t>نقل وتوزيع الغاز</t>
  </si>
  <si>
    <t>مراكز اتصال</t>
  </si>
  <si>
    <t>مراكز بحث علمي</t>
  </si>
  <si>
    <t>Industry</t>
  </si>
  <si>
    <t>Commerce</t>
  </si>
  <si>
    <t>Tourism</t>
  </si>
  <si>
    <t>Agriculture</t>
  </si>
  <si>
    <t>Hospitals</t>
  </si>
  <si>
    <t>Services</t>
  </si>
  <si>
    <t>Information Technology</t>
  </si>
  <si>
    <t>Artistic production</t>
  </si>
  <si>
    <t>Gas transportation and distribution</t>
  </si>
  <si>
    <t>call centers</t>
  </si>
  <si>
    <t>Scientific research centers</t>
  </si>
  <si>
    <t xml:space="preserve">حجم الاستثمارات المستفيدة من قانون الاستثمار </t>
  </si>
  <si>
    <t>Size of Projects Investment Beneficiaries from Investment Promotion Law</t>
  </si>
  <si>
    <t>Million JDs</t>
  </si>
  <si>
    <t>مليون دينار</t>
  </si>
  <si>
    <t>CL_SECTOR__EN_V3</t>
  </si>
  <si>
    <t>CL_SECTOR__AR_V3</t>
  </si>
  <si>
    <t>القطاع</t>
  </si>
  <si>
    <t>Sector</t>
  </si>
  <si>
    <t>SYB_20_5</t>
  </si>
  <si>
    <t>حجم الاستثمارات المستفيدة من قانون الاستثمار حسب جنسية الاستثمار,(مليون دينار)</t>
  </si>
  <si>
    <t>Size of Projects Investment Beneficiaries from Investment Promotion Law by Nationality,(Million JDs)</t>
  </si>
  <si>
    <t>جنسية الاستثمار</t>
  </si>
  <si>
    <t>الاستثمار المحلي</t>
  </si>
  <si>
    <t>الاستثمار الاجنبي</t>
  </si>
  <si>
    <t>local investment</t>
  </si>
  <si>
    <t>Foreign investment</t>
  </si>
  <si>
    <t>CL_INV_NAT_EN_V1</t>
  </si>
  <si>
    <t>CL_INV_NAT_AR_V1</t>
  </si>
  <si>
    <t>Investment Nationality</t>
  </si>
  <si>
    <t>الاستثمار الكلي</t>
  </si>
  <si>
    <t>Total investment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</si>
</sst>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>
    <font>
      <sz val="11"/>
      <color theme="1"/>
      <name val="Aptos Narrow"/>
      <charset val="134"/>
      <scheme val="minor"/>
    </font>
    <font>
      <b/>
      <sz val="13.5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theme="0"/>
      <name val="Aptos Narrow"/>
      <charset val="134"/>
      <scheme val="minor"/>
    </font>
    <font>
      <b/>
      <sz val="11"/>
      <color rgb="FF0776AD"/>
      <name val="Aptos Narrow"/>
      <charset val="134"/>
      <scheme val="minor"/>
    </font>
    <font>
      <sz val="11"/>
      <color rgb="FFFFFFFF"/>
      <name val="Aptos Narrow"/>
      <charset val="134"/>
      <scheme val="minor"/>
    </font>
    <font>
      <sz val="16"/>
      <color rgb="FF0776AD"/>
      <name val="Aptos Narrow"/>
      <charset val="134"/>
      <scheme val="minor"/>
    </font>
    <font>
      <sz val="11"/>
      <color rgb="FF000000"/>
      <name val="Calibri"/>
      <family val="2"/>
    </font>
    <font>
      <b/>
      <sz val="14"/>
      <color theme="0"/>
      <name val="Aptos"/>
      <charset val="134"/>
    </font>
    <font>
      <b/>
      <sz val="14"/>
      <color theme="7" tint="-0.249977111117893"/>
      <name val="Aptos"/>
      <charset val="134"/>
    </font>
    <font>
      <b/>
      <sz val="11"/>
      <color rgb="FF000000"/>
      <name val="Calibri"/>
      <family val="2"/>
    </font>
    <font>
      <sz val="16"/>
      <color rgb="FFFFFFFF"/>
      <name val="Aptos Narrow"/>
      <charset val="134"/>
      <scheme val="minor"/>
    </font>
    <font>
      <sz val="10"/>
      <name val="Arial"/>
      <family val="2"/>
    </font>
    <font>
      <b/>
      <sz val="14"/>
      <color indexed="12"/>
      <name val="Arial"/>
      <family val="2"/>
    </font>
    <font>
      <b/>
      <sz val="12"/>
      <color indexed="12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0"/>
      <color theme="1"/>
      <name val="Arial Unicode MS"/>
      <charset val="134"/>
    </font>
    <font>
      <sz val="11"/>
      <color theme="1"/>
      <name val="Aptos Narrow"/>
      <charset val="134"/>
      <scheme val="minor"/>
    </font>
    <font>
      <sz val="11"/>
      <color rgb="FF000000"/>
      <name val="Calibri"/>
      <family val="2"/>
    </font>
    <font>
      <sz val="14"/>
      <color theme="7" tint="-0.249977111117893"/>
      <name val="Aptos"/>
    </font>
    <font>
      <b/>
      <sz val="12"/>
      <color theme="1"/>
      <name val="Traditional Arabic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776A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8998687704092531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0"/>
      </left>
      <right style="medium">
        <color indexed="60"/>
      </right>
      <top style="medium">
        <color indexed="60"/>
      </top>
      <bottom style="medium">
        <color indexed="6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2" fillId="0" borderId="0"/>
    <xf numFmtId="0" fontId="12" fillId="0" borderId="0"/>
    <xf numFmtId="0" fontId="13" fillId="0" borderId="0">
      <alignment horizontal="centerContinuous" vertical="center"/>
    </xf>
    <xf numFmtId="0" fontId="14" fillId="0" borderId="0">
      <alignment horizontal="centerContinuous" vertical="center"/>
    </xf>
    <xf numFmtId="1" fontId="15" fillId="7" borderId="2">
      <alignment horizontal="center" vertical="center"/>
    </xf>
    <xf numFmtId="0" fontId="16" fillId="7" borderId="2">
      <alignment horizontal="center" vertical="center" wrapText="1"/>
    </xf>
    <xf numFmtId="0" fontId="17" fillId="7" borderId="2">
      <alignment horizontal="center" vertical="center" wrapText="1"/>
    </xf>
    <xf numFmtId="0" fontId="12" fillId="0" borderId="0"/>
    <xf numFmtId="0" fontId="12" fillId="0" borderId="0"/>
    <xf numFmtId="0" fontId="20" fillId="0" borderId="0"/>
    <xf numFmtId="0" fontId="20" fillId="0" borderId="0"/>
    <xf numFmtId="0" fontId="12" fillId="0" borderId="0"/>
    <xf numFmtId="0" fontId="20" fillId="0" borderId="0"/>
    <xf numFmtId="9" fontId="20" fillId="0" borderId="0"/>
    <xf numFmtId="9" fontId="20" fillId="0" borderId="0"/>
    <xf numFmtId="0" fontId="18" fillId="0" borderId="0">
      <alignment horizontal="right" vertical="center"/>
    </xf>
    <xf numFmtId="0" fontId="12" fillId="0" borderId="0">
      <alignment horizontal="left" vertical="center"/>
    </xf>
  </cellStyleXfs>
  <cellXfs count="36">
    <xf numFmtId="0" fontId="0" fillId="0" borderId="0" xfId="0"/>
    <xf numFmtId="0" fontId="0" fillId="2" borderId="0" xfId="0" applyFill="1" applyAlignment="1">
      <alignment vertical="center"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right" vertical="center" wrapText="1" readingOrder="2"/>
    </xf>
    <xf numFmtId="0" fontId="0" fillId="2" borderId="0" xfId="0" applyFill="1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right" vertical="center" wrapText="1" readingOrder="2"/>
    </xf>
    <xf numFmtId="0" fontId="0" fillId="2" borderId="0" xfId="0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 readingOrder="2"/>
    </xf>
    <xf numFmtId="0" fontId="3" fillId="0" borderId="0" xfId="0" applyFont="1"/>
    <xf numFmtId="0" fontId="4" fillId="0" borderId="0" xfId="0" applyFont="1" applyAlignment="1">
      <alignment horizontal="center"/>
    </xf>
    <xf numFmtId="14" fontId="0" fillId="0" borderId="0" xfId="0" applyNumberFormat="1"/>
    <xf numFmtId="0" fontId="5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readingOrder="2"/>
    </xf>
    <xf numFmtId="0" fontId="9" fillId="4" borderId="1" xfId="0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/>
    </xf>
    <xf numFmtId="0" fontId="6" fillId="0" borderId="0" xfId="0" applyFont="1" applyFill="1" applyAlignment="1">
      <alignment horizontal="center" wrapText="1"/>
    </xf>
    <xf numFmtId="0" fontId="6" fillId="0" borderId="0" xfId="0" applyFont="1" applyFill="1" applyAlignment="1">
      <alignment horizontal="center" readingOrder="2"/>
    </xf>
    <xf numFmtId="0" fontId="0" fillId="0" borderId="0" xfId="0" quotePrefix="1" applyAlignment="1">
      <alignment horizontal="center"/>
    </xf>
    <xf numFmtId="0" fontId="21" fillId="0" borderId="0" xfId="0" applyFont="1" applyAlignment="1">
      <alignment horizontal="center" readingOrder="2"/>
    </xf>
    <xf numFmtId="0" fontId="0" fillId="8" borderId="0" xfId="0" applyFont="1" applyFill="1" applyAlignment="1">
      <alignment horizontal="center" vertical="center"/>
    </xf>
    <xf numFmtId="0" fontId="10" fillId="0" borderId="1" xfId="8" applyFont="1" applyFill="1" applyBorder="1" applyProtection="1"/>
    <xf numFmtId="0" fontId="9" fillId="6" borderId="3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 wrapText="1"/>
    </xf>
    <xf numFmtId="0" fontId="9" fillId="6" borderId="6" xfId="0" applyFont="1" applyFill="1" applyBorder="1" applyAlignment="1">
      <alignment horizontal="left" vertical="center"/>
    </xf>
    <xf numFmtId="0" fontId="9" fillId="6" borderId="3" xfId="0" applyFont="1" applyFill="1" applyBorder="1" applyAlignment="1">
      <alignment horizontal="left" vertical="center" indent="8"/>
    </xf>
    <xf numFmtId="0" fontId="22" fillId="4" borderId="1" xfId="0" applyFont="1" applyFill="1" applyBorder="1" applyAlignment="1">
      <alignment horizontal="center" vertical="center"/>
    </xf>
    <xf numFmtId="0" fontId="23" fillId="0" borderId="0" xfId="0" applyFont="1"/>
    <xf numFmtId="0" fontId="8" fillId="5" borderId="1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</cellXfs>
  <cellStyles count="18">
    <cellStyle name="‏_x001d_ً'_x000c_ï‏÷_x000c__x001c_" xfId="1"/>
    <cellStyle name="‏_x001d_ً'_x000c_ï‏÷_x000c__x001c_ 2" xfId="2"/>
    <cellStyle name="H1" xfId="3"/>
    <cellStyle name="H2" xfId="4"/>
    <cellStyle name="Had1" xfId="5"/>
    <cellStyle name="Had2" xfId="6"/>
    <cellStyle name="Had3" xfId="7"/>
    <cellStyle name="Normal" xfId="0" builtinId="0"/>
    <cellStyle name="Normal 2" xfId="8"/>
    <cellStyle name="Normal 3" xfId="9"/>
    <cellStyle name="Normal 4" xfId="10"/>
    <cellStyle name="Normal 4 2" xfId="11"/>
    <cellStyle name="Normal 5" xfId="12"/>
    <cellStyle name="Normal 6" xfId="13"/>
    <cellStyle name="Percent 2" xfId="14"/>
    <cellStyle name="Percent 2 2" xfId="15"/>
    <cellStyle name="T1" xfId="16"/>
    <cellStyle name="T2" xfId="17"/>
  </cellStyles>
  <dxfs count="0"/>
  <tableStyles count="0" defaultTableStyle="TableStyleMedium2" defaultPivotStyle="PivotStyleLight16"/>
  <colors>
    <mruColors>
      <color rgb="FF0776AD"/>
      <color rgb="FFBCE7FC"/>
      <color rgb="FF098B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8" sqref="B8"/>
    </sheetView>
  </sheetViews>
  <sheetFormatPr defaultColWidth="9" defaultRowHeight="13.5"/>
  <cols>
    <col min="1" max="1" width="32.375" customWidth="1"/>
    <col min="2" max="2" width="115.75" customWidth="1"/>
  </cols>
  <sheetData>
    <row r="1" spans="1:2" ht="21" customHeight="1">
      <c r="A1" s="18" t="s">
        <v>0</v>
      </c>
      <c r="B1" s="19" t="s">
        <v>113</v>
      </c>
    </row>
    <row r="2" spans="1:2" ht="21" customHeight="1">
      <c r="A2" s="18" t="s">
        <v>1</v>
      </c>
      <c r="B2" s="19" t="s">
        <v>2</v>
      </c>
    </row>
    <row r="3" spans="1:2" ht="21" customHeight="1">
      <c r="A3" s="18" t="s">
        <v>3</v>
      </c>
      <c r="B3" s="20" t="s">
        <v>114</v>
      </c>
    </row>
    <row r="4" spans="1:2" ht="21" customHeight="1">
      <c r="A4" s="18" t="s">
        <v>4</v>
      </c>
      <c r="B4" s="21" t="s">
        <v>115</v>
      </c>
    </row>
    <row r="5" spans="1:2" ht="21" customHeight="1">
      <c r="A5" s="18" t="s">
        <v>5</v>
      </c>
      <c r="B5" s="22" t="s">
        <v>6</v>
      </c>
    </row>
    <row r="6" spans="1:2" ht="21" customHeight="1">
      <c r="A6" s="18" t="s">
        <v>7</v>
      </c>
      <c r="B6" s="22" t="s">
        <v>8</v>
      </c>
    </row>
    <row r="7" spans="1:2" ht="21" customHeight="1">
      <c r="A7" s="18" t="s">
        <v>9</v>
      </c>
      <c r="B7" s="28" t="s">
        <v>81</v>
      </c>
    </row>
    <row r="8" spans="1:2" ht="21" customHeight="1">
      <c r="A8" s="18" t="s">
        <v>10</v>
      </c>
      <c r="B8" s="19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7"/>
  <sheetViews>
    <sheetView view="pageBreakPreview" zoomScale="80" zoomScaleNormal="100" workbookViewId="0">
      <selection activeCell="B8" sqref="B8"/>
    </sheetView>
  </sheetViews>
  <sheetFormatPr defaultColWidth="17.5" defaultRowHeight="13.5"/>
  <cols>
    <col min="2" max="2" width="52.375" bestFit="1" customWidth="1"/>
    <col min="3" max="3" width="31.5" bestFit="1" customWidth="1"/>
    <col min="4" max="4" width="24.5" bestFit="1" customWidth="1"/>
  </cols>
  <sheetData>
    <row r="2" spans="2:5" ht="28.15" customHeight="1">
      <c r="B2" s="33" t="str">
        <f>'Cover Page'!B4</f>
        <v>Size of Projects Investment Beneficiaries from Investment Promotion Law by Nationality,(Million JDs)</v>
      </c>
      <c r="C2" s="33"/>
      <c r="D2" s="33"/>
      <c r="E2" s="33"/>
    </row>
    <row r="3" spans="2:5" ht="28.15" customHeight="1">
      <c r="B3" s="33" t="str">
        <f>'Cover Page'!B3</f>
        <v>حجم الاستثمارات المستفيدة من قانون الاستثمار حسب جنسية الاستثمار,(مليون دينار)</v>
      </c>
      <c r="C3" s="33"/>
      <c r="D3" s="33"/>
      <c r="E3" s="33"/>
    </row>
    <row r="4" spans="2:5" ht="28.15" customHeight="1">
      <c r="B4" s="17" t="s">
        <v>11</v>
      </c>
      <c r="C4" s="30">
        <f>YEAR('Template Data'!B1)</f>
        <v>2024</v>
      </c>
      <c r="D4" s="29"/>
      <c r="E4" s="17" t="s">
        <v>12</v>
      </c>
    </row>
    <row r="5" spans="2:5" ht="28.15" customHeight="1">
      <c r="B5" s="34" t="s">
        <v>112</v>
      </c>
      <c r="C5" s="27" t="s">
        <v>118</v>
      </c>
      <c r="D5" s="27" t="s">
        <v>117</v>
      </c>
      <c r="E5" s="34" t="s">
        <v>111</v>
      </c>
    </row>
    <row r="6" spans="2:5" ht="28.15" customHeight="1">
      <c r="B6" s="35"/>
      <c r="C6" s="27" t="s">
        <v>120</v>
      </c>
      <c r="D6" s="27" t="s">
        <v>119</v>
      </c>
      <c r="E6" s="35"/>
    </row>
    <row r="7" spans="2:5" ht="28.15" customHeight="1">
      <c r="B7" s="31" t="s">
        <v>94</v>
      </c>
      <c r="C7" s="26"/>
      <c r="D7" s="26"/>
      <c r="E7" s="31" t="s">
        <v>83</v>
      </c>
    </row>
    <row r="8" spans="2:5" ht="22.15" customHeight="1">
      <c r="B8" s="31" t="s">
        <v>95</v>
      </c>
      <c r="C8" s="26"/>
      <c r="D8" s="26"/>
      <c r="E8" s="31" t="s">
        <v>84</v>
      </c>
    </row>
    <row r="9" spans="2:5" ht="22.15" customHeight="1">
      <c r="B9" s="31" t="s">
        <v>96</v>
      </c>
      <c r="C9" s="26"/>
      <c r="D9" s="26"/>
      <c r="E9" s="31" t="s">
        <v>85</v>
      </c>
    </row>
    <row r="10" spans="2:5" ht="18">
      <c r="B10" s="31" t="s">
        <v>97</v>
      </c>
      <c r="C10" s="26"/>
      <c r="D10" s="26"/>
      <c r="E10" s="31" t="s">
        <v>86</v>
      </c>
    </row>
    <row r="11" spans="2:5" ht="18">
      <c r="B11" s="31" t="s">
        <v>98</v>
      </c>
      <c r="C11" s="26"/>
      <c r="D11" s="26"/>
      <c r="E11" s="31" t="s">
        <v>87</v>
      </c>
    </row>
    <row r="12" spans="2:5" ht="18">
      <c r="B12" s="31" t="s">
        <v>99</v>
      </c>
      <c r="C12" s="26"/>
      <c r="D12" s="26"/>
      <c r="E12" s="31" t="s">
        <v>88</v>
      </c>
    </row>
    <row r="13" spans="2:5" ht="18">
      <c r="B13" s="31" t="s">
        <v>100</v>
      </c>
      <c r="C13" s="26"/>
      <c r="D13" s="26"/>
      <c r="E13" s="31" t="s">
        <v>89</v>
      </c>
    </row>
    <row r="14" spans="2:5" ht="18">
      <c r="B14" s="31" t="s">
        <v>101</v>
      </c>
      <c r="C14" s="26"/>
      <c r="D14" s="26"/>
      <c r="E14" s="31" t="s">
        <v>90</v>
      </c>
    </row>
    <row r="15" spans="2:5" ht="18">
      <c r="B15" s="31" t="s">
        <v>102</v>
      </c>
      <c r="C15" s="26"/>
      <c r="D15" s="26"/>
      <c r="E15" s="31" t="s">
        <v>91</v>
      </c>
    </row>
    <row r="16" spans="2:5" ht="18">
      <c r="B16" s="31" t="s">
        <v>103</v>
      </c>
      <c r="C16" s="26"/>
      <c r="D16" s="26"/>
      <c r="E16" s="31" t="s">
        <v>92</v>
      </c>
    </row>
    <row r="17" spans="2:5" ht="18">
      <c r="B17" s="31" t="s">
        <v>104</v>
      </c>
      <c r="C17" s="26"/>
      <c r="D17" s="26"/>
      <c r="E17" s="31" t="s">
        <v>93</v>
      </c>
    </row>
  </sheetData>
  <sheetProtection password="DEF8" sheet="1" objects="1" scenarios="1" deleteRows="0"/>
  <protectedRanges>
    <protectedRange sqref="C7:D17" name="Range8"/>
    <protectedRange sqref="C7:D17" name="Range6"/>
    <protectedRange sqref="C7:D17" name="Range4"/>
    <protectedRange sqref="C7:D17" name="Range2"/>
    <protectedRange sqref="C7:D17" name="Range3"/>
    <protectedRange sqref="C7:D17" name="Range5"/>
    <protectedRange sqref="C7:D17" name="Range7"/>
  </protectedRanges>
  <mergeCells count="4">
    <mergeCell ref="B2:E2"/>
    <mergeCell ref="B3:E3"/>
    <mergeCell ref="B5:B6"/>
    <mergeCell ref="E5:E6"/>
  </mergeCells>
  <pageMargins left="0.7" right="0.7" top="0.75" bottom="0.75" header="0.3" footer="0.3"/>
  <pageSetup scale="3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1"/>
  <sheetViews>
    <sheetView tabSelected="1" topLeftCell="C18" zoomScale="70" zoomScaleNormal="70" workbookViewId="0">
      <selection activeCell="H26" sqref="H26"/>
    </sheetView>
  </sheetViews>
  <sheetFormatPr defaultColWidth="9" defaultRowHeight="13.5"/>
  <cols>
    <col min="1" max="1" width="24.75" customWidth="1"/>
    <col min="2" max="2" width="75.875" bestFit="1" customWidth="1"/>
    <col min="3" max="3" width="9.75" customWidth="1"/>
    <col min="4" max="9" width="18.125" customWidth="1"/>
    <col min="10" max="12" width="15.375" customWidth="1"/>
  </cols>
  <sheetData>
    <row r="1" spans="1:12" ht="20.25">
      <c r="A1" s="14" t="s">
        <v>13</v>
      </c>
    </row>
    <row r="2" spans="1:12" s="10" customFormat="1" ht="18" customHeight="1">
      <c r="A2" s="13" t="s">
        <v>14</v>
      </c>
      <c r="B2" s="13" t="s">
        <v>15</v>
      </c>
      <c r="C2" s="13" t="s">
        <v>16</v>
      </c>
      <c r="D2" s="13" t="s">
        <v>17</v>
      </c>
      <c r="E2" s="13" t="s">
        <v>18</v>
      </c>
      <c r="F2" s="25" t="s">
        <v>109</v>
      </c>
      <c r="G2" s="25" t="s">
        <v>110</v>
      </c>
      <c r="H2" s="25" t="s">
        <v>121</v>
      </c>
      <c r="I2" s="25" t="s">
        <v>122</v>
      </c>
      <c r="J2" s="13" t="s">
        <v>19</v>
      </c>
      <c r="K2" s="13" t="s">
        <v>20</v>
      </c>
      <c r="L2" s="13" t="s">
        <v>21</v>
      </c>
    </row>
    <row r="3" spans="1:12" s="10" customFormat="1" ht="18" customHeight="1">
      <c r="A3" s="13" t="s">
        <v>22</v>
      </c>
      <c r="B3" s="13" t="s">
        <v>23</v>
      </c>
      <c r="C3" s="13" t="s">
        <v>24</v>
      </c>
      <c r="D3" s="13" t="s">
        <v>25</v>
      </c>
      <c r="E3" s="13" t="s">
        <v>26</v>
      </c>
      <c r="F3" s="25" t="s">
        <v>112</v>
      </c>
      <c r="G3" s="25" t="s">
        <v>111</v>
      </c>
      <c r="H3" s="25" t="s">
        <v>123</v>
      </c>
      <c r="I3" s="25" t="s">
        <v>116</v>
      </c>
      <c r="J3" s="13" t="s">
        <v>27</v>
      </c>
      <c r="K3" s="13" t="s">
        <v>28</v>
      </c>
      <c r="L3" s="13" t="s">
        <v>29</v>
      </c>
    </row>
    <row r="4" spans="1:12" ht="15">
      <c r="A4" t="s">
        <v>105</v>
      </c>
      <c r="B4" t="s">
        <v>106</v>
      </c>
      <c r="C4" s="15" t="s">
        <v>30</v>
      </c>
      <c r="D4" s="23" t="s">
        <v>107</v>
      </c>
      <c r="E4" s="16" t="s">
        <v>108</v>
      </c>
      <c r="F4" s="24" t="str">
        <f>'Source Table'!$B$7</f>
        <v>Industry</v>
      </c>
      <c r="G4" s="24" t="str">
        <f>'Source Table'!$E$7</f>
        <v>الصناعة</v>
      </c>
      <c r="H4" s="24" t="str">
        <f>'Source Table'!$D$6</f>
        <v>local investment</v>
      </c>
      <c r="I4" s="24" t="str">
        <f>'Source Table'!$D$5</f>
        <v>الاستثمار المحلي</v>
      </c>
      <c r="J4">
        <v>610.1</v>
      </c>
      <c r="K4">
        <v>2023</v>
      </c>
    </row>
    <row r="5" spans="1:12" ht="15">
      <c r="A5" t="s">
        <v>105</v>
      </c>
      <c r="B5" t="s">
        <v>106</v>
      </c>
      <c r="C5" s="15" t="s">
        <v>30</v>
      </c>
      <c r="D5" s="23" t="s">
        <v>107</v>
      </c>
      <c r="E5" s="16" t="s">
        <v>108</v>
      </c>
      <c r="F5" s="24" t="str">
        <f>'Source Table'!$B$8</f>
        <v>Commerce</v>
      </c>
      <c r="G5" s="24" t="str">
        <f>'Source Table'!$E$8</f>
        <v>التجارة</v>
      </c>
      <c r="H5" s="24" t="str">
        <f>'Source Table'!$D$6</f>
        <v>local investment</v>
      </c>
      <c r="I5" s="24" t="str">
        <f>'Source Table'!$D$5</f>
        <v>الاستثمار المحلي</v>
      </c>
      <c r="J5">
        <v>184.5</v>
      </c>
      <c r="K5">
        <v>2023</v>
      </c>
    </row>
    <row r="6" spans="1:12" ht="15">
      <c r="A6" t="s">
        <v>105</v>
      </c>
      <c r="B6" t="s">
        <v>106</v>
      </c>
      <c r="C6" s="15" t="s">
        <v>30</v>
      </c>
      <c r="D6" s="23" t="s">
        <v>107</v>
      </c>
      <c r="E6" s="16" t="s">
        <v>108</v>
      </c>
      <c r="F6" s="24" t="str">
        <f>'Source Table'!$B$9</f>
        <v>Tourism</v>
      </c>
      <c r="G6" s="24" t="str">
        <f>'Source Table'!$E$9</f>
        <v>السياحة</v>
      </c>
      <c r="H6" s="24" t="str">
        <f>'Source Table'!$D$6</f>
        <v>local investment</v>
      </c>
      <c r="I6" s="24" t="str">
        <f>'Source Table'!$D$5</f>
        <v>الاستثمار المحلي</v>
      </c>
      <c r="J6">
        <v>59.8</v>
      </c>
      <c r="K6">
        <v>2023</v>
      </c>
    </row>
    <row r="7" spans="1:12" ht="15">
      <c r="A7" t="s">
        <v>105</v>
      </c>
      <c r="B7" t="s">
        <v>106</v>
      </c>
      <c r="C7" s="15" t="s">
        <v>30</v>
      </c>
      <c r="D7" s="23" t="s">
        <v>107</v>
      </c>
      <c r="E7" s="16" t="s">
        <v>108</v>
      </c>
      <c r="F7" s="24" t="str">
        <f>'Source Table'!$B$10</f>
        <v>Agriculture</v>
      </c>
      <c r="G7" s="24" t="str">
        <f>'Source Table'!$E$10</f>
        <v>الزراعة</v>
      </c>
      <c r="H7" s="24" t="str">
        <f>'Source Table'!$D$6</f>
        <v>local investment</v>
      </c>
      <c r="I7" s="24" t="str">
        <f>'Source Table'!$D$5</f>
        <v>الاستثمار المحلي</v>
      </c>
      <c r="J7">
        <v>13.9</v>
      </c>
      <c r="K7">
        <v>2023</v>
      </c>
    </row>
    <row r="8" spans="1:12" ht="15">
      <c r="A8" t="s">
        <v>105</v>
      </c>
      <c r="B8" t="s">
        <v>106</v>
      </c>
      <c r="C8" s="15" t="s">
        <v>30</v>
      </c>
      <c r="D8" s="23" t="s">
        <v>107</v>
      </c>
      <c r="E8" s="16" t="s">
        <v>108</v>
      </c>
      <c r="F8" s="24" t="str">
        <f>'Source Table'!$B$11</f>
        <v>Hospitals</v>
      </c>
      <c r="G8" s="24" t="str">
        <f>'Source Table'!$E$11</f>
        <v>المستشفيات</v>
      </c>
      <c r="H8" s="24" t="str">
        <f>'Source Table'!$D$6</f>
        <v>local investment</v>
      </c>
      <c r="I8" s="24" t="str">
        <f>'Source Table'!$D$5</f>
        <v>الاستثمار المحلي</v>
      </c>
      <c r="J8">
        <v>59.7</v>
      </c>
      <c r="K8">
        <v>2023</v>
      </c>
    </row>
    <row r="9" spans="1:12" ht="15">
      <c r="A9" t="s">
        <v>105</v>
      </c>
      <c r="B9" t="s">
        <v>106</v>
      </c>
      <c r="C9" s="15" t="s">
        <v>30</v>
      </c>
      <c r="D9" s="23" t="s">
        <v>107</v>
      </c>
      <c r="E9" s="16" t="s">
        <v>108</v>
      </c>
      <c r="F9" s="24" t="str">
        <f>'Source Table'!$B$12</f>
        <v>Services</v>
      </c>
      <c r="G9" s="24" t="str">
        <f>'Source Table'!$E$12</f>
        <v>الخدمات</v>
      </c>
      <c r="H9" s="24" t="str">
        <f>'Source Table'!$D$6</f>
        <v>local investment</v>
      </c>
      <c r="I9" s="24" t="str">
        <f>'Source Table'!$D$5</f>
        <v>الاستثمار المحلي</v>
      </c>
      <c r="J9">
        <v>18.2</v>
      </c>
      <c r="K9">
        <v>2023</v>
      </c>
    </row>
    <row r="10" spans="1:12" ht="15">
      <c r="A10" t="s">
        <v>105</v>
      </c>
      <c r="B10" t="s">
        <v>106</v>
      </c>
      <c r="C10" s="15" t="s">
        <v>30</v>
      </c>
      <c r="D10" s="23" t="s">
        <v>107</v>
      </c>
      <c r="E10" s="16" t="s">
        <v>108</v>
      </c>
      <c r="F10" s="24" t="str">
        <f>'Source Table'!$B$13</f>
        <v>Information Technology</v>
      </c>
      <c r="G10" s="24" t="str">
        <f>'Source Table'!$E$13</f>
        <v>تكنولوجيا المعلومات</v>
      </c>
      <c r="H10" s="24" t="str">
        <f>'Source Table'!$D$6</f>
        <v>local investment</v>
      </c>
      <c r="I10" s="24" t="str">
        <f>'Source Table'!$D$5</f>
        <v>الاستثمار المحلي</v>
      </c>
      <c r="J10">
        <v>32.4</v>
      </c>
      <c r="K10">
        <v>2023</v>
      </c>
    </row>
    <row r="11" spans="1:12" ht="15">
      <c r="A11" t="s">
        <v>105</v>
      </c>
      <c r="B11" t="s">
        <v>106</v>
      </c>
      <c r="C11" s="15" t="s">
        <v>30</v>
      </c>
      <c r="D11" s="23" t="s">
        <v>107</v>
      </c>
      <c r="E11" s="16" t="s">
        <v>108</v>
      </c>
      <c r="F11" s="24" t="str">
        <f>'Source Table'!$B$14</f>
        <v>Artistic production</v>
      </c>
      <c r="G11" s="24" t="str">
        <f>'Source Table'!$E$14</f>
        <v>انتاج فني</v>
      </c>
      <c r="H11" s="24" t="str">
        <f>'Source Table'!$D$6</f>
        <v>local investment</v>
      </c>
      <c r="I11" s="24" t="str">
        <f>'Source Table'!$D$5</f>
        <v>الاستثمار المحلي</v>
      </c>
      <c r="J11">
        <v>10</v>
      </c>
      <c r="K11">
        <v>2023</v>
      </c>
    </row>
    <row r="12" spans="1:12" ht="15">
      <c r="A12" t="s">
        <v>105</v>
      </c>
      <c r="B12" t="s">
        <v>106</v>
      </c>
      <c r="C12" s="15" t="s">
        <v>30</v>
      </c>
      <c r="D12" s="23" t="s">
        <v>107</v>
      </c>
      <c r="E12" s="16" t="s">
        <v>108</v>
      </c>
      <c r="F12" s="24" t="str">
        <f>'Source Table'!$B$15</f>
        <v>Gas transportation and distribution</v>
      </c>
      <c r="G12" s="24" t="str">
        <f>'Source Table'!$E$15</f>
        <v>نقل وتوزيع الغاز</v>
      </c>
      <c r="H12" s="24" t="str">
        <f>'Source Table'!$D$6</f>
        <v>local investment</v>
      </c>
      <c r="I12" s="24" t="str">
        <f>'Source Table'!$D$5</f>
        <v>الاستثمار المحلي</v>
      </c>
      <c r="J12">
        <v>19</v>
      </c>
      <c r="K12">
        <v>2023</v>
      </c>
    </row>
    <row r="13" spans="1:12" ht="15">
      <c r="A13" t="s">
        <v>105</v>
      </c>
      <c r="B13" t="s">
        <v>106</v>
      </c>
      <c r="C13" s="15" t="s">
        <v>30</v>
      </c>
      <c r="D13" s="23" t="s">
        <v>107</v>
      </c>
      <c r="E13" s="16" t="s">
        <v>108</v>
      </c>
      <c r="F13" s="24" t="str">
        <f>'Source Table'!$B$16</f>
        <v>call centers</v>
      </c>
      <c r="G13" s="24" t="str">
        <f>'Source Table'!$E$16</f>
        <v>مراكز اتصال</v>
      </c>
      <c r="H13" s="24" t="str">
        <f>'Source Table'!$D$6</f>
        <v>local investment</v>
      </c>
      <c r="I13" s="24" t="str">
        <f>'Source Table'!$D$5</f>
        <v>الاستثمار المحلي</v>
      </c>
      <c r="J13">
        <v>0</v>
      </c>
      <c r="K13">
        <v>2023</v>
      </c>
    </row>
    <row r="14" spans="1:12" ht="15">
      <c r="A14" t="s">
        <v>105</v>
      </c>
      <c r="B14" t="s">
        <v>106</v>
      </c>
      <c r="C14" s="15" t="s">
        <v>30</v>
      </c>
      <c r="D14" s="23" t="s">
        <v>107</v>
      </c>
      <c r="E14" s="16" t="s">
        <v>108</v>
      </c>
      <c r="F14" s="24" t="str">
        <f>'Source Table'!$B$17</f>
        <v>Scientific research centers</v>
      </c>
      <c r="G14" s="24" t="str">
        <f>'Source Table'!$E$17</f>
        <v>مراكز بحث علمي</v>
      </c>
      <c r="H14" s="24" t="str">
        <f>'Source Table'!$D$6</f>
        <v>local investment</v>
      </c>
      <c r="I14" s="24" t="str">
        <f>'Source Table'!$D$5</f>
        <v>الاستثمار المحلي</v>
      </c>
      <c r="J14">
        <v>0.1</v>
      </c>
      <c r="K14">
        <v>2023</v>
      </c>
    </row>
    <row r="15" spans="1:12" ht="15">
      <c r="A15" t="s">
        <v>105</v>
      </c>
      <c r="B15" t="s">
        <v>106</v>
      </c>
      <c r="C15" s="15" t="s">
        <v>30</v>
      </c>
      <c r="D15" s="23" t="s">
        <v>107</v>
      </c>
      <c r="E15" s="16" t="s">
        <v>108</v>
      </c>
      <c r="F15" s="24" t="str">
        <f>'Source Table'!$B$7</f>
        <v>Industry</v>
      </c>
      <c r="G15" s="24" t="str">
        <f>'Source Table'!$E$7</f>
        <v>الصناعة</v>
      </c>
      <c r="H15" s="24" t="str">
        <f>'Source Table'!$C$6</f>
        <v>Foreign investment</v>
      </c>
      <c r="I15" s="24" t="str">
        <f>'Source Table'!$C$5</f>
        <v>الاستثمار الاجنبي</v>
      </c>
      <c r="J15">
        <v>45.8</v>
      </c>
      <c r="K15">
        <v>2023</v>
      </c>
    </row>
    <row r="16" spans="1:12" ht="15">
      <c r="A16" t="s">
        <v>105</v>
      </c>
      <c r="B16" t="s">
        <v>106</v>
      </c>
      <c r="C16" s="15" t="s">
        <v>30</v>
      </c>
      <c r="D16" s="23" t="s">
        <v>107</v>
      </c>
      <c r="E16" s="16" t="s">
        <v>108</v>
      </c>
      <c r="F16" s="24" t="str">
        <f>'Source Table'!$B$8</f>
        <v>Commerce</v>
      </c>
      <c r="G16" s="24" t="str">
        <f>'Source Table'!$E$8</f>
        <v>التجارة</v>
      </c>
      <c r="H16" s="24" t="str">
        <f>'Source Table'!$C$6</f>
        <v>Foreign investment</v>
      </c>
      <c r="I16" s="24" t="str">
        <f>'Source Table'!$C$5</f>
        <v>الاستثمار الاجنبي</v>
      </c>
      <c r="J16">
        <v>0</v>
      </c>
      <c r="K16">
        <v>2023</v>
      </c>
    </row>
    <row r="17" spans="1:11" ht="15">
      <c r="A17" t="s">
        <v>105</v>
      </c>
      <c r="B17" t="s">
        <v>106</v>
      </c>
      <c r="C17" s="15" t="s">
        <v>30</v>
      </c>
      <c r="D17" s="23" t="s">
        <v>107</v>
      </c>
      <c r="E17" s="16" t="s">
        <v>108</v>
      </c>
      <c r="F17" s="24" t="str">
        <f>'Source Table'!$B$9</f>
        <v>Tourism</v>
      </c>
      <c r="G17" s="24" t="str">
        <f>'Source Table'!$E$9</f>
        <v>السياحة</v>
      </c>
      <c r="H17" s="24" t="str">
        <f>'Source Table'!$C$6</f>
        <v>Foreign investment</v>
      </c>
      <c r="I17" s="24" t="str">
        <f>'Source Table'!$C$5</f>
        <v>الاستثمار الاجنبي</v>
      </c>
      <c r="J17">
        <v>0</v>
      </c>
      <c r="K17">
        <v>2023</v>
      </c>
    </row>
    <row r="18" spans="1:11" ht="15">
      <c r="A18" t="s">
        <v>105</v>
      </c>
      <c r="B18" t="s">
        <v>106</v>
      </c>
      <c r="C18" s="15" t="s">
        <v>30</v>
      </c>
      <c r="D18" s="23" t="s">
        <v>107</v>
      </c>
      <c r="E18" s="16" t="s">
        <v>108</v>
      </c>
      <c r="F18" s="24" t="str">
        <f>'Source Table'!$B$10</f>
        <v>Agriculture</v>
      </c>
      <c r="G18" s="24" t="str">
        <f>'Source Table'!$E$10</f>
        <v>الزراعة</v>
      </c>
      <c r="H18" s="24" t="str">
        <f>'Source Table'!$C$6</f>
        <v>Foreign investment</v>
      </c>
      <c r="I18" s="24" t="str">
        <f>'Source Table'!$C$5</f>
        <v>الاستثمار الاجنبي</v>
      </c>
      <c r="J18">
        <v>1.5</v>
      </c>
      <c r="K18">
        <v>2023</v>
      </c>
    </row>
    <row r="19" spans="1:11" ht="15">
      <c r="A19" t="s">
        <v>105</v>
      </c>
      <c r="B19" t="s">
        <v>106</v>
      </c>
      <c r="C19" s="15" t="s">
        <v>30</v>
      </c>
      <c r="D19" s="23" t="s">
        <v>107</v>
      </c>
      <c r="E19" s="16" t="s">
        <v>108</v>
      </c>
      <c r="F19" s="24" t="str">
        <f>'Source Table'!$B$11</f>
        <v>Hospitals</v>
      </c>
      <c r="G19" s="24" t="str">
        <f>'Source Table'!$E$11</f>
        <v>المستشفيات</v>
      </c>
      <c r="H19" s="24" t="str">
        <f>'Source Table'!$C$6</f>
        <v>Foreign investment</v>
      </c>
      <c r="I19" s="24" t="str">
        <f>'Source Table'!$C$5</f>
        <v>الاستثمار الاجنبي</v>
      </c>
      <c r="J19">
        <v>0</v>
      </c>
      <c r="K19">
        <v>2023</v>
      </c>
    </row>
    <row r="20" spans="1:11" ht="15">
      <c r="A20" t="s">
        <v>105</v>
      </c>
      <c r="B20" t="s">
        <v>106</v>
      </c>
      <c r="C20" s="15" t="s">
        <v>30</v>
      </c>
      <c r="D20" s="23" t="s">
        <v>107</v>
      </c>
      <c r="E20" s="16" t="s">
        <v>108</v>
      </c>
      <c r="F20" s="24" t="str">
        <f>'Source Table'!$B$12</f>
        <v>Services</v>
      </c>
      <c r="G20" s="24" t="str">
        <f>'Source Table'!$E$12</f>
        <v>الخدمات</v>
      </c>
      <c r="H20" s="24" t="str">
        <f>'Source Table'!$C$6</f>
        <v>Foreign investment</v>
      </c>
      <c r="I20" s="24" t="str">
        <f>'Source Table'!$C$5</f>
        <v>الاستثمار الاجنبي</v>
      </c>
      <c r="J20">
        <v>1</v>
      </c>
      <c r="K20">
        <v>2023</v>
      </c>
    </row>
    <row r="21" spans="1:11" ht="15">
      <c r="A21" t="s">
        <v>105</v>
      </c>
      <c r="B21" t="s">
        <v>106</v>
      </c>
      <c r="C21" s="15" t="s">
        <v>30</v>
      </c>
      <c r="D21" s="23" t="s">
        <v>107</v>
      </c>
      <c r="E21" s="16" t="s">
        <v>108</v>
      </c>
      <c r="F21" s="24" t="str">
        <f>'Source Table'!$B$13</f>
        <v>Information Technology</v>
      </c>
      <c r="G21" s="24" t="str">
        <f>'Source Table'!$E$13</f>
        <v>تكنولوجيا المعلومات</v>
      </c>
      <c r="H21" s="24" t="str">
        <f>'Source Table'!$C$6</f>
        <v>Foreign investment</v>
      </c>
      <c r="I21" s="24" t="str">
        <f>'Source Table'!$C$5</f>
        <v>الاستثمار الاجنبي</v>
      </c>
      <c r="J21">
        <v>1.4</v>
      </c>
      <c r="K21">
        <v>2023</v>
      </c>
    </row>
    <row r="22" spans="1:11" ht="15">
      <c r="A22" t="s">
        <v>105</v>
      </c>
      <c r="B22" t="s">
        <v>106</v>
      </c>
      <c r="C22" s="15" t="s">
        <v>30</v>
      </c>
      <c r="D22" s="23" t="s">
        <v>107</v>
      </c>
      <c r="E22" s="16" t="s">
        <v>108</v>
      </c>
      <c r="F22" s="24" t="str">
        <f>'Source Table'!$B$14</f>
        <v>Artistic production</v>
      </c>
      <c r="G22" s="24" t="str">
        <f>'Source Table'!$E$14</f>
        <v>انتاج فني</v>
      </c>
      <c r="H22" s="24" t="str">
        <f>'Source Table'!$C$6</f>
        <v>Foreign investment</v>
      </c>
      <c r="I22" s="24" t="str">
        <f>'Source Table'!$C$5</f>
        <v>الاستثمار الاجنبي</v>
      </c>
      <c r="J22">
        <v>0</v>
      </c>
      <c r="K22">
        <v>2023</v>
      </c>
    </row>
    <row r="23" spans="1:11" ht="15">
      <c r="A23" t="s">
        <v>105</v>
      </c>
      <c r="B23" t="s">
        <v>106</v>
      </c>
      <c r="C23" s="15" t="s">
        <v>30</v>
      </c>
      <c r="D23" s="23" t="s">
        <v>107</v>
      </c>
      <c r="E23" s="16" t="s">
        <v>108</v>
      </c>
      <c r="F23" s="24" t="str">
        <f>'Source Table'!$B$15</f>
        <v>Gas transportation and distribution</v>
      </c>
      <c r="G23" s="24" t="str">
        <f>'Source Table'!$E$15</f>
        <v>نقل وتوزيع الغاز</v>
      </c>
      <c r="H23" s="24" t="str">
        <f>'Source Table'!$C$6</f>
        <v>Foreign investment</v>
      </c>
      <c r="I23" s="24" t="str">
        <f>'Source Table'!$C$5</f>
        <v>الاستثمار الاجنبي</v>
      </c>
      <c r="J23">
        <v>0</v>
      </c>
      <c r="K23">
        <v>2023</v>
      </c>
    </row>
    <row r="24" spans="1:11" ht="15">
      <c r="A24" t="s">
        <v>105</v>
      </c>
      <c r="B24" t="s">
        <v>106</v>
      </c>
      <c r="C24" s="15" t="s">
        <v>30</v>
      </c>
      <c r="D24" s="23" t="s">
        <v>107</v>
      </c>
      <c r="E24" s="16" t="s">
        <v>108</v>
      </c>
      <c r="F24" s="24" t="str">
        <f>'Source Table'!$B$16</f>
        <v>call centers</v>
      </c>
      <c r="G24" s="24" t="str">
        <f>'Source Table'!$E$16</f>
        <v>مراكز اتصال</v>
      </c>
      <c r="H24" s="24" t="str">
        <f>'Source Table'!$C$6</f>
        <v>Foreign investment</v>
      </c>
      <c r="I24" s="24" t="str">
        <f>'Source Table'!$C$5</f>
        <v>الاستثمار الاجنبي</v>
      </c>
      <c r="J24">
        <v>0</v>
      </c>
      <c r="K24">
        <v>2023</v>
      </c>
    </row>
    <row r="25" spans="1:11" ht="15">
      <c r="A25" t="s">
        <v>105</v>
      </c>
      <c r="B25" t="s">
        <v>106</v>
      </c>
      <c r="C25" s="15" t="s">
        <v>30</v>
      </c>
      <c r="D25" s="23" t="s">
        <v>107</v>
      </c>
      <c r="E25" s="16" t="s">
        <v>108</v>
      </c>
      <c r="F25" s="24" t="str">
        <f>'Source Table'!$B$17</f>
        <v>Scientific research centers</v>
      </c>
      <c r="G25" s="24" t="str">
        <f>'Source Table'!$E$17</f>
        <v>مراكز بحث علمي</v>
      </c>
      <c r="H25" s="24" t="str">
        <f>'Source Table'!$C$6</f>
        <v>Foreign investment</v>
      </c>
      <c r="I25" s="24" t="str">
        <f>'Source Table'!$C$5</f>
        <v>الاستثمار الاجنبي</v>
      </c>
      <c r="J25">
        <v>0</v>
      </c>
      <c r="K25">
        <v>2023</v>
      </c>
    </row>
    <row r="26" spans="1:11" ht="18.75">
      <c r="A26" t="s">
        <v>105</v>
      </c>
      <c r="B26" t="s">
        <v>106</v>
      </c>
      <c r="C26" s="15" t="s">
        <v>30</v>
      </c>
      <c r="D26" s="23" t="s">
        <v>107</v>
      </c>
      <c r="E26" s="16" t="s">
        <v>108</v>
      </c>
      <c r="F26" s="24" t="str">
        <f>'Source Table'!$B$7</f>
        <v>Industry</v>
      </c>
      <c r="G26" s="24" t="str">
        <f>'Source Table'!$E$7</f>
        <v>الصناعة</v>
      </c>
      <c r="H26" s="16" t="s">
        <v>125</v>
      </c>
      <c r="I26" s="32" t="s">
        <v>124</v>
      </c>
      <c r="J26">
        <v>655.9</v>
      </c>
      <c r="K26">
        <v>2023</v>
      </c>
    </row>
    <row r="27" spans="1:11" ht="18.75">
      <c r="A27" t="s">
        <v>105</v>
      </c>
      <c r="B27" t="s">
        <v>106</v>
      </c>
      <c r="C27" s="15" t="s">
        <v>30</v>
      </c>
      <c r="D27" s="23" t="s">
        <v>107</v>
      </c>
      <c r="E27" s="16" t="s">
        <v>108</v>
      </c>
      <c r="F27" s="24" t="str">
        <f>'Source Table'!$B$8</f>
        <v>Commerce</v>
      </c>
      <c r="G27" s="24" t="str">
        <f>'Source Table'!$E$8</f>
        <v>التجارة</v>
      </c>
      <c r="H27" s="16" t="s">
        <v>125</v>
      </c>
      <c r="I27" s="32" t="s">
        <v>124</v>
      </c>
      <c r="J27">
        <v>184.5</v>
      </c>
      <c r="K27">
        <v>2023</v>
      </c>
    </row>
    <row r="28" spans="1:11" ht="18.75">
      <c r="A28" t="s">
        <v>105</v>
      </c>
      <c r="B28" t="s">
        <v>106</v>
      </c>
      <c r="C28" s="15" t="s">
        <v>30</v>
      </c>
      <c r="D28" s="23" t="s">
        <v>107</v>
      </c>
      <c r="E28" s="16" t="s">
        <v>108</v>
      </c>
      <c r="F28" s="24" t="str">
        <f>'Source Table'!$B$9</f>
        <v>Tourism</v>
      </c>
      <c r="G28" s="24" t="str">
        <f>'Source Table'!$E$9</f>
        <v>السياحة</v>
      </c>
      <c r="H28" s="16" t="s">
        <v>125</v>
      </c>
      <c r="I28" s="32" t="s">
        <v>124</v>
      </c>
      <c r="J28">
        <v>59.8</v>
      </c>
      <c r="K28">
        <v>2023</v>
      </c>
    </row>
    <row r="29" spans="1:11" ht="18.75">
      <c r="A29" t="s">
        <v>105</v>
      </c>
      <c r="B29" t="s">
        <v>106</v>
      </c>
      <c r="C29" s="15" t="s">
        <v>30</v>
      </c>
      <c r="D29" s="23" t="s">
        <v>107</v>
      </c>
      <c r="E29" s="16" t="s">
        <v>108</v>
      </c>
      <c r="F29" s="24" t="str">
        <f>'Source Table'!$B$10</f>
        <v>Agriculture</v>
      </c>
      <c r="G29" s="24" t="str">
        <f>'Source Table'!$E$10</f>
        <v>الزراعة</v>
      </c>
      <c r="H29" s="16" t="s">
        <v>125</v>
      </c>
      <c r="I29" s="32" t="s">
        <v>124</v>
      </c>
      <c r="J29">
        <v>15.4</v>
      </c>
      <c r="K29">
        <v>2023</v>
      </c>
    </row>
    <row r="30" spans="1:11" ht="18.75">
      <c r="A30" t="s">
        <v>105</v>
      </c>
      <c r="B30" t="s">
        <v>106</v>
      </c>
      <c r="C30" s="15" t="s">
        <v>30</v>
      </c>
      <c r="D30" s="23" t="s">
        <v>107</v>
      </c>
      <c r="E30" s="16" t="s">
        <v>108</v>
      </c>
      <c r="F30" s="24" t="str">
        <f>'Source Table'!$B$11</f>
        <v>Hospitals</v>
      </c>
      <c r="G30" s="24" t="str">
        <f>'Source Table'!$E$11</f>
        <v>المستشفيات</v>
      </c>
      <c r="H30" s="16" t="s">
        <v>125</v>
      </c>
      <c r="I30" s="32" t="s">
        <v>124</v>
      </c>
      <c r="J30">
        <v>59.7</v>
      </c>
      <c r="K30">
        <v>2023</v>
      </c>
    </row>
    <row r="31" spans="1:11" ht="18.75">
      <c r="A31" t="s">
        <v>105</v>
      </c>
      <c r="B31" t="s">
        <v>106</v>
      </c>
      <c r="C31" s="15" t="s">
        <v>30</v>
      </c>
      <c r="D31" s="23" t="s">
        <v>107</v>
      </c>
      <c r="E31" s="16" t="s">
        <v>108</v>
      </c>
      <c r="F31" s="24" t="str">
        <f>'Source Table'!$B$12</f>
        <v>Services</v>
      </c>
      <c r="G31" s="24" t="str">
        <f>'Source Table'!$E$12</f>
        <v>الخدمات</v>
      </c>
      <c r="H31" s="16" t="s">
        <v>125</v>
      </c>
      <c r="I31" s="32" t="s">
        <v>124</v>
      </c>
      <c r="J31">
        <v>19.2</v>
      </c>
      <c r="K31">
        <v>2023</v>
      </c>
    </row>
    <row r="32" spans="1:11" ht="18.75">
      <c r="A32" t="s">
        <v>105</v>
      </c>
      <c r="B32" t="s">
        <v>106</v>
      </c>
      <c r="C32" s="15" t="s">
        <v>30</v>
      </c>
      <c r="D32" s="23" t="s">
        <v>107</v>
      </c>
      <c r="E32" s="16" t="s">
        <v>108</v>
      </c>
      <c r="F32" s="24" t="str">
        <f>'Source Table'!$B$13</f>
        <v>Information Technology</v>
      </c>
      <c r="G32" s="24" t="str">
        <f>'Source Table'!$E$13</f>
        <v>تكنولوجيا المعلومات</v>
      </c>
      <c r="H32" s="16" t="s">
        <v>125</v>
      </c>
      <c r="I32" s="32" t="s">
        <v>124</v>
      </c>
      <c r="J32">
        <v>33.9</v>
      </c>
      <c r="K32">
        <v>2023</v>
      </c>
    </row>
    <row r="33" spans="1:11" ht="18.75">
      <c r="A33" t="s">
        <v>105</v>
      </c>
      <c r="B33" t="s">
        <v>106</v>
      </c>
      <c r="C33" s="15" t="s">
        <v>30</v>
      </c>
      <c r="D33" s="23" t="s">
        <v>107</v>
      </c>
      <c r="E33" s="16" t="s">
        <v>108</v>
      </c>
      <c r="F33" s="24" t="str">
        <f>'Source Table'!$B$14</f>
        <v>Artistic production</v>
      </c>
      <c r="G33" s="24" t="str">
        <f>'Source Table'!$E$14</f>
        <v>انتاج فني</v>
      </c>
      <c r="H33" s="16" t="s">
        <v>125</v>
      </c>
      <c r="I33" s="32" t="s">
        <v>124</v>
      </c>
      <c r="J33">
        <v>10</v>
      </c>
      <c r="K33">
        <v>2023</v>
      </c>
    </row>
    <row r="34" spans="1:11" ht="18.75">
      <c r="A34" t="s">
        <v>105</v>
      </c>
      <c r="B34" t="s">
        <v>106</v>
      </c>
      <c r="C34" s="15" t="s">
        <v>30</v>
      </c>
      <c r="D34" s="23" t="s">
        <v>107</v>
      </c>
      <c r="E34" s="16" t="s">
        <v>108</v>
      </c>
      <c r="F34" s="24" t="str">
        <f>'Source Table'!$B$15</f>
        <v>Gas transportation and distribution</v>
      </c>
      <c r="G34" s="24" t="str">
        <f>'Source Table'!$E$15</f>
        <v>نقل وتوزيع الغاز</v>
      </c>
      <c r="H34" s="16" t="s">
        <v>125</v>
      </c>
      <c r="I34" s="32" t="s">
        <v>124</v>
      </c>
      <c r="J34">
        <v>19</v>
      </c>
      <c r="K34">
        <v>2023</v>
      </c>
    </row>
    <row r="35" spans="1:11" ht="18.75">
      <c r="A35" t="s">
        <v>105</v>
      </c>
      <c r="B35" t="s">
        <v>106</v>
      </c>
      <c r="C35" s="15" t="s">
        <v>30</v>
      </c>
      <c r="D35" s="23" t="s">
        <v>107</v>
      </c>
      <c r="E35" s="16" t="s">
        <v>108</v>
      </c>
      <c r="F35" s="24" t="str">
        <f>'Source Table'!$B$16</f>
        <v>call centers</v>
      </c>
      <c r="G35" s="24" t="str">
        <f>'Source Table'!$E$16</f>
        <v>مراكز اتصال</v>
      </c>
      <c r="H35" s="16" t="s">
        <v>125</v>
      </c>
      <c r="I35" s="32" t="s">
        <v>124</v>
      </c>
      <c r="J35">
        <v>0</v>
      </c>
      <c r="K35">
        <v>2023</v>
      </c>
    </row>
    <row r="36" spans="1:11" ht="18.75">
      <c r="A36" t="s">
        <v>105</v>
      </c>
      <c r="B36" t="s">
        <v>106</v>
      </c>
      <c r="C36" s="15" t="s">
        <v>30</v>
      </c>
      <c r="D36" s="23" t="s">
        <v>107</v>
      </c>
      <c r="E36" s="16" t="s">
        <v>108</v>
      </c>
      <c r="F36" s="24" t="str">
        <f>'Source Table'!$B$17</f>
        <v>Scientific research centers</v>
      </c>
      <c r="G36" s="24" t="str">
        <f>'Source Table'!$E$17</f>
        <v>مراكز بحث علمي</v>
      </c>
      <c r="H36" s="16" t="s">
        <v>125</v>
      </c>
      <c r="I36" s="32" t="s">
        <v>124</v>
      </c>
      <c r="J36">
        <v>0.1</v>
      </c>
      <c r="K36">
        <v>2023</v>
      </c>
    </row>
    <row r="37" spans="1:11" ht="15">
      <c r="A37" t="s">
        <v>105</v>
      </c>
      <c r="B37" t="s">
        <v>106</v>
      </c>
      <c r="C37" s="15" t="s">
        <v>30</v>
      </c>
      <c r="D37" s="23" t="s">
        <v>107</v>
      </c>
      <c r="E37" s="16" t="s">
        <v>108</v>
      </c>
      <c r="F37" s="24" t="str">
        <f>'Source Table'!$B$7</f>
        <v>Industry</v>
      </c>
      <c r="G37" s="24" t="str">
        <f>'Source Table'!$E$7</f>
        <v>الصناعة</v>
      </c>
      <c r="H37" s="24" t="str">
        <f>'Source Table'!$D$6</f>
        <v>local investment</v>
      </c>
      <c r="I37" s="24" t="str">
        <f>'Source Table'!$D$5</f>
        <v>الاستثمار المحلي</v>
      </c>
      <c r="J37">
        <v>544</v>
      </c>
      <c r="K37">
        <v>2022</v>
      </c>
    </row>
    <row r="38" spans="1:11" ht="15">
      <c r="A38" t="s">
        <v>105</v>
      </c>
      <c r="B38" t="s">
        <v>106</v>
      </c>
      <c r="C38" s="15" t="s">
        <v>30</v>
      </c>
      <c r="D38" s="23" t="s">
        <v>107</v>
      </c>
      <c r="E38" s="16" t="s">
        <v>108</v>
      </c>
      <c r="F38" s="24" t="str">
        <f>'Source Table'!$B$8</f>
        <v>Commerce</v>
      </c>
      <c r="G38" s="24" t="str">
        <f>'Source Table'!$E$8</f>
        <v>التجارة</v>
      </c>
      <c r="H38" s="24" t="str">
        <f>'Source Table'!$D$6</f>
        <v>local investment</v>
      </c>
      <c r="I38" s="24" t="str">
        <f>'Source Table'!$D$5</f>
        <v>الاستثمار المحلي</v>
      </c>
      <c r="J38">
        <v>0</v>
      </c>
      <c r="K38">
        <v>2022</v>
      </c>
    </row>
    <row r="39" spans="1:11" ht="15">
      <c r="A39" t="s">
        <v>105</v>
      </c>
      <c r="B39" t="s">
        <v>106</v>
      </c>
      <c r="C39" s="15" t="s">
        <v>30</v>
      </c>
      <c r="D39" s="23" t="s">
        <v>107</v>
      </c>
      <c r="E39" s="16" t="s">
        <v>108</v>
      </c>
      <c r="F39" s="24" t="str">
        <f>'Source Table'!$B$9</f>
        <v>Tourism</v>
      </c>
      <c r="G39" s="24" t="str">
        <f>'Source Table'!$E$9</f>
        <v>السياحة</v>
      </c>
      <c r="H39" s="24" t="str">
        <f>'Source Table'!$D$6</f>
        <v>local investment</v>
      </c>
      <c r="I39" s="24" t="str">
        <f>'Source Table'!$D$5</f>
        <v>الاستثمار المحلي</v>
      </c>
      <c r="J39">
        <v>226.9</v>
      </c>
      <c r="K39">
        <v>2022</v>
      </c>
    </row>
    <row r="40" spans="1:11" ht="15">
      <c r="A40" t="s">
        <v>105</v>
      </c>
      <c r="B40" t="s">
        <v>106</v>
      </c>
      <c r="C40" s="15" t="s">
        <v>30</v>
      </c>
      <c r="D40" s="23" t="s">
        <v>107</v>
      </c>
      <c r="E40" s="16" t="s">
        <v>108</v>
      </c>
      <c r="F40" s="24" t="str">
        <f>'Source Table'!$B$10</f>
        <v>Agriculture</v>
      </c>
      <c r="G40" s="24" t="str">
        <f>'Source Table'!$E$10</f>
        <v>الزراعة</v>
      </c>
      <c r="H40" s="24" t="str">
        <f>'Source Table'!$D$6</f>
        <v>local investment</v>
      </c>
      <c r="I40" s="24" t="str">
        <f>'Source Table'!$D$5</f>
        <v>الاستثمار المحلي</v>
      </c>
      <c r="J40">
        <v>35.799999999999997</v>
      </c>
      <c r="K40">
        <v>2022</v>
      </c>
    </row>
    <row r="41" spans="1:11" ht="15">
      <c r="A41" t="s">
        <v>105</v>
      </c>
      <c r="B41" t="s">
        <v>106</v>
      </c>
      <c r="C41" s="15" t="s">
        <v>30</v>
      </c>
      <c r="D41" s="23" t="s">
        <v>107</v>
      </c>
      <c r="E41" s="16" t="s">
        <v>108</v>
      </c>
      <c r="F41" s="24" t="str">
        <f>'Source Table'!$B$11</f>
        <v>Hospitals</v>
      </c>
      <c r="G41" s="24" t="str">
        <f>'Source Table'!$E$11</f>
        <v>المستشفيات</v>
      </c>
      <c r="H41" s="24" t="str">
        <f>'Source Table'!$D$6</f>
        <v>local investment</v>
      </c>
      <c r="I41" s="24" t="str">
        <f>'Source Table'!$D$5</f>
        <v>الاستثمار المحلي</v>
      </c>
      <c r="J41">
        <v>136.5</v>
      </c>
      <c r="K41">
        <v>2022</v>
      </c>
    </row>
    <row r="42" spans="1:11" ht="15">
      <c r="A42" t="s">
        <v>105</v>
      </c>
      <c r="B42" t="s">
        <v>106</v>
      </c>
      <c r="C42" s="15" t="s">
        <v>30</v>
      </c>
      <c r="D42" s="23" t="s">
        <v>107</v>
      </c>
      <c r="E42" s="16" t="s">
        <v>108</v>
      </c>
      <c r="F42" s="24" t="str">
        <f>'Source Table'!$B$12</f>
        <v>Services</v>
      </c>
      <c r="G42" s="24" t="str">
        <f>'Source Table'!$E$12</f>
        <v>الخدمات</v>
      </c>
      <c r="H42" s="24" t="str">
        <f>'Source Table'!$D$6</f>
        <v>local investment</v>
      </c>
      <c r="I42" s="24" t="str">
        <f>'Source Table'!$D$5</f>
        <v>الاستثمار المحلي</v>
      </c>
      <c r="J42">
        <v>0</v>
      </c>
      <c r="K42">
        <v>2022</v>
      </c>
    </row>
    <row r="43" spans="1:11" ht="15">
      <c r="A43" t="s">
        <v>105</v>
      </c>
      <c r="B43" t="s">
        <v>106</v>
      </c>
      <c r="C43" s="15" t="s">
        <v>30</v>
      </c>
      <c r="D43" s="23" t="s">
        <v>107</v>
      </c>
      <c r="E43" s="16" t="s">
        <v>108</v>
      </c>
      <c r="F43" s="24" t="str">
        <f>'Source Table'!$B$13</f>
        <v>Information Technology</v>
      </c>
      <c r="G43" s="24" t="str">
        <f>'Source Table'!$E$13</f>
        <v>تكنولوجيا المعلومات</v>
      </c>
      <c r="H43" s="24" t="str">
        <f>'Source Table'!$D$6</f>
        <v>local investment</v>
      </c>
      <c r="I43" s="24" t="str">
        <f>'Source Table'!$D$5</f>
        <v>الاستثمار المحلي</v>
      </c>
      <c r="J43">
        <v>31.7</v>
      </c>
      <c r="K43">
        <v>2022</v>
      </c>
    </row>
    <row r="44" spans="1:11" ht="15">
      <c r="A44" t="s">
        <v>105</v>
      </c>
      <c r="B44" t="s">
        <v>106</v>
      </c>
      <c r="C44" s="15" t="s">
        <v>30</v>
      </c>
      <c r="D44" s="23" t="s">
        <v>107</v>
      </c>
      <c r="E44" s="16" t="s">
        <v>108</v>
      </c>
      <c r="F44" s="24" t="str">
        <f>'Source Table'!$B$14</f>
        <v>Artistic production</v>
      </c>
      <c r="G44" s="24" t="str">
        <f>'Source Table'!$E$14</f>
        <v>انتاج فني</v>
      </c>
      <c r="H44" s="24" t="str">
        <f>'Source Table'!$D$6</f>
        <v>local investment</v>
      </c>
      <c r="I44" s="24" t="str">
        <f>'Source Table'!$D$5</f>
        <v>الاستثمار المحلي</v>
      </c>
      <c r="J44">
        <v>1.4</v>
      </c>
      <c r="K44">
        <v>2022</v>
      </c>
    </row>
    <row r="45" spans="1:11" ht="15">
      <c r="A45" t="s">
        <v>105</v>
      </c>
      <c r="B45" t="s">
        <v>106</v>
      </c>
      <c r="C45" s="15" t="s">
        <v>30</v>
      </c>
      <c r="D45" s="23" t="s">
        <v>107</v>
      </c>
      <c r="E45" s="16" t="s">
        <v>108</v>
      </c>
      <c r="F45" s="24" t="str">
        <f>'Source Table'!$B$15</f>
        <v>Gas transportation and distribution</v>
      </c>
      <c r="G45" s="24" t="str">
        <f>'Source Table'!$E$15</f>
        <v>نقل وتوزيع الغاز</v>
      </c>
      <c r="H45" s="24" t="str">
        <f>'Source Table'!$D$6</f>
        <v>local investment</v>
      </c>
      <c r="I45" s="24" t="str">
        <f>'Source Table'!$D$5</f>
        <v>الاستثمار المحلي</v>
      </c>
      <c r="J45">
        <v>0</v>
      </c>
      <c r="K45">
        <v>2022</v>
      </c>
    </row>
    <row r="46" spans="1:11" ht="15">
      <c r="A46" t="s">
        <v>105</v>
      </c>
      <c r="B46" t="s">
        <v>106</v>
      </c>
      <c r="C46" s="15" t="s">
        <v>30</v>
      </c>
      <c r="D46" s="23" t="s">
        <v>107</v>
      </c>
      <c r="E46" s="16" t="s">
        <v>108</v>
      </c>
      <c r="F46" s="24" t="str">
        <f>'Source Table'!$B$16</f>
        <v>call centers</v>
      </c>
      <c r="G46" s="24" t="str">
        <f>'Source Table'!$E$16</f>
        <v>مراكز اتصال</v>
      </c>
      <c r="H46" s="24" t="str">
        <f>'Source Table'!$D$6</f>
        <v>local investment</v>
      </c>
      <c r="I46" s="24" t="str">
        <f>'Source Table'!$D$5</f>
        <v>الاستثمار المحلي</v>
      </c>
      <c r="J46">
        <v>0</v>
      </c>
      <c r="K46">
        <v>2022</v>
      </c>
    </row>
    <row r="47" spans="1:11" ht="15">
      <c r="A47" t="s">
        <v>105</v>
      </c>
      <c r="B47" t="s">
        <v>106</v>
      </c>
      <c r="C47" s="15" t="s">
        <v>30</v>
      </c>
      <c r="D47" s="23" t="s">
        <v>107</v>
      </c>
      <c r="E47" s="16" t="s">
        <v>108</v>
      </c>
      <c r="F47" s="24" t="str">
        <f>'Source Table'!$B$17</f>
        <v>Scientific research centers</v>
      </c>
      <c r="G47" s="24" t="str">
        <f>'Source Table'!$E$17</f>
        <v>مراكز بحث علمي</v>
      </c>
      <c r="H47" s="24" t="str">
        <f>'Source Table'!$D$6</f>
        <v>local investment</v>
      </c>
      <c r="I47" s="24" t="str">
        <f>'Source Table'!$D$5</f>
        <v>الاستثمار المحلي</v>
      </c>
      <c r="J47">
        <v>0</v>
      </c>
      <c r="K47">
        <v>2022</v>
      </c>
    </row>
    <row r="48" spans="1:11" ht="15">
      <c r="A48" t="s">
        <v>105</v>
      </c>
      <c r="B48" t="s">
        <v>106</v>
      </c>
      <c r="C48" s="15" t="s">
        <v>30</v>
      </c>
      <c r="D48" s="23" t="s">
        <v>107</v>
      </c>
      <c r="E48" s="16" t="s">
        <v>108</v>
      </c>
      <c r="F48" s="24" t="str">
        <f>'Source Table'!$B$7</f>
        <v>Industry</v>
      </c>
      <c r="G48" s="24" t="str">
        <f>'Source Table'!$E$7</f>
        <v>الصناعة</v>
      </c>
      <c r="H48" s="24" t="str">
        <f>'Source Table'!$C$6</f>
        <v>Foreign investment</v>
      </c>
      <c r="I48" s="24" t="str">
        <f>'Source Table'!$C$5</f>
        <v>الاستثمار الاجنبي</v>
      </c>
      <c r="J48">
        <v>104.6</v>
      </c>
      <c r="K48">
        <v>2022</v>
      </c>
    </row>
    <row r="49" spans="1:11" ht="15">
      <c r="A49" t="s">
        <v>105</v>
      </c>
      <c r="B49" t="s">
        <v>106</v>
      </c>
      <c r="C49" s="15" t="s">
        <v>30</v>
      </c>
      <c r="D49" s="23" t="s">
        <v>107</v>
      </c>
      <c r="E49" s="16" t="s">
        <v>108</v>
      </c>
      <c r="F49" s="24" t="str">
        <f>'Source Table'!$B$8</f>
        <v>Commerce</v>
      </c>
      <c r="G49" s="24" t="str">
        <f>'Source Table'!$E$8</f>
        <v>التجارة</v>
      </c>
      <c r="H49" s="24" t="str">
        <f>'Source Table'!$C$6</f>
        <v>Foreign investment</v>
      </c>
      <c r="I49" s="24" t="str">
        <f>'Source Table'!$C$5</f>
        <v>الاستثمار الاجنبي</v>
      </c>
      <c r="J49">
        <v>0</v>
      </c>
      <c r="K49">
        <v>2022</v>
      </c>
    </row>
    <row r="50" spans="1:11" ht="15">
      <c r="A50" t="s">
        <v>105</v>
      </c>
      <c r="B50" t="s">
        <v>106</v>
      </c>
      <c r="C50" s="15" t="s">
        <v>30</v>
      </c>
      <c r="D50" s="23" t="s">
        <v>107</v>
      </c>
      <c r="E50" s="16" t="s">
        <v>108</v>
      </c>
      <c r="F50" s="24" t="str">
        <f>'Source Table'!$B$9</f>
        <v>Tourism</v>
      </c>
      <c r="G50" s="24" t="str">
        <f>'Source Table'!$E$9</f>
        <v>السياحة</v>
      </c>
      <c r="H50" s="24" t="str">
        <f>'Source Table'!$C$6</f>
        <v>Foreign investment</v>
      </c>
      <c r="I50" s="24" t="str">
        <f>'Source Table'!$C$5</f>
        <v>الاستثمار الاجنبي</v>
      </c>
      <c r="J50">
        <v>6.2</v>
      </c>
      <c r="K50">
        <v>2022</v>
      </c>
    </row>
    <row r="51" spans="1:11" ht="15">
      <c r="A51" t="s">
        <v>105</v>
      </c>
      <c r="B51" t="s">
        <v>106</v>
      </c>
      <c r="C51" s="15" t="s">
        <v>30</v>
      </c>
      <c r="D51" s="23" t="s">
        <v>107</v>
      </c>
      <c r="E51" s="16" t="s">
        <v>108</v>
      </c>
      <c r="F51" s="24" t="str">
        <f>'Source Table'!$B$10</f>
        <v>Agriculture</v>
      </c>
      <c r="G51" s="24" t="str">
        <f>'Source Table'!$E$10</f>
        <v>الزراعة</v>
      </c>
      <c r="H51" s="24" t="str">
        <f>'Source Table'!$C$6</f>
        <v>Foreign investment</v>
      </c>
      <c r="I51" s="24" t="str">
        <f>'Source Table'!$C$5</f>
        <v>الاستثمار الاجنبي</v>
      </c>
      <c r="J51">
        <v>2</v>
      </c>
      <c r="K51">
        <v>2022</v>
      </c>
    </row>
    <row r="52" spans="1:11" ht="15">
      <c r="A52" t="s">
        <v>105</v>
      </c>
      <c r="B52" t="s">
        <v>106</v>
      </c>
      <c r="C52" s="15" t="s">
        <v>30</v>
      </c>
      <c r="D52" s="23" t="s">
        <v>107</v>
      </c>
      <c r="E52" s="16" t="s">
        <v>108</v>
      </c>
      <c r="F52" s="24" t="str">
        <f>'Source Table'!$B$11</f>
        <v>Hospitals</v>
      </c>
      <c r="G52" s="24" t="str">
        <f>'Source Table'!$E$11</f>
        <v>المستشفيات</v>
      </c>
      <c r="H52" s="24" t="str">
        <f>'Source Table'!$C$6</f>
        <v>Foreign investment</v>
      </c>
      <c r="I52" s="24" t="str">
        <f>'Source Table'!$C$5</f>
        <v>الاستثمار الاجنبي</v>
      </c>
      <c r="J52">
        <v>0</v>
      </c>
      <c r="K52">
        <v>2022</v>
      </c>
    </row>
    <row r="53" spans="1:11" ht="15">
      <c r="A53" t="s">
        <v>105</v>
      </c>
      <c r="B53" t="s">
        <v>106</v>
      </c>
      <c r="C53" s="15" t="s">
        <v>30</v>
      </c>
      <c r="D53" s="23" t="s">
        <v>107</v>
      </c>
      <c r="E53" s="16" t="s">
        <v>108</v>
      </c>
      <c r="F53" s="24" t="str">
        <f>'Source Table'!$B$12</f>
        <v>Services</v>
      </c>
      <c r="G53" s="24" t="str">
        <f>'Source Table'!$E$12</f>
        <v>الخدمات</v>
      </c>
      <c r="H53" s="24" t="str">
        <f>'Source Table'!$C$6</f>
        <v>Foreign investment</v>
      </c>
      <c r="I53" s="24" t="str">
        <f>'Source Table'!$C$5</f>
        <v>الاستثمار الاجنبي</v>
      </c>
      <c r="J53">
        <v>0.5</v>
      </c>
      <c r="K53">
        <v>2022</v>
      </c>
    </row>
    <row r="54" spans="1:11" ht="15">
      <c r="A54" t="s">
        <v>105</v>
      </c>
      <c r="B54" t="s">
        <v>106</v>
      </c>
      <c r="C54" s="15" t="s">
        <v>30</v>
      </c>
      <c r="D54" s="23" t="s">
        <v>107</v>
      </c>
      <c r="E54" s="16" t="s">
        <v>108</v>
      </c>
      <c r="F54" s="24" t="str">
        <f>'Source Table'!$B$13</f>
        <v>Information Technology</v>
      </c>
      <c r="G54" s="24" t="str">
        <f>'Source Table'!$E$13</f>
        <v>تكنولوجيا المعلومات</v>
      </c>
      <c r="H54" s="24" t="str">
        <f>'Source Table'!$C$6</f>
        <v>Foreign investment</v>
      </c>
      <c r="I54" s="24" t="str">
        <f>'Source Table'!$C$5</f>
        <v>الاستثمار الاجنبي</v>
      </c>
      <c r="J54">
        <v>23.7</v>
      </c>
      <c r="K54">
        <v>2022</v>
      </c>
    </row>
    <row r="55" spans="1:11" ht="15">
      <c r="A55" t="s">
        <v>105</v>
      </c>
      <c r="B55" t="s">
        <v>106</v>
      </c>
      <c r="C55" s="15" t="s">
        <v>30</v>
      </c>
      <c r="D55" s="23" t="s">
        <v>107</v>
      </c>
      <c r="E55" s="16" t="s">
        <v>108</v>
      </c>
      <c r="F55" s="24" t="str">
        <f>'Source Table'!$B$14</f>
        <v>Artistic production</v>
      </c>
      <c r="G55" s="24" t="str">
        <f>'Source Table'!$E$14</f>
        <v>انتاج فني</v>
      </c>
      <c r="H55" s="24" t="str">
        <f>'Source Table'!$C$6</f>
        <v>Foreign investment</v>
      </c>
      <c r="I55" s="24" t="str">
        <f>'Source Table'!$C$5</f>
        <v>الاستثمار الاجنبي</v>
      </c>
      <c r="J55">
        <v>0</v>
      </c>
      <c r="K55">
        <v>2022</v>
      </c>
    </row>
    <row r="56" spans="1:11" ht="15">
      <c r="A56" t="s">
        <v>105</v>
      </c>
      <c r="B56" t="s">
        <v>106</v>
      </c>
      <c r="C56" s="15" t="s">
        <v>30</v>
      </c>
      <c r="D56" s="23" t="s">
        <v>107</v>
      </c>
      <c r="E56" s="16" t="s">
        <v>108</v>
      </c>
      <c r="F56" s="24" t="str">
        <f>'Source Table'!$B$15</f>
        <v>Gas transportation and distribution</v>
      </c>
      <c r="G56" s="24" t="str">
        <f>'Source Table'!$E$15</f>
        <v>نقل وتوزيع الغاز</v>
      </c>
      <c r="H56" s="24" t="str">
        <f>'Source Table'!$C$6</f>
        <v>Foreign investment</v>
      </c>
      <c r="I56" s="24" t="str">
        <f>'Source Table'!$C$5</f>
        <v>الاستثمار الاجنبي</v>
      </c>
      <c r="J56">
        <v>0</v>
      </c>
      <c r="K56">
        <v>2022</v>
      </c>
    </row>
    <row r="57" spans="1:11" ht="15">
      <c r="A57" t="s">
        <v>105</v>
      </c>
      <c r="B57" t="s">
        <v>106</v>
      </c>
      <c r="C57" s="15" t="s">
        <v>30</v>
      </c>
      <c r="D57" s="23" t="s">
        <v>107</v>
      </c>
      <c r="E57" s="16" t="s">
        <v>108</v>
      </c>
      <c r="F57" s="24" t="str">
        <f>'Source Table'!$B$16</f>
        <v>call centers</v>
      </c>
      <c r="G57" s="24" t="str">
        <f>'Source Table'!$E$16</f>
        <v>مراكز اتصال</v>
      </c>
      <c r="H57" s="24" t="str">
        <f>'Source Table'!$C$6</f>
        <v>Foreign investment</v>
      </c>
      <c r="I57" s="24" t="str">
        <f>'Source Table'!$C$5</f>
        <v>الاستثمار الاجنبي</v>
      </c>
      <c r="J57">
        <v>0</v>
      </c>
      <c r="K57">
        <v>2022</v>
      </c>
    </row>
    <row r="58" spans="1:11" ht="15">
      <c r="A58" t="s">
        <v>105</v>
      </c>
      <c r="B58" t="s">
        <v>106</v>
      </c>
      <c r="C58" s="15" t="s">
        <v>30</v>
      </c>
      <c r="D58" s="23" t="s">
        <v>107</v>
      </c>
      <c r="E58" s="16" t="s">
        <v>108</v>
      </c>
      <c r="F58" s="24" t="str">
        <f>'Source Table'!$B$17</f>
        <v>Scientific research centers</v>
      </c>
      <c r="G58" s="24" t="str">
        <f>'Source Table'!$E$17</f>
        <v>مراكز بحث علمي</v>
      </c>
      <c r="H58" s="24" t="str">
        <f>'Source Table'!$C$6</f>
        <v>Foreign investment</v>
      </c>
      <c r="I58" s="24" t="str">
        <f>'Source Table'!$C$5</f>
        <v>الاستثمار الاجنبي</v>
      </c>
      <c r="J58">
        <v>0</v>
      </c>
      <c r="K58">
        <v>2022</v>
      </c>
    </row>
    <row r="59" spans="1:11" ht="18.75">
      <c r="A59" t="s">
        <v>105</v>
      </c>
      <c r="B59" t="s">
        <v>106</v>
      </c>
      <c r="C59" s="15" t="s">
        <v>30</v>
      </c>
      <c r="D59" s="23" t="s">
        <v>107</v>
      </c>
      <c r="E59" s="16" t="s">
        <v>108</v>
      </c>
      <c r="F59" s="24" t="str">
        <f>'Source Table'!$B$7</f>
        <v>Industry</v>
      </c>
      <c r="G59" s="24" t="str">
        <f>'Source Table'!$E$7</f>
        <v>الصناعة</v>
      </c>
      <c r="H59" s="16" t="s">
        <v>125</v>
      </c>
      <c r="I59" s="32" t="s">
        <v>124</v>
      </c>
      <c r="J59">
        <v>655.9</v>
      </c>
      <c r="K59">
        <v>2022</v>
      </c>
    </row>
    <row r="60" spans="1:11" ht="18.75">
      <c r="A60" t="s">
        <v>105</v>
      </c>
      <c r="B60" t="s">
        <v>106</v>
      </c>
      <c r="C60" s="15" t="s">
        <v>30</v>
      </c>
      <c r="D60" s="23" t="s">
        <v>107</v>
      </c>
      <c r="E60" s="16" t="s">
        <v>108</v>
      </c>
      <c r="F60" s="24" t="str">
        <f>'Source Table'!$B$8</f>
        <v>Commerce</v>
      </c>
      <c r="G60" s="24" t="str">
        <f>'Source Table'!$E$8</f>
        <v>التجارة</v>
      </c>
      <c r="H60" s="16" t="s">
        <v>125</v>
      </c>
      <c r="I60" s="32" t="s">
        <v>124</v>
      </c>
      <c r="J60">
        <v>184.5</v>
      </c>
      <c r="K60">
        <v>2022</v>
      </c>
    </row>
    <row r="61" spans="1:11" ht="18.75">
      <c r="A61" t="s">
        <v>105</v>
      </c>
      <c r="B61" t="s">
        <v>106</v>
      </c>
      <c r="C61" s="15" t="s">
        <v>30</v>
      </c>
      <c r="D61" s="23" t="s">
        <v>107</v>
      </c>
      <c r="E61" s="16" t="s">
        <v>108</v>
      </c>
      <c r="F61" s="24" t="str">
        <f>'Source Table'!$B$9</f>
        <v>Tourism</v>
      </c>
      <c r="G61" s="24" t="str">
        <f>'Source Table'!$E$9</f>
        <v>السياحة</v>
      </c>
      <c r="H61" s="16" t="s">
        <v>125</v>
      </c>
      <c r="I61" s="32" t="s">
        <v>124</v>
      </c>
      <c r="J61">
        <v>59.8</v>
      </c>
      <c r="K61">
        <v>2022</v>
      </c>
    </row>
    <row r="62" spans="1:11" ht="18.75">
      <c r="A62" t="s">
        <v>105</v>
      </c>
      <c r="B62" t="s">
        <v>106</v>
      </c>
      <c r="C62" s="15" t="s">
        <v>30</v>
      </c>
      <c r="D62" s="23" t="s">
        <v>107</v>
      </c>
      <c r="E62" s="16" t="s">
        <v>108</v>
      </c>
      <c r="F62" s="24" t="str">
        <f>'Source Table'!$B$10</f>
        <v>Agriculture</v>
      </c>
      <c r="G62" s="24" t="str">
        <f>'Source Table'!$E$10</f>
        <v>الزراعة</v>
      </c>
      <c r="H62" s="16" t="s">
        <v>125</v>
      </c>
      <c r="I62" s="32" t="s">
        <v>124</v>
      </c>
      <c r="J62">
        <v>15.4</v>
      </c>
      <c r="K62">
        <v>2022</v>
      </c>
    </row>
    <row r="63" spans="1:11" ht="18.75">
      <c r="A63" t="s">
        <v>105</v>
      </c>
      <c r="B63" t="s">
        <v>106</v>
      </c>
      <c r="C63" s="15" t="s">
        <v>30</v>
      </c>
      <c r="D63" s="23" t="s">
        <v>107</v>
      </c>
      <c r="E63" s="16" t="s">
        <v>108</v>
      </c>
      <c r="F63" s="24" t="str">
        <f>'Source Table'!$B$11</f>
        <v>Hospitals</v>
      </c>
      <c r="G63" s="24" t="str">
        <f>'Source Table'!$E$11</f>
        <v>المستشفيات</v>
      </c>
      <c r="H63" s="16" t="s">
        <v>125</v>
      </c>
      <c r="I63" s="32" t="s">
        <v>124</v>
      </c>
      <c r="J63">
        <v>59.7</v>
      </c>
      <c r="K63">
        <v>2022</v>
      </c>
    </row>
    <row r="64" spans="1:11" ht="18.75">
      <c r="A64" t="s">
        <v>105</v>
      </c>
      <c r="B64" t="s">
        <v>106</v>
      </c>
      <c r="C64" s="15" t="s">
        <v>30</v>
      </c>
      <c r="D64" s="23" t="s">
        <v>107</v>
      </c>
      <c r="E64" s="16" t="s">
        <v>108</v>
      </c>
      <c r="F64" s="24" t="str">
        <f>'Source Table'!$B$12</f>
        <v>Services</v>
      </c>
      <c r="G64" s="24" t="str">
        <f>'Source Table'!$E$12</f>
        <v>الخدمات</v>
      </c>
      <c r="H64" s="16" t="s">
        <v>125</v>
      </c>
      <c r="I64" s="32" t="s">
        <v>124</v>
      </c>
      <c r="J64">
        <v>19.2</v>
      </c>
      <c r="K64">
        <v>2022</v>
      </c>
    </row>
    <row r="65" spans="1:11" ht="18.75">
      <c r="A65" t="s">
        <v>105</v>
      </c>
      <c r="B65" t="s">
        <v>106</v>
      </c>
      <c r="C65" s="15" t="s">
        <v>30</v>
      </c>
      <c r="D65" s="23" t="s">
        <v>107</v>
      </c>
      <c r="E65" s="16" t="s">
        <v>108</v>
      </c>
      <c r="F65" s="24" t="str">
        <f>'Source Table'!$B$13</f>
        <v>Information Technology</v>
      </c>
      <c r="G65" s="24" t="str">
        <f>'Source Table'!$E$13</f>
        <v>تكنولوجيا المعلومات</v>
      </c>
      <c r="H65" s="16" t="s">
        <v>125</v>
      </c>
      <c r="I65" s="32" t="s">
        <v>124</v>
      </c>
      <c r="J65">
        <v>33.9</v>
      </c>
      <c r="K65">
        <v>2022</v>
      </c>
    </row>
    <row r="66" spans="1:11" ht="18.75">
      <c r="A66" t="s">
        <v>105</v>
      </c>
      <c r="B66" t="s">
        <v>106</v>
      </c>
      <c r="C66" s="15" t="s">
        <v>30</v>
      </c>
      <c r="D66" s="23" t="s">
        <v>107</v>
      </c>
      <c r="E66" s="16" t="s">
        <v>108</v>
      </c>
      <c r="F66" s="24" t="str">
        <f>'Source Table'!$B$14</f>
        <v>Artistic production</v>
      </c>
      <c r="G66" s="24" t="str">
        <f>'Source Table'!$E$14</f>
        <v>انتاج فني</v>
      </c>
      <c r="H66" s="16" t="s">
        <v>125</v>
      </c>
      <c r="I66" s="32" t="s">
        <v>124</v>
      </c>
      <c r="J66">
        <v>10</v>
      </c>
      <c r="K66">
        <v>2022</v>
      </c>
    </row>
    <row r="67" spans="1:11" ht="18.75">
      <c r="A67" t="s">
        <v>105</v>
      </c>
      <c r="B67" t="s">
        <v>106</v>
      </c>
      <c r="C67" s="15" t="s">
        <v>30</v>
      </c>
      <c r="D67" s="23" t="s">
        <v>107</v>
      </c>
      <c r="E67" s="16" t="s">
        <v>108</v>
      </c>
      <c r="F67" s="24" t="str">
        <f>'Source Table'!$B$15</f>
        <v>Gas transportation and distribution</v>
      </c>
      <c r="G67" s="24" t="str">
        <f>'Source Table'!$E$15</f>
        <v>نقل وتوزيع الغاز</v>
      </c>
      <c r="H67" s="16" t="s">
        <v>125</v>
      </c>
      <c r="I67" s="32" t="s">
        <v>124</v>
      </c>
      <c r="J67">
        <v>19</v>
      </c>
      <c r="K67">
        <v>2022</v>
      </c>
    </row>
    <row r="68" spans="1:11" ht="18.75">
      <c r="A68" t="s">
        <v>105</v>
      </c>
      <c r="B68" t="s">
        <v>106</v>
      </c>
      <c r="C68" s="15" t="s">
        <v>30</v>
      </c>
      <c r="D68" s="23" t="s">
        <v>107</v>
      </c>
      <c r="E68" s="16" t="s">
        <v>108</v>
      </c>
      <c r="F68" s="24" t="str">
        <f>'Source Table'!$B$16</f>
        <v>call centers</v>
      </c>
      <c r="G68" s="24" t="str">
        <f>'Source Table'!$E$16</f>
        <v>مراكز اتصال</v>
      </c>
      <c r="H68" s="16" t="s">
        <v>125</v>
      </c>
      <c r="I68" s="32" t="s">
        <v>124</v>
      </c>
      <c r="J68">
        <v>0</v>
      </c>
      <c r="K68">
        <v>2022</v>
      </c>
    </row>
    <row r="69" spans="1:11" ht="18.75">
      <c r="A69" t="s">
        <v>105</v>
      </c>
      <c r="B69" t="s">
        <v>106</v>
      </c>
      <c r="C69" s="15" t="s">
        <v>30</v>
      </c>
      <c r="D69" s="23" t="s">
        <v>107</v>
      </c>
      <c r="E69" s="16" t="s">
        <v>108</v>
      </c>
      <c r="F69" s="24" t="str">
        <f>'Source Table'!$B$17</f>
        <v>Scientific research centers</v>
      </c>
      <c r="G69" s="24" t="str">
        <f>'Source Table'!$E$17</f>
        <v>مراكز بحث علمي</v>
      </c>
      <c r="H69" s="16" t="s">
        <v>125</v>
      </c>
      <c r="I69" s="32" t="s">
        <v>124</v>
      </c>
      <c r="J69">
        <v>0.1</v>
      </c>
      <c r="K69">
        <v>2022</v>
      </c>
    </row>
    <row r="70" spans="1:11" ht="15">
      <c r="A70" t="s">
        <v>105</v>
      </c>
      <c r="B70" t="s">
        <v>106</v>
      </c>
      <c r="C70" s="15" t="s">
        <v>30</v>
      </c>
      <c r="D70" s="23" t="s">
        <v>107</v>
      </c>
      <c r="E70" s="16" t="s">
        <v>108</v>
      </c>
      <c r="F70" s="24" t="str">
        <f>'Source Table'!$B$7</f>
        <v>Industry</v>
      </c>
      <c r="G70" s="24" t="str">
        <f>'Source Table'!$E$7</f>
        <v>الصناعة</v>
      </c>
      <c r="H70" s="24" t="str">
        <f>'Source Table'!$D$6</f>
        <v>local investment</v>
      </c>
      <c r="I70" s="24" t="str">
        <f>'Source Table'!$D$5</f>
        <v>الاستثمار المحلي</v>
      </c>
      <c r="J70">
        <v>369</v>
      </c>
      <c r="K70">
        <v>2021</v>
      </c>
    </row>
    <row r="71" spans="1:11" ht="15">
      <c r="A71" t="s">
        <v>105</v>
      </c>
      <c r="B71" t="s">
        <v>106</v>
      </c>
      <c r="C71" s="15" t="s">
        <v>30</v>
      </c>
      <c r="D71" s="23" t="s">
        <v>107</v>
      </c>
      <c r="E71" s="16" t="s">
        <v>108</v>
      </c>
      <c r="F71" s="24" t="str">
        <f>'Source Table'!$B$8</f>
        <v>Commerce</v>
      </c>
      <c r="G71" s="24" t="str">
        <f>'Source Table'!$E$8</f>
        <v>التجارة</v>
      </c>
      <c r="H71" s="24" t="str">
        <f>'Source Table'!$D$6</f>
        <v>local investment</v>
      </c>
      <c r="I71" s="24" t="str">
        <f>'Source Table'!$D$5</f>
        <v>الاستثمار المحلي</v>
      </c>
      <c r="K71">
        <v>2021</v>
      </c>
    </row>
    <row r="72" spans="1:11" ht="15">
      <c r="A72" t="s">
        <v>105</v>
      </c>
      <c r="B72" t="s">
        <v>106</v>
      </c>
      <c r="C72" s="15" t="s">
        <v>30</v>
      </c>
      <c r="D72" s="23" t="s">
        <v>107</v>
      </c>
      <c r="E72" s="16" t="s">
        <v>108</v>
      </c>
      <c r="F72" s="24" t="str">
        <f>'Source Table'!$B$9</f>
        <v>Tourism</v>
      </c>
      <c r="G72" s="24" t="str">
        <f>'Source Table'!$E$9</f>
        <v>السياحة</v>
      </c>
      <c r="H72" s="24" t="str">
        <f>'Source Table'!$D$6</f>
        <v>local investment</v>
      </c>
      <c r="I72" s="24" t="str">
        <f>'Source Table'!$D$5</f>
        <v>الاستثمار المحلي</v>
      </c>
      <c r="J72">
        <v>61.4</v>
      </c>
      <c r="K72">
        <v>2021</v>
      </c>
    </row>
    <row r="73" spans="1:11" ht="15">
      <c r="A73" t="s">
        <v>105</v>
      </c>
      <c r="B73" t="s">
        <v>106</v>
      </c>
      <c r="C73" s="15" t="s">
        <v>30</v>
      </c>
      <c r="D73" s="23" t="s">
        <v>107</v>
      </c>
      <c r="E73" s="16" t="s">
        <v>108</v>
      </c>
      <c r="F73" s="24" t="str">
        <f>'Source Table'!$B$10</f>
        <v>Agriculture</v>
      </c>
      <c r="G73" s="24" t="str">
        <f>'Source Table'!$E$10</f>
        <v>الزراعة</v>
      </c>
      <c r="H73" s="24" t="str">
        <f>'Source Table'!$D$6</f>
        <v>local investment</v>
      </c>
      <c r="I73" s="24" t="str">
        <f>'Source Table'!$D$5</f>
        <v>الاستثمار المحلي</v>
      </c>
      <c r="J73">
        <v>52.9</v>
      </c>
      <c r="K73">
        <v>2021</v>
      </c>
    </row>
    <row r="74" spans="1:11" ht="15">
      <c r="A74" t="s">
        <v>105</v>
      </c>
      <c r="B74" t="s">
        <v>106</v>
      </c>
      <c r="C74" s="15" t="s">
        <v>30</v>
      </c>
      <c r="D74" s="23" t="s">
        <v>107</v>
      </c>
      <c r="E74" s="16" t="s">
        <v>108</v>
      </c>
      <c r="F74" s="24" t="str">
        <f>'Source Table'!$B$11</f>
        <v>Hospitals</v>
      </c>
      <c r="G74" s="24" t="str">
        <f>'Source Table'!$E$11</f>
        <v>المستشفيات</v>
      </c>
      <c r="H74" s="24" t="str">
        <f>'Source Table'!$D$6</f>
        <v>local investment</v>
      </c>
      <c r="I74" s="24" t="str">
        <f>'Source Table'!$D$5</f>
        <v>الاستثمار المحلي</v>
      </c>
      <c r="J74">
        <v>34.1</v>
      </c>
      <c r="K74">
        <v>2021</v>
      </c>
    </row>
    <row r="75" spans="1:11" ht="15">
      <c r="A75" t="s">
        <v>105</v>
      </c>
      <c r="B75" t="s">
        <v>106</v>
      </c>
      <c r="C75" s="15" t="s">
        <v>30</v>
      </c>
      <c r="D75" s="23" t="s">
        <v>107</v>
      </c>
      <c r="E75" s="16" t="s">
        <v>108</v>
      </c>
      <c r="F75" s="24" t="str">
        <f>'Source Table'!$B$12</f>
        <v>Services</v>
      </c>
      <c r="G75" s="24" t="str">
        <f>'Source Table'!$E$12</f>
        <v>الخدمات</v>
      </c>
      <c r="H75" s="24" t="str">
        <f>'Source Table'!$D$6</f>
        <v>local investment</v>
      </c>
      <c r="I75" s="24" t="str">
        <f>'Source Table'!$D$5</f>
        <v>الاستثمار المحلي</v>
      </c>
      <c r="J75">
        <v>0.6</v>
      </c>
      <c r="K75">
        <v>2021</v>
      </c>
    </row>
    <row r="76" spans="1:11" ht="15">
      <c r="A76" t="s">
        <v>105</v>
      </c>
      <c r="B76" t="s">
        <v>106</v>
      </c>
      <c r="C76" s="15" t="s">
        <v>30</v>
      </c>
      <c r="D76" s="23" t="s">
        <v>107</v>
      </c>
      <c r="E76" s="16" t="s">
        <v>108</v>
      </c>
      <c r="F76" s="24" t="str">
        <f>'Source Table'!$B$13</f>
        <v>Information Technology</v>
      </c>
      <c r="G76" s="24" t="str">
        <f>'Source Table'!$E$13</f>
        <v>تكنولوجيا المعلومات</v>
      </c>
      <c r="H76" s="24" t="str">
        <f>'Source Table'!$D$6</f>
        <v>local investment</v>
      </c>
      <c r="I76" s="24" t="str">
        <f>'Source Table'!$D$5</f>
        <v>الاستثمار المحلي</v>
      </c>
      <c r="J76">
        <v>24.5</v>
      </c>
      <c r="K76">
        <v>2021</v>
      </c>
    </row>
    <row r="77" spans="1:11" ht="15">
      <c r="A77" t="s">
        <v>105</v>
      </c>
      <c r="B77" t="s">
        <v>106</v>
      </c>
      <c r="C77" s="15" t="s">
        <v>30</v>
      </c>
      <c r="D77" s="23" t="s">
        <v>107</v>
      </c>
      <c r="E77" s="16" t="s">
        <v>108</v>
      </c>
      <c r="F77" s="24" t="str">
        <f>'Source Table'!$B$14</f>
        <v>Artistic production</v>
      </c>
      <c r="G77" s="24" t="str">
        <f>'Source Table'!$E$14</f>
        <v>انتاج فني</v>
      </c>
      <c r="H77" s="24" t="str">
        <f>'Source Table'!$D$6</f>
        <v>local investment</v>
      </c>
      <c r="I77" s="24" t="str">
        <f>'Source Table'!$D$5</f>
        <v>الاستثمار المحلي</v>
      </c>
      <c r="J77">
        <v>8.5</v>
      </c>
      <c r="K77">
        <v>2021</v>
      </c>
    </row>
    <row r="78" spans="1:11" ht="15">
      <c r="A78" t="s">
        <v>105</v>
      </c>
      <c r="B78" t="s">
        <v>106</v>
      </c>
      <c r="C78" s="15" t="s">
        <v>30</v>
      </c>
      <c r="D78" s="23" t="s">
        <v>107</v>
      </c>
      <c r="E78" s="16" t="s">
        <v>108</v>
      </c>
      <c r="F78" s="24" t="str">
        <f>'Source Table'!$B$15</f>
        <v>Gas transportation and distribution</v>
      </c>
      <c r="G78" s="24" t="str">
        <f>'Source Table'!$E$15</f>
        <v>نقل وتوزيع الغاز</v>
      </c>
      <c r="H78" s="24" t="str">
        <f>'Source Table'!$D$6</f>
        <v>local investment</v>
      </c>
      <c r="I78" s="24" t="str">
        <f>'Source Table'!$D$5</f>
        <v>الاستثمار المحلي</v>
      </c>
      <c r="J78">
        <v>0</v>
      </c>
      <c r="K78">
        <v>2021</v>
      </c>
    </row>
    <row r="79" spans="1:11" ht="15">
      <c r="A79" t="s">
        <v>105</v>
      </c>
      <c r="B79" t="s">
        <v>106</v>
      </c>
      <c r="C79" s="15" t="s">
        <v>30</v>
      </c>
      <c r="D79" s="23" t="s">
        <v>107</v>
      </c>
      <c r="E79" s="16" t="s">
        <v>108</v>
      </c>
      <c r="F79" s="24" t="str">
        <f>'Source Table'!$B$16</f>
        <v>call centers</v>
      </c>
      <c r="G79" s="24" t="str">
        <f>'Source Table'!$E$16</f>
        <v>مراكز اتصال</v>
      </c>
      <c r="H79" s="24" t="str">
        <f>'Source Table'!$D$6</f>
        <v>local investment</v>
      </c>
      <c r="I79" s="24" t="str">
        <f>'Source Table'!$D$5</f>
        <v>الاستثمار المحلي</v>
      </c>
      <c r="J79">
        <v>0</v>
      </c>
      <c r="K79">
        <v>2021</v>
      </c>
    </row>
    <row r="80" spans="1:11" ht="15">
      <c r="A80" t="s">
        <v>105</v>
      </c>
      <c r="B80" t="s">
        <v>106</v>
      </c>
      <c r="C80" s="15" t="s">
        <v>30</v>
      </c>
      <c r="D80" s="23" t="s">
        <v>107</v>
      </c>
      <c r="E80" s="16" t="s">
        <v>108</v>
      </c>
      <c r="F80" s="24" t="str">
        <f>'Source Table'!$B$17</f>
        <v>Scientific research centers</v>
      </c>
      <c r="G80" s="24" t="str">
        <f>'Source Table'!$E$17</f>
        <v>مراكز بحث علمي</v>
      </c>
      <c r="H80" s="24" t="str">
        <f>'Source Table'!$D$6</f>
        <v>local investment</v>
      </c>
      <c r="I80" s="24" t="str">
        <f>'Source Table'!$D$5</f>
        <v>الاستثمار المحلي</v>
      </c>
      <c r="J80">
        <v>0.9</v>
      </c>
      <c r="K80">
        <v>2021</v>
      </c>
    </row>
    <row r="81" spans="1:11" ht="15">
      <c r="A81" t="s">
        <v>105</v>
      </c>
      <c r="B81" t="s">
        <v>106</v>
      </c>
      <c r="C81" s="15" t="s">
        <v>30</v>
      </c>
      <c r="D81" s="23" t="s">
        <v>107</v>
      </c>
      <c r="E81" s="16" t="s">
        <v>108</v>
      </c>
      <c r="F81" s="24" t="str">
        <f>'Source Table'!$B$7</f>
        <v>Industry</v>
      </c>
      <c r="G81" s="24" t="str">
        <f>'Source Table'!$E$7</f>
        <v>الصناعة</v>
      </c>
      <c r="H81" s="24" t="str">
        <f>'Source Table'!$C$6</f>
        <v>Foreign investment</v>
      </c>
      <c r="I81" s="24" t="str">
        <f>'Source Table'!$C$5</f>
        <v>الاستثمار الاجنبي</v>
      </c>
      <c r="J81">
        <v>38.9</v>
      </c>
      <c r="K81">
        <v>2021</v>
      </c>
    </row>
    <row r="82" spans="1:11" ht="15">
      <c r="A82" t="s">
        <v>105</v>
      </c>
      <c r="B82" t="s">
        <v>106</v>
      </c>
      <c r="C82" s="15" t="s">
        <v>30</v>
      </c>
      <c r="D82" s="23" t="s">
        <v>107</v>
      </c>
      <c r="E82" s="16" t="s">
        <v>108</v>
      </c>
      <c r="F82" s="24" t="str">
        <f>'Source Table'!$B$8</f>
        <v>Commerce</v>
      </c>
      <c r="G82" s="24" t="str">
        <f>'Source Table'!$E$8</f>
        <v>التجارة</v>
      </c>
      <c r="H82" s="24" t="str">
        <f>'Source Table'!$C$6</f>
        <v>Foreign investment</v>
      </c>
      <c r="I82" s="24" t="str">
        <f>'Source Table'!$C$5</f>
        <v>الاستثمار الاجنبي</v>
      </c>
      <c r="K82">
        <v>2021</v>
      </c>
    </row>
    <row r="83" spans="1:11" ht="15">
      <c r="A83" t="s">
        <v>105</v>
      </c>
      <c r="B83" t="s">
        <v>106</v>
      </c>
      <c r="C83" s="15" t="s">
        <v>30</v>
      </c>
      <c r="D83" s="23" t="s">
        <v>107</v>
      </c>
      <c r="E83" s="16" t="s">
        <v>108</v>
      </c>
      <c r="F83" s="24" t="str">
        <f>'Source Table'!$B$9</f>
        <v>Tourism</v>
      </c>
      <c r="G83" s="24" t="str">
        <f>'Source Table'!$E$9</f>
        <v>السياحة</v>
      </c>
      <c r="H83" s="24" t="str">
        <f>'Source Table'!$C$6</f>
        <v>Foreign investment</v>
      </c>
      <c r="I83" s="24" t="str">
        <f>'Source Table'!$C$5</f>
        <v>الاستثمار الاجنبي</v>
      </c>
      <c r="J83">
        <v>4.5999999999999996</v>
      </c>
      <c r="K83">
        <v>2021</v>
      </c>
    </row>
    <row r="84" spans="1:11" ht="15">
      <c r="A84" t="s">
        <v>105</v>
      </c>
      <c r="B84" t="s">
        <v>106</v>
      </c>
      <c r="C84" s="15" t="s">
        <v>30</v>
      </c>
      <c r="D84" s="23" t="s">
        <v>107</v>
      </c>
      <c r="E84" s="16" t="s">
        <v>108</v>
      </c>
      <c r="F84" s="24" t="str">
        <f>'Source Table'!$B$10</f>
        <v>Agriculture</v>
      </c>
      <c r="G84" s="24" t="str">
        <f>'Source Table'!$E$10</f>
        <v>الزراعة</v>
      </c>
      <c r="H84" s="24" t="str">
        <f>'Source Table'!$C$6</f>
        <v>Foreign investment</v>
      </c>
      <c r="I84" s="24" t="str">
        <f>'Source Table'!$C$5</f>
        <v>الاستثمار الاجنبي</v>
      </c>
      <c r="J84">
        <v>0</v>
      </c>
      <c r="K84">
        <v>2021</v>
      </c>
    </row>
    <row r="85" spans="1:11" ht="15">
      <c r="A85" t="s">
        <v>105</v>
      </c>
      <c r="B85" t="s">
        <v>106</v>
      </c>
      <c r="C85" s="15" t="s">
        <v>30</v>
      </c>
      <c r="D85" s="23" t="s">
        <v>107</v>
      </c>
      <c r="E85" s="16" t="s">
        <v>108</v>
      </c>
      <c r="F85" s="24" t="str">
        <f>'Source Table'!$B$11</f>
        <v>Hospitals</v>
      </c>
      <c r="G85" s="24" t="str">
        <f>'Source Table'!$E$11</f>
        <v>المستشفيات</v>
      </c>
      <c r="H85" s="24" t="str">
        <f>'Source Table'!$C$6</f>
        <v>Foreign investment</v>
      </c>
      <c r="I85" s="24" t="str">
        <f>'Source Table'!$C$5</f>
        <v>الاستثمار الاجنبي</v>
      </c>
      <c r="J85">
        <v>10</v>
      </c>
      <c r="K85">
        <v>2021</v>
      </c>
    </row>
    <row r="86" spans="1:11" ht="15">
      <c r="A86" t="s">
        <v>105</v>
      </c>
      <c r="B86" t="s">
        <v>106</v>
      </c>
      <c r="C86" s="15" t="s">
        <v>30</v>
      </c>
      <c r="D86" s="23" t="s">
        <v>107</v>
      </c>
      <c r="E86" s="16" t="s">
        <v>108</v>
      </c>
      <c r="F86" s="24" t="str">
        <f>'Source Table'!$B$12</f>
        <v>Services</v>
      </c>
      <c r="G86" s="24" t="str">
        <f>'Source Table'!$E$12</f>
        <v>الخدمات</v>
      </c>
      <c r="H86" s="24" t="str">
        <f>'Source Table'!$C$6</f>
        <v>Foreign investment</v>
      </c>
      <c r="I86" s="24" t="str">
        <f>'Source Table'!$C$5</f>
        <v>الاستثمار الاجنبي</v>
      </c>
      <c r="J86">
        <v>0</v>
      </c>
      <c r="K86">
        <v>2021</v>
      </c>
    </row>
    <row r="87" spans="1:11" ht="15">
      <c r="A87" t="s">
        <v>105</v>
      </c>
      <c r="B87" t="s">
        <v>106</v>
      </c>
      <c r="C87" s="15" t="s">
        <v>30</v>
      </c>
      <c r="D87" s="23" t="s">
        <v>107</v>
      </c>
      <c r="E87" s="16" t="s">
        <v>108</v>
      </c>
      <c r="F87" s="24" t="str">
        <f>'Source Table'!$B$13</f>
        <v>Information Technology</v>
      </c>
      <c r="G87" s="24" t="str">
        <f>'Source Table'!$E$13</f>
        <v>تكنولوجيا المعلومات</v>
      </c>
      <c r="H87" s="24" t="str">
        <f>'Source Table'!$C$6</f>
        <v>Foreign investment</v>
      </c>
      <c r="I87" s="24" t="str">
        <f>'Source Table'!$C$5</f>
        <v>الاستثمار الاجنبي</v>
      </c>
      <c r="J87">
        <v>15.6</v>
      </c>
      <c r="K87">
        <v>2021</v>
      </c>
    </row>
    <row r="88" spans="1:11" ht="15">
      <c r="A88" t="s">
        <v>105</v>
      </c>
      <c r="B88" t="s">
        <v>106</v>
      </c>
      <c r="C88" s="15" t="s">
        <v>30</v>
      </c>
      <c r="D88" s="23" t="s">
        <v>107</v>
      </c>
      <c r="E88" s="16" t="s">
        <v>108</v>
      </c>
      <c r="F88" s="24" t="str">
        <f>'Source Table'!$B$14</f>
        <v>Artistic production</v>
      </c>
      <c r="G88" s="24" t="str">
        <f>'Source Table'!$E$14</f>
        <v>انتاج فني</v>
      </c>
      <c r="H88" s="24" t="str">
        <f>'Source Table'!$C$6</f>
        <v>Foreign investment</v>
      </c>
      <c r="I88" s="24" t="str">
        <f>'Source Table'!$C$5</f>
        <v>الاستثمار الاجنبي</v>
      </c>
      <c r="J88">
        <v>0</v>
      </c>
      <c r="K88">
        <v>2021</v>
      </c>
    </row>
    <row r="89" spans="1:11" ht="15">
      <c r="A89" t="s">
        <v>105</v>
      </c>
      <c r="B89" t="s">
        <v>106</v>
      </c>
      <c r="C89" s="15" t="s">
        <v>30</v>
      </c>
      <c r="D89" s="23" t="s">
        <v>107</v>
      </c>
      <c r="E89" s="16" t="s">
        <v>108</v>
      </c>
      <c r="F89" s="24" t="str">
        <f>'Source Table'!$B$15</f>
        <v>Gas transportation and distribution</v>
      </c>
      <c r="G89" s="24" t="str">
        <f>'Source Table'!$E$15</f>
        <v>نقل وتوزيع الغاز</v>
      </c>
      <c r="H89" s="24" t="str">
        <f>'Source Table'!$C$6</f>
        <v>Foreign investment</v>
      </c>
      <c r="I89" s="24" t="str">
        <f>'Source Table'!$C$5</f>
        <v>الاستثمار الاجنبي</v>
      </c>
      <c r="J89">
        <v>0</v>
      </c>
      <c r="K89">
        <v>2021</v>
      </c>
    </row>
    <row r="90" spans="1:11" ht="15">
      <c r="A90" t="s">
        <v>105</v>
      </c>
      <c r="B90" t="s">
        <v>106</v>
      </c>
      <c r="C90" s="15" t="s">
        <v>30</v>
      </c>
      <c r="D90" s="23" t="s">
        <v>107</v>
      </c>
      <c r="E90" s="16" t="s">
        <v>108</v>
      </c>
      <c r="F90" s="24" t="str">
        <f>'Source Table'!$B$16</f>
        <v>call centers</v>
      </c>
      <c r="G90" s="24" t="str">
        <f>'Source Table'!$E$16</f>
        <v>مراكز اتصال</v>
      </c>
      <c r="H90" s="24" t="str">
        <f>'Source Table'!$C$6</f>
        <v>Foreign investment</v>
      </c>
      <c r="I90" s="24" t="str">
        <f>'Source Table'!$C$5</f>
        <v>الاستثمار الاجنبي</v>
      </c>
      <c r="J90">
        <v>0</v>
      </c>
      <c r="K90">
        <v>2021</v>
      </c>
    </row>
    <row r="91" spans="1:11" ht="15">
      <c r="A91" t="s">
        <v>105</v>
      </c>
      <c r="B91" t="s">
        <v>106</v>
      </c>
      <c r="C91" s="15" t="s">
        <v>30</v>
      </c>
      <c r="D91" s="23" t="s">
        <v>107</v>
      </c>
      <c r="E91" s="16" t="s">
        <v>108</v>
      </c>
      <c r="F91" s="24" t="str">
        <f>'Source Table'!$B$17</f>
        <v>Scientific research centers</v>
      </c>
      <c r="G91" s="24" t="str">
        <f>'Source Table'!$E$17</f>
        <v>مراكز بحث علمي</v>
      </c>
      <c r="H91" s="24" t="str">
        <f>'Source Table'!$C$6</f>
        <v>Foreign investment</v>
      </c>
      <c r="I91" s="24" t="str">
        <f>'Source Table'!$C$5</f>
        <v>الاستثمار الاجنبي</v>
      </c>
      <c r="J91">
        <v>0</v>
      </c>
      <c r="K91">
        <v>2021</v>
      </c>
    </row>
    <row r="92" spans="1:11" ht="18.75">
      <c r="A92" t="s">
        <v>105</v>
      </c>
      <c r="B92" t="s">
        <v>106</v>
      </c>
      <c r="C92" s="15" t="s">
        <v>30</v>
      </c>
      <c r="D92" s="23" t="s">
        <v>107</v>
      </c>
      <c r="E92" s="16" t="s">
        <v>108</v>
      </c>
      <c r="F92" s="24" t="str">
        <f>'Source Table'!$B$7</f>
        <v>Industry</v>
      </c>
      <c r="G92" s="24" t="str">
        <f>'Source Table'!$E$7</f>
        <v>الصناعة</v>
      </c>
      <c r="H92" s="16" t="s">
        <v>125</v>
      </c>
      <c r="I92" s="32" t="s">
        <v>124</v>
      </c>
      <c r="J92">
        <v>408</v>
      </c>
      <c r="K92">
        <v>2021</v>
      </c>
    </row>
    <row r="93" spans="1:11" ht="18.75">
      <c r="A93" t="s">
        <v>105</v>
      </c>
      <c r="B93" t="s">
        <v>106</v>
      </c>
      <c r="C93" s="15" t="s">
        <v>30</v>
      </c>
      <c r="D93" s="23" t="s">
        <v>107</v>
      </c>
      <c r="E93" s="16" t="s">
        <v>108</v>
      </c>
      <c r="F93" s="24" t="str">
        <f>'Source Table'!$B$8</f>
        <v>Commerce</v>
      </c>
      <c r="G93" s="24" t="str">
        <f>'Source Table'!$E$8</f>
        <v>التجارة</v>
      </c>
      <c r="H93" s="16" t="s">
        <v>125</v>
      </c>
      <c r="I93" s="32" t="s">
        <v>124</v>
      </c>
      <c r="K93">
        <v>2021</v>
      </c>
    </row>
    <row r="94" spans="1:11" ht="18.75">
      <c r="A94" t="s">
        <v>105</v>
      </c>
      <c r="B94" t="s">
        <v>106</v>
      </c>
      <c r="C94" s="15" t="s">
        <v>30</v>
      </c>
      <c r="D94" s="23" t="s">
        <v>107</v>
      </c>
      <c r="E94" s="16" t="s">
        <v>108</v>
      </c>
      <c r="F94" s="24" t="str">
        <f>'Source Table'!$B$9</f>
        <v>Tourism</v>
      </c>
      <c r="G94" s="24" t="str">
        <f>'Source Table'!$E$9</f>
        <v>السياحة</v>
      </c>
      <c r="H94" s="16" t="s">
        <v>125</v>
      </c>
      <c r="I94" s="32" t="s">
        <v>124</v>
      </c>
      <c r="J94">
        <v>66</v>
      </c>
      <c r="K94">
        <v>2021</v>
      </c>
    </row>
    <row r="95" spans="1:11" ht="18.75">
      <c r="A95" t="s">
        <v>105</v>
      </c>
      <c r="B95" t="s">
        <v>106</v>
      </c>
      <c r="C95" s="15" t="s">
        <v>30</v>
      </c>
      <c r="D95" s="23" t="s">
        <v>107</v>
      </c>
      <c r="E95" s="16" t="s">
        <v>108</v>
      </c>
      <c r="F95" s="24" t="str">
        <f>'Source Table'!$B$10</f>
        <v>Agriculture</v>
      </c>
      <c r="G95" s="24" t="str">
        <f>'Source Table'!$E$10</f>
        <v>الزراعة</v>
      </c>
      <c r="H95" s="16" t="s">
        <v>125</v>
      </c>
      <c r="I95" s="32" t="s">
        <v>124</v>
      </c>
      <c r="J95">
        <v>52.9</v>
      </c>
      <c r="K95">
        <v>2021</v>
      </c>
    </row>
    <row r="96" spans="1:11" ht="18.75">
      <c r="A96" t="s">
        <v>105</v>
      </c>
      <c r="B96" t="s">
        <v>106</v>
      </c>
      <c r="C96" s="15" t="s">
        <v>30</v>
      </c>
      <c r="D96" s="23" t="s">
        <v>107</v>
      </c>
      <c r="E96" s="16" t="s">
        <v>108</v>
      </c>
      <c r="F96" s="24" t="str">
        <f>'Source Table'!$B$11</f>
        <v>Hospitals</v>
      </c>
      <c r="G96" s="24" t="str">
        <f>'Source Table'!$E$11</f>
        <v>المستشفيات</v>
      </c>
      <c r="H96" s="16" t="s">
        <v>125</v>
      </c>
      <c r="I96" s="32" t="s">
        <v>124</v>
      </c>
      <c r="J96">
        <v>44.1</v>
      </c>
      <c r="K96">
        <v>2021</v>
      </c>
    </row>
    <row r="97" spans="1:11" ht="18.75">
      <c r="A97" t="s">
        <v>105</v>
      </c>
      <c r="B97" t="s">
        <v>106</v>
      </c>
      <c r="C97" s="15" t="s">
        <v>30</v>
      </c>
      <c r="D97" s="23" t="s">
        <v>107</v>
      </c>
      <c r="E97" s="16" t="s">
        <v>108</v>
      </c>
      <c r="F97" s="24" t="str">
        <f>'Source Table'!$B$12</f>
        <v>Services</v>
      </c>
      <c r="G97" s="24" t="str">
        <f>'Source Table'!$E$12</f>
        <v>الخدمات</v>
      </c>
      <c r="H97" s="16" t="s">
        <v>125</v>
      </c>
      <c r="I97" s="32" t="s">
        <v>124</v>
      </c>
      <c r="J97">
        <v>0.6</v>
      </c>
      <c r="K97">
        <v>2021</v>
      </c>
    </row>
    <row r="98" spans="1:11" ht="18.75">
      <c r="A98" t="s">
        <v>105</v>
      </c>
      <c r="B98" t="s">
        <v>106</v>
      </c>
      <c r="C98" s="15" t="s">
        <v>30</v>
      </c>
      <c r="D98" s="23" t="s">
        <v>107</v>
      </c>
      <c r="E98" s="16" t="s">
        <v>108</v>
      </c>
      <c r="F98" s="24" t="str">
        <f>'Source Table'!$B$13</f>
        <v>Information Technology</v>
      </c>
      <c r="G98" s="24" t="str">
        <f>'Source Table'!$E$13</f>
        <v>تكنولوجيا المعلومات</v>
      </c>
      <c r="H98" s="16" t="s">
        <v>125</v>
      </c>
      <c r="I98" s="32" t="s">
        <v>124</v>
      </c>
      <c r="J98">
        <v>40.1</v>
      </c>
      <c r="K98">
        <v>2021</v>
      </c>
    </row>
    <row r="99" spans="1:11" ht="18.75">
      <c r="A99" t="s">
        <v>105</v>
      </c>
      <c r="B99" t="s">
        <v>106</v>
      </c>
      <c r="C99" s="15" t="s">
        <v>30</v>
      </c>
      <c r="D99" s="23" t="s">
        <v>107</v>
      </c>
      <c r="E99" s="16" t="s">
        <v>108</v>
      </c>
      <c r="F99" s="24" t="str">
        <f>'Source Table'!$B$14</f>
        <v>Artistic production</v>
      </c>
      <c r="G99" s="24" t="str">
        <f>'Source Table'!$E$14</f>
        <v>انتاج فني</v>
      </c>
      <c r="H99" s="16" t="s">
        <v>125</v>
      </c>
      <c r="I99" s="32" t="s">
        <v>124</v>
      </c>
      <c r="J99">
        <v>8.5</v>
      </c>
      <c r="K99">
        <v>2021</v>
      </c>
    </row>
    <row r="100" spans="1:11" ht="18.75">
      <c r="A100" t="s">
        <v>105</v>
      </c>
      <c r="B100" t="s">
        <v>106</v>
      </c>
      <c r="C100" s="15" t="s">
        <v>30</v>
      </c>
      <c r="D100" s="23" t="s">
        <v>107</v>
      </c>
      <c r="E100" s="16" t="s">
        <v>108</v>
      </c>
      <c r="F100" s="24" t="str">
        <f>'Source Table'!$B$15</f>
        <v>Gas transportation and distribution</v>
      </c>
      <c r="G100" s="24" t="str">
        <f>'Source Table'!$E$15</f>
        <v>نقل وتوزيع الغاز</v>
      </c>
      <c r="H100" s="16" t="s">
        <v>125</v>
      </c>
      <c r="I100" s="32" t="s">
        <v>124</v>
      </c>
      <c r="J100">
        <v>0</v>
      </c>
      <c r="K100">
        <v>2021</v>
      </c>
    </row>
    <row r="101" spans="1:11" ht="18.75">
      <c r="A101" t="s">
        <v>105</v>
      </c>
      <c r="B101" t="s">
        <v>106</v>
      </c>
      <c r="C101" s="15" t="s">
        <v>30</v>
      </c>
      <c r="D101" s="23" t="s">
        <v>107</v>
      </c>
      <c r="E101" s="16" t="s">
        <v>108</v>
      </c>
      <c r="F101" s="24" t="str">
        <f>'Source Table'!$B$16</f>
        <v>call centers</v>
      </c>
      <c r="G101" s="24" t="str">
        <f>'Source Table'!$E$16</f>
        <v>مراكز اتصال</v>
      </c>
      <c r="H101" s="16" t="s">
        <v>125</v>
      </c>
      <c r="I101" s="32" t="s">
        <v>124</v>
      </c>
      <c r="J101">
        <v>0</v>
      </c>
      <c r="K101">
        <v>2021</v>
      </c>
    </row>
    <row r="102" spans="1:11" ht="18.75">
      <c r="A102" t="s">
        <v>105</v>
      </c>
      <c r="B102" t="s">
        <v>106</v>
      </c>
      <c r="C102" s="15" t="s">
        <v>30</v>
      </c>
      <c r="D102" s="23" t="s">
        <v>107</v>
      </c>
      <c r="E102" s="16" t="s">
        <v>108</v>
      </c>
      <c r="F102" s="24" t="str">
        <f>'Source Table'!$B$17</f>
        <v>Scientific research centers</v>
      </c>
      <c r="G102" s="24" t="str">
        <f>'Source Table'!$E$17</f>
        <v>مراكز بحث علمي</v>
      </c>
      <c r="H102" s="16" t="s">
        <v>125</v>
      </c>
      <c r="I102" s="32" t="s">
        <v>124</v>
      </c>
      <c r="J102">
        <v>0.9</v>
      </c>
      <c r="K102">
        <v>2021</v>
      </c>
    </row>
    <row r="103" spans="1:11" ht="15">
      <c r="A103" t="s">
        <v>105</v>
      </c>
      <c r="B103" t="s">
        <v>106</v>
      </c>
      <c r="C103" s="15" t="s">
        <v>30</v>
      </c>
      <c r="D103" s="23" t="s">
        <v>107</v>
      </c>
      <c r="E103" s="16" t="s">
        <v>108</v>
      </c>
      <c r="F103" s="24" t="str">
        <f>'Source Table'!$B$7</f>
        <v>Industry</v>
      </c>
      <c r="G103" s="24" t="str">
        <f>'Source Table'!$E$7</f>
        <v>الصناعة</v>
      </c>
      <c r="H103" s="24" t="str">
        <f>'Source Table'!$D$6</f>
        <v>local investment</v>
      </c>
      <c r="I103" s="24" t="str">
        <f>'Source Table'!$D$5</f>
        <v>الاستثمار المحلي</v>
      </c>
      <c r="J103">
        <v>367.35</v>
      </c>
      <c r="K103">
        <v>2020</v>
      </c>
    </row>
    <row r="104" spans="1:11" ht="15">
      <c r="A104" t="s">
        <v>105</v>
      </c>
      <c r="B104" t="s">
        <v>106</v>
      </c>
      <c r="C104" s="15" t="s">
        <v>30</v>
      </c>
      <c r="D104" s="23" t="s">
        <v>107</v>
      </c>
      <c r="E104" s="16" t="s">
        <v>108</v>
      </c>
      <c r="F104" s="24" t="str">
        <f>'Source Table'!$B$8</f>
        <v>Commerce</v>
      </c>
      <c r="G104" s="24" t="str">
        <f>'Source Table'!$E$8</f>
        <v>التجارة</v>
      </c>
      <c r="H104" s="24" t="str">
        <f>'Source Table'!$D$6</f>
        <v>local investment</v>
      </c>
      <c r="I104" s="24" t="str">
        <f>'Source Table'!$D$5</f>
        <v>الاستثمار المحلي</v>
      </c>
      <c r="K104">
        <v>2020</v>
      </c>
    </row>
    <row r="105" spans="1:11" ht="15">
      <c r="A105" t="s">
        <v>105</v>
      </c>
      <c r="B105" t="s">
        <v>106</v>
      </c>
      <c r="C105" s="15" t="s">
        <v>30</v>
      </c>
      <c r="D105" s="23" t="s">
        <v>107</v>
      </c>
      <c r="E105" s="16" t="s">
        <v>108</v>
      </c>
      <c r="F105" s="24" t="str">
        <f>'Source Table'!$B$9</f>
        <v>Tourism</v>
      </c>
      <c r="G105" s="24" t="str">
        <f>'Source Table'!$E$9</f>
        <v>السياحة</v>
      </c>
      <c r="H105" s="24" t="str">
        <f>'Source Table'!$D$6</f>
        <v>local investment</v>
      </c>
      <c r="I105" s="24" t="str">
        <f>'Source Table'!$D$5</f>
        <v>الاستثمار المحلي</v>
      </c>
      <c r="J105">
        <v>23.93</v>
      </c>
      <c r="K105">
        <v>2020</v>
      </c>
    </row>
    <row r="106" spans="1:11" ht="15">
      <c r="A106" t="s">
        <v>105</v>
      </c>
      <c r="B106" t="s">
        <v>106</v>
      </c>
      <c r="C106" s="15" t="s">
        <v>30</v>
      </c>
      <c r="D106" s="23" t="s">
        <v>107</v>
      </c>
      <c r="E106" s="16" t="s">
        <v>108</v>
      </c>
      <c r="F106" s="24" t="str">
        <f>'Source Table'!$B$10</f>
        <v>Agriculture</v>
      </c>
      <c r="G106" s="24" t="str">
        <f>'Source Table'!$E$10</f>
        <v>الزراعة</v>
      </c>
      <c r="H106" s="24" t="str">
        <f>'Source Table'!$D$6</f>
        <v>local investment</v>
      </c>
      <c r="I106" s="24" t="str">
        <f>'Source Table'!$D$5</f>
        <v>الاستثمار المحلي</v>
      </c>
      <c r="J106">
        <v>39.630000000000003</v>
      </c>
      <c r="K106">
        <v>2020</v>
      </c>
    </row>
    <row r="107" spans="1:11" ht="15">
      <c r="A107" t="s">
        <v>105</v>
      </c>
      <c r="B107" t="s">
        <v>106</v>
      </c>
      <c r="C107" s="15" t="s">
        <v>30</v>
      </c>
      <c r="D107" s="23" t="s">
        <v>107</v>
      </c>
      <c r="E107" s="16" t="s">
        <v>108</v>
      </c>
      <c r="F107" s="24" t="str">
        <f>'Source Table'!$B$11</f>
        <v>Hospitals</v>
      </c>
      <c r="G107" s="24" t="str">
        <f>'Source Table'!$E$11</f>
        <v>المستشفيات</v>
      </c>
      <c r="H107" s="24" t="str">
        <f>'Source Table'!$D$6</f>
        <v>local investment</v>
      </c>
      <c r="I107" s="24" t="str">
        <f>'Source Table'!$D$5</f>
        <v>الاستثمار المحلي</v>
      </c>
      <c r="J107">
        <v>105.99</v>
      </c>
      <c r="K107">
        <v>2020</v>
      </c>
    </row>
    <row r="108" spans="1:11" ht="15">
      <c r="A108" t="s">
        <v>105</v>
      </c>
      <c r="B108" t="s">
        <v>106</v>
      </c>
      <c r="C108" s="15" t="s">
        <v>30</v>
      </c>
      <c r="D108" s="23" t="s">
        <v>107</v>
      </c>
      <c r="E108" s="16" t="s">
        <v>108</v>
      </c>
      <c r="F108" s="24" t="str">
        <f>'Source Table'!$B$12</f>
        <v>Services</v>
      </c>
      <c r="G108" s="24" t="str">
        <f>'Source Table'!$E$12</f>
        <v>الخدمات</v>
      </c>
      <c r="H108" s="24" t="str">
        <f>'Source Table'!$D$6</f>
        <v>local investment</v>
      </c>
      <c r="I108" s="24" t="str">
        <f>'Source Table'!$D$5</f>
        <v>الاستثمار المحلي</v>
      </c>
      <c r="J108">
        <v>0</v>
      </c>
      <c r="K108">
        <v>2020</v>
      </c>
    </row>
    <row r="109" spans="1:11" ht="15">
      <c r="A109" t="s">
        <v>105</v>
      </c>
      <c r="B109" t="s">
        <v>106</v>
      </c>
      <c r="C109" s="15" t="s">
        <v>30</v>
      </c>
      <c r="D109" s="23" t="s">
        <v>107</v>
      </c>
      <c r="E109" s="16" t="s">
        <v>108</v>
      </c>
      <c r="F109" s="24" t="str">
        <f>'Source Table'!$B$13</f>
        <v>Information Technology</v>
      </c>
      <c r="G109" s="24" t="str">
        <f>'Source Table'!$E$13</f>
        <v>تكنولوجيا المعلومات</v>
      </c>
      <c r="H109" s="24" t="str">
        <f>'Source Table'!$D$6</f>
        <v>local investment</v>
      </c>
      <c r="I109" s="24" t="str">
        <f>'Source Table'!$D$5</f>
        <v>الاستثمار المحلي</v>
      </c>
      <c r="J109">
        <v>28.65</v>
      </c>
      <c r="K109">
        <v>2020</v>
      </c>
    </row>
    <row r="110" spans="1:11" ht="15">
      <c r="A110" t="s">
        <v>105</v>
      </c>
      <c r="B110" t="s">
        <v>106</v>
      </c>
      <c r="C110" s="15" t="s">
        <v>30</v>
      </c>
      <c r="D110" s="23" t="s">
        <v>107</v>
      </c>
      <c r="E110" s="16" t="s">
        <v>108</v>
      </c>
      <c r="F110" s="24" t="str">
        <f>'Source Table'!$B$14</f>
        <v>Artistic production</v>
      </c>
      <c r="G110" s="24" t="str">
        <f>'Source Table'!$E$14</f>
        <v>انتاج فني</v>
      </c>
      <c r="H110" s="24" t="str">
        <f>'Source Table'!$D$6</f>
        <v>local investment</v>
      </c>
      <c r="I110" s="24" t="str">
        <f>'Source Table'!$D$5</f>
        <v>الاستثمار المحلي</v>
      </c>
      <c r="J110">
        <v>1.32</v>
      </c>
      <c r="K110">
        <v>2020</v>
      </c>
    </row>
    <row r="111" spans="1:11" ht="15">
      <c r="A111" t="s">
        <v>105</v>
      </c>
      <c r="B111" t="s">
        <v>106</v>
      </c>
      <c r="C111" s="15" t="s">
        <v>30</v>
      </c>
      <c r="D111" s="23" t="s">
        <v>107</v>
      </c>
      <c r="E111" s="16" t="s">
        <v>108</v>
      </c>
      <c r="F111" s="24" t="str">
        <f>'Source Table'!$B$15</f>
        <v>Gas transportation and distribution</v>
      </c>
      <c r="G111" s="24" t="str">
        <f>'Source Table'!$E$15</f>
        <v>نقل وتوزيع الغاز</v>
      </c>
      <c r="H111" s="24" t="str">
        <f>'Source Table'!$D$6</f>
        <v>local investment</v>
      </c>
      <c r="I111" s="24" t="str">
        <f>'Source Table'!$D$5</f>
        <v>الاستثمار المحلي</v>
      </c>
      <c r="J111">
        <v>0</v>
      </c>
      <c r="K111">
        <v>2020</v>
      </c>
    </row>
    <row r="112" spans="1:11" ht="15">
      <c r="A112" t="s">
        <v>105</v>
      </c>
      <c r="B112" t="s">
        <v>106</v>
      </c>
      <c r="C112" s="15" t="s">
        <v>30</v>
      </c>
      <c r="D112" s="23" t="s">
        <v>107</v>
      </c>
      <c r="E112" s="16" t="s">
        <v>108</v>
      </c>
      <c r="F112" s="24" t="str">
        <f>'Source Table'!$B$16</f>
        <v>call centers</v>
      </c>
      <c r="G112" s="24" t="str">
        <f>'Source Table'!$E$16</f>
        <v>مراكز اتصال</v>
      </c>
      <c r="H112" s="24" t="str">
        <f>'Source Table'!$D$6</f>
        <v>local investment</v>
      </c>
      <c r="I112" s="24" t="str">
        <f>'Source Table'!$D$5</f>
        <v>الاستثمار المحلي</v>
      </c>
      <c r="J112">
        <v>0</v>
      </c>
      <c r="K112">
        <v>2020</v>
      </c>
    </row>
    <row r="113" spans="1:11" ht="15">
      <c r="A113" t="s">
        <v>105</v>
      </c>
      <c r="B113" t="s">
        <v>106</v>
      </c>
      <c r="C113" s="15" t="s">
        <v>30</v>
      </c>
      <c r="D113" s="23" t="s">
        <v>107</v>
      </c>
      <c r="E113" s="16" t="s">
        <v>108</v>
      </c>
      <c r="F113" s="24" t="str">
        <f>'Source Table'!$B$17</f>
        <v>Scientific research centers</v>
      </c>
      <c r="G113" s="24" t="str">
        <f>'Source Table'!$E$17</f>
        <v>مراكز بحث علمي</v>
      </c>
      <c r="H113" s="24" t="str">
        <f>'Source Table'!$D$6</f>
        <v>local investment</v>
      </c>
      <c r="I113" s="24" t="str">
        <f>'Source Table'!$D$5</f>
        <v>الاستثمار المحلي</v>
      </c>
      <c r="J113">
        <v>0</v>
      </c>
      <c r="K113">
        <v>2020</v>
      </c>
    </row>
    <row r="114" spans="1:11" ht="15">
      <c r="A114" t="s">
        <v>105</v>
      </c>
      <c r="B114" t="s">
        <v>106</v>
      </c>
      <c r="C114" s="15" t="s">
        <v>30</v>
      </c>
      <c r="D114" s="23" t="s">
        <v>107</v>
      </c>
      <c r="E114" s="16" t="s">
        <v>108</v>
      </c>
      <c r="F114" s="24" t="str">
        <f>'Source Table'!$B$7</f>
        <v>Industry</v>
      </c>
      <c r="G114" s="24" t="str">
        <f>'Source Table'!$E$7</f>
        <v>الصناعة</v>
      </c>
      <c r="H114" s="24" t="str">
        <f>'Source Table'!$C$6</f>
        <v>Foreign investment</v>
      </c>
      <c r="I114" s="24" t="str">
        <f>'Source Table'!$C$5</f>
        <v>الاستثمار الاجنبي</v>
      </c>
      <c r="J114">
        <v>36.79</v>
      </c>
      <c r="K114">
        <v>2020</v>
      </c>
    </row>
    <row r="115" spans="1:11" ht="15">
      <c r="A115" t="s">
        <v>105</v>
      </c>
      <c r="B115" t="s">
        <v>106</v>
      </c>
      <c r="C115" s="15" t="s">
        <v>30</v>
      </c>
      <c r="D115" s="23" t="s">
        <v>107</v>
      </c>
      <c r="E115" s="16" t="s">
        <v>108</v>
      </c>
      <c r="F115" s="24" t="str">
        <f>'Source Table'!$B$8</f>
        <v>Commerce</v>
      </c>
      <c r="G115" s="24" t="str">
        <f>'Source Table'!$E$8</f>
        <v>التجارة</v>
      </c>
      <c r="H115" s="24" t="str">
        <f>'Source Table'!$C$6</f>
        <v>Foreign investment</v>
      </c>
      <c r="I115" s="24" t="str">
        <f>'Source Table'!$C$5</f>
        <v>الاستثمار الاجنبي</v>
      </c>
      <c r="K115">
        <v>2020</v>
      </c>
    </row>
    <row r="116" spans="1:11" ht="15">
      <c r="A116" t="s">
        <v>105</v>
      </c>
      <c r="B116" t="s">
        <v>106</v>
      </c>
      <c r="C116" s="15" t="s">
        <v>30</v>
      </c>
      <c r="D116" s="23" t="s">
        <v>107</v>
      </c>
      <c r="E116" s="16" t="s">
        <v>108</v>
      </c>
      <c r="F116" s="24" t="str">
        <f>'Source Table'!$B$9</f>
        <v>Tourism</v>
      </c>
      <c r="G116" s="24" t="str">
        <f>'Source Table'!$E$9</f>
        <v>السياحة</v>
      </c>
      <c r="H116" s="24" t="str">
        <f>'Source Table'!$C$6</f>
        <v>Foreign investment</v>
      </c>
      <c r="I116" s="24" t="str">
        <f>'Source Table'!$C$5</f>
        <v>الاستثمار الاجنبي</v>
      </c>
      <c r="J116">
        <v>1.7</v>
      </c>
      <c r="K116">
        <v>2020</v>
      </c>
    </row>
    <row r="117" spans="1:11" ht="15">
      <c r="A117" t="s">
        <v>105</v>
      </c>
      <c r="B117" t="s">
        <v>106</v>
      </c>
      <c r="C117" s="15" t="s">
        <v>30</v>
      </c>
      <c r="D117" s="23" t="s">
        <v>107</v>
      </c>
      <c r="E117" s="16" t="s">
        <v>108</v>
      </c>
      <c r="F117" s="24" t="str">
        <f>'Source Table'!$B$10</f>
        <v>Agriculture</v>
      </c>
      <c r="G117" s="24" t="str">
        <f>'Source Table'!$E$10</f>
        <v>الزراعة</v>
      </c>
      <c r="H117" s="24" t="str">
        <f>'Source Table'!$C$6</f>
        <v>Foreign investment</v>
      </c>
      <c r="I117" s="24" t="str">
        <f>'Source Table'!$C$5</f>
        <v>الاستثمار الاجنبي</v>
      </c>
      <c r="J117">
        <v>3.5</v>
      </c>
      <c r="K117">
        <v>2020</v>
      </c>
    </row>
    <row r="118" spans="1:11" ht="15">
      <c r="A118" t="s">
        <v>105</v>
      </c>
      <c r="B118" t="s">
        <v>106</v>
      </c>
      <c r="C118" s="15" t="s">
        <v>30</v>
      </c>
      <c r="D118" s="23" t="s">
        <v>107</v>
      </c>
      <c r="E118" s="16" t="s">
        <v>108</v>
      </c>
      <c r="F118" s="24" t="str">
        <f>'Source Table'!$B$11</f>
        <v>Hospitals</v>
      </c>
      <c r="G118" s="24" t="str">
        <f>'Source Table'!$E$11</f>
        <v>المستشفيات</v>
      </c>
      <c r="H118" s="24" t="str">
        <f>'Source Table'!$C$6</f>
        <v>Foreign investment</v>
      </c>
      <c r="I118" s="24" t="str">
        <f>'Source Table'!$C$5</f>
        <v>الاستثمار الاجنبي</v>
      </c>
      <c r="J118">
        <v>5.96</v>
      </c>
      <c r="K118">
        <v>2020</v>
      </c>
    </row>
    <row r="119" spans="1:11" ht="15">
      <c r="A119" t="s">
        <v>105</v>
      </c>
      <c r="B119" t="s">
        <v>106</v>
      </c>
      <c r="C119" s="15" t="s">
        <v>30</v>
      </c>
      <c r="D119" s="23" t="s">
        <v>107</v>
      </c>
      <c r="E119" s="16" t="s">
        <v>108</v>
      </c>
      <c r="F119" s="24" t="str">
        <f>'Source Table'!$B$12</f>
        <v>Services</v>
      </c>
      <c r="G119" s="24" t="str">
        <f>'Source Table'!$E$12</f>
        <v>الخدمات</v>
      </c>
      <c r="H119" s="24" t="str">
        <f>'Source Table'!$C$6</f>
        <v>Foreign investment</v>
      </c>
      <c r="I119" s="24" t="str">
        <f>'Source Table'!$C$5</f>
        <v>الاستثمار الاجنبي</v>
      </c>
      <c r="J119">
        <v>0</v>
      </c>
      <c r="K119">
        <v>2020</v>
      </c>
    </row>
    <row r="120" spans="1:11" ht="15">
      <c r="A120" t="s">
        <v>105</v>
      </c>
      <c r="B120" t="s">
        <v>106</v>
      </c>
      <c r="C120" s="15" t="s">
        <v>30</v>
      </c>
      <c r="D120" s="23" t="s">
        <v>107</v>
      </c>
      <c r="E120" s="16" t="s">
        <v>108</v>
      </c>
      <c r="F120" s="24" t="str">
        <f>'Source Table'!$B$13</f>
        <v>Information Technology</v>
      </c>
      <c r="G120" s="24" t="str">
        <f>'Source Table'!$E$13</f>
        <v>تكنولوجيا المعلومات</v>
      </c>
      <c r="H120" s="24" t="str">
        <f>'Source Table'!$C$6</f>
        <v>Foreign investment</v>
      </c>
      <c r="I120" s="24" t="str">
        <f>'Source Table'!$C$5</f>
        <v>الاستثمار الاجنبي</v>
      </c>
      <c r="J120">
        <v>3.59</v>
      </c>
      <c r="K120">
        <v>2020</v>
      </c>
    </row>
    <row r="121" spans="1:11" ht="15">
      <c r="A121" t="s">
        <v>105</v>
      </c>
      <c r="B121" t="s">
        <v>106</v>
      </c>
      <c r="C121" s="15" t="s">
        <v>30</v>
      </c>
      <c r="D121" s="23" t="s">
        <v>107</v>
      </c>
      <c r="E121" s="16" t="s">
        <v>108</v>
      </c>
      <c r="F121" s="24" t="str">
        <f>'Source Table'!$B$14</f>
        <v>Artistic production</v>
      </c>
      <c r="G121" s="24" t="str">
        <f>'Source Table'!$E$14</f>
        <v>انتاج فني</v>
      </c>
      <c r="H121" s="24" t="str">
        <f>'Source Table'!$C$6</f>
        <v>Foreign investment</v>
      </c>
      <c r="I121" s="24" t="str">
        <f>'Source Table'!$C$5</f>
        <v>الاستثمار الاجنبي</v>
      </c>
      <c r="J121">
        <v>0</v>
      </c>
      <c r="K121">
        <v>2020</v>
      </c>
    </row>
    <row r="122" spans="1:11" ht="15">
      <c r="A122" t="s">
        <v>105</v>
      </c>
      <c r="B122" t="s">
        <v>106</v>
      </c>
      <c r="C122" s="15" t="s">
        <v>30</v>
      </c>
      <c r="D122" s="23" t="s">
        <v>107</v>
      </c>
      <c r="E122" s="16" t="s">
        <v>108</v>
      </c>
      <c r="F122" s="24" t="str">
        <f>'Source Table'!$B$15</f>
        <v>Gas transportation and distribution</v>
      </c>
      <c r="G122" s="24" t="str">
        <f>'Source Table'!$E$15</f>
        <v>نقل وتوزيع الغاز</v>
      </c>
      <c r="H122" s="24" t="str">
        <f>'Source Table'!$C$6</f>
        <v>Foreign investment</v>
      </c>
      <c r="I122" s="24" t="str">
        <f>'Source Table'!$C$5</f>
        <v>الاستثمار الاجنبي</v>
      </c>
      <c r="J122">
        <v>0</v>
      </c>
      <c r="K122">
        <v>2020</v>
      </c>
    </row>
    <row r="123" spans="1:11" ht="15">
      <c r="A123" t="s">
        <v>105</v>
      </c>
      <c r="B123" t="s">
        <v>106</v>
      </c>
      <c r="C123" s="15" t="s">
        <v>30</v>
      </c>
      <c r="D123" s="23" t="s">
        <v>107</v>
      </c>
      <c r="E123" s="16" t="s">
        <v>108</v>
      </c>
      <c r="F123" s="24" t="str">
        <f>'Source Table'!$B$16</f>
        <v>call centers</v>
      </c>
      <c r="G123" s="24" t="str">
        <f>'Source Table'!$E$16</f>
        <v>مراكز اتصال</v>
      </c>
      <c r="H123" s="24" t="str">
        <f>'Source Table'!$C$6</f>
        <v>Foreign investment</v>
      </c>
      <c r="I123" s="24" t="str">
        <f>'Source Table'!$C$5</f>
        <v>الاستثمار الاجنبي</v>
      </c>
      <c r="J123">
        <v>0</v>
      </c>
      <c r="K123">
        <v>2020</v>
      </c>
    </row>
    <row r="124" spans="1:11" ht="15">
      <c r="A124" t="s">
        <v>105</v>
      </c>
      <c r="B124" t="s">
        <v>106</v>
      </c>
      <c r="C124" s="15" t="s">
        <v>30</v>
      </c>
      <c r="D124" s="23" t="s">
        <v>107</v>
      </c>
      <c r="E124" s="16" t="s">
        <v>108</v>
      </c>
      <c r="F124" s="24" t="str">
        <f>'Source Table'!$B$17</f>
        <v>Scientific research centers</v>
      </c>
      <c r="G124" s="24" t="str">
        <f>'Source Table'!$E$17</f>
        <v>مراكز بحث علمي</v>
      </c>
      <c r="H124" s="24" t="str">
        <f>'Source Table'!$C$6</f>
        <v>Foreign investment</v>
      </c>
      <c r="I124" s="24" t="str">
        <f>'Source Table'!$C$5</f>
        <v>الاستثمار الاجنبي</v>
      </c>
      <c r="J124">
        <v>0</v>
      </c>
      <c r="K124">
        <v>2020</v>
      </c>
    </row>
    <row r="125" spans="1:11" ht="18.75">
      <c r="A125" t="s">
        <v>105</v>
      </c>
      <c r="B125" t="s">
        <v>106</v>
      </c>
      <c r="C125" s="15" t="s">
        <v>30</v>
      </c>
      <c r="D125" s="23" t="s">
        <v>107</v>
      </c>
      <c r="E125" s="16" t="s">
        <v>108</v>
      </c>
      <c r="F125" s="24" t="str">
        <f>'Source Table'!$B$7</f>
        <v>Industry</v>
      </c>
      <c r="G125" s="24" t="str">
        <f>'Source Table'!$E$7</f>
        <v>الصناعة</v>
      </c>
      <c r="H125" s="16" t="s">
        <v>125</v>
      </c>
      <c r="I125" s="32" t="s">
        <v>124</v>
      </c>
      <c r="J125">
        <v>404.1</v>
      </c>
      <c r="K125">
        <v>2020</v>
      </c>
    </row>
    <row r="126" spans="1:11" ht="18.75">
      <c r="A126" t="s">
        <v>105</v>
      </c>
      <c r="B126" t="s">
        <v>106</v>
      </c>
      <c r="C126" s="15" t="s">
        <v>30</v>
      </c>
      <c r="D126" s="23" t="s">
        <v>107</v>
      </c>
      <c r="E126" s="16" t="s">
        <v>108</v>
      </c>
      <c r="F126" s="24" t="str">
        <f>'Source Table'!$B$8</f>
        <v>Commerce</v>
      </c>
      <c r="G126" s="24" t="str">
        <f>'Source Table'!$E$8</f>
        <v>التجارة</v>
      </c>
      <c r="H126" s="16" t="s">
        <v>125</v>
      </c>
      <c r="I126" s="32" t="s">
        <v>124</v>
      </c>
      <c r="K126">
        <v>2020</v>
      </c>
    </row>
    <row r="127" spans="1:11" ht="18.75">
      <c r="A127" t="s">
        <v>105</v>
      </c>
      <c r="B127" t="s">
        <v>106</v>
      </c>
      <c r="C127" s="15" t="s">
        <v>30</v>
      </c>
      <c r="D127" s="23" t="s">
        <v>107</v>
      </c>
      <c r="E127" s="16" t="s">
        <v>108</v>
      </c>
      <c r="F127" s="24" t="str">
        <f>'Source Table'!$B$9</f>
        <v>Tourism</v>
      </c>
      <c r="G127" s="24" t="str">
        <f>'Source Table'!$E$9</f>
        <v>السياحة</v>
      </c>
      <c r="H127" s="16" t="s">
        <v>125</v>
      </c>
      <c r="I127" s="32" t="s">
        <v>124</v>
      </c>
      <c r="J127">
        <v>25.6</v>
      </c>
      <c r="K127">
        <v>2020</v>
      </c>
    </row>
    <row r="128" spans="1:11" ht="18.75">
      <c r="A128" t="s">
        <v>105</v>
      </c>
      <c r="B128" t="s">
        <v>106</v>
      </c>
      <c r="C128" s="15" t="s">
        <v>30</v>
      </c>
      <c r="D128" s="23" t="s">
        <v>107</v>
      </c>
      <c r="E128" s="16" t="s">
        <v>108</v>
      </c>
      <c r="F128" s="24" t="str">
        <f>'Source Table'!$B$10</f>
        <v>Agriculture</v>
      </c>
      <c r="G128" s="24" t="str">
        <f>'Source Table'!$E$10</f>
        <v>الزراعة</v>
      </c>
      <c r="H128" s="16" t="s">
        <v>125</v>
      </c>
      <c r="I128" s="32" t="s">
        <v>124</v>
      </c>
      <c r="J128">
        <v>43.1</v>
      </c>
      <c r="K128">
        <v>2020</v>
      </c>
    </row>
    <row r="129" spans="1:11" ht="18.75">
      <c r="A129" t="s">
        <v>105</v>
      </c>
      <c r="B129" t="s">
        <v>106</v>
      </c>
      <c r="C129" s="15" t="s">
        <v>30</v>
      </c>
      <c r="D129" s="23" t="s">
        <v>107</v>
      </c>
      <c r="E129" s="16" t="s">
        <v>108</v>
      </c>
      <c r="F129" s="24" t="str">
        <f>'Source Table'!$B$11</f>
        <v>Hospitals</v>
      </c>
      <c r="G129" s="24" t="str">
        <f>'Source Table'!$E$11</f>
        <v>المستشفيات</v>
      </c>
      <c r="H129" s="16" t="s">
        <v>125</v>
      </c>
      <c r="I129" s="32" t="s">
        <v>124</v>
      </c>
      <c r="J129">
        <v>112</v>
      </c>
      <c r="K129">
        <v>2020</v>
      </c>
    </row>
    <row r="130" spans="1:11" ht="18.75">
      <c r="A130" t="s">
        <v>105</v>
      </c>
      <c r="B130" t="s">
        <v>106</v>
      </c>
      <c r="C130" s="15" t="s">
        <v>30</v>
      </c>
      <c r="D130" s="23" t="s">
        <v>107</v>
      </c>
      <c r="E130" s="16" t="s">
        <v>108</v>
      </c>
      <c r="F130" s="24" t="str">
        <f>'Source Table'!$B$12</f>
        <v>Services</v>
      </c>
      <c r="G130" s="24" t="str">
        <f>'Source Table'!$E$12</f>
        <v>الخدمات</v>
      </c>
      <c r="H130" s="16" t="s">
        <v>125</v>
      </c>
      <c r="I130" s="32" t="s">
        <v>124</v>
      </c>
      <c r="J130">
        <v>0</v>
      </c>
      <c r="K130">
        <v>2020</v>
      </c>
    </row>
    <row r="131" spans="1:11" ht="18.75">
      <c r="A131" t="s">
        <v>105</v>
      </c>
      <c r="B131" t="s">
        <v>106</v>
      </c>
      <c r="C131" s="15" t="s">
        <v>30</v>
      </c>
      <c r="D131" s="23" t="s">
        <v>107</v>
      </c>
      <c r="E131" s="16" t="s">
        <v>108</v>
      </c>
      <c r="F131" s="24" t="str">
        <f>'Source Table'!$B$13</f>
        <v>Information Technology</v>
      </c>
      <c r="G131" s="24" t="str">
        <f>'Source Table'!$E$13</f>
        <v>تكنولوجيا المعلومات</v>
      </c>
      <c r="H131" s="16" t="s">
        <v>125</v>
      </c>
      <c r="I131" s="32" t="s">
        <v>124</v>
      </c>
      <c r="J131">
        <v>32.200000000000003</v>
      </c>
      <c r="K131">
        <v>2020</v>
      </c>
    </row>
    <row r="132" spans="1:11" ht="18.75">
      <c r="A132" t="s">
        <v>105</v>
      </c>
      <c r="B132" t="s">
        <v>106</v>
      </c>
      <c r="C132" s="15" t="s">
        <v>30</v>
      </c>
      <c r="D132" s="23" t="s">
        <v>107</v>
      </c>
      <c r="E132" s="16" t="s">
        <v>108</v>
      </c>
      <c r="F132" s="24" t="str">
        <f>'Source Table'!$B$14</f>
        <v>Artistic production</v>
      </c>
      <c r="G132" s="24" t="str">
        <f>'Source Table'!$E$14</f>
        <v>انتاج فني</v>
      </c>
      <c r="H132" s="16" t="s">
        <v>125</v>
      </c>
      <c r="I132" s="32" t="s">
        <v>124</v>
      </c>
      <c r="J132">
        <v>1.3</v>
      </c>
      <c r="K132">
        <v>2020</v>
      </c>
    </row>
    <row r="133" spans="1:11" ht="18.75">
      <c r="A133" t="s">
        <v>105</v>
      </c>
      <c r="B133" t="s">
        <v>106</v>
      </c>
      <c r="C133" s="15" t="s">
        <v>30</v>
      </c>
      <c r="D133" s="23" t="s">
        <v>107</v>
      </c>
      <c r="E133" s="16" t="s">
        <v>108</v>
      </c>
      <c r="F133" s="24" t="str">
        <f>'Source Table'!$B$15</f>
        <v>Gas transportation and distribution</v>
      </c>
      <c r="G133" s="24" t="str">
        <f>'Source Table'!$E$15</f>
        <v>نقل وتوزيع الغاز</v>
      </c>
      <c r="H133" s="16" t="s">
        <v>125</v>
      </c>
      <c r="I133" s="32" t="s">
        <v>124</v>
      </c>
      <c r="J133">
        <v>0</v>
      </c>
      <c r="K133">
        <v>2020</v>
      </c>
    </row>
    <row r="134" spans="1:11" ht="18.75">
      <c r="A134" t="s">
        <v>105</v>
      </c>
      <c r="B134" t="s">
        <v>106</v>
      </c>
      <c r="C134" s="15" t="s">
        <v>30</v>
      </c>
      <c r="D134" s="23" t="s">
        <v>107</v>
      </c>
      <c r="E134" s="16" t="s">
        <v>108</v>
      </c>
      <c r="F134" s="24" t="str">
        <f>'Source Table'!$B$16</f>
        <v>call centers</v>
      </c>
      <c r="G134" s="24" t="str">
        <f>'Source Table'!$E$16</f>
        <v>مراكز اتصال</v>
      </c>
      <c r="H134" s="16" t="s">
        <v>125</v>
      </c>
      <c r="I134" s="32" t="s">
        <v>124</v>
      </c>
      <c r="J134">
        <v>0</v>
      </c>
      <c r="K134">
        <v>2020</v>
      </c>
    </row>
    <row r="135" spans="1:11" ht="18.75">
      <c r="A135" t="s">
        <v>105</v>
      </c>
      <c r="B135" t="s">
        <v>106</v>
      </c>
      <c r="C135" s="15" t="s">
        <v>30</v>
      </c>
      <c r="D135" s="23" t="s">
        <v>107</v>
      </c>
      <c r="E135" s="16" t="s">
        <v>108</v>
      </c>
      <c r="F135" s="24" t="str">
        <f>'Source Table'!$B$17</f>
        <v>Scientific research centers</v>
      </c>
      <c r="G135" s="24" t="str">
        <f>'Source Table'!$E$17</f>
        <v>مراكز بحث علمي</v>
      </c>
      <c r="H135" s="16" t="s">
        <v>125</v>
      </c>
      <c r="I135" s="32" t="s">
        <v>124</v>
      </c>
      <c r="J135">
        <v>0</v>
      </c>
      <c r="K135">
        <v>2020</v>
      </c>
    </row>
    <row r="136" spans="1:11" ht="15">
      <c r="A136" t="s">
        <v>105</v>
      </c>
      <c r="B136" t="s">
        <v>106</v>
      </c>
      <c r="C136" s="15" t="s">
        <v>30</v>
      </c>
      <c r="D136" s="23" t="s">
        <v>107</v>
      </c>
      <c r="E136" s="16" t="s">
        <v>108</v>
      </c>
      <c r="F136" s="24" t="str">
        <f>'Source Table'!$B$7</f>
        <v>Industry</v>
      </c>
      <c r="G136" s="24" t="str">
        <f>'Source Table'!$E$7</f>
        <v>الصناعة</v>
      </c>
      <c r="H136" s="24" t="str">
        <f>'Source Table'!$D$6</f>
        <v>local investment</v>
      </c>
      <c r="I136" s="24" t="str">
        <f>'Source Table'!$D$5</f>
        <v>الاستثمار المحلي</v>
      </c>
      <c r="J136">
        <v>209.6</v>
      </c>
      <c r="K136">
        <v>2019</v>
      </c>
    </row>
    <row r="137" spans="1:11" ht="15">
      <c r="A137" t="s">
        <v>105</v>
      </c>
      <c r="B137" t="s">
        <v>106</v>
      </c>
      <c r="C137" s="15" t="s">
        <v>30</v>
      </c>
      <c r="D137" s="23" t="s">
        <v>107</v>
      </c>
      <c r="E137" s="16" t="s">
        <v>108</v>
      </c>
      <c r="F137" s="24" t="str">
        <f>'Source Table'!$B$8</f>
        <v>Commerce</v>
      </c>
      <c r="G137" s="24" t="str">
        <f>'Source Table'!$E$8</f>
        <v>التجارة</v>
      </c>
      <c r="H137" s="24" t="str">
        <f>'Source Table'!$D$6</f>
        <v>local investment</v>
      </c>
      <c r="I137" s="24" t="str">
        <f>'Source Table'!$D$5</f>
        <v>الاستثمار المحلي</v>
      </c>
      <c r="K137">
        <v>2019</v>
      </c>
    </row>
    <row r="138" spans="1:11" ht="15">
      <c r="A138" t="s">
        <v>105</v>
      </c>
      <c r="B138" t="s">
        <v>106</v>
      </c>
      <c r="C138" s="15" t="s">
        <v>30</v>
      </c>
      <c r="D138" s="23" t="s">
        <v>107</v>
      </c>
      <c r="E138" s="16" t="s">
        <v>108</v>
      </c>
      <c r="F138" s="24" t="str">
        <f>'Source Table'!$B$9</f>
        <v>Tourism</v>
      </c>
      <c r="G138" s="24" t="str">
        <f>'Source Table'!$E$9</f>
        <v>السياحة</v>
      </c>
      <c r="H138" s="24" t="str">
        <f>'Source Table'!$D$6</f>
        <v>local investment</v>
      </c>
      <c r="I138" s="24" t="str">
        <f>'Source Table'!$D$5</f>
        <v>الاستثمار المحلي</v>
      </c>
      <c r="J138">
        <v>56.5</v>
      </c>
      <c r="K138">
        <v>2019</v>
      </c>
    </row>
    <row r="139" spans="1:11" ht="15">
      <c r="A139" t="s">
        <v>105</v>
      </c>
      <c r="B139" t="s">
        <v>106</v>
      </c>
      <c r="C139" s="15" t="s">
        <v>30</v>
      </c>
      <c r="D139" s="23" t="s">
        <v>107</v>
      </c>
      <c r="E139" s="16" t="s">
        <v>108</v>
      </c>
      <c r="F139" s="24" t="str">
        <f>'Source Table'!$B$10</f>
        <v>Agriculture</v>
      </c>
      <c r="G139" s="24" t="str">
        <f>'Source Table'!$E$10</f>
        <v>الزراعة</v>
      </c>
      <c r="H139" s="24" t="str">
        <f>'Source Table'!$D$6</f>
        <v>local investment</v>
      </c>
      <c r="I139" s="24" t="str">
        <f>'Source Table'!$D$5</f>
        <v>الاستثمار المحلي</v>
      </c>
      <c r="J139">
        <v>28.5</v>
      </c>
      <c r="K139">
        <v>2019</v>
      </c>
    </row>
    <row r="140" spans="1:11" ht="15">
      <c r="A140" t="s">
        <v>105</v>
      </c>
      <c r="B140" t="s">
        <v>106</v>
      </c>
      <c r="C140" s="15" t="s">
        <v>30</v>
      </c>
      <c r="D140" s="23" t="s">
        <v>107</v>
      </c>
      <c r="E140" s="16" t="s">
        <v>108</v>
      </c>
      <c r="F140" s="24" t="str">
        <f>'Source Table'!$B$11</f>
        <v>Hospitals</v>
      </c>
      <c r="G140" s="24" t="str">
        <f>'Source Table'!$E$11</f>
        <v>المستشفيات</v>
      </c>
      <c r="H140" s="24" t="str">
        <f>'Source Table'!$D$6</f>
        <v>local investment</v>
      </c>
      <c r="I140" s="24" t="str">
        <f>'Source Table'!$D$5</f>
        <v>الاستثمار المحلي</v>
      </c>
      <c r="J140">
        <v>25</v>
      </c>
      <c r="K140">
        <v>2019</v>
      </c>
    </row>
    <row r="141" spans="1:11" ht="15">
      <c r="A141" t="s">
        <v>105</v>
      </c>
      <c r="B141" t="s">
        <v>106</v>
      </c>
      <c r="C141" s="15" t="s">
        <v>30</v>
      </c>
      <c r="D141" s="23" t="s">
        <v>107</v>
      </c>
      <c r="E141" s="16" t="s">
        <v>108</v>
      </c>
      <c r="F141" s="24" t="str">
        <f>'Source Table'!$B$12</f>
        <v>Services</v>
      </c>
      <c r="G141" s="24" t="str">
        <f>'Source Table'!$E$12</f>
        <v>الخدمات</v>
      </c>
      <c r="H141" s="24" t="str">
        <f>'Source Table'!$D$6</f>
        <v>local investment</v>
      </c>
      <c r="I141" s="24" t="str">
        <f>'Source Table'!$D$5</f>
        <v>الاستثمار المحلي</v>
      </c>
      <c r="J141">
        <v>10</v>
      </c>
      <c r="K141">
        <v>2019</v>
      </c>
    </row>
    <row r="142" spans="1:11" ht="15">
      <c r="A142" t="s">
        <v>105</v>
      </c>
      <c r="B142" t="s">
        <v>106</v>
      </c>
      <c r="C142" s="15" t="s">
        <v>30</v>
      </c>
      <c r="D142" s="23" t="s">
        <v>107</v>
      </c>
      <c r="E142" s="16" t="s">
        <v>108</v>
      </c>
      <c r="F142" s="24" t="str">
        <f>'Source Table'!$B$13</f>
        <v>Information Technology</v>
      </c>
      <c r="G142" s="24" t="str">
        <f>'Source Table'!$E$13</f>
        <v>تكنولوجيا المعلومات</v>
      </c>
      <c r="H142" s="24" t="str">
        <f>'Source Table'!$D$6</f>
        <v>local investment</v>
      </c>
      <c r="I142" s="24" t="str">
        <f>'Source Table'!$D$5</f>
        <v>الاستثمار المحلي</v>
      </c>
      <c r="J142">
        <v>13.4</v>
      </c>
      <c r="K142">
        <v>2019</v>
      </c>
    </row>
    <row r="143" spans="1:11" ht="15">
      <c r="A143" t="s">
        <v>105</v>
      </c>
      <c r="B143" t="s">
        <v>106</v>
      </c>
      <c r="C143" s="15" t="s">
        <v>30</v>
      </c>
      <c r="D143" s="23" t="s">
        <v>107</v>
      </c>
      <c r="E143" s="16" t="s">
        <v>108</v>
      </c>
      <c r="F143" s="24" t="str">
        <f>'Source Table'!$B$14</f>
        <v>Artistic production</v>
      </c>
      <c r="G143" s="24" t="str">
        <f>'Source Table'!$E$14</f>
        <v>انتاج فني</v>
      </c>
      <c r="H143" s="24" t="str">
        <f>'Source Table'!$D$6</f>
        <v>local investment</v>
      </c>
      <c r="I143" s="24" t="str">
        <f>'Source Table'!$D$5</f>
        <v>الاستثمار المحلي</v>
      </c>
      <c r="J143">
        <v>0.7</v>
      </c>
      <c r="K143">
        <v>2019</v>
      </c>
    </row>
    <row r="144" spans="1:11" ht="15">
      <c r="A144" t="s">
        <v>105</v>
      </c>
      <c r="B144" t="s">
        <v>106</v>
      </c>
      <c r="C144" s="15" t="s">
        <v>30</v>
      </c>
      <c r="D144" s="23" t="s">
        <v>107</v>
      </c>
      <c r="E144" s="16" t="s">
        <v>108</v>
      </c>
      <c r="F144" s="24" t="str">
        <f>'Source Table'!$B$15</f>
        <v>Gas transportation and distribution</v>
      </c>
      <c r="G144" s="24" t="str">
        <f>'Source Table'!$E$15</f>
        <v>نقل وتوزيع الغاز</v>
      </c>
      <c r="H144" s="24" t="str">
        <f>'Source Table'!$D$6</f>
        <v>local investment</v>
      </c>
      <c r="I144" s="24" t="str">
        <f>'Source Table'!$D$5</f>
        <v>الاستثمار المحلي</v>
      </c>
      <c r="J144">
        <v>7.4</v>
      </c>
      <c r="K144">
        <v>2019</v>
      </c>
    </row>
    <row r="145" spans="1:11" ht="15">
      <c r="A145" t="s">
        <v>105</v>
      </c>
      <c r="B145" t="s">
        <v>106</v>
      </c>
      <c r="C145" s="15" t="s">
        <v>30</v>
      </c>
      <c r="D145" s="23" t="s">
        <v>107</v>
      </c>
      <c r="E145" s="16" t="s">
        <v>108</v>
      </c>
      <c r="F145" s="24" t="str">
        <f>'Source Table'!$B$16</f>
        <v>call centers</v>
      </c>
      <c r="G145" s="24" t="str">
        <f>'Source Table'!$E$16</f>
        <v>مراكز اتصال</v>
      </c>
      <c r="H145" s="24" t="str">
        <f>'Source Table'!$D$6</f>
        <v>local investment</v>
      </c>
      <c r="I145" s="24" t="str">
        <f>'Source Table'!$D$5</f>
        <v>الاستثمار المحلي</v>
      </c>
      <c r="J145">
        <v>0</v>
      </c>
      <c r="K145">
        <v>2019</v>
      </c>
    </row>
    <row r="146" spans="1:11" ht="15">
      <c r="A146" t="s">
        <v>105</v>
      </c>
      <c r="B146" t="s">
        <v>106</v>
      </c>
      <c r="C146" s="15" t="s">
        <v>30</v>
      </c>
      <c r="D146" s="23" t="s">
        <v>107</v>
      </c>
      <c r="E146" s="16" t="s">
        <v>108</v>
      </c>
      <c r="F146" s="24" t="str">
        <f>'Source Table'!$B$17</f>
        <v>Scientific research centers</v>
      </c>
      <c r="G146" s="24" t="str">
        <f>'Source Table'!$E$17</f>
        <v>مراكز بحث علمي</v>
      </c>
      <c r="H146" s="24" t="str">
        <f>'Source Table'!$D$6</f>
        <v>local investment</v>
      </c>
      <c r="I146" s="24" t="str">
        <f>'Source Table'!$D$5</f>
        <v>الاستثمار المحلي</v>
      </c>
      <c r="J146">
        <v>0.1</v>
      </c>
      <c r="K146">
        <v>2019</v>
      </c>
    </row>
    <row r="147" spans="1:11" ht="15">
      <c r="A147" t="s">
        <v>105</v>
      </c>
      <c r="B147" t="s">
        <v>106</v>
      </c>
      <c r="C147" s="15" t="s">
        <v>30</v>
      </c>
      <c r="D147" s="23" t="s">
        <v>107</v>
      </c>
      <c r="E147" s="16" t="s">
        <v>108</v>
      </c>
      <c r="F147" s="24" t="str">
        <f>'Source Table'!$B$7</f>
        <v>Industry</v>
      </c>
      <c r="G147" s="24" t="str">
        <f>'Source Table'!$E$7</f>
        <v>الصناعة</v>
      </c>
      <c r="H147" s="24" t="str">
        <f>'Source Table'!$C$6</f>
        <v>Foreign investment</v>
      </c>
      <c r="I147" s="24" t="str">
        <f>'Source Table'!$C$5</f>
        <v>الاستثمار الاجنبي</v>
      </c>
      <c r="J147">
        <v>120.7</v>
      </c>
      <c r="K147">
        <v>2019</v>
      </c>
    </row>
    <row r="148" spans="1:11" ht="15">
      <c r="A148" t="s">
        <v>105</v>
      </c>
      <c r="B148" t="s">
        <v>106</v>
      </c>
      <c r="C148" s="15" t="s">
        <v>30</v>
      </c>
      <c r="D148" s="23" t="s">
        <v>107</v>
      </c>
      <c r="E148" s="16" t="s">
        <v>108</v>
      </c>
      <c r="F148" s="24" t="str">
        <f>'Source Table'!$B$8</f>
        <v>Commerce</v>
      </c>
      <c r="G148" s="24" t="str">
        <f>'Source Table'!$E$8</f>
        <v>التجارة</v>
      </c>
      <c r="H148" s="24" t="str">
        <f>'Source Table'!$C$6</f>
        <v>Foreign investment</v>
      </c>
      <c r="I148" s="24" t="str">
        <f>'Source Table'!$C$5</f>
        <v>الاستثمار الاجنبي</v>
      </c>
      <c r="K148">
        <v>2019</v>
      </c>
    </row>
    <row r="149" spans="1:11" ht="15">
      <c r="A149" t="s">
        <v>105</v>
      </c>
      <c r="B149" t="s">
        <v>106</v>
      </c>
      <c r="C149" s="15" t="s">
        <v>30</v>
      </c>
      <c r="D149" s="23" t="s">
        <v>107</v>
      </c>
      <c r="E149" s="16" t="s">
        <v>108</v>
      </c>
      <c r="F149" s="24" t="str">
        <f>'Source Table'!$B$9</f>
        <v>Tourism</v>
      </c>
      <c r="G149" s="24" t="str">
        <f>'Source Table'!$E$9</f>
        <v>السياحة</v>
      </c>
      <c r="H149" s="24" t="str">
        <f>'Source Table'!$C$6</f>
        <v>Foreign investment</v>
      </c>
      <c r="I149" s="24" t="str">
        <f>'Source Table'!$C$5</f>
        <v>الاستثمار الاجنبي</v>
      </c>
      <c r="J149">
        <v>11.5</v>
      </c>
      <c r="K149">
        <v>2019</v>
      </c>
    </row>
    <row r="150" spans="1:11" ht="15">
      <c r="A150" t="s">
        <v>105</v>
      </c>
      <c r="B150" t="s">
        <v>106</v>
      </c>
      <c r="C150" s="15" t="s">
        <v>30</v>
      </c>
      <c r="D150" s="23" t="s">
        <v>107</v>
      </c>
      <c r="E150" s="16" t="s">
        <v>108</v>
      </c>
      <c r="F150" s="24" t="str">
        <f>'Source Table'!$B$10</f>
        <v>Agriculture</v>
      </c>
      <c r="G150" s="24" t="str">
        <f>'Source Table'!$E$10</f>
        <v>الزراعة</v>
      </c>
      <c r="H150" s="24" t="str">
        <f>'Source Table'!$C$6</f>
        <v>Foreign investment</v>
      </c>
      <c r="I150" s="24" t="str">
        <f>'Source Table'!$C$5</f>
        <v>الاستثمار الاجنبي</v>
      </c>
      <c r="J150">
        <v>0.4</v>
      </c>
      <c r="K150">
        <v>2019</v>
      </c>
    </row>
    <row r="151" spans="1:11" ht="15">
      <c r="A151" t="s">
        <v>105</v>
      </c>
      <c r="B151" t="s">
        <v>106</v>
      </c>
      <c r="C151" s="15" t="s">
        <v>30</v>
      </c>
      <c r="D151" s="23" t="s">
        <v>107</v>
      </c>
      <c r="E151" s="16" t="s">
        <v>108</v>
      </c>
      <c r="F151" s="24" t="str">
        <f>'Source Table'!$B$11</f>
        <v>Hospitals</v>
      </c>
      <c r="G151" s="24" t="str">
        <f>'Source Table'!$E$11</f>
        <v>المستشفيات</v>
      </c>
      <c r="H151" s="24" t="str">
        <f>'Source Table'!$C$6</f>
        <v>Foreign investment</v>
      </c>
      <c r="I151" s="24" t="str">
        <f>'Source Table'!$C$5</f>
        <v>الاستثمار الاجنبي</v>
      </c>
      <c r="J151">
        <v>1</v>
      </c>
      <c r="K151">
        <v>2019</v>
      </c>
    </row>
    <row r="152" spans="1:11" ht="15">
      <c r="A152" t="s">
        <v>105</v>
      </c>
      <c r="B152" t="s">
        <v>106</v>
      </c>
      <c r="C152" s="15" t="s">
        <v>30</v>
      </c>
      <c r="D152" s="23" t="s">
        <v>107</v>
      </c>
      <c r="E152" s="16" t="s">
        <v>108</v>
      </c>
      <c r="F152" s="24" t="str">
        <f>'Source Table'!$B$12</f>
        <v>Services</v>
      </c>
      <c r="G152" s="24" t="str">
        <f>'Source Table'!$E$12</f>
        <v>الخدمات</v>
      </c>
      <c r="H152" s="24" t="str">
        <f>'Source Table'!$C$6</f>
        <v>Foreign investment</v>
      </c>
      <c r="I152" s="24" t="str">
        <f>'Source Table'!$C$5</f>
        <v>الاستثمار الاجنبي</v>
      </c>
      <c r="J152">
        <v>0.4</v>
      </c>
      <c r="K152">
        <v>2019</v>
      </c>
    </row>
    <row r="153" spans="1:11" ht="15">
      <c r="A153" t="s">
        <v>105</v>
      </c>
      <c r="B153" t="s">
        <v>106</v>
      </c>
      <c r="C153" s="15" t="s">
        <v>30</v>
      </c>
      <c r="D153" s="23" t="s">
        <v>107</v>
      </c>
      <c r="E153" s="16" t="s">
        <v>108</v>
      </c>
      <c r="F153" s="24" t="str">
        <f>'Source Table'!$B$13</f>
        <v>Information Technology</v>
      </c>
      <c r="G153" s="24" t="str">
        <f>'Source Table'!$E$13</f>
        <v>تكنولوجيا المعلومات</v>
      </c>
      <c r="H153" s="24" t="str">
        <f>'Source Table'!$C$6</f>
        <v>Foreign investment</v>
      </c>
      <c r="I153" s="24" t="str">
        <f>'Source Table'!$C$5</f>
        <v>الاستثمار الاجنبي</v>
      </c>
      <c r="J153">
        <v>0.7</v>
      </c>
      <c r="K153">
        <v>2019</v>
      </c>
    </row>
    <row r="154" spans="1:11" ht="15">
      <c r="A154" t="s">
        <v>105</v>
      </c>
      <c r="B154" t="s">
        <v>106</v>
      </c>
      <c r="C154" s="15" t="s">
        <v>30</v>
      </c>
      <c r="D154" s="23" t="s">
        <v>107</v>
      </c>
      <c r="E154" s="16" t="s">
        <v>108</v>
      </c>
      <c r="F154" s="24" t="str">
        <f>'Source Table'!$B$14</f>
        <v>Artistic production</v>
      </c>
      <c r="G154" s="24" t="str">
        <f>'Source Table'!$E$14</f>
        <v>انتاج فني</v>
      </c>
      <c r="H154" s="24" t="str">
        <f>'Source Table'!$C$6</f>
        <v>Foreign investment</v>
      </c>
      <c r="I154" s="24" t="str">
        <f>'Source Table'!$C$5</f>
        <v>الاستثمار الاجنبي</v>
      </c>
      <c r="J154">
        <v>0.8</v>
      </c>
      <c r="K154">
        <v>2019</v>
      </c>
    </row>
    <row r="155" spans="1:11" ht="15">
      <c r="A155" t="s">
        <v>105</v>
      </c>
      <c r="B155" t="s">
        <v>106</v>
      </c>
      <c r="C155" s="15" t="s">
        <v>30</v>
      </c>
      <c r="D155" s="23" t="s">
        <v>107</v>
      </c>
      <c r="E155" s="16" t="s">
        <v>108</v>
      </c>
      <c r="F155" s="24" t="str">
        <f>'Source Table'!$B$15</f>
        <v>Gas transportation and distribution</v>
      </c>
      <c r="G155" s="24" t="str">
        <f>'Source Table'!$E$15</f>
        <v>نقل وتوزيع الغاز</v>
      </c>
      <c r="H155" s="24" t="str">
        <f>'Source Table'!$C$6</f>
        <v>Foreign investment</v>
      </c>
      <c r="I155" s="24" t="str">
        <f>'Source Table'!$C$5</f>
        <v>الاستثمار الاجنبي</v>
      </c>
      <c r="J155">
        <v>0</v>
      </c>
      <c r="K155">
        <v>2019</v>
      </c>
    </row>
    <row r="156" spans="1:11" ht="15">
      <c r="A156" t="s">
        <v>105</v>
      </c>
      <c r="B156" t="s">
        <v>106</v>
      </c>
      <c r="C156" s="15" t="s">
        <v>30</v>
      </c>
      <c r="D156" s="23" t="s">
        <v>107</v>
      </c>
      <c r="E156" s="16" t="s">
        <v>108</v>
      </c>
      <c r="F156" s="24" t="str">
        <f>'Source Table'!$B$16</f>
        <v>call centers</v>
      </c>
      <c r="G156" s="24" t="str">
        <f>'Source Table'!$E$16</f>
        <v>مراكز اتصال</v>
      </c>
      <c r="H156" s="24" t="str">
        <f>'Source Table'!$C$6</f>
        <v>Foreign investment</v>
      </c>
      <c r="I156" s="24" t="str">
        <f>'Source Table'!$C$5</f>
        <v>الاستثمار الاجنبي</v>
      </c>
      <c r="J156">
        <v>2.4</v>
      </c>
      <c r="K156">
        <v>2019</v>
      </c>
    </row>
    <row r="157" spans="1:11" ht="15">
      <c r="A157" t="s">
        <v>105</v>
      </c>
      <c r="B157" t="s">
        <v>106</v>
      </c>
      <c r="C157" s="15" t="s">
        <v>30</v>
      </c>
      <c r="D157" s="23" t="s">
        <v>107</v>
      </c>
      <c r="E157" s="16" t="s">
        <v>108</v>
      </c>
      <c r="F157" s="24" t="str">
        <f>'Source Table'!$B$17</f>
        <v>Scientific research centers</v>
      </c>
      <c r="G157" s="24" t="str">
        <f>'Source Table'!$E$17</f>
        <v>مراكز بحث علمي</v>
      </c>
      <c r="H157" s="24" t="str">
        <f>'Source Table'!$C$6</f>
        <v>Foreign investment</v>
      </c>
      <c r="I157" s="24" t="str">
        <f>'Source Table'!$C$5</f>
        <v>الاستثمار الاجنبي</v>
      </c>
      <c r="J157">
        <v>0</v>
      </c>
      <c r="K157">
        <v>2019</v>
      </c>
    </row>
    <row r="158" spans="1:11" ht="18.75">
      <c r="A158" t="s">
        <v>105</v>
      </c>
      <c r="B158" t="s">
        <v>106</v>
      </c>
      <c r="C158" s="15" t="s">
        <v>30</v>
      </c>
      <c r="D158" s="23" t="s">
        <v>107</v>
      </c>
      <c r="E158" s="16" t="s">
        <v>108</v>
      </c>
      <c r="F158" s="24" t="str">
        <f>'Source Table'!$B$7</f>
        <v>Industry</v>
      </c>
      <c r="G158" s="24" t="str">
        <f>'Source Table'!$E$7</f>
        <v>الصناعة</v>
      </c>
      <c r="H158" s="16" t="s">
        <v>125</v>
      </c>
      <c r="I158" s="32" t="s">
        <v>124</v>
      </c>
      <c r="J158">
        <v>330.4</v>
      </c>
      <c r="K158">
        <v>2019</v>
      </c>
    </row>
    <row r="159" spans="1:11" ht="18.75">
      <c r="A159" t="s">
        <v>105</v>
      </c>
      <c r="B159" t="s">
        <v>106</v>
      </c>
      <c r="C159" s="15" t="s">
        <v>30</v>
      </c>
      <c r="D159" s="23" t="s">
        <v>107</v>
      </c>
      <c r="E159" s="16" t="s">
        <v>108</v>
      </c>
      <c r="F159" s="24" t="str">
        <f>'Source Table'!$B$8</f>
        <v>Commerce</v>
      </c>
      <c r="G159" s="24" t="str">
        <f>'Source Table'!$E$8</f>
        <v>التجارة</v>
      </c>
      <c r="H159" s="16" t="s">
        <v>125</v>
      </c>
      <c r="I159" s="32" t="s">
        <v>124</v>
      </c>
      <c r="K159">
        <v>2019</v>
      </c>
    </row>
    <row r="160" spans="1:11" ht="18.75">
      <c r="A160" t="s">
        <v>105</v>
      </c>
      <c r="B160" t="s">
        <v>106</v>
      </c>
      <c r="C160" s="15" t="s">
        <v>30</v>
      </c>
      <c r="D160" s="23" t="s">
        <v>107</v>
      </c>
      <c r="E160" s="16" t="s">
        <v>108</v>
      </c>
      <c r="F160" s="24" t="str">
        <f>'Source Table'!$B$9</f>
        <v>Tourism</v>
      </c>
      <c r="G160" s="24" t="str">
        <f>'Source Table'!$E$9</f>
        <v>السياحة</v>
      </c>
      <c r="H160" s="16" t="s">
        <v>125</v>
      </c>
      <c r="I160" s="32" t="s">
        <v>124</v>
      </c>
      <c r="J160">
        <v>68</v>
      </c>
      <c r="K160">
        <v>2019</v>
      </c>
    </row>
    <row r="161" spans="1:11" ht="18.75">
      <c r="A161" t="s">
        <v>105</v>
      </c>
      <c r="B161" t="s">
        <v>106</v>
      </c>
      <c r="C161" s="15" t="s">
        <v>30</v>
      </c>
      <c r="D161" s="23" t="s">
        <v>107</v>
      </c>
      <c r="E161" s="16" t="s">
        <v>108</v>
      </c>
      <c r="F161" s="24" t="str">
        <f>'Source Table'!$B$10</f>
        <v>Agriculture</v>
      </c>
      <c r="G161" s="24" t="str">
        <f>'Source Table'!$E$10</f>
        <v>الزراعة</v>
      </c>
      <c r="H161" s="16" t="s">
        <v>125</v>
      </c>
      <c r="I161" s="32" t="s">
        <v>124</v>
      </c>
      <c r="J161">
        <v>28.9</v>
      </c>
      <c r="K161">
        <v>2019</v>
      </c>
    </row>
    <row r="162" spans="1:11" ht="18.75">
      <c r="A162" t="s">
        <v>105</v>
      </c>
      <c r="B162" t="s">
        <v>106</v>
      </c>
      <c r="C162" s="15" t="s">
        <v>30</v>
      </c>
      <c r="D162" s="23" t="s">
        <v>107</v>
      </c>
      <c r="E162" s="16" t="s">
        <v>108</v>
      </c>
      <c r="F162" s="24" t="str">
        <f>'Source Table'!$B$11</f>
        <v>Hospitals</v>
      </c>
      <c r="G162" s="24" t="str">
        <f>'Source Table'!$E$11</f>
        <v>المستشفيات</v>
      </c>
      <c r="H162" s="16" t="s">
        <v>125</v>
      </c>
      <c r="I162" s="32" t="s">
        <v>124</v>
      </c>
      <c r="J162">
        <v>26</v>
      </c>
      <c r="K162">
        <v>2019</v>
      </c>
    </row>
    <row r="163" spans="1:11" ht="18.75">
      <c r="A163" t="s">
        <v>105</v>
      </c>
      <c r="B163" t="s">
        <v>106</v>
      </c>
      <c r="C163" s="15" t="s">
        <v>30</v>
      </c>
      <c r="D163" s="23" t="s">
        <v>107</v>
      </c>
      <c r="E163" s="16" t="s">
        <v>108</v>
      </c>
      <c r="F163" s="24" t="str">
        <f>'Source Table'!$B$12</f>
        <v>Services</v>
      </c>
      <c r="G163" s="24" t="str">
        <f>'Source Table'!$E$12</f>
        <v>الخدمات</v>
      </c>
      <c r="H163" s="16" t="s">
        <v>125</v>
      </c>
      <c r="I163" s="32" t="s">
        <v>124</v>
      </c>
      <c r="J163">
        <v>10.4</v>
      </c>
      <c r="K163">
        <v>2019</v>
      </c>
    </row>
    <row r="164" spans="1:11" ht="18.75">
      <c r="A164" t="s">
        <v>105</v>
      </c>
      <c r="B164" t="s">
        <v>106</v>
      </c>
      <c r="C164" s="15" t="s">
        <v>30</v>
      </c>
      <c r="D164" s="23" t="s">
        <v>107</v>
      </c>
      <c r="E164" s="16" t="s">
        <v>108</v>
      </c>
      <c r="F164" s="24" t="str">
        <f>'Source Table'!$B$13</f>
        <v>Information Technology</v>
      </c>
      <c r="G164" s="24" t="str">
        <f>'Source Table'!$E$13</f>
        <v>تكنولوجيا المعلومات</v>
      </c>
      <c r="H164" s="16" t="s">
        <v>125</v>
      </c>
      <c r="I164" s="32" t="s">
        <v>124</v>
      </c>
      <c r="J164">
        <v>14.1</v>
      </c>
      <c r="K164">
        <v>2019</v>
      </c>
    </row>
    <row r="165" spans="1:11" ht="18.75">
      <c r="A165" t="s">
        <v>105</v>
      </c>
      <c r="B165" t="s">
        <v>106</v>
      </c>
      <c r="C165" s="15" t="s">
        <v>30</v>
      </c>
      <c r="D165" s="23" t="s">
        <v>107</v>
      </c>
      <c r="E165" s="16" t="s">
        <v>108</v>
      </c>
      <c r="F165" s="24" t="str">
        <f>'Source Table'!$B$14</f>
        <v>Artistic production</v>
      </c>
      <c r="G165" s="24" t="str">
        <f>'Source Table'!$E$14</f>
        <v>انتاج فني</v>
      </c>
      <c r="H165" s="16" t="s">
        <v>125</v>
      </c>
      <c r="I165" s="32" t="s">
        <v>124</v>
      </c>
      <c r="J165">
        <v>1.5</v>
      </c>
      <c r="K165">
        <v>2019</v>
      </c>
    </row>
    <row r="166" spans="1:11" ht="18.75">
      <c r="A166" t="s">
        <v>105</v>
      </c>
      <c r="B166" t="s">
        <v>106</v>
      </c>
      <c r="C166" s="15" t="s">
        <v>30</v>
      </c>
      <c r="D166" s="23" t="s">
        <v>107</v>
      </c>
      <c r="E166" s="16" t="s">
        <v>108</v>
      </c>
      <c r="F166" s="24" t="str">
        <f>'Source Table'!$B$15</f>
        <v>Gas transportation and distribution</v>
      </c>
      <c r="G166" s="24" t="str">
        <f>'Source Table'!$E$15</f>
        <v>نقل وتوزيع الغاز</v>
      </c>
      <c r="H166" s="16" t="s">
        <v>125</v>
      </c>
      <c r="I166" s="32" t="s">
        <v>124</v>
      </c>
      <c r="J166">
        <v>7.4</v>
      </c>
      <c r="K166">
        <v>2019</v>
      </c>
    </row>
    <row r="167" spans="1:11" ht="18.75">
      <c r="A167" t="s">
        <v>105</v>
      </c>
      <c r="B167" t="s">
        <v>106</v>
      </c>
      <c r="C167" s="15" t="s">
        <v>30</v>
      </c>
      <c r="D167" s="23" t="s">
        <v>107</v>
      </c>
      <c r="E167" s="16" t="s">
        <v>108</v>
      </c>
      <c r="F167" s="24" t="str">
        <f>'Source Table'!$B$16</f>
        <v>call centers</v>
      </c>
      <c r="G167" s="24" t="str">
        <f>'Source Table'!$E$16</f>
        <v>مراكز اتصال</v>
      </c>
      <c r="H167" s="16" t="s">
        <v>125</v>
      </c>
      <c r="I167" s="32" t="s">
        <v>124</v>
      </c>
      <c r="J167">
        <v>2.4</v>
      </c>
      <c r="K167">
        <v>2019</v>
      </c>
    </row>
    <row r="168" spans="1:11" ht="18.75">
      <c r="A168" t="s">
        <v>105</v>
      </c>
      <c r="B168" t="s">
        <v>106</v>
      </c>
      <c r="C168" s="15" t="s">
        <v>30</v>
      </c>
      <c r="D168" s="23" t="s">
        <v>107</v>
      </c>
      <c r="E168" s="16" t="s">
        <v>108</v>
      </c>
      <c r="F168" s="24" t="str">
        <f>'Source Table'!$B$17</f>
        <v>Scientific research centers</v>
      </c>
      <c r="G168" s="24" t="str">
        <f>'Source Table'!$E$17</f>
        <v>مراكز بحث علمي</v>
      </c>
      <c r="H168" s="16" t="s">
        <v>125</v>
      </c>
      <c r="I168" s="32" t="s">
        <v>124</v>
      </c>
      <c r="J168">
        <v>0.1</v>
      </c>
      <c r="K168">
        <v>2019</v>
      </c>
    </row>
    <row r="169" spans="1:11" ht="15">
      <c r="A169" t="s">
        <v>105</v>
      </c>
      <c r="B169" t="s">
        <v>106</v>
      </c>
      <c r="C169" s="15" t="s">
        <v>30</v>
      </c>
      <c r="D169" s="23" t="s">
        <v>107</v>
      </c>
      <c r="E169" s="16" t="s">
        <v>108</v>
      </c>
      <c r="F169" s="24" t="str">
        <f>'Source Table'!$B$7</f>
        <v>Industry</v>
      </c>
      <c r="G169" s="24" t="str">
        <f>'Source Table'!$E$7</f>
        <v>الصناعة</v>
      </c>
      <c r="H169" s="24" t="str">
        <f>'Source Table'!$D$6</f>
        <v>local investment</v>
      </c>
      <c r="I169" s="24" t="str">
        <f>'Source Table'!$D$5</f>
        <v>الاستثمار المحلي</v>
      </c>
      <c r="J169">
        <v>386.2</v>
      </c>
      <c r="K169">
        <v>2018</v>
      </c>
    </row>
    <row r="170" spans="1:11" ht="15">
      <c r="A170" t="s">
        <v>105</v>
      </c>
      <c r="B170" t="s">
        <v>106</v>
      </c>
      <c r="C170" s="15" t="s">
        <v>30</v>
      </c>
      <c r="D170" s="23" t="s">
        <v>107</v>
      </c>
      <c r="E170" s="16" t="s">
        <v>108</v>
      </c>
      <c r="F170" s="24" t="str">
        <f>'Source Table'!$B$8</f>
        <v>Commerce</v>
      </c>
      <c r="G170" s="24" t="str">
        <f>'Source Table'!$E$8</f>
        <v>التجارة</v>
      </c>
      <c r="H170" s="24" t="str">
        <f>'Source Table'!$D$6</f>
        <v>local investment</v>
      </c>
      <c r="I170" s="24" t="str">
        <f>'Source Table'!$D$5</f>
        <v>الاستثمار المحلي</v>
      </c>
      <c r="K170">
        <v>2018</v>
      </c>
    </row>
    <row r="171" spans="1:11" ht="15">
      <c r="A171" t="s">
        <v>105</v>
      </c>
      <c r="B171" t="s">
        <v>106</v>
      </c>
      <c r="C171" s="15" t="s">
        <v>30</v>
      </c>
      <c r="D171" s="23" t="s">
        <v>107</v>
      </c>
      <c r="E171" s="16" t="s">
        <v>108</v>
      </c>
      <c r="F171" s="24" t="str">
        <f>'Source Table'!$B$9</f>
        <v>Tourism</v>
      </c>
      <c r="G171" s="24" t="str">
        <f>'Source Table'!$E$9</f>
        <v>السياحة</v>
      </c>
      <c r="H171" s="24" t="str">
        <f>'Source Table'!$D$6</f>
        <v>local investment</v>
      </c>
      <c r="I171" s="24" t="str">
        <f>'Source Table'!$D$5</f>
        <v>الاستثمار المحلي</v>
      </c>
      <c r="J171">
        <v>70.5</v>
      </c>
      <c r="K171">
        <v>2018</v>
      </c>
    </row>
    <row r="172" spans="1:11" ht="15">
      <c r="A172" t="s">
        <v>105</v>
      </c>
      <c r="B172" t="s">
        <v>106</v>
      </c>
      <c r="C172" s="15" t="s">
        <v>30</v>
      </c>
      <c r="D172" s="23" t="s">
        <v>107</v>
      </c>
      <c r="E172" s="16" t="s">
        <v>108</v>
      </c>
      <c r="F172" s="24" t="str">
        <f>'Source Table'!$B$10</f>
        <v>Agriculture</v>
      </c>
      <c r="G172" s="24" t="str">
        <f>'Source Table'!$E$10</f>
        <v>الزراعة</v>
      </c>
      <c r="H172" s="24" t="str">
        <f>'Source Table'!$D$6</f>
        <v>local investment</v>
      </c>
      <c r="I172" s="24" t="str">
        <f>'Source Table'!$D$5</f>
        <v>الاستثمار المحلي</v>
      </c>
      <c r="J172">
        <v>7.3</v>
      </c>
      <c r="K172">
        <v>2018</v>
      </c>
    </row>
    <row r="173" spans="1:11" ht="15">
      <c r="A173" t="s">
        <v>105</v>
      </c>
      <c r="B173" t="s">
        <v>106</v>
      </c>
      <c r="C173" s="15" t="s">
        <v>30</v>
      </c>
      <c r="D173" s="23" t="s">
        <v>107</v>
      </c>
      <c r="E173" s="16" t="s">
        <v>108</v>
      </c>
      <c r="F173" s="24" t="str">
        <f>'Source Table'!$B$11</f>
        <v>Hospitals</v>
      </c>
      <c r="G173" s="24" t="str">
        <f>'Source Table'!$E$11</f>
        <v>المستشفيات</v>
      </c>
      <c r="H173" s="24" t="str">
        <f>'Source Table'!$D$6</f>
        <v>local investment</v>
      </c>
      <c r="I173" s="24" t="str">
        <f>'Source Table'!$D$5</f>
        <v>الاستثمار المحلي</v>
      </c>
      <c r="J173">
        <v>41.7</v>
      </c>
      <c r="K173">
        <v>2018</v>
      </c>
    </row>
    <row r="174" spans="1:11" ht="15">
      <c r="A174" t="s">
        <v>105</v>
      </c>
      <c r="B174" t="s">
        <v>106</v>
      </c>
      <c r="C174" s="15" t="s">
        <v>30</v>
      </c>
      <c r="D174" s="23" t="s">
        <v>107</v>
      </c>
      <c r="E174" s="16" t="s">
        <v>108</v>
      </c>
      <c r="F174" s="24" t="str">
        <f>'Source Table'!$B$12</f>
        <v>Services</v>
      </c>
      <c r="G174" s="24" t="str">
        <f>'Source Table'!$E$12</f>
        <v>الخدمات</v>
      </c>
      <c r="H174" s="24" t="str">
        <f>'Source Table'!$D$6</f>
        <v>local investment</v>
      </c>
      <c r="I174" s="24" t="str">
        <f>'Source Table'!$D$5</f>
        <v>الاستثمار المحلي</v>
      </c>
      <c r="J174">
        <v>9.6999999999999993</v>
      </c>
      <c r="K174">
        <v>2018</v>
      </c>
    </row>
    <row r="175" spans="1:11" ht="15">
      <c r="A175" t="s">
        <v>105</v>
      </c>
      <c r="B175" t="s">
        <v>106</v>
      </c>
      <c r="C175" s="15" t="s">
        <v>30</v>
      </c>
      <c r="D175" s="23" t="s">
        <v>107</v>
      </c>
      <c r="E175" s="16" t="s">
        <v>108</v>
      </c>
      <c r="F175" s="24" t="str">
        <f>'Source Table'!$B$13</f>
        <v>Information Technology</v>
      </c>
      <c r="G175" s="24" t="str">
        <f>'Source Table'!$E$13</f>
        <v>تكنولوجيا المعلومات</v>
      </c>
      <c r="H175" s="24" t="str">
        <f>'Source Table'!$D$6</f>
        <v>local investment</v>
      </c>
      <c r="I175" s="24" t="str">
        <f>'Source Table'!$D$5</f>
        <v>الاستثمار المحلي</v>
      </c>
      <c r="J175">
        <v>12.8</v>
      </c>
      <c r="K175">
        <v>2018</v>
      </c>
    </row>
    <row r="176" spans="1:11" ht="15">
      <c r="A176" t="s">
        <v>105</v>
      </c>
      <c r="B176" t="s">
        <v>106</v>
      </c>
      <c r="C176" s="15" t="s">
        <v>30</v>
      </c>
      <c r="D176" s="23" t="s">
        <v>107</v>
      </c>
      <c r="E176" s="16" t="s">
        <v>108</v>
      </c>
      <c r="F176" s="24" t="str">
        <f>'Source Table'!$B$14</f>
        <v>Artistic production</v>
      </c>
      <c r="G176" s="24" t="str">
        <f>'Source Table'!$E$14</f>
        <v>انتاج فني</v>
      </c>
      <c r="H176" s="24" t="str">
        <f>'Source Table'!$D$6</f>
        <v>local investment</v>
      </c>
      <c r="I176" s="24" t="str">
        <f>'Source Table'!$D$5</f>
        <v>الاستثمار المحلي</v>
      </c>
      <c r="J176">
        <v>6.4</v>
      </c>
      <c r="K176">
        <v>2018</v>
      </c>
    </row>
    <row r="177" spans="1:11" ht="15">
      <c r="A177" t="s">
        <v>105</v>
      </c>
      <c r="B177" t="s">
        <v>106</v>
      </c>
      <c r="C177" s="15" t="s">
        <v>30</v>
      </c>
      <c r="D177" s="23" t="s">
        <v>107</v>
      </c>
      <c r="E177" s="16" t="s">
        <v>108</v>
      </c>
      <c r="F177" s="24" t="str">
        <f>'Source Table'!$B$15</f>
        <v>Gas transportation and distribution</v>
      </c>
      <c r="G177" s="24" t="str">
        <f>'Source Table'!$E$15</f>
        <v>نقل وتوزيع الغاز</v>
      </c>
      <c r="H177" s="24" t="str">
        <f>'Source Table'!$D$6</f>
        <v>local investment</v>
      </c>
      <c r="I177" s="24" t="str">
        <f>'Source Table'!$D$5</f>
        <v>الاستثمار المحلي</v>
      </c>
      <c r="J177">
        <v>0</v>
      </c>
      <c r="K177">
        <v>2018</v>
      </c>
    </row>
    <row r="178" spans="1:11" ht="15">
      <c r="A178" t="s">
        <v>105</v>
      </c>
      <c r="B178" t="s">
        <v>106</v>
      </c>
      <c r="C178" s="15" t="s">
        <v>30</v>
      </c>
      <c r="D178" s="23" t="s">
        <v>107</v>
      </c>
      <c r="E178" s="16" t="s">
        <v>108</v>
      </c>
      <c r="F178" s="24" t="str">
        <f>'Source Table'!$B$16</f>
        <v>call centers</v>
      </c>
      <c r="G178" s="24" t="str">
        <f>'Source Table'!$E$16</f>
        <v>مراكز اتصال</v>
      </c>
      <c r="H178" s="24" t="str">
        <f>'Source Table'!$D$6</f>
        <v>local investment</v>
      </c>
      <c r="I178" s="24" t="str">
        <f>'Source Table'!$D$5</f>
        <v>الاستثمار المحلي</v>
      </c>
      <c r="J178">
        <v>0</v>
      </c>
      <c r="K178">
        <v>2018</v>
      </c>
    </row>
    <row r="179" spans="1:11" ht="15">
      <c r="A179" t="s">
        <v>105</v>
      </c>
      <c r="B179" t="s">
        <v>106</v>
      </c>
      <c r="C179" s="15" t="s">
        <v>30</v>
      </c>
      <c r="D179" s="23" t="s">
        <v>107</v>
      </c>
      <c r="E179" s="16" t="s">
        <v>108</v>
      </c>
      <c r="F179" s="24" t="str">
        <f>'Source Table'!$B$17</f>
        <v>Scientific research centers</v>
      </c>
      <c r="G179" s="24" t="str">
        <f>'Source Table'!$E$17</f>
        <v>مراكز بحث علمي</v>
      </c>
      <c r="H179" s="24" t="str">
        <f>'Source Table'!$D$6</f>
        <v>local investment</v>
      </c>
      <c r="I179" s="24" t="str">
        <f>'Source Table'!$D$5</f>
        <v>الاستثمار المحلي</v>
      </c>
      <c r="J179">
        <v>0</v>
      </c>
      <c r="K179">
        <v>2018</v>
      </c>
    </row>
    <row r="180" spans="1:11" ht="15">
      <c r="A180" t="s">
        <v>105</v>
      </c>
      <c r="B180" t="s">
        <v>106</v>
      </c>
      <c r="C180" s="15" t="s">
        <v>30</v>
      </c>
      <c r="D180" s="23" t="s">
        <v>107</v>
      </c>
      <c r="E180" s="16" t="s">
        <v>108</v>
      </c>
      <c r="F180" s="24" t="str">
        <f>'Source Table'!$B$7</f>
        <v>Industry</v>
      </c>
      <c r="G180" s="24" t="str">
        <f>'Source Table'!$E$7</f>
        <v>الصناعة</v>
      </c>
      <c r="H180" s="24" t="str">
        <f>'Source Table'!$C$6</f>
        <v>Foreign investment</v>
      </c>
      <c r="I180" s="24" t="str">
        <f>'Source Table'!$C$5</f>
        <v>الاستثمار الاجنبي</v>
      </c>
      <c r="J180">
        <v>245.1</v>
      </c>
      <c r="K180">
        <v>2018</v>
      </c>
    </row>
    <row r="181" spans="1:11" ht="15">
      <c r="A181" t="s">
        <v>105</v>
      </c>
      <c r="B181" t="s">
        <v>106</v>
      </c>
      <c r="C181" s="15" t="s">
        <v>30</v>
      </c>
      <c r="D181" s="23" t="s">
        <v>107</v>
      </c>
      <c r="E181" s="16" t="s">
        <v>108</v>
      </c>
      <c r="F181" s="24" t="str">
        <f>'Source Table'!$B$8</f>
        <v>Commerce</v>
      </c>
      <c r="G181" s="24" t="str">
        <f>'Source Table'!$E$8</f>
        <v>التجارة</v>
      </c>
      <c r="H181" s="24" t="str">
        <f>'Source Table'!$C$6</f>
        <v>Foreign investment</v>
      </c>
      <c r="I181" s="24" t="str">
        <f>'Source Table'!$C$5</f>
        <v>الاستثمار الاجنبي</v>
      </c>
      <c r="K181">
        <v>2018</v>
      </c>
    </row>
    <row r="182" spans="1:11" ht="15">
      <c r="A182" t="s">
        <v>105</v>
      </c>
      <c r="B182" t="s">
        <v>106</v>
      </c>
      <c r="C182" s="15" t="s">
        <v>30</v>
      </c>
      <c r="D182" s="23" t="s">
        <v>107</v>
      </c>
      <c r="E182" s="16" t="s">
        <v>108</v>
      </c>
      <c r="F182" s="24" t="str">
        <f>'Source Table'!$B$9</f>
        <v>Tourism</v>
      </c>
      <c r="G182" s="24" t="str">
        <f>'Source Table'!$E$9</f>
        <v>السياحة</v>
      </c>
      <c r="H182" s="24" t="str">
        <f>'Source Table'!$C$6</f>
        <v>Foreign investment</v>
      </c>
      <c r="I182" s="24" t="str">
        <f>'Source Table'!$C$5</f>
        <v>الاستثمار الاجنبي</v>
      </c>
      <c r="J182">
        <v>4</v>
      </c>
      <c r="K182">
        <v>2018</v>
      </c>
    </row>
    <row r="183" spans="1:11" ht="15">
      <c r="A183" t="s">
        <v>105</v>
      </c>
      <c r="B183" t="s">
        <v>106</v>
      </c>
      <c r="C183" s="15" t="s">
        <v>30</v>
      </c>
      <c r="D183" s="23" t="s">
        <v>107</v>
      </c>
      <c r="E183" s="16" t="s">
        <v>108</v>
      </c>
      <c r="F183" s="24" t="str">
        <f>'Source Table'!$B$10</f>
        <v>Agriculture</v>
      </c>
      <c r="G183" s="24" t="str">
        <f>'Source Table'!$E$10</f>
        <v>الزراعة</v>
      </c>
      <c r="H183" s="24" t="str">
        <f>'Source Table'!$C$6</f>
        <v>Foreign investment</v>
      </c>
      <c r="I183" s="24" t="str">
        <f>'Source Table'!$C$5</f>
        <v>الاستثمار الاجنبي</v>
      </c>
      <c r="J183">
        <v>1.5</v>
      </c>
      <c r="K183">
        <v>2018</v>
      </c>
    </row>
    <row r="184" spans="1:11" ht="15">
      <c r="A184" t="s">
        <v>105</v>
      </c>
      <c r="B184" t="s">
        <v>106</v>
      </c>
      <c r="C184" s="15" t="s">
        <v>30</v>
      </c>
      <c r="D184" s="23" t="s">
        <v>107</v>
      </c>
      <c r="E184" s="16" t="s">
        <v>108</v>
      </c>
      <c r="F184" s="24" t="str">
        <f>'Source Table'!$B$11</f>
        <v>Hospitals</v>
      </c>
      <c r="G184" s="24" t="str">
        <f>'Source Table'!$E$11</f>
        <v>المستشفيات</v>
      </c>
      <c r="H184" s="24" t="str">
        <f>'Source Table'!$C$6</f>
        <v>Foreign investment</v>
      </c>
      <c r="I184" s="24" t="str">
        <f>'Source Table'!$C$5</f>
        <v>الاستثمار الاجنبي</v>
      </c>
      <c r="J184">
        <v>0</v>
      </c>
      <c r="K184">
        <v>2018</v>
      </c>
    </row>
    <row r="185" spans="1:11" ht="15">
      <c r="A185" t="s">
        <v>105</v>
      </c>
      <c r="B185" t="s">
        <v>106</v>
      </c>
      <c r="C185" s="15" t="s">
        <v>30</v>
      </c>
      <c r="D185" s="23" t="s">
        <v>107</v>
      </c>
      <c r="E185" s="16" t="s">
        <v>108</v>
      </c>
      <c r="F185" s="24" t="str">
        <f>'Source Table'!$B$12</f>
        <v>Services</v>
      </c>
      <c r="G185" s="24" t="str">
        <f>'Source Table'!$E$12</f>
        <v>الخدمات</v>
      </c>
      <c r="H185" s="24" t="str">
        <f>'Source Table'!$C$6</f>
        <v>Foreign investment</v>
      </c>
      <c r="I185" s="24" t="str">
        <f>'Source Table'!$C$5</f>
        <v>الاستثمار الاجنبي</v>
      </c>
      <c r="J185">
        <v>0</v>
      </c>
      <c r="K185">
        <v>2018</v>
      </c>
    </row>
    <row r="186" spans="1:11" ht="15">
      <c r="A186" t="s">
        <v>105</v>
      </c>
      <c r="B186" t="s">
        <v>106</v>
      </c>
      <c r="C186" s="15" t="s">
        <v>30</v>
      </c>
      <c r="D186" s="23" t="s">
        <v>107</v>
      </c>
      <c r="E186" s="16" t="s">
        <v>108</v>
      </c>
      <c r="F186" s="24" t="str">
        <f>'Source Table'!$B$13</f>
        <v>Information Technology</v>
      </c>
      <c r="G186" s="24" t="str">
        <f>'Source Table'!$E$13</f>
        <v>تكنولوجيا المعلومات</v>
      </c>
      <c r="H186" s="24" t="str">
        <f>'Source Table'!$C$6</f>
        <v>Foreign investment</v>
      </c>
      <c r="I186" s="24" t="str">
        <f>'Source Table'!$C$5</f>
        <v>الاستثمار الاجنبي</v>
      </c>
      <c r="J186">
        <v>3.3</v>
      </c>
      <c r="K186">
        <v>2018</v>
      </c>
    </row>
    <row r="187" spans="1:11" ht="15">
      <c r="A187" t="s">
        <v>105</v>
      </c>
      <c r="B187" t="s">
        <v>106</v>
      </c>
      <c r="C187" s="15" t="s">
        <v>30</v>
      </c>
      <c r="D187" s="23" t="s">
        <v>107</v>
      </c>
      <c r="E187" s="16" t="s">
        <v>108</v>
      </c>
      <c r="F187" s="24" t="str">
        <f>'Source Table'!$B$14</f>
        <v>Artistic production</v>
      </c>
      <c r="G187" s="24" t="str">
        <f>'Source Table'!$E$14</f>
        <v>انتاج فني</v>
      </c>
      <c r="H187" s="24" t="str">
        <f>'Source Table'!$C$6</f>
        <v>Foreign investment</v>
      </c>
      <c r="I187" s="24" t="str">
        <f>'Source Table'!$C$5</f>
        <v>الاستثمار الاجنبي</v>
      </c>
      <c r="J187">
        <v>0</v>
      </c>
      <c r="K187">
        <v>2018</v>
      </c>
    </row>
    <row r="188" spans="1:11" ht="15">
      <c r="A188" t="s">
        <v>105</v>
      </c>
      <c r="B188" t="s">
        <v>106</v>
      </c>
      <c r="C188" s="15" t="s">
        <v>30</v>
      </c>
      <c r="D188" s="23" t="s">
        <v>107</v>
      </c>
      <c r="E188" s="16" t="s">
        <v>108</v>
      </c>
      <c r="F188" s="24" t="str">
        <f>'Source Table'!$B$15</f>
        <v>Gas transportation and distribution</v>
      </c>
      <c r="G188" s="24" t="str">
        <f>'Source Table'!$E$15</f>
        <v>نقل وتوزيع الغاز</v>
      </c>
      <c r="H188" s="24" t="str">
        <f>'Source Table'!$C$6</f>
        <v>Foreign investment</v>
      </c>
      <c r="I188" s="24" t="str">
        <f>'Source Table'!$C$5</f>
        <v>الاستثمار الاجنبي</v>
      </c>
      <c r="J188">
        <v>0</v>
      </c>
      <c r="K188">
        <v>2018</v>
      </c>
    </row>
    <row r="189" spans="1:11" ht="15">
      <c r="A189" t="s">
        <v>105</v>
      </c>
      <c r="B189" t="s">
        <v>106</v>
      </c>
      <c r="C189" s="15" t="s">
        <v>30</v>
      </c>
      <c r="D189" s="23" t="s">
        <v>107</v>
      </c>
      <c r="E189" s="16" t="s">
        <v>108</v>
      </c>
      <c r="F189" s="24" t="str">
        <f>'Source Table'!$B$16</f>
        <v>call centers</v>
      </c>
      <c r="G189" s="24" t="str">
        <f>'Source Table'!$E$16</f>
        <v>مراكز اتصال</v>
      </c>
      <c r="H189" s="24" t="str">
        <f>'Source Table'!$C$6</f>
        <v>Foreign investment</v>
      </c>
      <c r="I189" s="24" t="str">
        <f>'Source Table'!$C$5</f>
        <v>الاستثمار الاجنبي</v>
      </c>
      <c r="J189">
        <v>0</v>
      </c>
      <c r="K189">
        <v>2018</v>
      </c>
    </row>
    <row r="190" spans="1:11" ht="15">
      <c r="A190" t="s">
        <v>105</v>
      </c>
      <c r="B190" t="s">
        <v>106</v>
      </c>
      <c r="C190" s="15" t="s">
        <v>30</v>
      </c>
      <c r="D190" s="23" t="s">
        <v>107</v>
      </c>
      <c r="E190" s="16" t="s">
        <v>108</v>
      </c>
      <c r="F190" s="24" t="str">
        <f>'Source Table'!$B$17</f>
        <v>Scientific research centers</v>
      </c>
      <c r="G190" s="24" t="str">
        <f>'Source Table'!$E$17</f>
        <v>مراكز بحث علمي</v>
      </c>
      <c r="H190" s="24" t="str">
        <f>'Source Table'!$C$6</f>
        <v>Foreign investment</v>
      </c>
      <c r="I190" s="24" t="str">
        <f>'Source Table'!$C$5</f>
        <v>الاستثمار الاجنبي</v>
      </c>
      <c r="J190">
        <v>0</v>
      </c>
      <c r="K190">
        <v>2018</v>
      </c>
    </row>
    <row r="191" spans="1:11" ht="18.75">
      <c r="A191" t="s">
        <v>105</v>
      </c>
      <c r="B191" t="s">
        <v>106</v>
      </c>
      <c r="C191" s="15" t="s">
        <v>30</v>
      </c>
      <c r="D191" s="23" t="s">
        <v>107</v>
      </c>
      <c r="E191" s="16" t="s">
        <v>108</v>
      </c>
      <c r="F191" s="24" t="str">
        <f>'Source Table'!$B$7</f>
        <v>Industry</v>
      </c>
      <c r="G191" s="24" t="str">
        <f>'Source Table'!$E$7</f>
        <v>الصناعة</v>
      </c>
      <c r="H191" s="16" t="s">
        <v>125</v>
      </c>
      <c r="I191" s="32" t="s">
        <v>124</v>
      </c>
      <c r="J191">
        <v>631.29999999999995</v>
      </c>
      <c r="K191">
        <v>2018</v>
      </c>
    </row>
    <row r="192" spans="1:11" ht="18.75">
      <c r="A192" t="s">
        <v>105</v>
      </c>
      <c r="B192" t="s">
        <v>106</v>
      </c>
      <c r="C192" s="15" t="s">
        <v>30</v>
      </c>
      <c r="D192" s="23" t="s">
        <v>107</v>
      </c>
      <c r="E192" s="16" t="s">
        <v>108</v>
      </c>
      <c r="F192" s="24" t="str">
        <f>'Source Table'!$B$8</f>
        <v>Commerce</v>
      </c>
      <c r="G192" s="24" t="str">
        <f>'Source Table'!$E$8</f>
        <v>التجارة</v>
      </c>
      <c r="H192" s="16" t="s">
        <v>125</v>
      </c>
      <c r="I192" s="32" t="s">
        <v>124</v>
      </c>
      <c r="K192">
        <v>2018</v>
      </c>
    </row>
    <row r="193" spans="1:11" ht="18.75">
      <c r="A193" t="s">
        <v>105</v>
      </c>
      <c r="B193" t="s">
        <v>106</v>
      </c>
      <c r="C193" s="15" t="s">
        <v>30</v>
      </c>
      <c r="D193" s="23" t="s">
        <v>107</v>
      </c>
      <c r="E193" s="16" t="s">
        <v>108</v>
      </c>
      <c r="F193" s="24" t="str">
        <f>'Source Table'!$B$9</f>
        <v>Tourism</v>
      </c>
      <c r="G193" s="24" t="str">
        <f>'Source Table'!$E$9</f>
        <v>السياحة</v>
      </c>
      <c r="H193" s="16" t="s">
        <v>125</v>
      </c>
      <c r="I193" s="32" t="s">
        <v>124</v>
      </c>
      <c r="J193">
        <v>74.5</v>
      </c>
      <c r="K193">
        <v>2018</v>
      </c>
    </row>
    <row r="194" spans="1:11" ht="18.75">
      <c r="A194" t="s">
        <v>105</v>
      </c>
      <c r="B194" t="s">
        <v>106</v>
      </c>
      <c r="C194" s="15" t="s">
        <v>30</v>
      </c>
      <c r="D194" s="23" t="s">
        <v>107</v>
      </c>
      <c r="E194" s="16" t="s">
        <v>108</v>
      </c>
      <c r="F194" s="24" t="str">
        <f>'Source Table'!$B$10</f>
        <v>Agriculture</v>
      </c>
      <c r="G194" s="24" t="str">
        <f>'Source Table'!$E$10</f>
        <v>الزراعة</v>
      </c>
      <c r="H194" s="16" t="s">
        <v>125</v>
      </c>
      <c r="I194" s="32" t="s">
        <v>124</v>
      </c>
      <c r="J194">
        <v>8.8000000000000007</v>
      </c>
      <c r="K194">
        <v>2018</v>
      </c>
    </row>
    <row r="195" spans="1:11" ht="18.75">
      <c r="A195" t="s">
        <v>105</v>
      </c>
      <c r="B195" t="s">
        <v>106</v>
      </c>
      <c r="C195" s="15" t="s">
        <v>30</v>
      </c>
      <c r="D195" s="23" t="s">
        <v>107</v>
      </c>
      <c r="E195" s="16" t="s">
        <v>108</v>
      </c>
      <c r="F195" s="24" t="str">
        <f>'Source Table'!$B$11</f>
        <v>Hospitals</v>
      </c>
      <c r="G195" s="24" t="str">
        <f>'Source Table'!$E$11</f>
        <v>المستشفيات</v>
      </c>
      <c r="H195" s="16" t="s">
        <v>125</v>
      </c>
      <c r="I195" s="32" t="s">
        <v>124</v>
      </c>
      <c r="J195">
        <v>41.7</v>
      </c>
      <c r="K195">
        <v>2018</v>
      </c>
    </row>
    <row r="196" spans="1:11" ht="18.75">
      <c r="A196" t="s">
        <v>105</v>
      </c>
      <c r="B196" t="s">
        <v>106</v>
      </c>
      <c r="C196" s="15" t="s">
        <v>30</v>
      </c>
      <c r="D196" s="23" t="s">
        <v>107</v>
      </c>
      <c r="E196" s="16" t="s">
        <v>108</v>
      </c>
      <c r="F196" s="24" t="str">
        <f>'Source Table'!$B$12</f>
        <v>Services</v>
      </c>
      <c r="G196" s="24" t="str">
        <f>'Source Table'!$E$12</f>
        <v>الخدمات</v>
      </c>
      <c r="H196" s="16" t="s">
        <v>125</v>
      </c>
      <c r="I196" s="32" t="s">
        <v>124</v>
      </c>
      <c r="J196">
        <v>9.6999999999999993</v>
      </c>
      <c r="K196">
        <v>2018</v>
      </c>
    </row>
    <row r="197" spans="1:11" ht="18.75">
      <c r="A197" t="s">
        <v>105</v>
      </c>
      <c r="B197" t="s">
        <v>106</v>
      </c>
      <c r="C197" s="15" t="s">
        <v>30</v>
      </c>
      <c r="D197" s="23" t="s">
        <v>107</v>
      </c>
      <c r="E197" s="16" t="s">
        <v>108</v>
      </c>
      <c r="F197" s="24" t="str">
        <f>'Source Table'!$B$13</f>
        <v>Information Technology</v>
      </c>
      <c r="G197" s="24" t="str">
        <f>'Source Table'!$E$13</f>
        <v>تكنولوجيا المعلومات</v>
      </c>
      <c r="H197" s="16" t="s">
        <v>125</v>
      </c>
      <c r="I197" s="32" t="s">
        <v>124</v>
      </c>
      <c r="J197">
        <v>16.100000000000001</v>
      </c>
      <c r="K197">
        <v>2018</v>
      </c>
    </row>
    <row r="198" spans="1:11" ht="18.75">
      <c r="A198" t="s">
        <v>105</v>
      </c>
      <c r="B198" t="s">
        <v>106</v>
      </c>
      <c r="C198" s="15" t="s">
        <v>30</v>
      </c>
      <c r="D198" s="23" t="s">
        <v>107</v>
      </c>
      <c r="E198" s="16" t="s">
        <v>108</v>
      </c>
      <c r="F198" s="24" t="str">
        <f>'Source Table'!$B$14</f>
        <v>Artistic production</v>
      </c>
      <c r="G198" s="24" t="str">
        <f>'Source Table'!$E$14</f>
        <v>انتاج فني</v>
      </c>
      <c r="H198" s="16" t="s">
        <v>125</v>
      </c>
      <c r="I198" s="32" t="s">
        <v>124</v>
      </c>
      <c r="J198">
        <v>6.4</v>
      </c>
      <c r="K198">
        <v>2018</v>
      </c>
    </row>
    <row r="199" spans="1:11" ht="18.75">
      <c r="A199" t="s">
        <v>105</v>
      </c>
      <c r="B199" t="s">
        <v>106</v>
      </c>
      <c r="C199" s="15" t="s">
        <v>30</v>
      </c>
      <c r="D199" s="23" t="s">
        <v>107</v>
      </c>
      <c r="E199" s="16" t="s">
        <v>108</v>
      </c>
      <c r="F199" s="24" t="str">
        <f>'Source Table'!$B$15</f>
        <v>Gas transportation and distribution</v>
      </c>
      <c r="G199" s="24" t="str">
        <f>'Source Table'!$E$15</f>
        <v>نقل وتوزيع الغاز</v>
      </c>
      <c r="H199" s="16" t="s">
        <v>125</v>
      </c>
      <c r="I199" s="32" t="s">
        <v>124</v>
      </c>
      <c r="J199">
        <v>0</v>
      </c>
      <c r="K199">
        <v>2018</v>
      </c>
    </row>
    <row r="200" spans="1:11" ht="18.75">
      <c r="A200" t="s">
        <v>105</v>
      </c>
      <c r="B200" t="s">
        <v>106</v>
      </c>
      <c r="C200" s="15" t="s">
        <v>30</v>
      </c>
      <c r="D200" s="23" t="s">
        <v>107</v>
      </c>
      <c r="E200" s="16" t="s">
        <v>108</v>
      </c>
      <c r="F200" s="24" t="str">
        <f>'Source Table'!$B$16</f>
        <v>call centers</v>
      </c>
      <c r="G200" s="24" t="str">
        <f>'Source Table'!$E$16</f>
        <v>مراكز اتصال</v>
      </c>
      <c r="H200" s="16" t="s">
        <v>125</v>
      </c>
      <c r="I200" s="32" t="s">
        <v>124</v>
      </c>
      <c r="J200">
        <v>0</v>
      </c>
      <c r="K200">
        <v>2018</v>
      </c>
    </row>
    <row r="201" spans="1:11" ht="18.75">
      <c r="A201" t="s">
        <v>105</v>
      </c>
      <c r="B201" t="s">
        <v>106</v>
      </c>
      <c r="C201" s="15" t="s">
        <v>30</v>
      </c>
      <c r="D201" s="23" t="s">
        <v>107</v>
      </c>
      <c r="E201" s="16" t="s">
        <v>108</v>
      </c>
      <c r="F201" s="24" t="str">
        <f>'Source Table'!$B$17</f>
        <v>Scientific research centers</v>
      </c>
      <c r="G201" s="24" t="str">
        <f>'Source Table'!$E$17</f>
        <v>مراكز بحث علمي</v>
      </c>
      <c r="H201" s="16" t="s">
        <v>125</v>
      </c>
      <c r="I201" s="32" t="s">
        <v>124</v>
      </c>
      <c r="J201">
        <v>0</v>
      </c>
      <c r="K201">
        <v>2018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workbookViewId="0">
      <selection sqref="A1:I22"/>
    </sheetView>
  </sheetViews>
  <sheetFormatPr defaultRowHeight="13.5"/>
  <sheetData>
    <row r="1" spans="1:9" ht="15">
      <c r="A1" t="s">
        <v>105</v>
      </c>
      <c r="B1" t="s">
        <v>106</v>
      </c>
      <c r="C1" s="15" t="s">
        <v>30</v>
      </c>
      <c r="D1" s="23" t="s">
        <v>107</v>
      </c>
      <c r="E1" s="16" t="s">
        <v>108</v>
      </c>
      <c r="F1" s="24" t="str">
        <f>'Source Table'!$B$7</f>
        <v>Industry</v>
      </c>
      <c r="G1" s="24" t="str">
        <f>'Source Table'!$E$7</f>
        <v>الصناعة</v>
      </c>
      <c r="H1" s="24" t="str">
        <f>'Source Table'!$D$6</f>
        <v>local investment</v>
      </c>
      <c r="I1" s="24" t="str">
        <f>'Source Table'!$D$5</f>
        <v>الاستثمار المحلي</v>
      </c>
    </row>
    <row r="2" spans="1:9" ht="15">
      <c r="A2" t="s">
        <v>105</v>
      </c>
      <c r="B2" t="s">
        <v>106</v>
      </c>
      <c r="C2" s="15" t="s">
        <v>30</v>
      </c>
      <c r="D2" s="23" t="s">
        <v>107</v>
      </c>
      <c r="E2" s="16" t="s">
        <v>108</v>
      </c>
      <c r="F2" s="24" t="str">
        <f>'Source Table'!$B$8</f>
        <v>Commerce</v>
      </c>
      <c r="G2" s="24" t="str">
        <f>'Source Table'!$E$8</f>
        <v>التجارة</v>
      </c>
      <c r="H2" s="24" t="str">
        <f>'Source Table'!$D$6</f>
        <v>local investment</v>
      </c>
      <c r="I2" s="24" t="str">
        <f>'Source Table'!$D$5</f>
        <v>الاستثمار المحلي</v>
      </c>
    </row>
    <row r="3" spans="1:9" ht="15">
      <c r="A3" t="s">
        <v>105</v>
      </c>
      <c r="B3" t="s">
        <v>106</v>
      </c>
      <c r="C3" s="15" t="s">
        <v>30</v>
      </c>
      <c r="D3" s="23" t="s">
        <v>107</v>
      </c>
      <c r="E3" s="16" t="s">
        <v>108</v>
      </c>
      <c r="F3" s="24" t="str">
        <f>'Source Table'!$B$9</f>
        <v>Tourism</v>
      </c>
      <c r="G3" s="24" t="str">
        <f>'Source Table'!$E$9</f>
        <v>السياحة</v>
      </c>
      <c r="H3" s="24" t="str">
        <f>'Source Table'!$D$6</f>
        <v>local investment</v>
      </c>
      <c r="I3" s="24" t="str">
        <f>'Source Table'!$D$5</f>
        <v>الاستثمار المحلي</v>
      </c>
    </row>
    <row r="4" spans="1:9" ht="15">
      <c r="A4" t="s">
        <v>105</v>
      </c>
      <c r="B4" t="s">
        <v>106</v>
      </c>
      <c r="C4" s="15" t="s">
        <v>30</v>
      </c>
      <c r="D4" s="23" t="s">
        <v>107</v>
      </c>
      <c r="E4" s="16" t="s">
        <v>108</v>
      </c>
      <c r="F4" s="24" t="str">
        <f>'Source Table'!$B$10</f>
        <v>Agriculture</v>
      </c>
      <c r="G4" s="24" t="str">
        <f>'Source Table'!$E$10</f>
        <v>الزراعة</v>
      </c>
      <c r="H4" s="24" t="str">
        <f>'Source Table'!$D$6</f>
        <v>local investment</v>
      </c>
      <c r="I4" s="24" t="str">
        <f>'Source Table'!$D$5</f>
        <v>الاستثمار المحلي</v>
      </c>
    </row>
    <row r="5" spans="1:9" ht="15">
      <c r="A5" t="s">
        <v>105</v>
      </c>
      <c r="B5" t="s">
        <v>106</v>
      </c>
      <c r="C5" s="15" t="s">
        <v>30</v>
      </c>
      <c r="D5" s="23" t="s">
        <v>107</v>
      </c>
      <c r="E5" s="16" t="s">
        <v>108</v>
      </c>
      <c r="F5" s="24" t="str">
        <f>'Source Table'!$B$11</f>
        <v>Hospitals</v>
      </c>
      <c r="G5" s="24" t="str">
        <f>'Source Table'!$E$11</f>
        <v>المستشفيات</v>
      </c>
      <c r="H5" s="24" t="str">
        <f>'Source Table'!$D$6</f>
        <v>local investment</v>
      </c>
      <c r="I5" s="24" t="str">
        <f>'Source Table'!$D$5</f>
        <v>الاستثمار المحلي</v>
      </c>
    </row>
    <row r="6" spans="1:9" ht="15">
      <c r="A6" t="s">
        <v>105</v>
      </c>
      <c r="B6" t="s">
        <v>106</v>
      </c>
      <c r="C6" s="15" t="s">
        <v>30</v>
      </c>
      <c r="D6" s="23" t="s">
        <v>107</v>
      </c>
      <c r="E6" s="16" t="s">
        <v>108</v>
      </c>
      <c r="F6" s="24" t="str">
        <f>'Source Table'!$B$12</f>
        <v>Services</v>
      </c>
      <c r="G6" s="24" t="str">
        <f>'Source Table'!$E$12</f>
        <v>الخدمات</v>
      </c>
      <c r="H6" s="24" t="str">
        <f>'Source Table'!$D$6</f>
        <v>local investment</v>
      </c>
      <c r="I6" s="24" t="str">
        <f>'Source Table'!$D$5</f>
        <v>الاستثمار المحلي</v>
      </c>
    </row>
    <row r="7" spans="1:9" ht="15">
      <c r="A7" t="s">
        <v>105</v>
      </c>
      <c r="B7" t="s">
        <v>106</v>
      </c>
      <c r="C7" s="15" t="s">
        <v>30</v>
      </c>
      <c r="D7" s="23" t="s">
        <v>107</v>
      </c>
      <c r="E7" s="16" t="s">
        <v>108</v>
      </c>
      <c r="F7" s="24" t="str">
        <f>'Source Table'!$B$13</f>
        <v>Information Technology</v>
      </c>
      <c r="G7" s="24" t="str">
        <f>'Source Table'!$E$13</f>
        <v>تكنولوجيا المعلومات</v>
      </c>
      <c r="H7" s="24" t="str">
        <f>'Source Table'!$D$6</f>
        <v>local investment</v>
      </c>
      <c r="I7" s="24" t="str">
        <f>'Source Table'!$D$5</f>
        <v>الاستثمار المحلي</v>
      </c>
    </row>
    <row r="8" spans="1:9" ht="15">
      <c r="A8" t="s">
        <v>105</v>
      </c>
      <c r="B8" t="s">
        <v>106</v>
      </c>
      <c r="C8" s="15" t="s">
        <v>30</v>
      </c>
      <c r="D8" s="23" t="s">
        <v>107</v>
      </c>
      <c r="E8" s="16" t="s">
        <v>108</v>
      </c>
      <c r="F8" s="24" t="str">
        <f>'Source Table'!$B$14</f>
        <v>Artistic production</v>
      </c>
      <c r="G8" s="24" t="str">
        <f>'Source Table'!$E$14</f>
        <v>انتاج فني</v>
      </c>
      <c r="H8" s="24" t="str">
        <f>'Source Table'!$D$6</f>
        <v>local investment</v>
      </c>
      <c r="I8" s="24" t="str">
        <f>'Source Table'!$D$5</f>
        <v>الاستثمار المحلي</v>
      </c>
    </row>
    <row r="9" spans="1:9" ht="15">
      <c r="A9" t="s">
        <v>105</v>
      </c>
      <c r="B9" t="s">
        <v>106</v>
      </c>
      <c r="C9" s="15" t="s">
        <v>30</v>
      </c>
      <c r="D9" s="23" t="s">
        <v>107</v>
      </c>
      <c r="E9" s="16" t="s">
        <v>108</v>
      </c>
      <c r="F9" s="24" t="str">
        <f>'Source Table'!$B$15</f>
        <v>Gas transportation and distribution</v>
      </c>
      <c r="G9" s="24" t="str">
        <f>'Source Table'!$E$15</f>
        <v>نقل وتوزيع الغاز</v>
      </c>
      <c r="H9" s="24" t="str">
        <f>'Source Table'!$D$6</f>
        <v>local investment</v>
      </c>
      <c r="I9" s="24" t="str">
        <f>'Source Table'!$D$5</f>
        <v>الاستثمار المحلي</v>
      </c>
    </row>
    <row r="10" spans="1:9" ht="15">
      <c r="A10" t="s">
        <v>105</v>
      </c>
      <c r="B10" t="s">
        <v>106</v>
      </c>
      <c r="C10" s="15" t="s">
        <v>30</v>
      </c>
      <c r="D10" s="23" t="s">
        <v>107</v>
      </c>
      <c r="E10" s="16" t="s">
        <v>108</v>
      </c>
      <c r="F10" s="24" t="str">
        <f>'Source Table'!$B$16</f>
        <v>call centers</v>
      </c>
      <c r="G10" s="24" t="str">
        <f>'Source Table'!$E$16</f>
        <v>مراكز اتصال</v>
      </c>
      <c r="H10" s="24" t="str">
        <f>'Source Table'!$D$6</f>
        <v>local investment</v>
      </c>
      <c r="I10" s="24" t="str">
        <f>'Source Table'!$D$5</f>
        <v>الاستثمار المحلي</v>
      </c>
    </row>
    <row r="11" spans="1:9" ht="15">
      <c r="A11" t="s">
        <v>105</v>
      </c>
      <c r="B11" t="s">
        <v>106</v>
      </c>
      <c r="C11" s="15" t="s">
        <v>30</v>
      </c>
      <c r="D11" s="23" t="s">
        <v>107</v>
      </c>
      <c r="E11" s="16" t="s">
        <v>108</v>
      </c>
      <c r="F11" s="24" t="str">
        <f>'Source Table'!$B$17</f>
        <v>Scientific research centers</v>
      </c>
      <c r="G11" s="24" t="str">
        <f>'Source Table'!$E$17</f>
        <v>مراكز بحث علمي</v>
      </c>
      <c r="H11" s="24" t="str">
        <f>'Source Table'!$D$6</f>
        <v>local investment</v>
      </c>
      <c r="I11" s="24" t="str">
        <f>'Source Table'!$D$5</f>
        <v>الاستثمار المحلي</v>
      </c>
    </row>
    <row r="12" spans="1:9" ht="15">
      <c r="A12" t="s">
        <v>105</v>
      </c>
      <c r="B12" t="s">
        <v>106</v>
      </c>
      <c r="C12" s="15" t="s">
        <v>30</v>
      </c>
      <c r="D12" s="23" t="s">
        <v>107</v>
      </c>
      <c r="E12" s="16" t="s">
        <v>108</v>
      </c>
      <c r="F12" s="24" t="str">
        <f>'Source Table'!$B$7</f>
        <v>Industry</v>
      </c>
      <c r="G12" s="24" t="str">
        <f>'Source Table'!$E$7</f>
        <v>الصناعة</v>
      </c>
      <c r="H12" s="24" t="str">
        <f>'Source Table'!$C$6</f>
        <v>Foreign investment</v>
      </c>
      <c r="I12" s="24" t="str">
        <f>'Source Table'!$C$5</f>
        <v>الاستثمار الاجنبي</v>
      </c>
    </row>
    <row r="13" spans="1:9" ht="15">
      <c r="A13" t="s">
        <v>105</v>
      </c>
      <c r="B13" t="s">
        <v>106</v>
      </c>
      <c r="C13" s="15" t="s">
        <v>30</v>
      </c>
      <c r="D13" s="23" t="s">
        <v>107</v>
      </c>
      <c r="E13" s="16" t="s">
        <v>108</v>
      </c>
      <c r="F13" s="24" t="str">
        <f>'Source Table'!$B$8</f>
        <v>Commerce</v>
      </c>
      <c r="G13" s="24" t="str">
        <f>'Source Table'!$E$8</f>
        <v>التجارة</v>
      </c>
      <c r="H13" s="24" t="str">
        <f>'Source Table'!$C$6</f>
        <v>Foreign investment</v>
      </c>
      <c r="I13" s="24" t="str">
        <f>'Source Table'!$C$5</f>
        <v>الاستثمار الاجنبي</v>
      </c>
    </row>
    <row r="14" spans="1:9" ht="15">
      <c r="A14" t="s">
        <v>105</v>
      </c>
      <c r="B14" t="s">
        <v>106</v>
      </c>
      <c r="C14" s="15" t="s">
        <v>30</v>
      </c>
      <c r="D14" s="23" t="s">
        <v>107</v>
      </c>
      <c r="E14" s="16" t="s">
        <v>108</v>
      </c>
      <c r="F14" s="24" t="str">
        <f>'Source Table'!$B$9</f>
        <v>Tourism</v>
      </c>
      <c r="G14" s="24" t="str">
        <f>'Source Table'!$E$9</f>
        <v>السياحة</v>
      </c>
      <c r="H14" s="24" t="str">
        <f>'Source Table'!$C$6</f>
        <v>Foreign investment</v>
      </c>
      <c r="I14" s="24" t="str">
        <f>'Source Table'!$C$5</f>
        <v>الاستثمار الاجنبي</v>
      </c>
    </row>
    <row r="15" spans="1:9" ht="15">
      <c r="A15" t="s">
        <v>105</v>
      </c>
      <c r="B15" t="s">
        <v>106</v>
      </c>
      <c r="C15" s="15" t="s">
        <v>30</v>
      </c>
      <c r="D15" s="23" t="s">
        <v>107</v>
      </c>
      <c r="E15" s="16" t="s">
        <v>108</v>
      </c>
      <c r="F15" s="24" t="str">
        <f>'Source Table'!$B$10</f>
        <v>Agriculture</v>
      </c>
      <c r="G15" s="24" t="str">
        <f>'Source Table'!$E$10</f>
        <v>الزراعة</v>
      </c>
      <c r="H15" s="24" t="str">
        <f>'Source Table'!$C$6</f>
        <v>Foreign investment</v>
      </c>
      <c r="I15" s="24" t="str">
        <f>'Source Table'!$C$5</f>
        <v>الاستثمار الاجنبي</v>
      </c>
    </row>
    <row r="16" spans="1:9" ht="15">
      <c r="A16" t="s">
        <v>105</v>
      </c>
      <c r="B16" t="s">
        <v>106</v>
      </c>
      <c r="C16" s="15" t="s">
        <v>30</v>
      </c>
      <c r="D16" s="23" t="s">
        <v>107</v>
      </c>
      <c r="E16" s="16" t="s">
        <v>108</v>
      </c>
      <c r="F16" s="24" t="str">
        <f>'Source Table'!$B$11</f>
        <v>Hospitals</v>
      </c>
      <c r="G16" s="24" t="str">
        <f>'Source Table'!$E$11</f>
        <v>المستشفيات</v>
      </c>
      <c r="H16" s="24" t="str">
        <f>'Source Table'!$C$6</f>
        <v>Foreign investment</v>
      </c>
      <c r="I16" s="24" t="str">
        <f>'Source Table'!$C$5</f>
        <v>الاستثمار الاجنبي</v>
      </c>
    </row>
    <row r="17" spans="1:9" ht="15">
      <c r="A17" t="s">
        <v>105</v>
      </c>
      <c r="B17" t="s">
        <v>106</v>
      </c>
      <c r="C17" s="15" t="s">
        <v>30</v>
      </c>
      <c r="D17" s="23" t="s">
        <v>107</v>
      </c>
      <c r="E17" s="16" t="s">
        <v>108</v>
      </c>
      <c r="F17" s="24" t="str">
        <f>'Source Table'!$B$12</f>
        <v>Services</v>
      </c>
      <c r="G17" s="24" t="str">
        <f>'Source Table'!$E$12</f>
        <v>الخدمات</v>
      </c>
      <c r="H17" s="24" t="str">
        <f>'Source Table'!$C$6</f>
        <v>Foreign investment</v>
      </c>
      <c r="I17" s="24" t="str">
        <f>'Source Table'!$C$5</f>
        <v>الاستثمار الاجنبي</v>
      </c>
    </row>
    <row r="18" spans="1:9" ht="15">
      <c r="A18" t="s">
        <v>105</v>
      </c>
      <c r="B18" t="s">
        <v>106</v>
      </c>
      <c r="C18" s="15" t="s">
        <v>30</v>
      </c>
      <c r="D18" s="23" t="s">
        <v>107</v>
      </c>
      <c r="E18" s="16" t="s">
        <v>108</v>
      </c>
      <c r="F18" s="24" t="str">
        <f>'Source Table'!$B$13</f>
        <v>Information Technology</v>
      </c>
      <c r="G18" s="24" t="str">
        <f>'Source Table'!$E$13</f>
        <v>تكنولوجيا المعلومات</v>
      </c>
      <c r="H18" s="24" t="str">
        <f>'Source Table'!$C$6</f>
        <v>Foreign investment</v>
      </c>
      <c r="I18" s="24" t="str">
        <f>'Source Table'!$C$5</f>
        <v>الاستثمار الاجنبي</v>
      </c>
    </row>
    <row r="19" spans="1:9" ht="15">
      <c r="A19" t="s">
        <v>105</v>
      </c>
      <c r="B19" t="s">
        <v>106</v>
      </c>
      <c r="C19" s="15" t="s">
        <v>30</v>
      </c>
      <c r="D19" s="23" t="s">
        <v>107</v>
      </c>
      <c r="E19" s="16" t="s">
        <v>108</v>
      </c>
      <c r="F19" s="24" t="str">
        <f>'Source Table'!$B$14</f>
        <v>Artistic production</v>
      </c>
      <c r="G19" s="24" t="str">
        <f>'Source Table'!$E$14</f>
        <v>انتاج فني</v>
      </c>
      <c r="H19" s="24" t="str">
        <f>'Source Table'!$C$6</f>
        <v>Foreign investment</v>
      </c>
      <c r="I19" s="24" t="str">
        <f>'Source Table'!$C$5</f>
        <v>الاستثمار الاجنبي</v>
      </c>
    </row>
    <row r="20" spans="1:9" ht="15">
      <c r="A20" t="s">
        <v>105</v>
      </c>
      <c r="B20" t="s">
        <v>106</v>
      </c>
      <c r="C20" s="15" t="s">
        <v>30</v>
      </c>
      <c r="D20" s="23" t="s">
        <v>107</v>
      </c>
      <c r="E20" s="16" t="s">
        <v>108</v>
      </c>
      <c r="F20" s="24" t="str">
        <f>'Source Table'!$B$15</f>
        <v>Gas transportation and distribution</v>
      </c>
      <c r="G20" s="24" t="str">
        <f>'Source Table'!$E$15</f>
        <v>نقل وتوزيع الغاز</v>
      </c>
      <c r="H20" s="24" t="str">
        <f>'Source Table'!$C$6</f>
        <v>Foreign investment</v>
      </c>
      <c r="I20" s="24" t="str">
        <f>'Source Table'!$C$5</f>
        <v>الاستثمار الاجنبي</v>
      </c>
    </row>
    <row r="21" spans="1:9" ht="15">
      <c r="A21" t="s">
        <v>105</v>
      </c>
      <c r="B21" t="s">
        <v>106</v>
      </c>
      <c r="C21" s="15" t="s">
        <v>30</v>
      </c>
      <c r="D21" s="23" t="s">
        <v>107</v>
      </c>
      <c r="E21" s="16" t="s">
        <v>108</v>
      </c>
      <c r="F21" s="24" t="str">
        <f>'Source Table'!$B$16</f>
        <v>call centers</v>
      </c>
      <c r="G21" s="24" t="str">
        <f>'Source Table'!$E$16</f>
        <v>مراكز اتصال</v>
      </c>
      <c r="H21" s="24" t="str">
        <f>'Source Table'!$C$6</f>
        <v>Foreign investment</v>
      </c>
      <c r="I21" s="24" t="str">
        <f>'Source Table'!$C$5</f>
        <v>الاستثمار الاجنبي</v>
      </c>
    </row>
    <row r="22" spans="1:9" ht="15">
      <c r="A22" t="s">
        <v>105</v>
      </c>
      <c r="B22" t="s">
        <v>106</v>
      </c>
      <c r="C22" s="15" t="s">
        <v>30</v>
      </c>
      <c r="D22" s="23" t="s">
        <v>107</v>
      </c>
      <c r="E22" s="16" t="s">
        <v>108</v>
      </c>
      <c r="F22" s="24" t="str">
        <f>'Source Table'!$B$17</f>
        <v>Scientific research centers</v>
      </c>
      <c r="G22" s="24" t="str">
        <f>'Source Table'!$E$17</f>
        <v>مراكز بحث علمي</v>
      </c>
      <c r="H22" s="24" t="str">
        <f>'Source Table'!$C$6</f>
        <v>Foreign investment</v>
      </c>
      <c r="I22" s="24" t="str">
        <f>'Source Table'!$C$5</f>
        <v>الاستثمار الاجنبي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zoomScale="70" zoomScaleNormal="70" workbookViewId="0">
      <selection activeCell="A4" sqref="A4:L5"/>
    </sheetView>
  </sheetViews>
  <sheetFormatPr defaultColWidth="9" defaultRowHeight="13.5"/>
  <cols>
    <col min="1" max="8" width="24.375" customWidth="1"/>
    <col min="9" max="9" width="8.75" customWidth="1"/>
    <col min="10" max="10" width="11.375" customWidth="1"/>
    <col min="11" max="11" width="12" customWidth="1"/>
    <col min="12" max="12" width="9.875" customWidth="1"/>
    <col min="13" max="13" width="7.375" customWidth="1"/>
  </cols>
  <sheetData>
    <row r="1" spans="1:12">
      <c r="A1" s="11" t="s">
        <v>31</v>
      </c>
      <c r="B1" s="12">
        <f>DATE(B2,B3,1)</f>
        <v>45292</v>
      </c>
    </row>
    <row r="2" spans="1:12">
      <c r="A2" s="11" t="s">
        <v>11</v>
      </c>
      <c r="B2">
        <v>2024</v>
      </c>
      <c r="D2" s="12"/>
    </row>
    <row r="3" spans="1:12">
      <c r="A3" s="11" t="s">
        <v>32</v>
      </c>
      <c r="B3">
        <v>1</v>
      </c>
    </row>
    <row r="4" spans="1:12" s="10" customFormat="1" ht="18" customHeight="1">
      <c r="A4" s="13" t="s">
        <v>14</v>
      </c>
      <c r="B4" s="13" t="s">
        <v>15</v>
      </c>
      <c r="C4" s="13" t="s">
        <v>16</v>
      </c>
      <c r="D4" s="13" t="s">
        <v>17</v>
      </c>
      <c r="E4" s="13" t="s">
        <v>18</v>
      </c>
      <c r="F4" s="25" t="s">
        <v>109</v>
      </c>
      <c r="G4" s="25" t="s">
        <v>110</v>
      </c>
      <c r="H4" s="25" t="s">
        <v>121</v>
      </c>
      <c r="I4" s="25" t="s">
        <v>122</v>
      </c>
      <c r="J4" s="13" t="s">
        <v>19</v>
      </c>
      <c r="K4" s="13" t="s">
        <v>20</v>
      </c>
      <c r="L4" s="13" t="s">
        <v>21</v>
      </c>
    </row>
    <row r="5" spans="1:12" s="10" customFormat="1" ht="18" customHeight="1">
      <c r="A5" s="13" t="s">
        <v>22</v>
      </c>
      <c r="B5" s="13" t="s">
        <v>23</v>
      </c>
      <c r="C5" s="13" t="s">
        <v>24</v>
      </c>
      <c r="D5" s="13" t="s">
        <v>25</v>
      </c>
      <c r="E5" s="13" t="s">
        <v>26</v>
      </c>
      <c r="F5" s="25" t="s">
        <v>112</v>
      </c>
      <c r="G5" s="25" t="s">
        <v>111</v>
      </c>
      <c r="H5" s="25" t="s">
        <v>123</v>
      </c>
      <c r="I5" s="25" t="s">
        <v>116</v>
      </c>
      <c r="J5" s="13" t="s">
        <v>27</v>
      </c>
      <c r="K5" s="13" t="s">
        <v>28</v>
      </c>
      <c r="L5" s="13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38"/>
  <sheetViews>
    <sheetView topLeftCell="A17" workbookViewId="0">
      <selection activeCell="A20" sqref="A20"/>
    </sheetView>
  </sheetViews>
  <sheetFormatPr defaultColWidth="8.875" defaultRowHeight="13.5"/>
  <cols>
    <col min="1" max="1" width="90" style="1" customWidth="1"/>
    <col min="2" max="2" width="2.625" style="2" customWidth="1"/>
    <col min="3" max="3" width="87.25" style="3" customWidth="1"/>
    <col min="4" max="16384" width="8.875" style="4"/>
  </cols>
  <sheetData>
    <row r="2" spans="1:3" ht="18">
      <c r="A2" s="5" t="s">
        <v>33</v>
      </c>
      <c r="C2" s="6" t="s">
        <v>34</v>
      </c>
    </row>
    <row r="3" spans="1:3">
      <c r="A3" s="7"/>
    </row>
    <row r="4" spans="1:3" ht="27">
      <c r="A4" s="7" t="s">
        <v>35</v>
      </c>
      <c r="C4" s="3" t="s">
        <v>36</v>
      </c>
    </row>
    <row r="6" spans="1:3" ht="18">
      <c r="A6" s="5" t="s">
        <v>37</v>
      </c>
      <c r="C6" s="6" t="s">
        <v>38</v>
      </c>
    </row>
    <row r="7" spans="1:3">
      <c r="A7" s="7"/>
    </row>
    <row r="8" spans="1:3" ht="27">
      <c r="A8" s="8" t="s">
        <v>39</v>
      </c>
      <c r="C8" s="3" t="s">
        <v>40</v>
      </c>
    </row>
    <row r="10" spans="1:3" ht="18">
      <c r="A10" s="5" t="s">
        <v>41</v>
      </c>
      <c r="C10" s="6" t="s">
        <v>42</v>
      </c>
    </row>
    <row r="11" spans="1:3">
      <c r="A11" s="7"/>
    </row>
    <row r="12" spans="1:3">
      <c r="A12" s="7" t="s">
        <v>43</v>
      </c>
      <c r="C12" s="3" t="s">
        <v>44</v>
      </c>
    </row>
    <row r="13" spans="1:3" ht="27">
      <c r="A13" s="8" t="s">
        <v>45</v>
      </c>
      <c r="C13" s="9" t="s">
        <v>46</v>
      </c>
    </row>
    <row r="14" spans="1:3" ht="40.5">
      <c r="A14" s="8" t="s">
        <v>47</v>
      </c>
      <c r="C14" s="9" t="s">
        <v>48</v>
      </c>
    </row>
    <row r="15" spans="1:3" ht="27">
      <c r="A15" s="8" t="s">
        <v>49</v>
      </c>
      <c r="C15" s="9" t="s">
        <v>50</v>
      </c>
    </row>
    <row r="16" spans="1:3">
      <c r="A16" s="8" t="s">
        <v>51</v>
      </c>
      <c r="C16" s="9" t="s">
        <v>52</v>
      </c>
    </row>
    <row r="17" spans="1:3">
      <c r="A17" s="8" t="s">
        <v>53</v>
      </c>
      <c r="C17" s="9" t="s">
        <v>54</v>
      </c>
    </row>
    <row r="18" spans="1:3">
      <c r="A18" s="7" t="s">
        <v>55</v>
      </c>
      <c r="C18" s="3" t="s">
        <v>56</v>
      </c>
    </row>
    <row r="19" spans="1:3">
      <c r="A19" s="7" t="s">
        <v>57</v>
      </c>
      <c r="C19" s="3" t="s">
        <v>58</v>
      </c>
    </row>
    <row r="20" spans="1:3" ht="27">
      <c r="A20" s="8" t="s">
        <v>59</v>
      </c>
      <c r="C20" s="9" t="s">
        <v>60</v>
      </c>
    </row>
    <row r="22" spans="1:3" ht="18">
      <c r="A22" s="5" t="s">
        <v>61</v>
      </c>
      <c r="C22" s="6" t="s">
        <v>62</v>
      </c>
    </row>
    <row r="23" spans="1:3">
      <c r="A23" s="7"/>
    </row>
    <row r="24" spans="1:3" ht="27">
      <c r="A24" s="7" t="s">
        <v>63</v>
      </c>
      <c r="C24" s="3" t="s">
        <v>64</v>
      </c>
    </row>
    <row r="25" spans="1:3" ht="27">
      <c r="A25" s="7" t="s">
        <v>65</v>
      </c>
      <c r="C25" s="3" t="s">
        <v>66</v>
      </c>
    </row>
    <row r="27" spans="1:3" ht="18">
      <c r="A27" s="5" t="s">
        <v>67</v>
      </c>
      <c r="C27" s="6" t="s">
        <v>68</v>
      </c>
    </row>
    <row r="28" spans="1:3">
      <c r="A28" s="7"/>
    </row>
    <row r="29" spans="1:3" ht="27">
      <c r="A29" s="7" t="s">
        <v>69</v>
      </c>
      <c r="C29" s="3" t="s">
        <v>70</v>
      </c>
    </row>
    <row r="30" spans="1:3">
      <c r="A30" s="7" t="s">
        <v>71</v>
      </c>
      <c r="C30" s="3" t="s">
        <v>72</v>
      </c>
    </row>
    <row r="32" spans="1:3" ht="18">
      <c r="A32" s="5" t="s">
        <v>73</v>
      </c>
      <c r="C32" s="6" t="s">
        <v>74</v>
      </c>
    </row>
    <row r="33" spans="1:3">
      <c r="A33" s="7"/>
    </row>
    <row r="34" spans="1:3">
      <c r="A34" s="8" t="s">
        <v>75</v>
      </c>
      <c r="C34" s="3" t="s">
        <v>76</v>
      </c>
    </row>
    <row r="36" spans="1:3" ht="18">
      <c r="A36" s="5" t="s">
        <v>77</v>
      </c>
      <c r="C36" s="6" t="s">
        <v>78</v>
      </c>
    </row>
    <row r="37" spans="1:3">
      <c r="A37" s="7"/>
    </row>
    <row r="38" spans="1:3" ht="27">
      <c r="A38" s="7" t="s">
        <v>79</v>
      </c>
      <c r="C38" s="3" t="s">
        <v>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59D8868F97254F9E5095DCA93C6B5E" ma:contentTypeVersion="4" ma:contentTypeDescription="Create a new document." ma:contentTypeScope="" ma:versionID="c382a7e8560abba42d9175972971dca4">
  <xsd:schema xmlns:xsd="http://www.w3.org/2001/XMLSchema" xmlns:xs="http://www.w3.org/2001/XMLSchema" xmlns:p="http://schemas.microsoft.com/office/2006/metadata/properties" xmlns:ns2="5f3aa2a1-f742-4cb3-874a-b3631849deb5" targetNamespace="http://schemas.microsoft.com/office/2006/metadata/properties" ma:root="true" ma:fieldsID="dff2fb13bd7f76f9795f131d17ef348c" ns2:_="">
    <xsd:import namespace="5f3aa2a1-f742-4cb3-874a-b3631849de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3aa2a1-f742-4cb3-874a-b3631849de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>
    <arrUserId title="Range1" rangeCreator="" othersAccessPermission="edit"/>
  </rangeList>
  <rangeList sheetStid="3" master="" otherUserPermission="visible"/>
  <rangeList sheetStid="4" master="" otherUserPermission="visible"/>
  <rangeList sheetStid="6" master="" otherUserPermission="visible"/>
</allowEditUser>
</file>

<file path=customXml/itemProps1.xml><?xml version="1.0" encoding="utf-8"?>
<ds:datastoreItem xmlns:ds="http://schemas.openxmlformats.org/officeDocument/2006/customXml" ds:itemID="{376B0781-3F54-40BC-A068-7F5A2310ECAB}">
  <ds:schemaRefs>
    <ds:schemaRef ds:uri="http://schemas.microsoft.com/office/2006/documentManagement/types"/>
    <ds:schemaRef ds:uri="http://purl.org/dc/elements/1.1/"/>
    <ds:schemaRef ds:uri="5f3aa2a1-f742-4cb3-874a-b3631849deb5"/>
    <ds:schemaRef ds:uri="http://purl.org/dc/terms/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EFB3727-0098-41DB-9DEB-08A099D40A76}">
  <ds:schemaRefs/>
</ds:datastoreItem>
</file>

<file path=customXml/itemProps3.xml><?xml version="1.0" encoding="utf-8"?>
<ds:datastoreItem xmlns:ds="http://schemas.openxmlformats.org/officeDocument/2006/customXml" ds:itemID="{3517F994-C603-46B5-AEAB-E4EEDEDA8C7D}">
  <ds:schemaRefs/>
</ds:datastoreItem>
</file>

<file path=customXml/itemProps4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 Page</vt:lpstr>
      <vt:lpstr>Source Table</vt:lpstr>
      <vt:lpstr>Relational DB</vt:lpstr>
      <vt:lpstr>Sheet1</vt:lpstr>
      <vt:lpstr>Template Data</vt:lpstr>
      <vt:lpstr>Help</vt:lpstr>
      <vt:lpstr>'Source Table'!Print_Area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Mihyar</dc:creator>
  <cp:lastModifiedBy>USER11</cp:lastModifiedBy>
  <dcterms:created xsi:type="dcterms:W3CDTF">2024-08-13T06:49:00Z</dcterms:created>
  <dcterms:modified xsi:type="dcterms:W3CDTF">2025-05-19T07:49:36Z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0x010100D459D8868F97254F9E5095DCA93C6B5E</vt:lpwstr>
  </property>
  <property fmtid="{D5CDD505-2E9C-101B-9397-08002B2CF9AE}" pid="3" name="MediaServiceImageTags">
    <vt:lpwstr/>
  </property>
  <property fmtid="{D5CDD505-2E9C-101B-9397-08002B2CF9AE}" pid="4" name="ICV">
    <vt:lpwstr>156DA827928A4ABFAF3DDE15037F87AA_13</vt:lpwstr>
  </property>
  <property fmtid="{D5CDD505-2E9C-101B-9397-08002B2CF9AE}" pid="5" name="KSOProductBuildVer">
    <vt:lpwstr>1033-12.2.0.20795</vt:lpwstr>
  </property>
</Properties>
</file>