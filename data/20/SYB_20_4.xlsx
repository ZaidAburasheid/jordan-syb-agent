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Tabels\His\20\"/>
    </mc:Choice>
  </mc:AlternateContent>
  <bookViews>
    <workbookView xWindow="0" yWindow="0" windowWidth="19635" windowHeight="8715" activeTab="2"/>
  </bookViews>
  <sheets>
    <sheet name="Cover Page" sheetId="1" r:id="rId1"/>
    <sheet name="Source Table" sheetId="2" r:id="rId2"/>
    <sheet name="Relational DB" sheetId="3" r:id="rId3"/>
    <sheet name="Sheet1" sheetId="7" r:id="rId4"/>
    <sheet name="Template Data" sheetId="4" r:id="rId5"/>
    <sheet name="Help" sheetId="6" r:id="rId6"/>
  </sheets>
  <definedNames>
    <definedName name="_xlnm.Print_Area" localSheetId="1">'Source Table'!$B$2:$D$15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3" l="1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1" i="7"/>
  <c r="F11" i="7"/>
  <c r="G10" i="7"/>
  <c r="F10" i="7"/>
  <c r="G9" i="7"/>
  <c r="F9" i="7"/>
  <c r="G8" i="7"/>
  <c r="F8" i="7"/>
  <c r="G7" i="7"/>
  <c r="F7" i="7"/>
  <c r="G6" i="7"/>
  <c r="F6" i="7"/>
  <c r="G5" i="7"/>
  <c r="F5" i="7"/>
  <c r="G4" i="7"/>
  <c r="F4" i="7"/>
  <c r="G3" i="7"/>
  <c r="F3" i="7"/>
  <c r="G2" i="7"/>
  <c r="F2" i="7"/>
  <c r="G1" i="7"/>
  <c r="F1" i="7"/>
  <c r="G14" i="3" l="1"/>
  <c r="G13" i="3"/>
  <c r="G12" i="3"/>
  <c r="G11" i="3"/>
  <c r="G10" i="3"/>
  <c r="G9" i="3"/>
  <c r="G8" i="3"/>
  <c r="G7" i="3"/>
  <c r="G6" i="3"/>
  <c r="G5" i="3"/>
  <c r="G4" i="3"/>
  <c r="F14" i="3"/>
  <c r="F13" i="3"/>
  <c r="F12" i="3"/>
  <c r="F11" i="3"/>
  <c r="F10" i="3"/>
  <c r="F9" i="3"/>
  <c r="F8" i="3"/>
  <c r="F7" i="3"/>
  <c r="F6" i="3"/>
  <c r="F5" i="3"/>
  <c r="F4" i="3"/>
  <c r="B1" i="4" l="1"/>
  <c r="C4" i="2"/>
  <c r="B3" i="2"/>
  <c r="B2" i="2"/>
</calcChain>
</file>

<file path=xl/sharedStrings.xml><?xml version="1.0" encoding="utf-8"?>
<sst xmlns="http://schemas.openxmlformats.org/spreadsheetml/2006/main" count="517" uniqueCount="116">
  <si>
    <t>Code</t>
  </si>
  <si>
    <t>Version</t>
  </si>
  <si>
    <t>V1</t>
  </si>
  <si>
    <t>اسم القالب</t>
  </si>
  <si>
    <t>Template Name</t>
  </si>
  <si>
    <t>دورية البيانات</t>
  </si>
  <si>
    <t>سنوي</t>
  </si>
  <si>
    <t>Data Frequency</t>
  </si>
  <si>
    <t>Annual</t>
  </si>
  <si>
    <t>الجهة المصدرية</t>
  </si>
  <si>
    <t>Data Source</t>
  </si>
  <si>
    <t>Year</t>
  </si>
  <si>
    <t>السنة</t>
  </si>
  <si>
    <t>Relational Sheet</t>
  </si>
  <si>
    <t>Measure_Name_Ar</t>
  </si>
  <si>
    <t>Measure_Name_En</t>
  </si>
  <si>
    <t>Measure_ID</t>
  </si>
  <si>
    <t>Unit_EN</t>
  </si>
  <si>
    <t>Unit_AR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</si>
  <si>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</si>
  <si>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</si>
  <si>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</si>
  <si>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</si>
  <si>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</si>
  <si>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</si>
  <si>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</si>
  <si>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</si>
  <si>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قيمة المؤشر</t>
  </si>
  <si>
    <t>سنة فترة القياس</t>
  </si>
  <si>
    <t>شهر فترة القياس</t>
  </si>
  <si>
    <t>M1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</si>
  <si>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</si>
  <si>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</si>
  <si>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</si>
  <si>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</si>
  <si>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</si>
  <si>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</si>
  <si>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</si>
  <si>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</si>
  <si>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</si>
  <si>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</si>
  <si>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</si>
  <si>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</si>
  <si>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</si>
  <si>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</si>
  <si>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</si>
  <si>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</si>
  <si>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</si>
  <si>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</si>
  <si>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</si>
  <si>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</si>
  <si>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</si>
  <si>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</si>
  <si>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</si>
  <si>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</si>
  <si>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</si>
  <si>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</si>
  <si>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</si>
  <si>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</si>
  <si>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</si>
  <si>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</si>
  <si>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</si>
  <si>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</si>
  <si>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</si>
  <si>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</si>
  <si>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</si>
  <si>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</si>
  <si>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</si>
  <si>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</si>
  <si>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</si>
  <si>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</si>
  <si>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</si>
  <si>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</si>
  <si>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</si>
  <si>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</si>
  <si>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</si>
  <si>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</si>
  <si>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</si>
  <si>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</si>
  <si>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</si>
  <si>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</si>
  <si>
    <t>SYB_20_4</t>
  </si>
  <si>
    <t>Size of Projects Investment Beneficiaries from Investment Promotion Law by Sector,(Million JDs)</t>
  </si>
  <si>
    <t>حجم الاستثمارات المستفيدة من قانون الاستثمار حسب القطاع,(مليون دينار)</t>
  </si>
  <si>
    <t xml:space="preserve"> وزارة  الاستثمار</t>
  </si>
  <si>
    <t>Ministry of  Investment</t>
  </si>
  <si>
    <t>الصناعة</t>
  </si>
  <si>
    <t>التجارة</t>
  </si>
  <si>
    <t>السياحة</t>
  </si>
  <si>
    <t>الزراعة</t>
  </si>
  <si>
    <t>المستشفيات</t>
  </si>
  <si>
    <t>الخدمات</t>
  </si>
  <si>
    <t>تكنولوجيا المعلومات</t>
  </si>
  <si>
    <t>انتاج فني</t>
  </si>
  <si>
    <t>نقل وتوزيع الغاز</t>
  </si>
  <si>
    <t>مراكز اتصال</t>
  </si>
  <si>
    <t>مراكز بحث علمي</t>
  </si>
  <si>
    <t>Industry</t>
  </si>
  <si>
    <t>Commerce</t>
  </si>
  <si>
    <t>Tourism</t>
  </si>
  <si>
    <t>Agriculture</t>
  </si>
  <si>
    <t>Hospitals</t>
  </si>
  <si>
    <t>Services</t>
  </si>
  <si>
    <t>Information Technology</t>
  </si>
  <si>
    <t>Artistic production</t>
  </si>
  <si>
    <t>Gas transportation and distribution</t>
  </si>
  <si>
    <t>call centers</t>
  </si>
  <si>
    <t>Scientific research centers</t>
  </si>
  <si>
    <t xml:space="preserve">حجم الاستثمارات المستفيدة من قانون الاستثمار </t>
  </si>
  <si>
    <t>Size of Projects Investment Beneficiaries from Investment Promotion Law</t>
  </si>
  <si>
    <t>Million JDs</t>
  </si>
  <si>
    <t>مليون دينار</t>
  </si>
  <si>
    <t>CL_SECTOR__EN_V3</t>
  </si>
  <si>
    <t>CL_SECTOR__AR_V3</t>
  </si>
  <si>
    <t>القطاع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</si>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</sst>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1"/>
      <color rgb="FF000000"/>
      <name val="Calibri"/>
      <family val="2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1"/>
      <color rgb="FF000000"/>
      <name val="Calibri"/>
      <family val="2"/>
    </font>
    <font>
      <sz val="16"/>
      <color rgb="FFFFFFFF"/>
      <name val="Aptos Narrow"/>
      <charset val="134"/>
      <scheme val="minor"/>
    </font>
    <font>
      <sz val="10"/>
      <name val="Arial"/>
      <family val="2"/>
    </font>
    <font>
      <b/>
      <sz val="14"/>
      <color indexed="12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color theme="1"/>
      <name val="Arial Unicode MS"/>
      <charset val="134"/>
    </font>
    <font>
      <sz val="11"/>
      <color theme="1"/>
      <name val="Aptos Narrow"/>
      <charset val="134"/>
      <scheme val="minor"/>
    </font>
    <font>
      <sz val="11"/>
      <color rgb="FF000000"/>
      <name val="Calibri"/>
      <family val="2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687704092531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8">
    <xf numFmtId="0" fontId="0" fillId="0" borderId="0"/>
    <xf numFmtId="0" fontId="12" fillId="0" borderId="0"/>
    <xf numFmtId="0" fontId="12" fillId="0" borderId="0"/>
    <xf numFmtId="0" fontId="13" fillId="0" borderId="0">
      <alignment horizontal="centerContinuous" vertical="center"/>
    </xf>
    <xf numFmtId="0" fontId="14" fillId="0" borderId="0">
      <alignment horizontal="centerContinuous" vertical="center"/>
    </xf>
    <xf numFmtId="1" fontId="15" fillId="7" borderId="2">
      <alignment horizontal="center" vertical="center"/>
    </xf>
    <xf numFmtId="0" fontId="16" fillId="7" borderId="2">
      <alignment horizontal="center" vertical="center" wrapText="1"/>
    </xf>
    <xf numFmtId="0" fontId="17" fillId="7" borderId="2">
      <alignment horizontal="center" vertical="center" wrapText="1"/>
    </xf>
    <xf numFmtId="0" fontId="12" fillId="0" borderId="0"/>
    <xf numFmtId="0" fontId="12" fillId="0" borderId="0"/>
    <xf numFmtId="0" fontId="20" fillId="0" borderId="0"/>
    <xf numFmtId="0" fontId="20" fillId="0" borderId="0"/>
    <xf numFmtId="0" fontId="12" fillId="0" borderId="0"/>
    <xf numFmtId="0" fontId="20" fillId="0" borderId="0"/>
    <xf numFmtId="9" fontId="20" fillId="0" borderId="0"/>
    <xf numFmtId="9" fontId="20" fillId="0" borderId="0"/>
    <xf numFmtId="0" fontId="18" fillId="0" borderId="0">
      <alignment horizontal="right" vertical="center"/>
    </xf>
    <xf numFmtId="0" fontId="12" fillId="0" borderId="0">
      <alignment horizontal="left" vertical="center"/>
    </xf>
  </cellStyleXfs>
  <cellXfs count="37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readingOrder="2"/>
    </xf>
    <xf numFmtId="0" fontId="9" fillId="4" borderId="1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readingOrder="2"/>
    </xf>
    <xf numFmtId="0" fontId="0" fillId="0" borderId="0" xfId="0" quotePrefix="1" applyAlignment="1">
      <alignment horizontal="center"/>
    </xf>
    <xf numFmtId="0" fontId="21" fillId="0" borderId="0" xfId="0" applyFont="1" applyAlignment="1">
      <alignment horizontal="center" readingOrder="2"/>
    </xf>
    <xf numFmtId="0" fontId="0" fillId="8" borderId="0" xfId="0" applyFont="1" applyFill="1" applyAlignment="1">
      <alignment horizontal="center" vertical="center"/>
    </xf>
    <xf numFmtId="0" fontId="10" fillId="0" borderId="1" xfId="8" applyFont="1" applyFill="1" applyBorder="1" applyProtection="1"/>
    <xf numFmtId="0" fontId="9" fillId="6" borderId="3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10" fillId="0" borderId="4" xfId="8" applyFont="1" applyFill="1" applyBorder="1" applyProtection="1"/>
    <xf numFmtId="0" fontId="8" fillId="5" borderId="1" xfId="0" applyFont="1" applyFill="1" applyBorder="1" applyAlignment="1">
      <alignment horizontal="center" vertical="center"/>
    </xf>
    <xf numFmtId="0" fontId="22" fillId="0" borderId="0" xfId="0" applyFont="1" applyBorder="1" applyAlignment="1">
      <alignment horizontal="right" vertical="center"/>
    </xf>
    <xf numFmtId="0" fontId="23" fillId="0" borderId="0" xfId="0" applyFont="1" applyBorder="1" applyAlignment="1">
      <alignment horizontal="center" vertical="center" readingOrder="2"/>
    </xf>
    <xf numFmtId="0" fontId="0" fillId="0" borderId="0" xfId="0" applyBorder="1"/>
    <xf numFmtId="0" fontId="24" fillId="0" borderId="0" xfId="0" applyFont="1" applyBorder="1"/>
    <xf numFmtId="0" fontId="22" fillId="0" borderId="0" xfId="0" applyFont="1" applyBorder="1" applyAlignment="1">
      <alignment horizontal="center" vertical="center" readingOrder="2"/>
    </xf>
    <xf numFmtId="0" fontId="22" fillId="0" borderId="0" xfId="0" applyFont="1" applyBorder="1" applyAlignment="1">
      <alignment horizontal="center" vertical="center"/>
    </xf>
  </cellXfs>
  <cellStyles count="18">
    <cellStyle name="‏_x001d_ً'_x000c_ï‏÷_x000c__x001c_" xfId="1"/>
    <cellStyle name="‏_x001d_ً'_x000c_ï‏÷_x000c__x001c_ 2" xfId="2"/>
    <cellStyle name="H1" xfId="3"/>
    <cellStyle name="H2" xfId="4"/>
    <cellStyle name="Had1" xfId="5"/>
    <cellStyle name="Had2" xfId="6"/>
    <cellStyle name="Had3" xfId="7"/>
    <cellStyle name="Normal" xfId="0" builtinId="0"/>
    <cellStyle name="Normal 2" xfId="8"/>
    <cellStyle name="Normal 3" xfId="9"/>
    <cellStyle name="Normal 4" xfId="10"/>
    <cellStyle name="Normal 4 2" xfId="11"/>
    <cellStyle name="Normal 5" xfId="12"/>
    <cellStyle name="Normal 6" xfId="13"/>
    <cellStyle name="Percent 2" xfId="14"/>
    <cellStyle name="Percent 2 2" xfId="15"/>
    <cellStyle name="T1" xfId="16"/>
    <cellStyle name="T2" xfId="17"/>
  </cellStyles>
  <dxfs count="0"/>
  <tableStyles count="0" defaultTableStyle="TableStyleMedium2" defaultPivotStyle="PivotStyleLight16"/>
  <colors>
    <mruColors>
      <color rgb="FF0776AD"/>
      <color rgb="FFBCE7FC"/>
      <color rgb="FF098B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9" sqref="B9"/>
    </sheetView>
  </sheetViews>
  <sheetFormatPr defaultColWidth="9" defaultRowHeight="13.5"/>
  <cols>
    <col min="1" max="1" width="32.375" customWidth="1"/>
    <col min="2" max="2" width="115.75" customWidth="1"/>
  </cols>
  <sheetData>
    <row r="1" spans="1:2" ht="21" customHeight="1">
      <c r="A1" s="18" t="s">
        <v>0</v>
      </c>
      <c r="B1" s="19" t="s">
        <v>81</v>
      </c>
    </row>
    <row r="2" spans="1:2" ht="21" customHeight="1">
      <c r="A2" s="18" t="s">
        <v>1</v>
      </c>
      <c r="B2" s="19" t="s">
        <v>2</v>
      </c>
    </row>
    <row r="3" spans="1:2" ht="21" customHeight="1">
      <c r="A3" s="18" t="s">
        <v>3</v>
      </c>
      <c r="B3" s="20" t="s">
        <v>83</v>
      </c>
    </row>
    <row r="4" spans="1:2" ht="21" customHeight="1">
      <c r="A4" s="18" t="s">
        <v>4</v>
      </c>
      <c r="B4" s="21" t="s">
        <v>82</v>
      </c>
    </row>
    <row r="5" spans="1:2" ht="21" customHeight="1">
      <c r="A5" s="18" t="s">
        <v>5</v>
      </c>
      <c r="B5" s="22" t="s">
        <v>6</v>
      </c>
    </row>
    <row r="6" spans="1:2" ht="21" customHeight="1">
      <c r="A6" s="18" t="s">
        <v>7</v>
      </c>
      <c r="B6" s="22" t="s">
        <v>8</v>
      </c>
    </row>
    <row r="7" spans="1:2" ht="21" customHeight="1">
      <c r="A7" s="18" t="s">
        <v>9</v>
      </c>
      <c r="B7" s="28" t="s">
        <v>84</v>
      </c>
    </row>
    <row r="8" spans="1:2" ht="21" customHeight="1">
      <c r="A8" s="18" t="s">
        <v>10</v>
      </c>
      <c r="B8" s="19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"/>
  <sheetViews>
    <sheetView view="pageBreakPreview" zoomScale="80" zoomScaleNormal="100" workbookViewId="0">
      <selection activeCell="C5" sqref="C5:C15"/>
    </sheetView>
  </sheetViews>
  <sheetFormatPr defaultColWidth="17.5" defaultRowHeight="13.5"/>
  <cols>
    <col min="2" max="2" width="52.375" bestFit="1" customWidth="1"/>
    <col min="3" max="3" width="7" bestFit="1" customWidth="1"/>
  </cols>
  <sheetData>
    <row r="2" spans="2:4" ht="28.15" customHeight="1">
      <c r="B2" s="30" t="str">
        <f>'Cover Page'!B4</f>
        <v>Size of Projects Investment Beneficiaries from Investment Promotion Law by Sector,(Million JDs)</v>
      </c>
      <c r="C2" s="30"/>
      <c r="D2" s="30"/>
    </row>
    <row r="3" spans="2:4" ht="28.15" customHeight="1">
      <c r="B3" s="30" t="str">
        <f>'Cover Page'!B3</f>
        <v>حجم الاستثمارات المستفيدة من قانون الاستثمار حسب القطاع,(مليون دينار)</v>
      </c>
      <c r="C3" s="30"/>
      <c r="D3" s="30"/>
    </row>
    <row r="4" spans="2:4" ht="28.15" customHeight="1">
      <c r="B4" s="17" t="s">
        <v>11</v>
      </c>
      <c r="C4" s="27">
        <f>YEAR('Template Data'!B1)</f>
        <v>2024</v>
      </c>
      <c r="D4" s="17" t="s">
        <v>12</v>
      </c>
    </row>
    <row r="5" spans="2:4" ht="28.15" customHeight="1">
      <c r="B5" s="17" t="s">
        <v>97</v>
      </c>
      <c r="C5" s="26"/>
      <c r="D5" s="17" t="s">
        <v>86</v>
      </c>
    </row>
    <row r="6" spans="2:4" ht="22.15" customHeight="1">
      <c r="B6" s="17" t="s">
        <v>98</v>
      </c>
      <c r="C6" s="26"/>
      <c r="D6" s="17" t="s">
        <v>87</v>
      </c>
    </row>
    <row r="7" spans="2:4" ht="22.15" customHeight="1">
      <c r="B7" s="17" t="s">
        <v>99</v>
      </c>
      <c r="C7" s="26"/>
      <c r="D7" s="17" t="s">
        <v>88</v>
      </c>
    </row>
    <row r="8" spans="2:4" ht="18.75">
      <c r="B8" s="17" t="s">
        <v>100</v>
      </c>
      <c r="C8" s="26"/>
      <c r="D8" s="17" t="s">
        <v>89</v>
      </c>
    </row>
    <row r="9" spans="2:4" ht="18.75">
      <c r="B9" s="17" t="s">
        <v>101</v>
      </c>
      <c r="C9" s="26"/>
      <c r="D9" s="17" t="s">
        <v>90</v>
      </c>
    </row>
    <row r="10" spans="2:4" ht="18.75">
      <c r="B10" s="17" t="s">
        <v>102</v>
      </c>
      <c r="C10" s="26"/>
      <c r="D10" s="17" t="s">
        <v>91</v>
      </c>
    </row>
    <row r="11" spans="2:4" ht="18.75">
      <c r="B11" s="17" t="s">
        <v>103</v>
      </c>
      <c r="C11" s="29"/>
      <c r="D11" s="17" t="s">
        <v>92</v>
      </c>
    </row>
    <row r="12" spans="2:4" ht="18.75">
      <c r="B12" s="17" t="s">
        <v>104</v>
      </c>
      <c r="C12" s="29"/>
      <c r="D12" s="17" t="s">
        <v>93</v>
      </c>
    </row>
    <row r="13" spans="2:4" ht="18.75">
      <c r="B13" s="17" t="s">
        <v>105</v>
      </c>
      <c r="C13" s="29"/>
      <c r="D13" s="17" t="s">
        <v>94</v>
      </c>
    </row>
    <row r="14" spans="2:4" ht="18.75">
      <c r="B14" s="17" t="s">
        <v>106</v>
      </c>
      <c r="C14" s="29"/>
      <c r="D14" s="17" t="s">
        <v>95</v>
      </c>
    </row>
    <row r="15" spans="2:4" ht="18.75">
      <c r="B15" s="17" t="s">
        <v>107</v>
      </c>
      <c r="C15" s="29"/>
      <c r="D15" s="17" t="s">
        <v>96</v>
      </c>
    </row>
  </sheetData>
  <sheetProtection password="DEF8" sheet="1" objects="1" scenarios="1" deleteRows="0"/>
  <protectedRanges>
    <protectedRange sqref="C5:C15" name="Range7"/>
    <protectedRange sqref="C5:C10" name="Range5"/>
    <protectedRange sqref="C5:C10" name="Range3"/>
    <protectedRange sqref="C8 C10 C6" name="Range1"/>
    <protectedRange sqref="C5:C10" name="Range2"/>
    <protectedRange sqref="C5:C10" name="Range4"/>
    <protectedRange sqref="C5:C15" name="Range6"/>
  </protectedRanges>
  <mergeCells count="2">
    <mergeCell ref="B2:D2"/>
    <mergeCell ref="B3:D3"/>
  </mergeCells>
  <pageMargins left="0.7" right="0.7" top="0.75" bottom="0.75" header="0.3" footer="0.3"/>
  <pageSetup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tabSelected="1" topLeftCell="A39" zoomScale="70" zoomScaleNormal="70" workbookViewId="0">
      <selection activeCell="I67" sqref="I67"/>
    </sheetView>
  </sheetViews>
  <sheetFormatPr defaultColWidth="9" defaultRowHeight="13.5"/>
  <cols>
    <col min="1" max="1" width="24.75" customWidth="1"/>
    <col min="2" max="2" width="75.875" bestFit="1" customWidth="1"/>
    <col min="3" max="3" width="9.75" customWidth="1"/>
    <col min="4" max="7" width="18.125" customWidth="1"/>
    <col min="8" max="10" width="15.375" customWidth="1"/>
  </cols>
  <sheetData>
    <row r="1" spans="1:10" ht="20.25">
      <c r="A1" s="14" t="s">
        <v>13</v>
      </c>
    </row>
    <row r="2" spans="1:10" s="10" customFormat="1" ht="18" customHeight="1">
      <c r="A2" s="13" t="s">
        <v>14</v>
      </c>
      <c r="B2" s="13" t="s">
        <v>15</v>
      </c>
      <c r="C2" s="13" t="s">
        <v>16</v>
      </c>
      <c r="D2" s="13" t="s">
        <v>17</v>
      </c>
      <c r="E2" s="13" t="s">
        <v>18</v>
      </c>
      <c r="F2" s="25" t="s">
        <v>112</v>
      </c>
      <c r="G2" s="25" t="s">
        <v>113</v>
      </c>
      <c r="H2" s="13" t="s">
        <v>19</v>
      </c>
      <c r="I2" s="13" t="s">
        <v>20</v>
      </c>
      <c r="J2" s="13" t="s">
        <v>21</v>
      </c>
    </row>
    <row r="3" spans="1:10" s="10" customFormat="1" ht="18" customHeight="1">
      <c r="A3" s="13" t="s">
        <v>22</v>
      </c>
      <c r="B3" s="13" t="s">
        <v>23</v>
      </c>
      <c r="C3" s="13" t="s">
        <v>24</v>
      </c>
      <c r="D3" s="13" t="s">
        <v>25</v>
      </c>
      <c r="E3" s="13" t="s">
        <v>26</v>
      </c>
      <c r="F3" s="25" t="s">
        <v>115</v>
      </c>
      <c r="G3" s="25" t="s">
        <v>114</v>
      </c>
      <c r="H3" s="13" t="s">
        <v>27</v>
      </c>
      <c r="I3" s="13" t="s">
        <v>28</v>
      </c>
      <c r="J3" s="13" t="s">
        <v>29</v>
      </c>
    </row>
    <row r="4" spans="1:10" ht="15">
      <c r="A4" t="s">
        <v>108</v>
      </c>
      <c r="B4" t="s">
        <v>109</v>
      </c>
      <c r="C4" s="15" t="s">
        <v>30</v>
      </c>
      <c r="D4" s="23" t="s">
        <v>110</v>
      </c>
      <c r="E4" s="16" t="s">
        <v>111</v>
      </c>
      <c r="F4" s="24" t="str">
        <f>'Source Table'!$B$5</f>
        <v>Industry</v>
      </c>
      <c r="G4" s="24" t="str">
        <f>'Source Table'!$D$5</f>
        <v>الصناعة</v>
      </c>
      <c r="H4" s="31">
        <v>655.9</v>
      </c>
      <c r="I4">
        <v>2023</v>
      </c>
    </row>
    <row r="5" spans="1:10" ht="15">
      <c r="A5" t="s">
        <v>108</v>
      </c>
      <c r="B5" t="s">
        <v>109</v>
      </c>
      <c r="C5" s="15" t="s">
        <v>30</v>
      </c>
      <c r="D5" s="23" t="s">
        <v>110</v>
      </c>
      <c r="E5" s="16" t="s">
        <v>111</v>
      </c>
      <c r="F5" s="24" t="str">
        <f>'Source Table'!$B$6</f>
        <v>Commerce</v>
      </c>
      <c r="G5" s="24" t="str">
        <f>'Source Table'!$D$6</f>
        <v>التجارة</v>
      </c>
      <c r="H5" s="31">
        <v>184.5</v>
      </c>
      <c r="I5">
        <v>2023</v>
      </c>
    </row>
    <row r="6" spans="1:10" ht="15">
      <c r="A6" t="s">
        <v>108</v>
      </c>
      <c r="B6" t="s">
        <v>109</v>
      </c>
      <c r="C6" s="15" t="s">
        <v>30</v>
      </c>
      <c r="D6" s="23" t="s">
        <v>110</v>
      </c>
      <c r="E6" s="16" t="s">
        <v>111</v>
      </c>
      <c r="F6" s="24" t="str">
        <f>'Source Table'!$B$7</f>
        <v>Tourism</v>
      </c>
      <c r="G6" s="24" t="str">
        <f>'Source Table'!$D$7</f>
        <v>السياحة</v>
      </c>
      <c r="H6" s="31">
        <v>59.8</v>
      </c>
      <c r="I6">
        <v>2023</v>
      </c>
    </row>
    <row r="7" spans="1:10" ht="15">
      <c r="A7" t="s">
        <v>108</v>
      </c>
      <c r="B7" t="s">
        <v>109</v>
      </c>
      <c r="C7" s="15" t="s">
        <v>30</v>
      </c>
      <c r="D7" s="23" t="s">
        <v>110</v>
      </c>
      <c r="E7" s="16" t="s">
        <v>111</v>
      </c>
      <c r="F7" s="24" t="str">
        <f>'Source Table'!$B$8</f>
        <v>Agriculture</v>
      </c>
      <c r="G7" s="24" t="str">
        <f>'Source Table'!$D$8</f>
        <v>الزراعة</v>
      </c>
      <c r="H7" s="31">
        <v>15.4</v>
      </c>
      <c r="I7">
        <v>2023</v>
      </c>
    </row>
    <row r="8" spans="1:10" ht="15">
      <c r="A8" t="s">
        <v>108</v>
      </c>
      <c r="B8" t="s">
        <v>109</v>
      </c>
      <c r="C8" s="15" t="s">
        <v>30</v>
      </c>
      <c r="D8" s="23" t="s">
        <v>110</v>
      </c>
      <c r="E8" s="16" t="s">
        <v>111</v>
      </c>
      <c r="F8" s="24" t="str">
        <f>'Source Table'!$B$9</f>
        <v>Hospitals</v>
      </c>
      <c r="G8" s="24" t="str">
        <f>'Source Table'!$D$9</f>
        <v>المستشفيات</v>
      </c>
      <c r="H8" s="31">
        <v>59.7</v>
      </c>
      <c r="I8">
        <v>2023</v>
      </c>
    </row>
    <row r="9" spans="1:10" ht="15">
      <c r="A9" t="s">
        <v>108</v>
      </c>
      <c r="B9" t="s">
        <v>109</v>
      </c>
      <c r="C9" s="15" t="s">
        <v>30</v>
      </c>
      <c r="D9" s="23" t="s">
        <v>110</v>
      </c>
      <c r="E9" s="16" t="s">
        <v>111</v>
      </c>
      <c r="F9" s="24" t="str">
        <f>'Source Table'!$B$10</f>
        <v>Services</v>
      </c>
      <c r="G9" s="24" t="str">
        <f>'Source Table'!$D$10</f>
        <v>الخدمات</v>
      </c>
      <c r="H9" s="31">
        <v>19.2</v>
      </c>
      <c r="I9">
        <v>2023</v>
      </c>
    </row>
    <row r="10" spans="1:10" ht="15">
      <c r="A10" t="s">
        <v>108</v>
      </c>
      <c r="B10" t="s">
        <v>109</v>
      </c>
      <c r="C10" s="15" t="s">
        <v>30</v>
      </c>
      <c r="D10" s="23" t="s">
        <v>110</v>
      </c>
      <c r="E10" s="16" t="s">
        <v>111</v>
      </c>
      <c r="F10" s="24" t="str">
        <f>'Source Table'!$B$11</f>
        <v>Information Technology</v>
      </c>
      <c r="G10" s="24" t="str">
        <f>'Source Table'!$D$11</f>
        <v>تكنولوجيا المعلومات</v>
      </c>
      <c r="H10" s="31">
        <v>33.9</v>
      </c>
      <c r="I10">
        <v>2023</v>
      </c>
    </row>
    <row r="11" spans="1:10" ht="15">
      <c r="A11" t="s">
        <v>108</v>
      </c>
      <c r="B11" t="s">
        <v>109</v>
      </c>
      <c r="C11" s="15" t="s">
        <v>30</v>
      </c>
      <c r="D11" s="23" t="s">
        <v>110</v>
      </c>
      <c r="E11" s="16" t="s">
        <v>111</v>
      </c>
      <c r="F11" s="24" t="str">
        <f>'Source Table'!$B$12</f>
        <v>Artistic production</v>
      </c>
      <c r="G11" s="24" t="str">
        <f>'Source Table'!$D$12</f>
        <v>انتاج فني</v>
      </c>
      <c r="H11" s="31">
        <v>10</v>
      </c>
      <c r="I11">
        <v>2023</v>
      </c>
    </row>
    <row r="12" spans="1:10" ht="15">
      <c r="A12" t="s">
        <v>108</v>
      </c>
      <c r="B12" t="s">
        <v>109</v>
      </c>
      <c r="C12" s="15" t="s">
        <v>30</v>
      </c>
      <c r="D12" s="23" t="s">
        <v>110</v>
      </c>
      <c r="E12" s="16" t="s">
        <v>111</v>
      </c>
      <c r="F12" s="24" t="str">
        <f>'Source Table'!$B$13</f>
        <v>Gas transportation and distribution</v>
      </c>
      <c r="G12" s="24" t="str">
        <f>'Source Table'!$D$13</f>
        <v>نقل وتوزيع الغاز</v>
      </c>
      <c r="H12" s="31">
        <v>19</v>
      </c>
      <c r="I12">
        <v>2023</v>
      </c>
    </row>
    <row r="13" spans="1:10" ht="15">
      <c r="A13" t="s">
        <v>108</v>
      </c>
      <c r="B13" t="s">
        <v>109</v>
      </c>
      <c r="C13" s="15" t="s">
        <v>30</v>
      </c>
      <c r="D13" s="23" t="s">
        <v>110</v>
      </c>
      <c r="E13" s="16" t="s">
        <v>111</v>
      </c>
      <c r="F13" s="24" t="str">
        <f>'Source Table'!$B$14</f>
        <v>call centers</v>
      </c>
      <c r="G13" s="24" t="str">
        <f>'Source Table'!$D$14</f>
        <v>مراكز اتصال</v>
      </c>
      <c r="H13" s="31">
        <v>0</v>
      </c>
      <c r="I13">
        <v>2023</v>
      </c>
    </row>
    <row r="14" spans="1:10" ht="15">
      <c r="A14" t="s">
        <v>108</v>
      </c>
      <c r="B14" t="s">
        <v>109</v>
      </c>
      <c r="C14" s="15" t="s">
        <v>30</v>
      </c>
      <c r="D14" s="23" t="s">
        <v>110</v>
      </c>
      <c r="E14" s="16" t="s">
        <v>111</v>
      </c>
      <c r="F14" s="24" t="str">
        <f>'Source Table'!$B$15</f>
        <v>Scientific research centers</v>
      </c>
      <c r="G14" s="24" t="str">
        <f>'Source Table'!$D$15</f>
        <v>مراكز بحث علمي</v>
      </c>
      <c r="H14" s="31">
        <v>0.1</v>
      </c>
      <c r="I14">
        <v>2023</v>
      </c>
    </row>
    <row r="15" spans="1:10" ht="15">
      <c r="A15" t="s">
        <v>108</v>
      </c>
      <c r="B15" t="s">
        <v>109</v>
      </c>
      <c r="C15" s="15" t="s">
        <v>30</v>
      </c>
      <c r="D15" s="23" t="s">
        <v>110</v>
      </c>
      <c r="E15" s="16" t="s">
        <v>111</v>
      </c>
      <c r="F15" s="24" t="str">
        <f>'Source Table'!$B$5</f>
        <v>Industry</v>
      </c>
      <c r="G15" s="24" t="str">
        <f>'Source Table'!$D$5</f>
        <v>الصناعة</v>
      </c>
      <c r="H15" s="31">
        <v>648.6</v>
      </c>
      <c r="I15">
        <v>2022</v>
      </c>
    </row>
    <row r="16" spans="1:10" ht="15">
      <c r="A16" t="s">
        <v>108</v>
      </c>
      <c r="B16" t="s">
        <v>109</v>
      </c>
      <c r="C16" s="15" t="s">
        <v>30</v>
      </c>
      <c r="D16" s="23" t="s">
        <v>110</v>
      </c>
      <c r="E16" s="16" t="s">
        <v>111</v>
      </c>
      <c r="F16" s="24" t="str">
        <f>'Source Table'!$B$6</f>
        <v>Commerce</v>
      </c>
      <c r="G16" s="24" t="str">
        <f>'Source Table'!$D$6</f>
        <v>التجارة</v>
      </c>
      <c r="H16" s="31">
        <v>0</v>
      </c>
      <c r="I16">
        <v>2022</v>
      </c>
    </row>
    <row r="17" spans="1:9" ht="15">
      <c r="A17" t="s">
        <v>108</v>
      </c>
      <c r="B17" t="s">
        <v>109</v>
      </c>
      <c r="C17" s="15" t="s">
        <v>30</v>
      </c>
      <c r="D17" s="23" t="s">
        <v>110</v>
      </c>
      <c r="E17" s="16" t="s">
        <v>111</v>
      </c>
      <c r="F17" s="24" t="str">
        <f>'Source Table'!$B$7</f>
        <v>Tourism</v>
      </c>
      <c r="G17" s="24" t="str">
        <f>'Source Table'!$D$7</f>
        <v>السياحة</v>
      </c>
      <c r="H17" s="31">
        <v>233</v>
      </c>
      <c r="I17">
        <v>2022</v>
      </c>
    </row>
    <row r="18" spans="1:9" ht="15">
      <c r="A18" t="s">
        <v>108</v>
      </c>
      <c r="B18" t="s">
        <v>109</v>
      </c>
      <c r="C18" s="15" t="s">
        <v>30</v>
      </c>
      <c r="D18" s="23" t="s">
        <v>110</v>
      </c>
      <c r="E18" s="16" t="s">
        <v>111</v>
      </c>
      <c r="F18" s="24" t="str">
        <f>'Source Table'!$B$8</f>
        <v>Agriculture</v>
      </c>
      <c r="G18" s="24" t="str">
        <f>'Source Table'!$D$8</f>
        <v>الزراعة</v>
      </c>
      <c r="H18" s="31">
        <v>37.799999999999997</v>
      </c>
      <c r="I18">
        <v>2022</v>
      </c>
    </row>
    <row r="19" spans="1:9" ht="15">
      <c r="A19" t="s">
        <v>108</v>
      </c>
      <c r="B19" t="s">
        <v>109</v>
      </c>
      <c r="C19" s="15" t="s">
        <v>30</v>
      </c>
      <c r="D19" s="23" t="s">
        <v>110</v>
      </c>
      <c r="E19" s="16" t="s">
        <v>111</v>
      </c>
      <c r="F19" s="24" t="str">
        <f>'Source Table'!$B$9</f>
        <v>Hospitals</v>
      </c>
      <c r="G19" s="24" t="str">
        <f>'Source Table'!$D$9</f>
        <v>المستشفيات</v>
      </c>
      <c r="H19" s="31">
        <v>136.5</v>
      </c>
      <c r="I19">
        <v>2022</v>
      </c>
    </row>
    <row r="20" spans="1:9" ht="15">
      <c r="A20" t="s">
        <v>108</v>
      </c>
      <c r="B20" t="s">
        <v>109</v>
      </c>
      <c r="C20" s="15" t="s">
        <v>30</v>
      </c>
      <c r="D20" s="23" t="s">
        <v>110</v>
      </c>
      <c r="E20" s="16" t="s">
        <v>111</v>
      </c>
      <c r="F20" s="24" t="str">
        <f>'Source Table'!$B$10</f>
        <v>Services</v>
      </c>
      <c r="G20" s="24" t="str">
        <f>'Source Table'!$D$10</f>
        <v>الخدمات</v>
      </c>
      <c r="H20" s="31">
        <v>0.5</v>
      </c>
      <c r="I20">
        <v>2022</v>
      </c>
    </row>
    <row r="21" spans="1:9" ht="15">
      <c r="A21" t="s">
        <v>108</v>
      </c>
      <c r="B21" t="s">
        <v>109</v>
      </c>
      <c r="C21" s="15" t="s">
        <v>30</v>
      </c>
      <c r="D21" s="23" t="s">
        <v>110</v>
      </c>
      <c r="E21" s="16" t="s">
        <v>111</v>
      </c>
      <c r="F21" s="24" t="str">
        <f>'Source Table'!$B$11</f>
        <v>Information Technology</v>
      </c>
      <c r="G21" s="24" t="str">
        <f>'Source Table'!$D$11</f>
        <v>تكنولوجيا المعلومات</v>
      </c>
      <c r="H21" s="31">
        <v>55.5</v>
      </c>
      <c r="I21">
        <v>2022</v>
      </c>
    </row>
    <row r="22" spans="1:9" ht="15">
      <c r="A22" t="s">
        <v>108</v>
      </c>
      <c r="B22" t="s">
        <v>109</v>
      </c>
      <c r="C22" s="15" t="s">
        <v>30</v>
      </c>
      <c r="D22" s="23" t="s">
        <v>110</v>
      </c>
      <c r="E22" s="16" t="s">
        <v>111</v>
      </c>
      <c r="F22" s="24" t="str">
        <f>'Source Table'!$B$12</f>
        <v>Artistic production</v>
      </c>
      <c r="G22" s="24" t="str">
        <f>'Source Table'!$D$12</f>
        <v>انتاج فني</v>
      </c>
      <c r="H22" s="31">
        <v>1.4</v>
      </c>
      <c r="I22">
        <v>2022</v>
      </c>
    </row>
    <row r="23" spans="1:9" ht="15">
      <c r="A23" t="s">
        <v>108</v>
      </c>
      <c r="B23" t="s">
        <v>109</v>
      </c>
      <c r="C23" s="15" t="s">
        <v>30</v>
      </c>
      <c r="D23" s="23" t="s">
        <v>110</v>
      </c>
      <c r="E23" s="16" t="s">
        <v>111</v>
      </c>
      <c r="F23" s="24" t="str">
        <f>'Source Table'!$B$13</f>
        <v>Gas transportation and distribution</v>
      </c>
      <c r="G23" s="24" t="str">
        <f>'Source Table'!$D$13</f>
        <v>نقل وتوزيع الغاز</v>
      </c>
      <c r="H23" s="31">
        <v>0</v>
      </c>
      <c r="I23">
        <v>2022</v>
      </c>
    </row>
    <row r="24" spans="1:9" ht="15">
      <c r="A24" t="s">
        <v>108</v>
      </c>
      <c r="B24" t="s">
        <v>109</v>
      </c>
      <c r="C24" s="15" t="s">
        <v>30</v>
      </c>
      <c r="D24" s="23" t="s">
        <v>110</v>
      </c>
      <c r="E24" s="16" t="s">
        <v>111</v>
      </c>
      <c r="F24" s="24" t="str">
        <f>'Source Table'!$B$14</f>
        <v>call centers</v>
      </c>
      <c r="G24" s="24" t="str">
        <f>'Source Table'!$D$14</f>
        <v>مراكز اتصال</v>
      </c>
      <c r="H24" s="31">
        <v>0</v>
      </c>
      <c r="I24">
        <v>2022</v>
      </c>
    </row>
    <row r="25" spans="1:9" ht="15">
      <c r="A25" t="s">
        <v>108</v>
      </c>
      <c r="B25" t="s">
        <v>109</v>
      </c>
      <c r="C25" s="15" t="s">
        <v>30</v>
      </c>
      <c r="D25" s="23" t="s">
        <v>110</v>
      </c>
      <c r="E25" s="16" t="s">
        <v>111</v>
      </c>
      <c r="F25" s="24" t="str">
        <f>'Source Table'!$B$15</f>
        <v>Scientific research centers</v>
      </c>
      <c r="G25" s="24" t="str">
        <f>'Source Table'!$D$15</f>
        <v>مراكز بحث علمي</v>
      </c>
      <c r="H25" s="31">
        <v>0</v>
      </c>
      <c r="I25">
        <v>2022</v>
      </c>
    </row>
    <row r="26" spans="1:9" ht="15">
      <c r="A26" t="s">
        <v>108</v>
      </c>
      <c r="B26" t="s">
        <v>109</v>
      </c>
      <c r="C26" s="15" t="s">
        <v>30</v>
      </c>
      <c r="D26" s="23" t="s">
        <v>110</v>
      </c>
      <c r="E26" s="16" t="s">
        <v>111</v>
      </c>
      <c r="F26" s="24" t="str">
        <f>'Source Table'!$B$5</f>
        <v>Industry</v>
      </c>
      <c r="G26" s="24" t="str">
        <f>'Source Table'!$D$5</f>
        <v>الصناعة</v>
      </c>
      <c r="H26" s="32">
        <v>408</v>
      </c>
      <c r="I26">
        <v>2021</v>
      </c>
    </row>
    <row r="27" spans="1:9" ht="15">
      <c r="A27" t="s">
        <v>108</v>
      </c>
      <c r="B27" t="s">
        <v>109</v>
      </c>
      <c r="C27" s="15" t="s">
        <v>30</v>
      </c>
      <c r="D27" s="23" t="s">
        <v>110</v>
      </c>
      <c r="E27" s="16" t="s">
        <v>111</v>
      </c>
      <c r="F27" s="24" t="str">
        <f>'Source Table'!$B$6</f>
        <v>Commerce</v>
      </c>
      <c r="G27" s="24" t="str">
        <f>'Source Table'!$D$6</f>
        <v>التجارة</v>
      </c>
      <c r="H27" s="33"/>
      <c r="I27">
        <v>2021</v>
      </c>
    </row>
    <row r="28" spans="1:9" ht="15">
      <c r="A28" t="s">
        <v>108</v>
      </c>
      <c r="B28" t="s">
        <v>109</v>
      </c>
      <c r="C28" s="15" t="s">
        <v>30</v>
      </c>
      <c r="D28" s="23" t="s">
        <v>110</v>
      </c>
      <c r="E28" s="16" t="s">
        <v>111</v>
      </c>
      <c r="F28" s="24" t="str">
        <f>'Source Table'!$B$7</f>
        <v>Tourism</v>
      </c>
      <c r="G28" s="24" t="str">
        <f>'Source Table'!$D$7</f>
        <v>السياحة</v>
      </c>
      <c r="H28" s="32">
        <v>66</v>
      </c>
      <c r="I28">
        <v>2021</v>
      </c>
    </row>
    <row r="29" spans="1:9" ht="15">
      <c r="A29" t="s">
        <v>108</v>
      </c>
      <c r="B29" t="s">
        <v>109</v>
      </c>
      <c r="C29" s="15" t="s">
        <v>30</v>
      </c>
      <c r="D29" s="23" t="s">
        <v>110</v>
      </c>
      <c r="E29" s="16" t="s">
        <v>111</v>
      </c>
      <c r="F29" s="24" t="str">
        <f>'Source Table'!$B$8</f>
        <v>Agriculture</v>
      </c>
      <c r="G29" s="24" t="str">
        <f>'Source Table'!$D$8</f>
        <v>الزراعة</v>
      </c>
      <c r="H29" s="32">
        <v>52.9</v>
      </c>
      <c r="I29">
        <v>2021</v>
      </c>
    </row>
    <row r="30" spans="1:9" ht="15">
      <c r="A30" t="s">
        <v>108</v>
      </c>
      <c r="B30" t="s">
        <v>109</v>
      </c>
      <c r="C30" s="15" t="s">
        <v>30</v>
      </c>
      <c r="D30" s="23" t="s">
        <v>110</v>
      </c>
      <c r="E30" s="16" t="s">
        <v>111</v>
      </c>
      <c r="F30" s="24" t="str">
        <f>'Source Table'!$B$9</f>
        <v>Hospitals</v>
      </c>
      <c r="G30" s="24" t="str">
        <f>'Source Table'!$D$9</f>
        <v>المستشفيات</v>
      </c>
      <c r="H30" s="32">
        <v>44.1</v>
      </c>
      <c r="I30">
        <v>2021</v>
      </c>
    </row>
    <row r="31" spans="1:9" ht="15">
      <c r="A31" t="s">
        <v>108</v>
      </c>
      <c r="B31" t="s">
        <v>109</v>
      </c>
      <c r="C31" s="15" t="s">
        <v>30</v>
      </c>
      <c r="D31" s="23" t="s">
        <v>110</v>
      </c>
      <c r="E31" s="16" t="s">
        <v>111</v>
      </c>
      <c r="F31" s="24" t="str">
        <f>'Source Table'!$B$10</f>
        <v>Services</v>
      </c>
      <c r="G31" s="24" t="str">
        <f>'Source Table'!$D$10</f>
        <v>الخدمات</v>
      </c>
      <c r="H31" s="32">
        <v>0.6</v>
      </c>
      <c r="I31">
        <v>2021</v>
      </c>
    </row>
    <row r="32" spans="1:9" ht="15">
      <c r="A32" t="s">
        <v>108</v>
      </c>
      <c r="B32" t="s">
        <v>109</v>
      </c>
      <c r="C32" s="15" t="s">
        <v>30</v>
      </c>
      <c r="D32" s="23" t="s">
        <v>110</v>
      </c>
      <c r="E32" s="16" t="s">
        <v>111</v>
      </c>
      <c r="F32" s="24" t="str">
        <f>'Source Table'!$B$11</f>
        <v>Information Technology</v>
      </c>
      <c r="G32" s="24" t="str">
        <f>'Source Table'!$D$11</f>
        <v>تكنولوجيا المعلومات</v>
      </c>
      <c r="H32" s="32">
        <v>40.1</v>
      </c>
      <c r="I32">
        <v>2021</v>
      </c>
    </row>
    <row r="33" spans="1:9" ht="15">
      <c r="A33" t="s">
        <v>108</v>
      </c>
      <c r="B33" t="s">
        <v>109</v>
      </c>
      <c r="C33" s="15" t="s">
        <v>30</v>
      </c>
      <c r="D33" s="23" t="s">
        <v>110</v>
      </c>
      <c r="E33" s="16" t="s">
        <v>111</v>
      </c>
      <c r="F33" s="24" t="str">
        <f>'Source Table'!$B$12</f>
        <v>Artistic production</v>
      </c>
      <c r="G33" s="24" t="str">
        <f>'Source Table'!$D$12</f>
        <v>انتاج فني</v>
      </c>
      <c r="H33" s="32">
        <v>8.5</v>
      </c>
      <c r="I33">
        <v>2021</v>
      </c>
    </row>
    <row r="34" spans="1:9" ht="15">
      <c r="A34" t="s">
        <v>108</v>
      </c>
      <c r="B34" t="s">
        <v>109</v>
      </c>
      <c r="C34" s="15" t="s">
        <v>30</v>
      </c>
      <c r="D34" s="23" t="s">
        <v>110</v>
      </c>
      <c r="E34" s="16" t="s">
        <v>111</v>
      </c>
      <c r="F34" s="24" t="str">
        <f>'Source Table'!$B$13</f>
        <v>Gas transportation and distribution</v>
      </c>
      <c r="G34" s="24" t="str">
        <f>'Source Table'!$D$13</f>
        <v>نقل وتوزيع الغاز</v>
      </c>
      <c r="H34" s="32">
        <v>0</v>
      </c>
      <c r="I34">
        <v>2021</v>
      </c>
    </row>
    <row r="35" spans="1:9" ht="15">
      <c r="A35" t="s">
        <v>108</v>
      </c>
      <c r="B35" t="s">
        <v>109</v>
      </c>
      <c r="C35" s="15" t="s">
        <v>30</v>
      </c>
      <c r="D35" s="23" t="s">
        <v>110</v>
      </c>
      <c r="E35" s="16" t="s">
        <v>111</v>
      </c>
      <c r="F35" s="24" t="str">
        <f>'Source Table'!$B$14</f>
        <v>call centers</v>
      </c>
      <c r="G35" s="24" t="str">
        <f>'Source Table'!$D$14</f>
        <v>مراكز اتصال</v>
      </c>
      <c r="H35" s="32">
        <v>0</v>
      </c>
      <c r="I35">
        <v>2021</v>
      </c>
    </row>
    <row r="36" spans="1:9" ht="15">
      <c r="A36" t="s">
        <v>108</v>
      </c>
      <c r="B36" t="s">
        <v>109</v>
      </c>
      <c r="C36" s="15" t="s">
        <v>30</v>
      </c>
      <c r="D36" s="23" t="s">
        <v>110</v>
      </c>
      <c r="E36" s="16" t="s">
        <v>111</v>
      </c>
      <c r="F36" s="24" t="str">
        <f>'Source Table'!$B$15</f>
        <v>Scientific research centers</v>
      </c>
      <c r="G36" s="24" t="str">
        <f>'Source Table'!$D$15</f>
        <v>مراكز بحث علمي</v>
      </c>
      <c r="H36" s="32">
        <v>0.9</v>
      </c>
      <c r="I36">
        <v>2021</v>
      </c>
    </row>
    <row r="37" spans="1:9" ht="15">
      <c r="A37" t="s">
        <v>108</v>
      </c>
      <c r="B37" t="s">
        <v>109</v>
      </c>
      <c r="C37" s="15" t="s">
        <v>30</v>
      </c>
      <c r="D37" s="23" t="s">
        <v>110</v>
      </c>
      <c r="E37" s="16" t="s">
        <v>111</v>
      </c>
      <c r="F37" s="24" t="str">
        <f>'Source Table'!$B$5</f>
        <v>Industry</v>
      </c>
      <c r="G37" s="24" t="str">
        <f>'Source Table'!$D$5</f>
        <v>الصناعة</v>
      </c>
      <c r="H37" s="32">
        <v>404.1</v>
      </c>
      <c r="I37">
        <v>2020</v>
      </c>
    </row>
    <row r="38" spans="1:9" ht="15">
      <c r="A38" t="s">
        <v>108</v>
      </c>
      <c r="B38" t="s">
        <v>109</v>
      </c>
      <c r="C38" s="15" t="s">
        <v>30</v>
      </c>
      <c r="D38" s="23" t="s">
        <v>110</v>
      </c>
      <c r="E38" s="16" t="s">
        <v>111</v>
      </c>
      <c r="F38" s="24" t="str">
        <f>'Source Table'!$B$6</f>
        <v>Commerce</v>
      </c>
      <c r="G38" s="24" t="str">
        <f>'Source Table'!$D$6</f>
        <v>التجارة</v>
      </c>
      <c r="H38" s="33"/>
      <c r="I38">
        <v>2020</v>
      </c>
    </row>
    <row r="39" spans="1:9" ht="15">
      <c r="A39" t="s">
        <v>108</v>
      </c>
      <c r="B39" t="s">
        <v>109</v>
      </c>
      <c r="C39" s="15" t="s">
        <v>30</v>
      </c>
      <c r="D39" s="23" t="s">
        <v>110</v>
      </c>
      <c r="E39" s="16" t="s">
        <v>111</v>
      </c>
      <c r="F39" s="24" t="str">
        <f>'Source Table'!$B$7</f>
        <v>Tourism</v>
      </c>
      <c r="G39" s="24" t="str">
        <f>'Source Table'!$D$7</f>
        <v>السياحة</v>
      </c>
      <c r="H39" s="32">
        <v>25.6</v>
      </c>
      <c r="I39">
        <v>2020</v>
      </c>
    </row>
    <row r="40" spans="1:9" ht="15">
      <c r="A40" t="s">
        <v>108</v>
      </c>
      <c r="B40" t="s">
        <v>109</v>
      </c>
      <c r="C40" s="15" t="s">
        <v>30</v>
      </c>
      <c r="D40" s="23" t="s">
        <v>110</v>
      </c>
      <c r="E40" s="16" t="s">
        <v>111</v>
      </c>
      <c r="F40" s="24" t="str">
        <f>'Source Table'!$B$8</f>
        <v>Agriculture</v>
      </c>
      <c r="G40" s="24" t="str">
        <f>'Source Table'!$D$8</f>
        <v>الزراعة</v>
      </c>
      <c r="H40" s="32">
        <v>43.1</v>
      </c>
      <c r="I40">
        <v>2020</v>
      </c>
    </row>
    <row r="41" spans="1:9" ht="15">
      <c r="A41" t="s">
        <v>108</v>
      </c>
      <c r="B41" t="s">
        <v>109</v>
      </c>
      <c r="C41" s="15" t="s">
        <v>30</v>
      </c>
      <c r="D41" s="23" t="s">
        <v>110</v>
      </c>
      <c r="E41" s="16" t="s">
        <v>111</v>
      </c>
      <c r="F41" s="24" t="str">
        <f>'Source Table'!$B$9</f>
        <v>Hospitals</v>
      </c>
      <c r="G41" s="24" t="str">
        <f>'Source Table'!$D$9</f>
        <v>المستشفيات</v>
      </c>
      <c r="H41" s="32">
        <v>112</v>
      </c>
      <c r="I41">
        <v>2020</v>
      </c>
    </row>
    <row r="42" spans="1:9" ht="15">
      <c r="A42" t="s">
        <v>108</v>
      </c>
      <c r="B42" t="s">
        <v>109</v>
      </c>
      <c r="C42" s="15" t="s">
        <v>30</v>
      </c>
      <c r="D42" s="23" t="s">
        <v>110</v>
      </c>
      <c r="E42" s="16" t="s">
        <v>111</v>
      </c>
      <c r="F42" s="24" t="str">
        <f>'Source Table'!$B$10</f>
        <v>Services</v>
      </c>
      <c r="G42" s="24" t="str">
        <f>'Source Table'!$D$10</f>
        <v>الخدمات</v>
      </c>
      <c r="H42" s="32">
        <v>0</v>
      </c>
      <c r="I42">
        <v>2020</v>
      </c>
    </row>
    <row r="43" spans="1:9" ht="15">
      <c r="A43" t="s">
        <v>108</v>
      </c>
      <c r="B43" t="s">
        <v>109</v>
      </c>
      <c r="C43" s="15" t="s">
        <v>30</v>
      </c>
      <c r="D43" s="23" t="s">
        <v>110</v>
      </c>
      <c r="E43" s="16" t="s">
        <v>111</v>
      </c>
      <c r="F43" s="24" t="str">
        <f>'Source Table'!$B$11</f>
        <v>Information Technology</v>
      </c>
      <c r="G43" s="24" t="str">
        <f>'Source Table'!$D$11</f>
        <v>تكنولوجيا المعلومات</v>
      </c>
      <c r="H43" s="32">
        <v>32.200000000000003</v>
      </c>
      <c r="I43">
        <v>2020</v>
      </c>
    </row>
    <row r="44" spans="1:9" ht="15">
      <c r="A44" t="s">
        <v>108</v>
      </c>
      <c r="B44" t="s">
        <v>109</v>
      </c>
      <c r="C44" s="15" t="s">
        <v>30</v>
      </c>
      <c r="D44" s="23" t="s">
        <v>110</v>
      </c>
      <c r="E44" s="16" t="s">
        <v>111</v>
      </c>
      <c r="F44" s="24" t="str">
        <f>'Source Table'!$B$12</f>
        <v>Artistic production</v>
      </c>
      <c r="G44" s="24" t="str">
        <f>'Source Table'!$D$12</f>
        <v>انتاج فني</v>
      </c>
      <c r="H44" s="32">
        <v>1.3</v>
      </c>
      <c r="I44">
        <v>2020</v>
      </c>
    </row>
    <row r="45" spans="1:9" ht="15">
      <c r="A45" t="s">
        <v>108</v>
      </c>
      <c r="B45" t="s">
        <v>109</v>
      </c>
      <c r="C45" s="15" t="s">
        <v>30</v>
      </c>
      <c r="D45" s="23" t="s">
        <v>110</v>
      </c>
      <c r="E45" s="16" t="s">
        <v>111</v>
      </c>
      <c r="F45" s="24" t="str">
        <f>'Source Table'!$B$13</f>
        <v>Gas transportation and distribution</v>
      </c>
      <c r="G45" s="24" t="str">
        <f>'Source Table'!$D$13</f>
        <v>نقل وتوزيع الغاز</v>
      </c>
      <c r="H45" s="32">
        <v>0</v>
      </c>
      <c r="I45">
        <v>2020</v>
      </c>
    </row>
    <row r="46" spans="1:9" ht="15">
      <c r="A46" t="s">
        <v>108</v>
      </c>
      <c r="B46" t="s">
        <v>109</v>
      </c>
      <c r="C46" s="15" t="s">
        <v>30</v>
      </c>
      <c r="D46" s="23" t="s">
        <v>110</v>
      </c>
      <c r="E46" s="16" t="s">
        <v>111</v>
      </c>
      <c r="F46" s="24" t="str">
        <f>'Source Table'!$B$14</f>
        <v>call centers</v>
      </c>
      <c r="G46" s="24" t="str">
        <f>'Source Table'!$D$14</f>
        <v>مراكز اتصال</v>
      </c>
      <c r="H46" s="32">
        <v>0</v>
      </c>
      <c r="I46">
        <v>2020</v>
      </c>
    </row>
    <row r="47" spans="1:9" ht="15">
      <c r="A47" t="s">
        <v>108</v>
      </c>
      <c r="B47" t="s">
        <v>109</v>
      </c>
      <c r="C47" s="15" t="s">
        <v>30</v>
      </c>
      <c r="D47" s="23" t="s">
        <v>110</v>
      </c>
      <c r="E47" s="16" t="s">
        <v>111</v>
      </c>
      <c r="F47" s="24" t="str">
        <f>'Source Table'!$B$15</f>
        <v>Scientific research centers</v>
      </c>
      <c r="G47" s="24" t="str">
        <f>'Source Table'!$D$15</f>
        <v>مراكز بحث علمي</v>
      </c>
      <c r="H47" s="32">
        <v>0</v>
      </c>
      <c r="I47">
        <v>2020</v>
      </c>
    </row>
    <row r="48" spans="1:9" ht="15">
      <c r="A48" t="s">
        <v>108</v>
      </c>
      <c r="B48" t="s">
        <v>109</v>
      </c>
      <c r="C48" s="15" t="s">
        <v>30</v>
      </c>
      <c r="D48" s="23" t="s">
        <v>110</v>
      </c>
      <c r="E48" s="16" t="s">
        <v>111</v>
      </c>
      <c r="F48" s="24" t="str">
        <f>'Source Table'!$B$5</f>
        <v>Industry</v>
      </c>
      <c r="G48" s="24" t="str">
        <f>'Source Table'!$D$5</f>
        <v>الصناعة</v>
      </c>
      <c r="H48" s="34">
        <v>330.4</v>
      </c>
      <c r="I48">
        <v>2019</v>
      </c>
    </row>
    <row r="49" spans="1:9" ht="15">
      <c r="A49" t="s">
        <v>108</v>
      </c>
      <c r="B49" t="s">
        <v>109</v>
      </c>
      <c r="C49" s="15" t="s">
        <v>30</v>
      </c>
      <c r="D49" s="23" t="s">
        <v>110</v>
      </c>
      <c r="E49" s="16" t="s">
        <v>111</v>
      </c>
      <c r="F49" s="24" t="str">
        <f>'Source Table'!$B$6</f>
        <v>Commerce</v>
      </c>
      <c r="G49" s="24" t="str">
        <f>'Source Table'!$D$6</f>
        <v>التجارة</v>
      </c>
      <c r="H49" s="33"/>
      <c r="I49">
        <v>2019</v>
      </c>
    </row>
    <row r="50" spans="1:9" ht="15">
      <c r="A50" t="s">
        <v>108</v>
      </c>
      <c r="B50" t="s">
        <v>109</v>
      </c>
      <c r="C50" s="15" t="s">
        <v>30</v>
      </c>
      <c r="D50" s="23" t="s">
        <v>110</v>
      </c>
      <c r="E50" s="16" t="s">
        <v>111</v>
      </c>
      <c r="F50" s="24" t="str">
        <f>'Source Table'!$B$7</f>
        <v>Tourism</v>
      </c>
      <c r="G50" s="24" t="str">
        <f>'Source Table'!$D$7</f>
        <v>السياحة</v>
      </c>
      <c r="H50" s="35">
        <v>68</v>
      </c>
      <c r="I50">
        <v>2019</v>
      </c>
    </row>
    <row r="51" spans="1:9" ht="15">
      <c r="A51" t="s">
        <v>108</v>
      </c>
      <c r="B51" t="s">
        <v>109</v>
      </c>
      <c r="C51" s="15" t="s">
        <v>30</v>
      </c>
      <c r="D51" s="23" t="s">
        <v>110</v>
      </c>
      <c r="E51" s="16" t="s">
        <v>111</v>
      </c>
      <c r="F51" s="24" t="str">
        <f>'Source Table'!$B$8</f>
        <v>Agriculture</v>
      </c>
      <c r="G51" s="24" t="str">
        <f>'Source Table'!$D$8</f>
        <v>الزراعة</v>
      </c>
      <c r="H51" s="35">
        <v>28.9</v>
      </c>
      <c r="I51">
        <v>2019</v>
      </c>
    </row>
    <row r="52" spans="1:9" ht="15">
      <c r="A52" t="s">
        <v>108</v>
      </c>
      <c r="B52" t="s">
        <v>109</v>
      </c>
      <c r="C52" s="15" t="s">
        <v>30</v>
      </c>
      <c r="D52" s="23" t="s">
        <v>110</v>
      </c>
      <c r="E52" s="16" t="s">
        <v>111</v>
      </c>
      <c r="F52" s="24" t="str">
        <f>'Source Table'!$B$9</f>
        <v>Hospitals</v>
      </c>
      <c r="G52" s="24" t="str">
        <f>'Source Table'!$D$9</f>
        <v>المستشفيات</v>
      </c>
      <c r="H52" s="35">
        <v>26</v>
      </c>
      <c r="I52">
        <v>2019</v>
      </c>
    </row>
    <row r="53" spans="1:9" ht="15">
      <c r="A53" t="s">
        <v>108</v>
      </c>
      <c r="B53" t="s">
        <v>109</v>
      </c>
      <c r="C53" s="15" t="s">
        <v>30</v>
      </c>
      <c r="D53" s="23" t="s">
        <v>110</v>
      </c>
      <c r="E53" s="16" t="s">
        <v>111</v>
      </c>
      <c r="F53" s="24" t="str">
        <f>'Source Table'!$B$10</f>
        <v>Services</v>
      </c>
      <c r="G53" s="24" t="str">
        <f>'Source Table'!$D$10</f>
        <v>الخدمات</v>
      </c>
      <c r="H53" s="35">
        <v>10.4</v>
      </c>
      <c r="I53">
        <v>2019</v>
      </c>
    </row>
    <row r="54" spans="1:9" ht="15">
      <c r="A54" t="s">
        <v>108</v>
      </c>
      <c r="B54" t="s">
        <v>109</v>
      </c>
      <c r="C54" s="15" t="s">
        <v>30</v>
      </c>
      <c r="D54" s="23" t="s">
        <v>110</v>
      </c>
      <c r="E54" s="16" t="s">
        <v>111</v>
      </c>
      <c r="F54" s="24" t="str">
        <f>'Source Table'!$B$11</f>
        <v>Information Technology</v>
      </c>
      <c r="G54" s="24" t="str">
        <f>'Source Table'!$D$11</f>
        <v>تكنولوجيا المعلومات</v>
      </c>
      <c r="H54" s="35">
        <v>14.1</v>
      </c>
      <c r="I54">
        <v>2019</v>
      </c>
    </row>
    <row r="55" spans="1:9" ht="15">
      <c r="A55" t="s">
        <v>108</v>
      </c>
      <c r="B55" t="s">
        <v>109</v>
      </c>
      <c r="C55" s="15" t="s">
        <v>30</v>
      </c>
      <c r="D55" s="23" t="s">
        <v>110</v>
      </c>
      <c r="E55" s="16" t="s">
        <v>111</v>
      </c>
      <c r="F55" s="24" t="str">
        <f>'Source Table'!$B$12</f>
        <v>Artistic production</v>
      </c>
      <c r="G55" s="24" t="str">
        <f>'Source Table'!$D$12</f>
        <v>انتاج فني</v>
      </c>
      <c r="H55" s="35">
        <v>1.5</v>
      </c>
      <c r="I55">
        <v>2019</v>
      </c>
    </row>
    <row r="56" spans="1:9" ht="15">
      <c r="A56" t="s">
        <v>108</v>
      </c>
      <c r="B56" t="s">
        <v>109</v>
      </c>
      <c r="C56" s="15" t="s">
        <v>30</v>
      </c>
      <c r="D56" s="23" t="s">
        <v>110</v>
      </c>
      <c r="E56" s="16" t="s">
        <v>111</v>
      </c>
      <c r="F56" s="24" t="str">
        <f>'Source Table'!$B$13</f>
        <v>Gas transportation and distribution</v>
      </c>
      <c r="G56" s="24" t="str">
        <f>'Source Table'!$D$13</f>
        <v>نقل وتوزيع الغاز</v>
      </c>
      <c r="H56" s="35">
        <v>7.4</v>
      </c>
      <c r="I56">
        <v>2019</v>
      </c>
    </row>
    <row r="57" spans="1:9" ht="15">
      <c r="A57" t="s">
        <v>108</v>
      </c>
      <c r="B57" t="s">
        <v>109</v>
      </c>
      <c r="C57" s="15" t="s">
        <v>30</v>
      </c>
      <c r="D57" s="23" t="s">
        <v>110</v>
      </c>
      <c r="E57" s="16" t="s">
        <v>111</v>
      </c>
      <c r="F57" s="24" t="str">
        <f>'Source Table'!$B$14</f>
        <v>call centers</v>
      </c>
      <c r="G57" s="24" t="str">
        <f>'Source Table'!$D$14</f>
        <v>مراكز اتصال</v>
      </c>
      <c r="H57" s="35">
        <v>2.4</v>
      </c>
      <c r="I57">
        <v>2019</v>
      </c>
    </row>
    <row r="58" spans="1:9" ht="15">
      <c r="A58" t="s">
        <v>108</v>
      </c>
      <c r="B58" t="s">
        <v>109</v>
      </c>
      <c r="C58" s="15" t="s">
        <v>30</v>
      </c>
      <c r="D58" s="23" t="s">
        <v>110</v>
      </c>
      <c r="E58" s="16" t="s">
        <v>111</v>
      </c>
      <c r="F58" s="24" t="str">
        <f>'Source Table'!$B$15</f>
        <v>Scientific research centers</v>
      </c>
      <c r="G58" s="24" t="str">
        <f>'Source Table'!$D$15</f>
        <v>مراكز بحث علمي</v>
      </c>
      <c r="H58" s="35">
        <v>0.1</v>
      </c>
      <c r="I58">
        <v>2019</v>
      </c>
    </row>
    <row r="59" spans="1:9" ht="15">
      <c r="A59" t="s">
        <v>108</v>
      </c>
      <c r="B59" t="s">
        <v>109</v>
      </c>
      <c r="C59" s="15" t="s">
        <v>30</v>
      </c>
      <c r="D59" s="23" t="s">
        <v>110</v>
      </c>
      <c r="E59" s="16" t="s">
        <v>111</v>
      </c>
      <c r="F59" s="24" t="str">
        <f>'Source Table'!$B$5</f>
        <v>Industry</v>
      </c>
      <c r="G59" s="24" t="str">
        <f>'Source Table'!$D$5</f>
        <v>الصناعة</v>
      </c>
      <c r="H59" s="36">
        <v>631.29999999999995</v>
      </c>
      <c r="I59">
        <v>2018</v>
      </c>
    </row>
    <row r="60" spans="1:9" ht="15">
      <c r="A60" t="s">
        <v>108</v>
      </c>
      <c r="B60" t="s">
        <v>109</v>
      </c>
      <c r="C60" s="15" t="s">
        <v>30</v>
      </c>
      <c r="D60" s="23" t="s">
        <v>110</v>
      </c>
      <c r="E60" s="16" t="s">
        <v>111</v>
      </c>
      <c r="F60" s="24" t="str">
        <f>'Source Table'!$B$6</f>
        <v>Commerce</v>
      </c>
      <c r="G60" s="24" t="str">
        <f>'Source Table'!$D$6</f>
        <v>التجارة</v>
      </c>
      <c r="H60" s="33"/>
      <c r="I60">
        <v>2018</v>
      </c>
    </row>
    <row r="61" spans="1:9" ht="15">
      <c r="A61" t="s">
        <v>108</v>
      </c>
      <c r="B61" t="s">
        <v>109</v>
      </c>
      <c r="C61" s="15" t="s">
        <v>30</v>
      </c>
      <c r="D61" s="23" t="s">
        <v>110</v>
      </c>
      <c r="E61" s="16" t="s">
        <v>111</v>
      </c>
      <c r="F61" s="24" t="str">
        <f>'Source Table'!$B$7</f>
        <v>Tourism</v>
      </c>
      <c r="G61" s="24" t="str">
        <f>'Source Table'!$D$7</f>
        <v>السياحة</v>
      </c>
      <c r="H61" s="36">
        <v>74.5</v>
      </c>
      <c r="I61">
        <v>2018</v>
      </c>
    </row>
    <row r="62" spans="1:9" ht="15">
      <c r="A62" t="s">
        <v>108</v>
      </c>
      <c r="B62" t="s">
        <v>109</v>
      </c>
      <c r="C62" s="15" t="s">
        <v>30</v>
      </c>
      <c r="D62" s="23" t="s">
        <v>110</v>
      </c>
      <c r="E62" s="16" t="s">
        <v>111</v>
      </c>
      <c r="F62" s="24" t="str">
        <f>'Source Table'!$B$8</f>
        <v>Agriculture</v>
      </c>
      <c r="G62" s="24" t="str">
        <f>'Source Table'!$D$8</f>
        <v>الزراعة</v>
      </c>
      <c r="H62" s="36">
        <v>8.8000000000000007</v>
      </c>
      <c r="I62">
        <v>2018</v>
      </c>
    </row>
    <row r="63" spans="1:9" ht="15">
      <c r="A63" t="s">
        <v>108</v>
      </c>
      <c r="B63" t="s">
        <v>109</v>
      </c>
      <c r="C63" s="15" t="s">
        <v>30</v>
      </c>
      <c r="D63" s="23" t="s">
        <v>110</v>
      </c>
      <c r="E63" s="16" t="s">
        <v>111</v>
      </c>
      <c r="F63" s="24" t="str">
        <f>'Source Table'!$B$9</f>
        <v>Hospitals</v>
      </c>
      <c r="G63" s="24" t="str">
        <f>'Source Table'!$D$9</f>
        <v>المستشفيات</v>
      </c>
      <c r="H63" s="36">
        <v>41.7</v>
      </c>
      <c r="I63">
        <v>2018</v>
      </c>
    </row>
    <row r="64" spans="1:9" ht="15">
      <c r="A64" t="s">
        <v>108</v>
      </c>
      <c r="B64" t="s">
        <v>109</v>
      </c>
      <c r="C64" s="15" t="s">
        <v>30</v>
      </c>
      <c r="D64" s="23" t="s">
        <v>110</v>
      </c>
      <c r="E64" s="16" t="s">
        <v>111</v>
      </c>
      <c r="F64" s="24" t="str">
        <f>'Source Table'!$B$10</f>
        <v>Services</v>
      </c>
      <c r="G64" s="24" t="str">
        <f>'Source Table'!$D$10</f>
        <v>الخدمات</v>
      </c>
      <c r="H64" s="36">
        <v>9.6999999999999993</v>
      </c>
      <c r="I64">
        <v>2018</v>
      </c>
    </row>
    <row r="65" spans="1:9" ht="15">
      <c r="A65" t="s">
        <v>108</v>
      </c>
      <c r="B65" t="s">
        <v>109</v>
      </c>
      <c r="C65" s="15" t="s">
        <v>30</v>
      </c>
      <c r="D65" s="23" t="s">
        <v>110</v>
      </c>
      <c r="E65" s="16" t="s">
        <v>111</v>
      </c>
      <c r="F65" s="24" t="str">
        <f>'Source Table'!$B$11</f>
        <v>Information Technology</v>
      </c>
      <c r="G65" s="24" t="str">
        <f>'Source Table'!$D$11</f>
        <v>تكنولوجيا المعلومات</v>
      </c>
      <c r="H65" s="36">
        <v>16.100000000000001</v>
      </c>
      <c r="I65">
        <v>2018</v>
      </c>
    </row>
    <row r="66" spans="1:9" ht="15">
      <c r="A66" t="s">
        <v>108</v>
      </c>
      <c r="B66" t="s">
        <v>109</v>
      </c>
      <c r="C66" s="15" t="s">
        <v>30</v>
      </c>
      <c r="D66" s="23" t="s">
        <v>110</v>
      </c>
      <c r="E66" s="16" t="s">
        <v>111</v>
      </c>
      <c r="F66" s="24" t="str">
        <f>'Source Table'!$B$12</f>
        <v>Artistic production</v>
      </c>
      <c r="G66" s="24" t="str">
        <f>'Source Table'!$D$12</f>
        <v>انتاج فني</v>
      </c>
      <c r="H66" s="36">
        <v>6.4</v>
      </c>
      <c r="I66">
        <v>2018</v>
      </c>
    </row>
    <row r="67" spans="1:9" ht="15">
      <c r="A67" t="s">
        <v>108</v>
      </c>
      <c r="B67" t="s">
        <v>109</v>
      </c>
      <c r="C67" s="15" t="s">
        <v>30</v>
      </c>
      <c r="D67" s="23" t="s">
        <v>110</v>
      </c>
      <c r="E67" s="16" t="s">
        <v>111</v>
      </c>
      <c r="F67" s="24" t="str">
        <f>'Source Table'!$B$13</f>
        <v>Gas transportation and distribution</v>
      </c>
      <c r="G67" s="24" t="str">
        <f>'Source Table'!$D$13</f>
        <v>نقل وتوزيع الغاز</v>
      </c>
      <c r="H67" s="36">
        <v>0</v>
      </c>
      <c r="I67">
        <v>2018</v>
      </c>
    </row>
    <row r="68" spans="1:9" ht="15">
      <c r="A68" t="s">
        <v>108</v>
      </c>
      <c r="B68" t="s">
        <v>109</v>
      </c>
      <c r="C68" s="15" t="s">
        <v>30</v>
      </c>
      <c r="D68" s="23" t="s">
        <v>110</v>
      </c>
      <c r="E68" s="16" t="s">
        <v>111</v>
      </c>
      <c r="F68" s="24" t="str">
        <f>'Source Table'!$B$14</f>
        <v>call centers</v>
      </c>
      <c r="G68" s="24" t="str">
        <f>'Source Table'!$D$14</f>
        <v>مراكز اتصال</v>
      </c>
      <c r="H68" s="36">
        <v>0</v>
      </c>
      <c r="I68">
        <v>2018</v>
      </c>
    </row>
    <row r="69" spans="1:9" ht="15">
      <c r="A69" t="s">
        <v>108</v>
      </c>
      <c r="B69" t="s">
        <v>109</v>
      </c>
      <c r="C69" s="15" t="s">
        <v>30</v>
      </c>
      <c r="D69" s="23" t="s">
        <v>110</v>
      </c>
      <c r="E69" s="16" t="s">
        <v>111</v>
      </c>
      <c r="F69" s="24" t="str">
        <f>'Source Table'!$B$15</f>
        <v>Scientific research centers</v>
      </c>
      <c r="G69" s="24" t="str">
        <f>'Source Table'!$D$15</f>
        <v>مراكز بحث علمي</v>
      </c>
      <c r="H69" s="36">
        <v>0</v>
      </c>
      <c r="I69">
        <v>2018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1"/>
    </sheetView>
  </sheetViews>
  <sheetFormatPr defaultRowHeight="13.5"/>
  <sheetData>
    <row r="1" spans="1:7" ht="15">
      <c r="A1" t="s">
        <v>108</v>
      </c>
      <c r="B1" t="s">
        <v>109</v>
      </c>
      <c r="C1" s="15" t="s">
        <v>30</v>
      </c>
      <c r="D1" s="23" t="s">
        <v>110</v>
      </c>
      <c r="E1" s="16" t="s">
        <v>111</v>
      </c>
      <c r="F1" s="24" t="str">
        <f>'Source Table'!$B$5</f>
        <v>Industry</v>
      </c>
      <c r="G1" s="24" t="str">
        <f>'Source Table'!$D$5</f>
        <v>الصناعة</v>
      </c>
    </row>
    <row r="2" spans="1:7" ht="15">
      <c r="A2" t="s">
        <v>108</v>
      </c>
      <c r="B2" t="s">
        <v>109</v>
      </c>
      <c r="C2" s="15" t="s">
        <v>30</v>
      </c>
      <c r="D2" s="23" t="s">
        <v>110</v>
      </c>
      <c r="E2" s="16" t="s">
        <v>111</v>
      </c>
      <c r="F2" s="24" t="str">
        <f>'Source Table'!$B$6</f>
        <v>Commerce</v>
      </c>
      <c r="G2" s="24" t="str">
        <f>'Source Table'!$D$6</f>
        <v>التجارة</v>
      </c>
    </row>
    <row r="3" spans="1:7" ht="15">
      <c r="A3" t="s">
        <v>108</v>
      </c>
      <c r="B3" t="s">
        <v>109</v>
      </c>
      <c r="C3" s="15" t="s">
        <v>30</v>
      </c>
      <c r="D3" s="23" t="s">
        <v>110</v>
      </c>
      <c r="E3" s="16" t="s">
        <v>111</v>
      </c>
      <c r="F3" s="24" t="str">
        <f>'Source Table'!$B$7</f>
        <v>Tourism</v>
      </c>
      <c r="G3" s="24" t="str">
        <f>'Source Table'!$D$7</f>
        <v>السياحة</v>
      </c>
    </row>
    <row r="4" spans="1:7" ht="15">
      <c r="A4" t="s">
        <v>108</v>
      </c>
      <c r="B4" t="s">
        <v>109</v>
      </c>
      <c r="C4" s="15" t="s">
        <v>30</v>
      </c>
      <c r="D4" s="23" t="s">
        <v>110</v>
      </c>
      <c r="E4" s="16" t="s">
        <v>111</v>
      </c>
      <c r="F4" s="24" t="str">
        <f>'Source Table'!$B$8</f>
        <v>Agriculture</v>
      </c>
      <c r="G4" s="24" t="str">
        <f>'Source Table'!$D$8</f>
        <v>الزراعة</v>
      </c>
    </row>
    <row r="5" spans="1:7" ht="15">
      <c r="A5" t="s">
        <v>108</v>
      </c>
      <c r="B5" t="s">
        <v>109</v>
      </c>
      <c r="C5" s="15" t="s">
        <v>30</v>
      </c>
      <c r="D5" s="23" t="s">
        <v>110</v>
      </c>
      <c r="E5" s="16" t="s">
        <v>111</v>
      </c>
      <c r="F5" s="24" t="str">
        <f>'Source Table'!$B$9</f>
        <v>Hospitals</v>
      </c>
      <c r="G5" s="24" t="str">
        <f>'Source Table'!$D$9</f>
        <v>المستشفيات</v>
      </c>
    </row>
    <row r="6" spans="1:7" ht="15">
      <c r="A6" t="s">
        <v>108</v>
      </c>
      <c r="B6" t="s">
        <v>109</v>
      </c>
      <c r="C6" s="15" t="s">
        <v>30</v>
      </c>
      <c r="D6" s="23" t="s">
        <v>110</v>
      </c>
      <c r="E6" s="16" t="s">
        <v>111</v>
      </c>
      <c r="F6" s="24" t="str">
        <f>'Source Table'!$B$10</f>
        <v>Services</v>
      </c>
      <c r="G6" s="24" t="str">
        <f>'Source Table'!$D$10</f>
        <v>الخدمات</v>
      </c>
    </row>
    <row r="7" spans="1:7" ht="15">
      <c r="A7" t="s">
        <v>108</v>
      </c>
      <c r="B7" t="s">
        <v>109</v>
      </c>
      <c r="C7" s="15" t="s">
        <v>30</v>
      </c>
      <c r="D7" s="23" t="s">
        <v>110</v>
      </c>
      <c r="E7" s="16" t="s">
        <v>111</v>
      </c>
      <c r="F7" s="24" t="str">
        <f>'Source Table'!$B$11</f>
        <v>Information Technology</v>
      </c>
      <c r="G7" s="24" t="str">
        <f>'Source Table'!$D$11</f>
        <v>تكنولوجيا المعلومات</v>
      </c>
    </row>
    <row r="8" spans="1:7" ht="15">
      <c r="A8" t="s">
        <v>108</v>
      </c>
      <c r="B8" t="s">
        <v>109</v>
      </c>
      <c r="C8" s="15" t="s">
        <v>30</v>
      </c>
      <c r="D8" s="23" t="s">
        <v>110</v>
      </c>
      <c r="E8" s="16" t="s">
        <v>111</v>
      </c>
      <c r="F8" s="24" t="str">
        <f>'Source Table'!$B$12</f>
        <v>Artistic production</v>
      </c>
      <c r="G8" s="24" t="str">
        <f>'Source Table'!$D$12</f>
        <v>انتاج فني</v>
      </c>
    </row>
    <row r="9" spans="1:7" ht="15">
      <c r="A9" t="s">
        <v>108</v>
      </c>
      <c r="B9" t="s">
        <v>109</v>
      </c>
      <c r="C9" s="15" t="s">
        <v>30</v>
      </c>
      <c r="D9" s="23" t="s">
        <v>110</v>
      </c>
      <c r="E9" s="16" t="s">
        <v>111</v>
      </c>
      <c r="F9" s="24" t="str">
        <f>'Source Table'!$B$13</f>
        <v>Gas transportation and distribution</v>
      </c>
      <c r="G9" s="24" t="str">
        <f>'Source Table'!$D$13</f>
        <v>نقل وتوزيع الغاز</v>
      </c>
    </row>
    <row r="10" spans="1:7" ht="15">
      <c r="A10" t="s">
        <v>108</v>
      </c>
      <c r="B10" t="s">
        <v>109</v>
      </c>
      <c r="C10" s="15" t="s">
        <v>30</v>
      </c>
      <c r="D10" s="23" t="s">
        <v>110</v>
      </c>
      <c r="E10" s="16" t="s">
        <v>111</v>
      </c>
      <c r="F10" s="24" t="str">
        <f>'Source Table'!$B$14</f>
        <v>call centers</v>
      </c>
      <c r="G10" s="24" t="str">
        <f>'Source Table'!$D$14</f>
        <v>مراكز اتصال</v>
      </c>
    </row>
    <row r="11" spans="1:7" ht="15">
      <c r="A11" t="s">
        <v>108</v>
      </c>
      <c r="B11" t="s">
        <v>109</v>
      </c>
      <c r="C11" s="15" t="s">
        <v>30</v>
      </c>
      <c r="D11" s="23" t="s">
        <v>110</v>
      </c>
      <c r="E11" s="16" t="s">
        <v>111</v>
      </c>
      <c r="F11" s="24" t="str">
        <f>'Source Table'!$B$15</f>
        <v>Scientific research centers</v>
      </c>
      <c r="G11" s="24" t="str">
        <f>'Source Table'!$D$15</f>
        <v>مراكز بحث علمي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zoomScale="70" zoomScaleNormal="70" workbookViewId="0">
      <selection activeCell="F5" sqref="F5:G5"/>
    </sheetView>
  </sheetViews>
  <sheetFormatPr defaultColWidth="9" defaultRowHeight="13.5"/>
  <cols>
    <col min="1" max="8" width="24.375" customWidth="1"/>
    <col min="9" max="9" width="8.75" customWidth="1"/>
    <col min="10" max="10" width="11.375" customWidth="1"/>
    <col min="11" max="11" width="12" customWidth="1"/>
    <col min="12" max="12" width="9.875" customWidth="1"/>
    <col min="13" max="13" width="7.375" customWidth="1"/>
  </cols>
  <sheetData>
    <row r="1" spans="1:10">
      <c r="A1" s="11" t="s">
        <v>31</v>
      </c>
      <c r="B1" s="12">
        <f>DATE(B2,B3,1)</f>
        <v>45292</v>
      </c>
    </row>
    <row r="2" spans="1:10">
      <c r="A2" s="11" t="s">
        <v>11</v>
      </c>
      <c r="B2">
        <v>2024</v>
      </c>
      <c r="D2" s="12"/>
    </row>
    <row r="3" spans="1:10">
      <c r="A3" s="11" t="s">
        <v>32</v>
      </c>
      <c r="B3">
        <v>1</v>
      </c>
    </row>
    <row r="4" spans="1:10" s="10" customFormat="1" ht="18" customHeight="1">
      <c r="A4" s="13" t="s">
        <v>14</v>
      </c>
      <c r="B4" s="13" t="s">
        <v>15</v>
      </c>
      <c r="C4" s="13" t="s">
        <v>16</v>
      </c>
      <c r="D4" s="13" t="s">
        <v>17</v>
      </c>
      <c r="E4" s="13" t="s">
        <v>18</v>
      </c>
      <c r="F4" s="25" t="s">
        <v>112</v>
      </c>
      <c r="G4" s="25" t="s">
        <v>113</v>
      </c>
      <c r="H4" s="13" t="s">
        <v>19</v>
      </c>
      <c r="I4" s="13" t="s">
        <v>20</v>
      </c>
      <c r="J4" s="13" t="s">
        <v>21</v>
      </c>
    </row>
    <row r="5" spans="1:10" s="10" customFormat="1" ht="18" customHeight="1">
      <c r="A5" s="13" t="s">
        <v>22</v>
      </c>
      <c r="B5" s="13" t="s">
        <v>23</v>
      </c>
      <c r="C5" s="13" t="s">
        <v>24</v>
      </c>
      <c r="D5" s="13" t="s">
        <v>25</v>
      </c>
      <c r="E5" s="13" t="s">
        <v>26</v>
      </c>
      <c r="F5" s="25" t="s">
        <v>115</v>
      </c>
      <c r="G5" s="25" t="s">
        <v>114</v>
      </c>
      <c r="H5" s="13" t="s">
        <v>27</v>
      </c>
      <c r="I5" s="13" t="s">
        <v>28</v>
      </c>
      <c r="J5" s="13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8"/>
  <sheetViews>
    <sheetView topLeftCell="A17" workbookViewId="0">
      <selection activeCell="A20" sqref="A20"/>
    </sheetView>
  </sheetViews>
  <sheetFormatPr defaultColWidth="8.875" defaultRowHeight="13.5"/>
  <cols>
    <col min="1" max="1" width="90" style="1" customWidth="1"/>
    <col min="2" max="2" width="2.625" style="2" customWidth="1"/>
    <col min="3" max="3" width="87.25" style="3" customWidth="1"/>
    <col min="4" max="16384" width="8.875" style="4"/>
  </cols>
  <sheetData>
    <row r="2" spans="1:3" ht="18">
      <c r="A2" s="5" t="s">
        <v>33</v>
      </c>
      <c r="C2" s="6" t="s">
        <v>34</v>
      </c>
    </row>
    <row r="3" spans="1:3">
      <c r="A3" s="7"/>
    </row>
    <row r="4" spans="1:3" ht="27">
      <c r="A4" s="7" t="s">
        <v>35</v>
      </c>
      <c r="C4" s="3" t="s">
        <v>36</v>
      </c>
    </row>
    <row r="6" spans="1:3" ht="18">
      <c r="A6" s="5" t="s">
        <v>37</v>
      </c>
      <c r="C6" s="6" t="s">
        <v>38</v>
      </c>
    </row>
    <row r="7" spans="1:3">
      <c r="A7" s="7"/>
    </row>
    <row r="8" spans="1:3" ht="27">
      <c r="A8" s="8" t="s">
        <v>39</v>
      </c>
      <c r="C8" s="3" t="s">
        <v>40</v>
      </c>
    </row>
    <row r="10" spans="1:3" ht="18">
      <c r="A10" s="5" t="s">
        <v>41</v>
      </c>
      <c r="C10" s="6" t="s">
        <v>42</v>
      </c>
    </row>
    <row r="11" spans="1:3">
      <c r="A11" s="7"/>
    </row>
    <row r="12" spans="1:3">
      <c r="A12" s="7" t="s">
        <v>43</v>
      </c>
      <c r="C12" s="3" t="s">
        <v>44</v>
      </c>
    </row>
    <row r="13" spans="1:3" ht="27">
      <c r="A13" s="8" t="s">
        <v>45</v>
      </c>
      <c r="C13" s="9" t="s">
        <v>46</v>
      </c>
    </row>
    <row r="14" spans="1:3" ht="40.5">
      <c r="A14" s="8" t="s">
        <v>47</v>
      </c>
      <c r="C14" s="9" t="s">
        <v>48</v>
      </c>
    </row>
    <row r="15" spans="1:3" ht="27">
      <c r="A15" s="8" t="s">
        <v>49</v>
      </c>
      <c r="C15" s="9" t="s">
        <v>50</v>
      </c>
    </row>
    <row r="16" spans="1:3">
      <c r="A16" s="8" t="s">
        <v>51</v>
      </c>
      <c r="C16" s="9" t="s">
        <v>52</v>
      </c>
    </row>
    <row r="17" spans="1:3">
      <c r="A17" s="8" t="s">
        <v>53</v>
      </c>
      <c r="C17" s="9" t="s">
        <v>54</v>
      </c>
    </row>
    <row r="18" spans="1:3">
      <c r="A18" s="7" t="s">
        <v>55</v>
      </c>
      <c r="C18" s="3" t="s">
        <v>56</v>
      </c>
    </row>
    <row r="19" spans="1:3">
      <c r="A19" s="7" t="s">
        <v>57</v>
      </c>
      <c r="C19" s="3" t="s">
        <v>58</v>
      </c>
    </row>
    <row r="20" spans="1:3" ht="27">
      <c r="A20" s="8" t="s">
        <v>59</v>
      </c>
      <c r="C20" s="9" t="s">
        <v>60</v>
      </c>
    </row>
    <row r="22" spans="1:3" ht="18">
      <c r="A22" s="5" t="s">
        <v>61</v>
      </c>
      <c r="C22" s="6" t="s">
        <v>62</v>
      </c>
    </row>
    <row r="23" spans="1:3">
      <c r="A23" s="7"/>
    </row>
    <row r="24" spans="1:3" ht="27">
      <c r="A24" s="7" t="s">
        <v>63</v>
      </c>
      <c r="C24" s="3" t="s">
        <v>64</v>
      </c>
    </row>
    <row r="25" spans="1:3" ht="27">
      <c r="A25" s="7" t="s">
        <v>65</v>
      </c>
      <c r="C25" s="3" t="s">
        <v>66</v>
      </c>
    </row>
    <row r="27" spans="1:3" ht="18">
      <c r="A27" s="5" t="s">
        <v>67</v>
      </c>
      <c r="C27" s="6" t="s">
        <v>68</v>
      </c>
    </row>
    <row r="28" spans="1:3">
      <c r="A28" s="7"/>
    </row>
    <row r="29" spans="1:3" ht="27">
      <c r="A29" s="7" t="s">
        <v>69</v>
      </c>
      <c r="C29" s="3" t="s">
        <v>70</v>
      </c>
    </row>
    <row r="30" spans="1:3">
      <c r="A30" s="7" t="s">
        <v>71</v>
      </c>
      <c r="C30" s="3" t="s">
        <v>72</v>
      </c>
    </row>
    <row r="32" spans="1:3" ht="18">
      <c r="A32" s="5" t="s">
        <v>73</v>
      </c>
      <c r="C32" s="6" t="s">
        <v>74</v>
      </c>
    </row>
    <row r="33" spans="1:3">
      <c r="A33" s="7"/>
    </row>
    <row r="34" spans="1:3">
      <c r="A34" s="8" t="s">
        <v>75</v>
      </c>
      <c r="C34" s="3" t="s">
        <v>76</v>
      </c>
    </row>
    <row r="36" spans="1:3" ht="18">
      <c r="A36" s="5" t="s">
        <v>77</v>
      </c>
      <c r="C36" s="6" t="s">
        <v>78</v>
      </c>
    </row>
    <row r="37" spans="1:3">
      <c r="A37" s="7"/>
    </row>
    <row r="38" spans="1:3" ht="27">
      <c r="A38" s="7" t="s">
        <v>79</v>
      </c>
      <c r="C38" s="3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9D8868F97254F9E5095DCA93C6B5E" ma:contentTypeVersion="4" ma:contentTypeDescription="Create a new document." ma:contentTypeScope="" ma:versionID="c382a7e8560abba42d9175972971dca4">
  <xsd:schema xmlns:xsd="http://www.w3.org/2001/XMLSchema" xmlns:xs="http://www.w3.org/2001/XMLSchema" xmlns:p="http://schemas.microsoft.com/office/2006/metadata/properties" xmlns:ns2="5f3aa2a1-f742-4cb3-874a-b3631849deb5" targetNamespace="http://schemas.microsoft.com/office/2006/metadata/properties" ma:root="true" ma:fieldsID="dff2fb13bd7f76f9795f131d17ef348c" ns2:_="">
    <xsd:import namespace="5f3aa2a1-f742-4cb3-874a-b3631849d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aa2a1-f742-4cb3-874a-b3631849d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1" rangeCreator="" othersAccessPermission="edit"/>
  </rangeList>
  <rangeList sheetStid="3" master="" otherUserPermission="visible"/>
  <rangeList sheetStid="4" master="" otherUserPermission="visible"/>
  <rangeList sheetStid="6" master="" otherUserPermission="visible"/>
</allowEditUser>
</file>

<file path=customXml/itemProps1.xml><?xml version="1.0" encoding="utf-8"?>
<ds:datastoreItem xmlns:ds="http://schemas.openxmlformats.org/officeDocument/2006/customXml" ds:itemID="{376B0781-3F54-40BC-A068-7F5A2310ECAB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5f3aa2a1-f742-4cb3-874a-b3631849deb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EFB3727-0098-41DB-9DEB-08A099D40A76}">
  <ds:schemaRefs/>
</ds:datastoreItem>
</file>

<file path=customXml/itemProps3.xml><?xml version="1.0" encoding="utf-8"?>
<ds:datastoreItem xmlns:ds="http://schemas.openxmlformats.org/officeDocument/2006/customXml" ds:itemID="{3517F994-C603-46B5-AEAB-E4EEDEDA8C7D}">
  <ds:schemaRefs/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 Page</vt:lpstr>
      <vt:lpstr>Source Table</vt:lpstr>
      <vt:lpstr>Relational DB</vt:lpstr>
      <vt:lpstr>Sheet1</vt:lpstr>
      <vt:lpstr>Template Data</vt:lpstr>
      <vt:lpstr>Help</vt:lpstr>
      <vt:lpstr>'Source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2025-05-14T11:54:42Z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156DA827928A4ABFAF3DDE15037F87AA_13</vt:lpwstr>
  </property>
  <property fmtid="{D5CDD505-2E9C-101B-9397-08002B2CF9AE}" pid="5" name="KSOProductBuildVer">
    <vt:lpwstr>1033-12.2.0.20795</vt:lpwstr>
  </property>
</Properties>
</file>