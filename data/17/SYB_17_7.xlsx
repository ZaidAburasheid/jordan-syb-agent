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715" activeTab="2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Toc175815732" localSheetId="1">'Source Table'!$E$5</definedName>
    <definedName name="_Toc175815736" localSheetId="1">'Source Table'!$B$5</definedName>
    <definedName name="_xlnm.Print_Area" localSheetId="1">'Source Table'!$B$2:$E$29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<sst xmlns="http://schemas.openxmlformats.org/spreadsheetml/2006/main" count="2342" uniqueCount="165">
  <si>
    <t>Code</t>
  </si>
  <si>
    <t>SYB_17_7</t>
  </si>
  <si>
    <t>Version</t>
  </si>
  <si>
    <t>V1</t>
  </si>
  <si>
    <t>اسم القالب</t>
  </si>
  <si>
    <t>جرائم المخدرات حسب مناطق وقوعها</t>
  </si>
  <si>
    <t>Template Name</t>
  </si>
  <si>
    <t>Drug Crimes by Location of Occurrence</t>
  </si>
  <si>
    <t>دورية البيانات</t>
  </si>
  <si>
    <t>سنوي</t>
  </si>
  <si>
    <t>Data Frequency</t>
  </si>
  <si>
    <t>Annual</t>
  </si>
  <si>
    <t>الجهة المصدرية</t>
  </si>
  <si>
    <t>مديرية الأمن العام</t>
  </si>
  <si>
    <t>Data Source</t>
  </si>
  <si>
    <t>Public Security Directorate</t>
  </si>
  <si>
    <t>Year</t>
  </si>
  <si>
    <t>السنة</t>
  </si>
  <si>
    <t>Police Directorate</t>
  </si>
  <si>
    <t xml:space="preserve">%نسبة المكتشف </t>
  </si>
  <si>
    <t xml:space="preserve">العدد </t>
  </si>
  <si>
    <t xml:space="preserve">مديرية الشرطة  </t>
  </si>
  <si>
    <t>% Ratio Discoverer</t>
  </si>
  <si>
    <t>.No</t>
  </si>
  <si>
    <t>Middle Amman</t>
  </si>
  <si>
    <t>وسط عمان</t>
  </si>
  <si>
    <t>South Amman</t>
  </si>
  <si>
    <t>جنوب عمان</t>
  </si>
  <si>
    <t>North Amman</t>
  </si>
  <si>
    <t>شمال عمان</t>
  </si>
  <si>
    <t>East Amman</t>
  </si>
  <si>
    <t>شرق عمان</t>
  </si>
  <si>
    <t>Zarqa</t>
  </si>
  <si>
    <t>الزرقاء</t>
  </si>
  <si>
    <t>Balqa</t>
  </si>
  <si>
    <t>البلقاء</t>
  </si>
  <si>
    <t>Madaba</t>
  </si>
  <si>
    <t>مادبا</t>
  </si>
  <si>
    <t>Al-Russaifa</t>
  </si>
  <si>
    <t>الرصيفة</t>
  </si>
  <si>
    <t>West Balqa</t>
  </si>
  <si>
    <t>غرب البلقاء</t>
  </si>
  <si>
    <t>Irbid</t>
  </si>
  <si>
    <t>إربد</t>
  </si>
  <si>
    <t>West Irbid</t>
  </si>
  <si>
    <t>غرب إربد</t>
  </si>
  <si>
    <t>Mafraq</t>
  </si>
  <si>
    <t>المفرق</t>
  </si>
  <si>
    <t>Jarash</t>
  </si>
  <si>
    <t>جرش</t>
  </si>
  <si>
    <t>Ajlun</t>
  </si>
  <si>
    <t>عجلون</t>
  </si>
  <si>
    <t>Al Ramtha</t>
  </si>
  <si>
    <t>الرمثا</t>
  </si>
  <si>
    <t>Karak</t>
  </si>
  <si>
    <t>الكرك</t>
  </si>
  <si>
    <t>Tafiela</t>
  </si>
  <si>
    <t>الطفيلة</t>
  </si>
  <si>
    <t>Maan</t>
  </si>
  <si>
    <t>معان</t>
  </si>
  <si>
    <t>West Maan</t>
  </si>
  <si>
    <t>غرب معان</t>
  </si>
  <si>
    <t>Aqaba</t>
  </si>
  <si>
    <t>العقبة</t>
  </si>
  <si>
    <t>North Bedouin</t>
  </si>
  <si>
    <t>البادية الشمالية</t>
  </si>
  <si>
    <t>Middle Bedouin</t>
  </si>
  <si>
    <t>البادية الوسطى</t>
  </si>
  <si>
    <t>South Bedouin</t>
  </si>
  <si>
    <t>البادية الجنوبية</t>
  </si>
  <si>
    <t>Relational Sheet</t>
  </si>
  <si>
    <t>Measure_Name_Ar</t>
  </si>
  <si>
    <t>Measure_Name_En</t>
  </si>
  <si>
    <t>Measure_ID</t>
  </si>
  <si>
    <t>Unit_EN</t>
  </si>
  <si>
    <t>Unit_AR</t>
  </si>
  <si>
    <t>CL_POLICE_DIRECTORATE_EN_V1</t>
  </si>
  <si>
    <t>CL_POLICE_DIRECTORATE_ARV1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</si>
  <si>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</si>
  <si>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</si>
  <si>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</si>
  <si>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</si>
  <si>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</si>
  <si>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</si>
  <si>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</si>
  <si>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</si>
  <si>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قيمة المؤشر</t>
  </si>
  <si>
    <t>سنة فترة القياس</t>
  </si>
  <si>
    <t>شهر فترة القياس</t>
  </si>
  <si>
    <t xml:space="preserve">جرائم المخدرات </t>
  </si>
  <si>
    <t>Drug Crimes</t>
  </si>
  <si>
    <t>M1</t>
  </si>
  <si>
    <t>Number</t>
  </si>
  <si>
    <t>عدد</t>
  </si>
  <si>
    <t>M2</t>
  </si>
  <si>
    <t>Ratio</t>
  </si>
  <si>
    <t>نسبة</t>
  </si>
  <si>
    <r>
      <t xml:space="preserve"> </t>
    </r>
    <r>
      <rPr>
        <sz val="9"/>
        <color theme="1"/>
        <rFont val="Times New Roman"/>
        <charset val="134"/>
      </rPr>
      <t>East Amman</t>
    </r>
  </si>
  <si>
    <t>اربد</t>
  </si>
  <si>
    <t>غرب اربد</t>
  </si>
  <si>
    <t>Al-Ramtha</t>
  </si>
  <si>
    <t>North Badi</t>
  </si>
  <si>
    <t>الباديه الشماليه</t>
  </si>
  <si>
    <t>Central Badi</t>
  </si>
  <si>
    <t>الباديه الوسطى</t>
  </si>
  <si>
    <t>South Africa</t>
  </si>
  <si>
    <t>الباديه الجنوبيه</t>
  </si>
  <si>
    <t>Ajloun</t>
  </si>
  <si>
    <t>Ma'an</t>
  </si>
  <si>
    <t>West of Ma'an</t>
  </si>
  <si>
    <r>
      <t xml:space="preserve">   </t>
    </r>
    <r>
      <rPr>
        <sz val="12"/>
        <color theme="1"/>
        <rFont val="Traditional Arabic"/>
        <charset val="134"/>
      </rPr>
      <t>غرب معان</t>
    </r>
  </si>
  <si>
    <t>Al Badiyah</t>
  </si>
  <si>
    <t>البادية</t>
  </si>
  <si>
    <t>Petra</t>
  </si>
  <si>
    <t>البتراء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</si>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</sst>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1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1"/>
      <color rgb="FF000000"/>
      <name val="Calibri"/>
      <charset val="134"/>
    </font>
    <font>
      <sz val="9"/>
      <color theme="1"/>
      <name val="Times New Roman"/>
      <charset val="134"/>
    </font>
    <font>
      <sz val="12"/>
      <color theme="1"/>
      <name val="Traditional Arabic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1"/>
      <color rgb="FF000000"/>
      <name val="Calibri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8992889187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14" applyNumberFormat="0" applyAlignment="0" applyProtection="0">
      <alignment vertical="center"/>
    </xf>
    <xf numFmtId="0" fontId="23" fillId="10" borderId="15" applyNumberFormat="0" applyAlignment="0" applyProtection="0">
      <alignment vertical="center"/>
    </xf>
    <xf numFmtId="0" fontId="24" fillId="10" borderId="14" applyNumberFormat="0" applyAlignment="0" applyProtection="0">
      <alignment vertical="center"/>
    </xf>
    <xf numFmtId="0" fontId="25" fillId="11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4" fillId="0" borderId="0">
      <alignment horizontal="centerContinuous" vertical="center"/>
    </xf>
    <xf numFmtId="0" fontId="35" fillId="0" borderId="0">
      <alignment horizontal="centerContinuous" vertical="center"/>
    </xf>
    <xf numFmtId="1" fontId="36" fillId="39" borderId="19">
      <alignment horizontal="center" vertical="center"/>
    </xf>
    <xf numFmtId="0" fontId="37" fillId="39" borderId="19">
      <alignment horizontal="center" vertical="center" wrapText="1"/>
    </xf>
    <xf numFmtId="0" fontId="38" fillId="39" borderId="19">
      <alignment horizontal="center" vertical="center" wrapText="1"/>
    </xf>
    <xf numFmtId="0" fontId="33" fillId="0" borderId="0"/>
    <xf numFmtId="0" fontId="33" fillId="0" borderId="0"/>
    <xf numFmtId="0" fontId="0" fillId="0" borderId="0"/>
    <xf numFmtId="0" fontId="0" fillId="0" borderId="0"/>
    <xf numFmtId="0" fontId="33" fillId="0" borderId="0"/>
    <xf numFmtId="0" fontId="0" fillId="0" borderId="0"/>
    <xf numFmtId="9" fontId="0" fillId="0" borderId="0"/>
    <xf numFmtId="9" fontId="0" fillId="0" borderId="0"/>
    <xf numFmtId="0" fontId="39" fillId="0" borderId="0">
      <alignment horizontal="right" vertical="center"/>
    </xf>
    <xf numFmtId="0" fontId="33" fillId="0" borderId="0">
      <alignment horizontal="left" vertical="center"/>
    </xf>
  </cellStyleXfs>
  <cellXfs count="59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0" borderId="0" xfId="0" applyBorder="1"/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readingOrder="2"/>
    </xf>
    <xf numFmtId="3" fontId="8" fillId="0" borderId="0" xfId="0" applyNumberFormat="1" applyFont="1" applyBorder="1" applyAlignment="1">
      <alignment horizontal="right" readingOrder="2"/>
    </xf>
    <xf numFmtId="0" fontId="8" fillId="0" borderId="0" xfId="0" applyFont="1" applyBorder="1" applyAlignment="1">
      <alignment horizontal="right" readingOrder="2"/>
    </xf>
    <xf numFmtId="0" fontId="8" fillId="0" borderId="0" xfId="0" applyFont="1" applyBorder="1" applyAlignment="1">
      <alignment horizontal="right" vertical="top" readingOrder="2"/>
    </xf>
    <xf numFmtId="0" fontId="7" fillId="0" borderId="0" xfId="0" applyFont="1" applyBorder="1" applyAlignment="1">
      <alignment horizontal="center" readingOrder="2"/>
    </xf>
    <xf numFmtId="0" fontId="8" fillId="0" borderId="0" xfId="0" applyFont="1" applyBorder="1" applyAlignment="1">
      <alignment horizontal="right" vertical="top" readingOrder="2"/>
    </xf>
    <xf numFmtId="3" fontId="8" fillId="0" borderId="0" xfId="0" applyNumberFormat="1" applyFont="1" applyBorder="1" applyAlignment="1">
      <alignment horizontal="center" indent="1"/>
    </xf>
    <xf numFmtId="0" fontId="8" fillId="0" borderId="0" xfId="0" applyFont="1" applyBorder="1" applyAlignment="1">
      <alignment horizontal="center" indent="1"/>
    </xf>
    <xf numFmtId="0" fontId="8" fillId="0" borderId="0" xfId="0" applyFont="1" applyBorder="1" applyAlignment="1">
      <alignment horizontal="center" indent="1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readingOrder="2"/>
    </xf>
    <xf numFmtId="0" fontId="8" fillId="0" borderId="0" xfId="0" applyFont="1" applyBorder="1"/>
    <xf numFmtId="0" fontId="8" fillId="0" borderId="0" xfId="0" applyFont="1" applyBorder="1" applyAlignment="1">
      <alignment horizontal="center" readingOrder="2"/>
    </xf>
    <xf numFmtId="0" fontId="8" fillId="0" borderId="0" xfId="0" applyFont="1" applyBorder="1" applyAlignment="1">
      <alignment horizontal="left" indent="1"/>
    </xf>
    <xf numFmtId="0" fontId="9" fillId="0" borderId="0" xfId="0" applyFont="1" applyBorder="1" applyAlignment="1">
      <alignment horizontal="right" indent="1" readingOrder="2"/>
    </xf>
    <xf numFmtId="0" fontId="8" fillId="0" borderId="0" xfId="0" applyFont="1" applyBorder="1" applyAlignment="1">
      <alignment horizontal="left" vertical="top" indent="1"/>
    </xf>
    <xf numFmtId="0" fontId="9" fillId="0" borderId="0" xfId="0" applyFont="1" applyBorder="1" applyAlignment="1">
      <alignment horizontal="right" vertical="top" indent="1" readingOrder="2"/>
    </xf>
    <xf numFmtId="0" fontId="9" fillId="0" borderId="0" xfId="0" applyFont="1" applyBorder="1" applyAlignment="1">
      <alignment horizontal="right" readingOrder="2"/>
    </xf>
    <xf numFmtId="0" fontId="8" fillId="0" borderId="0" xfId="0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0" fontId="10" fillId="6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3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right" vertical="center"/>
    </xf>
    <xf numFmtId="0" fontId="11" fillId="7" borderId="6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2" fillId="0" borderId="10" xfId="56" applyFont="1" applyFill="1" applyBorder="1" applyProtection="1"/>
    <xf numFmtId="0" fontId="13" fillId="3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readingOrder="2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4" sqref="B4"/>
    </sheetView>
  </sheetViews>
  <sheetFormatPr defaultColWidth="9" defaultRowHeight="14.25" outlineLevelRow="7" outlineLevelCol="1"/>
  <cols>
    <col min="1" max="1" width="32.375" customWidth="1"/>
    <col min="2" max="2" width="115.75" customWidth="1"/>
  </cols>
  <sheetData>
    <row r="1" ht="21" customHeight="1" spans="1:2">
      <c r="A1" s="54" t="s">
        <v>0</v>
      </c>
      <c r="B1" s="55" t="s">
        <v>1</v>
      </c>
    </row>
    <row r="2" ht="21" customHeight="1" spans="1:2">
      <c r="A2" s="54" t="s">
        <v>2</v>
      </c>
      <c r="B2" s="55" t="s">
        <v>3</v>
      </c>
    </row>
    <row r="3" ht="21" customHeight="1" spans="1:2">
      <c r="A3" s="54" t="s">
        <v>4</v>
      </c>
      <c r="B3" s="56" t="s">
        <v>5</v>
      </c>
    </row>
    <row r="4" ht="21" customHeight="1" spans="1:2">
      <c r="A4" s="54" t="s">
        <v>6</v>
      </c>
      <c r="B4" s="57" t="s">
        <v>7</v>
      </c>
    </row>
    <row r="5" ht="21" customHeight="1" spans="1:2">
      <c r="A5" s="54" t="s">
        <v>8</v>
      </c>
      <c r="B5" s="58" t="s">
        <v>9</v>
      </c>
    </row>
    <row r="6" ht="21" customHeight="1" spans="1:2">
      <c r="A6" s="54" t="s">
        <v>10</v>
      </c>
      <c r="B6" s="58" t="s">
        <v>11</v>
      </c>
    </row>
    <row r="7" ht="21" customHeight="1" spans="1:2">
      <c r="A7" s="54" t="s">
        <v>12</v>
      </c>
      <c r="B7" s="55" t="s">
        <v>13</v>
      </c>
    </row>
    <row r="8" ht="21" customHeight="1" spans="1:2">
      <c r="A8" s="54" t="s">
        <v>14</v>
      </c>
      <c r="B8" s="55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29"/>
  <sheetViews>
    <sheetView view="pageBreakPreview" zoomScale="80" zoomScaleNormal="100" topLeftCell="A3" workbookViewId="0">
      <selection activeCell="E4" sqref="E4"/>
    </sheetView>
  </sheetViews>
  <sheetFormatPr defaultColWidth="16.75" defaultRowHeight="14.25" outlineLevelCol="4"/>
  <cols>
    <col min="1" max="1" width="58.125" customWidth="1"/>
    <col min="2" max="2" width="48" customWidth="1"/>
    <col min="3" max="3" width="26.625" customWidth="1"/>
    <col min="4" max="4" width="22" customWidth="1"/>
    <col min="5" max="5" width="28" customWidth="1"/>
  </cols>
  <sheetData>
    <row r="2" ht="28.15" customHeight="1" spans="2:5">
      <c r="B2" s="39" t="str">
        <f>'Cover Page'!B4</f>
        <v>Drug Crimes by Location of Occurrence</v>
      </c>
      <c r="C2" s="40"/>
      <c r="D2" s="40"/>
      <c r="E2" s="41"/>
    </row>
    <row r="3" ht="28.15" customHeight="1" spans="2:5">
      <c r="B3" s="39" t="str">
        <f>'Cover Page'!B3</f>
        <v>جرائم المخدرات حسب مناطق وقوعها</v>
      </c>
      <c r="C3" s="42"/>
      <c r="D3" s="42"/>
      <c r="E3" s="41"/>
    </row>
    <row r="4" ht="28.15" customHeight="1" spans="2:5">
      <c r="B4" s="43" t="s">
        <v>16</v>
      </c>
      <c r="C4" s="44">
        <f>YEAR('Template Data'!B1)</f>
        <v>2024</v>
      </c>
      <c r="D4" s="45"/>
      <c r="E4" s="43" t="s">
        <v>17</v>
      </c>
    </row>
    <row r="5" ht="28.15" customHeight="1" spans="2:5">
      <c r="B5" s="46" t="s">
        <v>18</v>
      </c>
      <c r="C5" s="47" t="s">
        <v>19</v>
      </c>
      <c r="D5" s="48" t="s">
        <v>20</v>
      </c>
      <c r="E5" s="49" t="s">
        <v>21</v>
      </c>
    </row>
    <row r="6" ht="28.15" customHeight="1" spans="2:5">
      <c r="B6" s="50"/>
      <c r="C6" s="47" t="s">
        <v>22</v>
      </c>
      <c r="D6" s="48" t="s">
        <v>23</v>
      </c>
      <c r="E6" s="51"/>
    </row>
    <row r="7" ht="22.15" customHeight="1" spans="2:5">
      <c r="B7" s="52" t="s">
        <v>24</v>
      </c>
      <c r="C7" s="53"/>
      <c r="D7" s="53"/>
      <c r="E7" s="52" t="s">
        <v>25</v>
      </c>
    </row>
    <row r="8" ht="18" spans="2:5">
      <c r="B8" s="52" t="s">
        <v>26</v>
      </c>
      <c r="C8" s="53"/>
      <c r="D8" s="53"/>
      <c r="E8" s="52" t="s">
        <v>27</v>
      </c>
    </row>
    <row r="9" ht="18" spans="2:5">
      <c r="B9" s="52" t="s">
        <v>28</v>
      </c>
      <c r="C9" s="53"/>
      <c r="D9" s="53"/>
      <c r="E9" s="52" t="s">
        <v>29</v>
      </c>
    </row>
    <row r="10" ht="18" spans="2:5">
      <c r="B10" s="52" t="s">
        <v>30</v>
      </c>
      <c r="C10" s="53"/>
      <c r="D10" s="53"/>
      <c r="E10" s="52" t="s">
        <v>31</v>
      </c>
    </row>
    <row r="11" ht="18" spans="2:5">
      <c r="B11" s="52" t="s">
        <v>32</v>
      </c>
      <c r="C11" s="53"/>
      <c r="D11" s="53"/>
      <c r="E11" s="52" t="s">
        <v>33</v>
      </c>
    </row>
    <row r="12" ht="18" spans="2:5">
      <c r="B12" s="52" t="s">
        <v>34</v>
      </c>
      <c r="C12" s="53"/>
      <c r="D12" s="53"/>
      <c r="E12" s="52" t="s">
        <v>35</v>
      </c>
    </row>
    <row r="13" ht="18" spans="2:5">
      <c r="B13" s="52" t="s">
        <v>36</v>
      </c>
      <c r="C13" s="53"/>
      <c r="D13" s="53"/>
      <c r="E13" s="52" t="s">
        <v>37</v>
      </c>
    </row>
    <row r="14" ht="18" spans="2:5">
      <c r="B14" s="52" t="s">
        <v>38</v>
      </c>
      <c r="C14" s="53"/>
      <c r="D14" s="53"/>
      <c r="E14" s="52" t="s">
        <v>39</v>
      </c>
    </row>
    <row r="15" ht="18" spans="2:5">
      <c r="B15" s="52" t="s">
        <v>40</v>
      </c>
      <c r="C15" s="53"/>
      <c r="D15" s="53"/>
      <c r="E15" s="52" t="s">
        <v>41</v>
      </c>
    </row>
    <row r="16" ht="18" spans="2:5">
      <c r="B16" s="52" t="s">
        <v>42</v>
      </c>
      <c r="C16" s="53"/>
      <c r="D16" s="53"/>
      <c r="E16" s="52" t="s">
        <v>43</v>
      </c>
    </row>
    <row r="17" ht="18" spans="2:5">
      <c r="B17" s="52" t="s">
        <v>44</v>
      </c>
      <c r="C17" s="53"/>
      <c r="D17" s="53"/>
      <c r="E17" s="52" t="s">
        <v>45</v>
      </c>
    </row>
    <row r="18" ht="18" spans="2:5">
      <c r="B18" s="52" t="s">
        <v>46</v>
      </c>
      <c r="C18" s="53"/>
      <c r="D18" s="53"/>
      <c r="E18" s="52" t="s">
        <v>47</v>
      </c>
    </row>
    <row r="19" ht="18" spans="2:5">
      <c r="B19" s="52" t="s">
        <v>48</v>
      </c>
      <c r="C19" s="53"/>
      <c r="D19" s="53"/>
      <c r="E19" s="52" t="s">
        <v>49</v>
      </c>
    </row>
    <row r="20" ht="18" spans="2:5">
      <c r="B20" s="52" t="s">
        <v>50</v>
      </c>
      <c r="C20" s="53"/>
      <c r="D20" s="53"/>
      <c r="E20" s="52" t="s">
        <v>51</v>
      </c>
    </row>
    <row r="21" ht="18" spans="2:5">
      <c r="B21" s="52" t="s">
        <v>52</v>
      </c>
      <c r="C21" s="53"/>
      <c r="D21" s="53"/>
      <c r="E21" s="52" t="s">
        <v>53</v>
      </c>
    </row>
    <row r="22" ht="18" spans="2:5">
      <c r="B22" s="52" t="s">
        <v>54</v>
      </c>
      <c r="C22" s="53"/>
      <c r="D22" s="53"/>
      <c r="E22" s="52" t="s">
        <v>55</v>
      </c>
    </row>
    <row r="23" ht="18" spans="2:5">
      <c r="B23" s="52" t="s">
        <v>56</v>
      </c>
      <c r="C23" s="53"/>
      <c r="D23" s="53"/>
      <c r="E23" s="52" t="s">
        <v>57</v>
      </c>
    </row>
    <row r="24" ht="18" spans="2:5">
      <c r="B24" s="52" t="s">
        <v>58</v>
      </c>
      <c r="C24" s="53"/>
      <c r="D24" s="53"/>
      <c r="E24" s="52" t="s">
        <v>59</v>
      </c>
    </row>
    <row r="25" ht="18" spans="2:5">
      <c r="B25" s="52" t="s">
        <v>60</v>
      </c>
      <c r="C25" s="53"/>
      <c r="D25" s="53"/>
      <c r="E25" s="52" t="s">
        <v>61</v>
      </c>
    </row>
    <row r="26" ht="18" spans="2:5">
      <c r="B26" s="52" t="s">
        <v>62</v>
      </c>
      <c r="C26" s="53"/>
      <c r="D26" s="53"/>
      <c r="E26" s="52" t="s">
        <v>63</v>
      </c>
    </row>
    <row r="27" ht="18" spans="2:5">
      <c r="B27" s="52" t="s">
        <v>64</v>
      </c>
      <c r="C27" s="53"/>
      <c r="D27" s="53"/>
      <c r="E27" s="52" t="s">
        <v>65</v>
      </c>
    </row>
    <row r="28" ht="18" spans="2:5">
      <c r="B28" s="52" t="s">
        <v>66</v>
      </c>
      <c r="C28" s="53"/>
      <c r="D28" s="53"/>
      <c r="E28" s="52" t="s">
        <v>67</v>
      </c>
    </row>
    <row r="29" ht="18" spans="2:5">
      <c r="B29" s="52" t="s">
        <v>68</v>
      </c>
      <c r="C29" s="53"/>
      <c r="D29" s="53"/>
      <c r="E29" s="52" t="s">
        <v>69</v>
      </c>
    </row>
  </sheetData>
  <sheetProtection algorithmName="SHA-512" hashValue="IRxi8bi/tA/AL7wNFTMW0Cl/tlu3QR0JlPuKg1HApyskYFMakQ1iQoQnEiv6GRLYsTksDHPPytiUC7ApVNsN2Q==" saltValue="fLCfZ1VfOCzmrcRoib4lgg==" spinCount="100000" sheet="1" objects="1"/>
  <protectedRanges>
    <protectedRange sqref="C7:D29" name="Range3"/>
    <protectedRange sqref="C7:D29" name="Range1"/>
    <protectedRange sqref="C7:D29" name="Range2"/>
  </protectedRanges>
  <mergeCells count="4">
    <mergeCell ref="B2:E2"/>
    <mergeCell ref="B3:E3"/>
    <mergeCell ref="B5:B6"/>
    <mergeCell ref="E5:E6"/>
  </mergeCells>
  <pageMargins left="0.7" right="0.7" top="0.75" bottom="0.75" header="0.3" footer="0.3"/>
  <pageSetup paperSize="1" scale="3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3"/>
  <sheetViews>
    <sheetView tabSelected="1" zoomScale="70" zoomScaleNormal="70" workbookViewId="0">
      <selection activeCell="E1" sqref="E1"/>
    </sheetView>
  </sheetViews>
  <sheetFormatPr defaultColWidth="9" defaultRowHeight="14.25"/>
  <cols>
    <col min="1" max="1" width="24.75" customWidth="1"/>
    <col min="2" max="2" width="51.125" customWidth="1"/>
    <col min="3" max="3" width="9.75" customWidth="1"/>
    <col min="4" max="6" width="18.125" customWidth="1"/>
    <col min="7" max="7" width="18.125" style="15" customWidth="1"/>
    <col min="8" max="8" width="15.375" style="15" customWidth="1"/>
    <col min="9" max="10" width="15.375" customWidth="1"/>
  </cols>
  <sheetData>
    <row r="1" ht="20.25" spans="1:8">
      <c r="A1" s="16" t="s">
        <v>70</v>
      </c>
      <c r="G1"/>
      <c r="H1"/>
    </row>
    <row r="2" s="10" customFormat="1" ht="18" customHeight="1" spans="1:10">
      <c r="A2" s="13" t="s">
        <v>71</v>
      </c>
      <c r="B2" s="13" t="s">
        <v>72</v>
      </c>
      <c r="C2" s="13" t="s">
        <v>73</v>
      </c>
      <c r="D2" s="13" t="s">
        <v>74</v>
      </c>
      <c r="E2" s="13" t="s">
        <v>75</v>
      </c>
      <c r="F2" s="14" t="s">
        <v>76</v>
      </c>
      <c r="G2" s="14" t="s">
        <v>77</v>
      </c>
      <c r="H2" s="13" t="s">
        <v>78</v>
      </c>
      <c r="I2" s="13" t="s">
        <v>79</v>
      </c>
      <c r="J2" s="13" t="s">
        <v>80</v>
      </c>
    </row>
    <row r="3" s="10" customFormat="1" ht="18" customHeight="1" spans="1:10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4" t="s">
        <v>18</v>
      </c>
      <c r="G3" s="14" t="s">
        <v>21</v>
      </c>
      <c r="H3" s="13" t="s">
        <v>86</v>
      </c>
      <c r="I3" s="13" t="s">
        <v>87</v>
      </c>
      <c r="J3" s="13" t="s">
        <v>88</v>
      </c>
    </row>
    <row r="4" ht="15" spans="1:9">
      <c r="A4" t="s">
        <v>89</v>
      </c>
      <c r="B4" t="s">
        <v>90</v>
      </c>
      <c r="C4" s="17" t="s">
        <v>91</v>
      </c>
      <c r="D4" s="17" t="s">
        <v>92</v>
      </c>
      <c r="E4" s="18" t="s">
        <v>93</v>
      </c>
      <c r="F4" t="str">
        <f>'Source Table'!$B$7</f>
        <v>Middle Amman</v>
      </c>
      <c r="G4" s="15" t="str">
        <f>'Source Table'!$E$7</f>
        <v>وسط عمان</v>
      </c>
      <c r="H4" s="19">
        <v>2269</v>
      </c>
      <c r="I4">
        <v>2023</v>
      </c>
    </row>
    <row r="5" ht="15" spans="1:9">
      <c r="A5" t="s">
        <v>89</v>
      </c>
      <c r="B5" t="s">
        <v>90</v>
      </c>
      <c r="C5" s="17" t="s">
        <v>91</v>
      </c>
      <c r="D5" s="17" t="s">
        <v>92</v>
      </c>
      <c r="E5" s="18" t="s">
        <v>93</v>
      </c>
      <c r="F5" t="str">
        <f>'Source Table'!$B$8</f>
        <v>South Amman</v>
      </c>
      <c r="G5" s="15" t="str">
        <f>'Source Table'!$E$8</f>
        <v>جنوب عمان</v>
      </c>
      <c r="H5" s="19">
        <v>2510</v>
      </c>
      <c r="I5">
        <v>2023</v>
      </c>
    </row>
    <row r="6" ht="15" spans="1:9">
      <c r="A6" t="s">
        <v>89</v>
      </c>
      <c r="B6" t="s">
        <v>90</v>
      </c>
      <c r="C6" s="17" t="s">
        <v>91</v>
      </c>
      <c r="D6" s="17" t="s">
        <v>92</v>
      </c>
      <c r="E6" s="18" t="s">
        <v>93</v>
      </c>
      <c r="F6" t="str">
        <f>'Source Table'!$B$9</f>
        <v>North Amman</v>
      </c>
      <c r="G6" s="15" t="str">
        <f>'Source Table'!$E$9</f>
        <v>شمال عمان</v>
      </c>
      <c r="H6" s="19">
        <v>2106</v>
      </c>
      <c r="I6">
        <v>2023</v>
      </c>
    </row>
    <row r="7" ht="15" spans="1:9">
      <c r="A7" t="s">
        <v>89</v>
      </c>
      <c r="B7" t="s">
        <v>90</v>
      </c>
      <c r="C7" s="17" t="s">
        <v>91</v>
      </c>
      <c r="D7" s="17" t="s">
        <v>92</v>
      </c>
      <c r="E7" s="18" t="s">
        <v>93</v>
      </c>
      <c r="F7" t="str">
        <f>'Source Table'!$B$10</f>
        <v>East Amman</v>
      </c>
      <c r="G7" s="15" t="str">
        <f>'Source Table'!$E$10</f>
        <v>شرق عمان</v>
      </c>
      <c r="H7" s="19">
        <v>2532</v>
      </c>
      <c r="I7">
        <v>2023</v>
      </c>
    </row>
    <row r="8" ht="15" spans="1:9">
      <c r="A8" t="s">
        <v>89</v>
      </c>
      <c r="B8" t="s">
        <v>90</v>
      </c>
      <c r="C8" s="17" t="s">
        <v>91</v>
      </c>
      <c r="D8" s="17" t="s">
        <v>92</v>
      </c>
      <c r="E8" s="18" t="s">
        <v>93</v>
      </c>
      <c r="F8" t="str">
        <f>'Source Table'!$B$11</f>
        <v>Zarqa</v>
      </c>
      <c r="G8" s="15" t="str">
        <f>'Source Table'!$E$11</f>
        <v>الزرقاء</v>
      </c>
      <c r="H8" s="19">
        <v>1802</v>
      </c>
      <c r="I8">
        <v>2023</v>
      </c>
    </row>
    <row r="9" ht="15" spans="1:9">
      <c r="A9" t="s">
        <v>89</v>
      </c>
      <c r="B9" t="s">
        <v>90</v>
      </c>
      <c r="C9" s="17" t="s">
        <v>91</v>
      </c>
      <c r="D9" s="17" t="s">
        <v>92</v>
      </c>
      <c r="E9" s="18" t="s">
        <v>93</v>
      </c>
      <c r="F9" t="str">
        <f>'Source Table'!$B$12</f>
        <v>Balqa</v>
      </c>
      <c r="G9" s="15" t="str">
        <f>'Source Table'!$E$12</f>
        <v>البلقاء</v>
      </c>
      <c r="H9" s="19">
        <v>1127</v>
      </c>
      <c r="I9">
        <v>2023</v>
      </c>
    </row>
    <row r="10" ht="15" spans="1:9">
      <c r="A10" t="s">
        <v>89</v>
      </c>
      <c r="B10" t="s">
        <v>90</v>
      </c>
      <c r="C10" s="17" t="s">
        <v>91</v>
      </c>
      <c r="D10" s="17" t="s">
        <v>92</v>
      </c>
      <c r="E10" s="18" t="s">
        <v>93</v>
      </c>
      <c r="F10" t="str">
        <f>'Source Table'!$B$13</f>
        <v>Madaba</v>
      </c>
      <c r="G10" s="15" t="str">
        <f>'Source Table'!$E$13</f>
        <v>مادبا</v>
      </c>
      <c r="H10" s="20">
        <v>434</v>
      </c>
      <c r="I10">
        <v>2023</v>
      </c>
    </row>
    <row r="11" ht="15" spans="1:9">
      <c r="A11" t="s">
        <v>89</v>
      </c>
      <c r="B11" t="s">
        <v>90</v>
      </c>
      <c r="C11" s="17" t="s">
        <v>91</v>
      </c>
      <c r="D11" s="17" t="s">
        <v>92</v>
      </c>
      <c r="E11" s="18" t="s">
        <v>93</v>
      </c>
      <c r="F11" t="str">
        <f>'Source Table'!$B$14</f>
        <v>Al-Russaifa</v>
      </c>
      <c r="G11" s="15" t="str">
        <f>'Source Table'!$E$14</f>
        <v>الرصيفة</v>
      </c>
      <c r="H11" s="19">
        <v>1098</v>
      </c>
      <c r="I11">
        <v>2023</v>
      </c>
    </row>
    <row r="12" ht="15" spans="1:9">
      <c r="A12" t="s">
        <v>89</v>
      </c>
      <c r="B12" t="s">
        <v>90</v>
      </c>
      <c r="C12" s="17" t="s">
        <v>91</v>
      </c>
      <c r="D12" s="17" t="s">
        <v>92</v>
      </c>
      <c r="E12" s="18" t="s">
        <v>93</v>
      </c>
      <c r="F12" t="str">
        <f>'Source Table'!$B$15</f>
        <v>West Balqa</v>
      </c>
      <c r="G12" s="15" t="str">
        <f>'Source Table'!$E$15</f>
        <v>غرب البلقاء</v>
      </c>
      <c r="H12" s="20">
        <v>430</v>
      </c>
      <c r="I12">
        <v>2023</v>
      </c>
    </row>
    <row r="13" ht="15" spans="1:9">
      <c r="A13" t="s">
        <v>89</v>
      </c>
      <c r="B13" t="s">
        <v>90</v>
      </c>
      <c r="C13" s="17" t="s">
        <v>91</v>
      </c>
      <c r="D13" s="17" t="s">
        <v>92</v>
      </c>
      <c r="E13" s="18" t="s">
        <v>93</v>
      </c>
      <c r="F13" t="str">
        <f>'Source Table'!$B$16</f>
        <v>Irbid</v>
      </c>
      <c r="G13" s="15" t="str">
        <f>'Source Table'!$E$16</f>
        <v>إربد</v>
      </c>
      <c r="H13" s="19">
        <v>1835</v>
      </c>
      <c r="I13">
        <v>2023</v>
      </c>
    </row>
    <row r="14" ht="15" spans="1:9">
      <c r="A14" t="s">
        <v>89</v>
      </c>
      <c r="B14" t="s">
        <v>90</v>
      </c>
      <c r="C14" s="17" t="s">
        <v>91</v>
      </c>
      <c r="D14" s="17" t="s">
        <v>92</v>
      </c>
      <c r="E14" s="18" t="s">
        <v>93</v>
      </c>
      <c r="F14" t="str">
        <f>'Source Table'!$B$17</f>
        <v>West Irbid</v>
      </c>
      <c r="G14" s="15" t="str">
        <f>'Source Table'!$E$17</f>
        <v>غرب إربد</v>
      </c>
      <c r="H14" s="20">
        <v>579</v>
      </c>
      <c r="I14">
        <v>2023</v>
      </c>
    </row>
    <row r="15" ht="15" spans="1:9">
      <c r="A15" t="s">
        <v>89</v>
      </c>
      <c r="B15" t="s">
        <v>90</v>
      </c>
      <c r="C15" s="17" t="s">
        <v>91</v>
      </c>
      <c r="D15" s="17" t="s">
        <v>92</v>
      </c>
      <c r="E15" s="18" t="s">
        <v>93</v>
      </c>
      <c r="F15" t="str">
        <f>'Source Table'!$B$18</f>
        <v>Mafraq</v>
      </c>
      <c r="G15" s="15" t="str">
        <f>'Source Table'!$E$18</f>
        <v>المفرق</v>
      </c>
      <c r="H15" s="20">
        <v>930</v>
      </c>
      <c r="I15">
        <v>2023</v>
      </c>
    </row>
    <row r="16" ht="15" spans="1:9">
      <c r="A16" t="s">
        <v>89</v>
      </c>
      <c r="B16" t="s">
        <v>90</v>
      </c>
      <c r="C16" s="17" t="s">
        <v>91</v>
      </c>
      <c r="D16" s="17" t="s">
        <v>92</v>
      </c>
      <c r="E16" s="18" t="s">
        <v>93</v>
      </c>
      <c r="F16" t="str">
        <f>'Source Table'!$B$19</f>
        <v>Jarash</v>
      </c>
      <c r="G16" s="15" t="str">
        <f>'Source Table'!$E$19</f>
        <v>جرش</v>
      </c>
      <c r="H16" s="21">
        <v>485</v>
      </c>
      <c r="I16">
        <v>2023</v>
      </c>
    </row>
    <row r="17" ht="15" spans="1:9">
      <c r="A17" t="s">
        <v>89</v>
      </c>
      <c r="B17" t="s">
        <v>90</v>
      </c>
      <c r="C17" s="17" t="s">
        <v>91</v>
      </c>
      <c r="D17" s="17" t="s">
        <v>92</v>
      </c>
      <c r="E17" s="18" t="s">
        <v>93</v>
      </c>
      <c r="F17" t="str">
        <f>'Source Table'!$B$20</f>
        <v>Ajlun</v>
      </c>
      <c r="G17" s="15" t="str">
        <f>'Source Table'!$E$20</f>
        <v>عجلون</v>
      </c>
      <c r="H17" s="21">
        <v>246</v>
      </c>
      <c r="I17">
        <v>2023</v>
      </c>
    </row>
    <row r="18" ht="15" spans="1:9">
      <c r="A18" t="s">
        <v>89</v>
      </c>
      <c r="B18" t="s">
        <v>90</v>
      </c>
      <c r="C18" s="17" t="s">
        <v>91</v>
      </c>
      <c r="D18" s="17" t="s">
        <v>92</v>
      </c>
      <c r="E18" s="18" t="s">
        <v>93</v>
      </c>
      <c r="F18" s="18" t="str">
        <f>'Source Table'!$B$21</f>
        <v>Al Ramtha</v>
      </c>
      <c r="G18" s="22" t="str">
        <f>'Source Table'!$E$21</f>
        <v>الرمثا</v>
      </c>
      <c r="H18" s="21">
        <v>584</v>
      </c>
      <c r="I18">
        <v>2023</v>
      </c>
    </row>
    <row r="19" ht="15" spans="1:9">
      <c r="A19" t="s">
        <v>89</v>
      </c>
      <c r="B19" t="s">
        <v>90</v>
      </c>
      <c r="C19" s="17" t="s">
        <v>91</v>
      </c>
      <c r="D19" s="17" t="s">
        <v>92</v>
      </c>
      <c r="E19" s="18" t="s">
        <v>93</v>
      </c>
      <c r="F19" s="18" t="str">
        <f>'Source Table'!$B$22</f>
        <v>Karak</v>
      </c>
      <c r="G19" s="22" t="str">
        <f>'Source Table'!$E$22</f>
        <v>الكرك</v>
      </c>
      <c r="H19" s="21">
        <v>685</v>
      </c>
      <c r="I19">
        <v>2023</v>
      </c>
    </row>
    <row r="20" ht="15" spans="1:9">
      <c r="A20" t="s">
        <v>89</v>
      </c>
      <c r="B20" t="s">
        <v>90</v>
      </c>
      <c r="C20" s="17" t="s">
        <v>91</v>
      </c>
      <c r="D20" s="17" t="s">
        <v>92</v>
      </c>
      <c r="E20" s="18" t="s">
        <v>93</v>
      </c>
      <c r="F20" s="18" t="str">
        <f>'Source Table'!$B$23</f>
        <v>Tafiela</v>
      </c>
      <c r="G20" s="22" t="str">
        <f>'Source Table'!$E$23</f>
        <v>الطفيلة</v>
      </c>
      <c r="H20" s="21">
        <v>270</v>
      </c>
      <c r="I20">
        <v>2023</v>
      </c>
    </row>
    <row r="21" ht="15" spans="1:9">
      <c r="A21" t="s">
        <v>89</v>
      </c>
      <c r="B21" t="s">
        <v>90</v>
      </c>
      <c r="C21" s="17" t="s">
        <v>91</v>
      </c>
      <c r="D21" s="17" t="s">
        <v>92</v>
      </c>
      <c r="E21" s="18" t="s">
        <v>93</v>
      </c>
      <c r="F21" s="18" t="str">
        <f>'Source Table'!$B$24</f>
        <v>Maan</v>
      </c>
      <c r="G21" s="22" t="str">
        <f>'Source Table'!$E$24</f>
        <v>معان</v>
      </c>
      <c r="H21" s="21">
        <v>412</v>
      </c>
      <c r="I21">
        <v>2023</v>
      </c>
    </row>
    <row r="22" ht="15" spans="1:9">
      <c r="A22" t="s">
        <v>89</v>
      </c>
      <c r="B22" t="s">
        <v>90</v>
      </c>
      <c r="C22" s="17" t="s">
        <v>91</v>
      </c>
      <c r="D22" s="17" t="s">
        <v>92</v>
      </c>
      <c r="E22" s="18" t="s">
        <v>93</v>
      </c>
      <c r="F22" s="18" t="str">
        <f>'Source Table'!$B$25</f>
        <v>West Maan</v>
      </c>
      <c r="G22" s="22" t="str">
        <f>'Source Table'!$E$25</f>
        <v>غرب معان</v>
      </c>
      <c r="H22" s="21">
        <v>145</v>
      </c>
      <c r="I22">
        <v>2023</v>
      </c>
    </row>
    <row r="23" ht="15" spans="1:9">
      <c r="A23" t="s">
        <v>89</v>
      </c>
      <c r="B23" t="s">
        <v>90</v>
      </c>
      <c r="C23" s="17" t="s">
        <v>91</v>
      </c>
      <c r="D23" s="17" t="s">
        <v>92</v>
      </c>
      <c r="E23" s="18" t="s">
        <v>93</v>
      </c>
      <c r="F23" s="18" t="str">
        <f>'Source Table'!$B$26</f>
        <v>Aqaba</v>
      </c>
      <c r="G23" s="22" t="str">
        <f>'Source Table'!$E$26</f>
        <v>العقبة</v>
      </c>
      <c r="H23" s="19">
        <v>1139</v>
      </c>
      <c r="I23">
        <v>2023</v>
      </c>
    </row>
    <row r="24" ht="15" spans="1:9">
      <c r="A24" t="s">
        <v>89</v>
      </c>
      <c r="B24" t="s">
        <v>90</v>
      </c>
      <c r="C24" s="17" t="s">
        <v>91</v>
      </c>
      <c r="D24" s="17" t="s">
        <v>92</v>
      </c>
      <c r="E24" s="18" t="s">
        <v>93</v>
      </c>
      <c r="F24" s="18" t="str">
        <f>'Source Table'!$B$27</f>
        <v>North Bedouin</v>
      </c>
      <c r="G24" s="22" t="str">
        <f>'Source Table'!$E$27</f>
        <v>البادية الشمالية</v>
      </c>
      <c r="H24" s="21">
        <v>498</v>
      </c>
      <c r="I24">
        <v>2023</v>
      </c>
    </row>
    <row r="25" ht="15" spans="1:9">
      <c r="A25" t="s">
        <v>89</v>
      </c>
      <c r="B25" t="s">
        <v>90</v>
      </c>
      <c r="C25" s="17" t="s">
        <v>91</v>
      </c>
      <c r="D25" s="17" t="s">
        <v>92</v>
      </c>
      <c r="E25" s="18" t="s">
        <v>93</v>
      </c>
      <c r="F25" s="18" t="str">
        <f>'Source Table'!$B$28</f>
        <v>Middle Bedouin</v>
      </c>
      <c r="G25" s="22" t="str">
        <f>'Source Table'!$E$28</f>
        <v>البادية الوسطى</v>
      </c>
      <c r="H25" s="21">
        <v>828</v>
      </c>
      <c r="I25">
        <v>2023</v>
      </c>
    </row>
    <row r="26" ht="15" spans="1:9">
      <c r="A26" t="s">
        <v>89</v>
      </c>
      <c r="B26" t="s">
        <v>90</v>
      </c>
      <c r="C26" s="17" t="s">
        <v>91</v>
      </c>
      <c r="D26" s="17" t="s">
        <v>92</v>
      </c>
      <c r="E26" s="18" t="s">
        <v>93</v>
      </c>
      <c r="F26" s="18" t="str">
        <f>'Source Table'!$B$29</f>
        <v>South Bedouin</v>
      </c>
      <c r="G26" s="22" t="str">
        <f>'Source Table'!$E$29</f>
        <v>البادية الجنوبية</v>
      </c>
      <c r="H26" s="21">
        <v>12</v>
      </c>
      <c r="I26">
        <v>2023</v>
      </c>
    </row>
    <row r="27" ht="15" spans="1:9">
      <c r="A27" t="s">
        <v>89</v>
      </c>
      <c r="B27" t="s">
        <v>90</v>
      </c>
      <c r="C27" s="17" t="s">
        <v>94</v>
      </c>
      <c r="D27" s="17" t="s">
        <v>95</v>
      </c>
      <c r="E27" s="18" t="s">
        <v>96</v>
      </c>
      <c r="F27" t="str">
        <f>'Source Table'!$B$7</f>
        <v>Middle Amman</v>
      </c>
      <c r="G27" s="15" t="str">
        <f>'Source Table'!$E$7</f>
        <v>وسط عمان</v>
      </c>
      <c r="H27" s="23">
        <v>99.91</v>
      </c>
      <c r="I27">
        <v>2023</v>
      </c>
    </row>
    <row r="28" ht="15" spans="1:9">
      <c r="A28" t="s">
        <v>89</v>
      </c>
      <c r="B28" t="s">
        <v>90</v>
      </c>
      <c r="C28" s="17" t="s">
        <v>94</v>
      </c>
      <c r="D28" s="17" t="s">
        <v>95</v>
      </c>
      <c r="E28" s="18" t="s">
        <v>96</v>
      </c>
      <c r="F28" t="str">
        <f>'Source Table'!$B$8</f>
        <v>South Amman</v>
      </c>
      <c r="G28" s="15" t="str">
        <f>'Source Table'!$E$8</f>
        <v>جنوب عمان</v>
      </c>
      <c r="H28" s="23">
        <v>99.68</v>
      </c>
      <c r="I28">
        <v>2023</v>
      </c>
    </row>
    <row r="29" ht="15" spans="1:9">
      <c r="A29" t="s">
        <v>89</v>
      </c>
      <c r="B29" t="s">
        <v>90</v>
      </c>
      <c r="C29" s="17" t="s">
        <v>94</v>
      </c>
      <c r="D29" s="17" t="s">
        <v>95</v>
      </c>
      <c r="E29" s="18" t="s">
        <v>96</v>
      </c>
      <c r="F29" t="str">
        <f>'Source Table'!$B$9</f>
        <v>North Amman</v>
      </c>
      <c r="G29" s="15" t="str">
        <f>'Source Table'!$E$9</f>
        <v>شمال عمان</v>
      </c>
      <c r="H29" s="23">
        <v>99.81</v>
      </c>
      <c r="I29">
        <v>2023</v>
      </c>
    </row>
    <row r="30" ht="15" spans="1:9">
      <c r="A30" t="s">
        <v>89</v>
      </c>
      <c r="B30" t="s">
        <v>90</v>
      </c>
      <c r="C30" s="17" t="s">
        <v>94</v>
      </c>
      <c r="D30" s="17" t="s">
        <v>95</v>
      </c>
      <c r="E30" s="18" t="s">
        <v>96</v>
      </c>
      <c r="F30" t="str">
        <f>'Source Table'!$B$10</f>
        <v>East Amman</v>
      </c>
      <c r="G30" s="15" t="str">
        <f>'Source Table'!$E$10</f>
        <v>شرق عمان</v>
      </c>
      <c r="H30" s="23">
        <v>99.84</v>
      </c>
      <c r="I30">
        <v>2023</v>
      </c>
    </row>
    <row r="31" ht="15" spans="1:9">
      <c r="A31" t="s">
        <v>89</v>
      </c>
      <c r="B31" t="s">
        <v>90</v>
      </c>
      <c r="C31" s="17" t="s">
        <v>94</v>
      </c>
      <c r="D31" s="17" t="s">
        <v>95</v>
      </c>
      <c r="E31" s="18" t="s">
        <v>96</v>
      </c>
      <c r="F31" t="str">
        <f>'Source Table'!$B$11</f>
        <v>Zarqa</v>
      </c>
      <c r="G31" s="15" t="str">
        <f>'Source Table'!$E$11</f>
        <v>الزرقاء</v>
      </c>
      <c r="H31" s="23">
        <v>99.83</v>
      </c>
      <c r="I31">
        <v>2023</v>
      </c>
    </row>
    <row r="32" ht="15" spans="1:9">
      <c r="A32" t="s">
        <v>89</v>
      </c>
      <c r="B32" t="s">
        <v>90</v>
      </c>
      <c r="C32" s="17" t="s">
        <v>94</v>
      </c>
      <c r="D32" s="17" t="s">
        <v>95</v>
      </c>
      <c r="E32" s="18" t="s">
        <v>96</v>
      </c>
      <c r="F32" t="str">
        <f>'Source Table'!$B$12</f>
        <v>Balqa</v>
      </c>
      <c r="G32" s="15" t="str">
        <f>'Source Table'!$E$12</f>
        <v>البلقاء</v>
      </c>
      <c r="H32" s="23">
        <v>99.73</v>
      </c>
      <c r="I32">
        <v>2023</v>
      </c>
    </row>
    <row r="33" ht="15" spans="1:9">
      <c r="A33" t="s">
        <v>89</v>
      </c>
      <c r="B33" t="s">
        <v>90</v>
      </c>
      <c r="C33" s="17" t="s">
        <v>94</v>
      </c>
      <c r="D33" s="17" t="s">
        <v>95</v>
      </c>
      <c r="E33" s="18" t="s">
        <v>96</v>
      </c>
      <c r="F33" t="str">
        <f>'Source Table'!$B$13</f>
        <v>Madaba</v>
      </c>
      <c r="G33" s="15" t="str">
        <f>'Source Table'!$E$13</f>
        <v>مادبا</v>
      </c>
      <c r="H33" s="23">
        <v>100</v>
      </c>
      <c r="I33">
        <v>2023</v>
      </c>
    </row>
    <row r="34" ht="15" spans="1:9">
      <c r="A34" t="s">
        <v>89</v>
      </c>
      <c r="B34" t="s">
        <v>90</v>
      </c>
      <c r="C34" s="17" t="s">
        <v>94</v>
      </c>
      <c r="D34" s="17" t="s">
        <v>95</v>
      </c>
      <c r="E34" s="18" t="s">
        <v>96</v>
      </c>
      <c r="F34" t="str">
        <f>'Source Table'!$B$14</f>
        <v>Al-Russaifa</v>
      </c>
      <c r="G34" s="15" t="str">
        <f>'Source Table'!$E$14</f>
        <v>الرصيفة</v>
      </c>
      <c r="H34" s="23">
        <v>99.82</v>
      </c>
      <c r="I34">
        <v>2023</v>
      </c>
    </row>
    <row r="35" ht="15" spans="1:9">
      <c r="A35" t="s">
        <v>89</v>
      </c>
      <c r="B35" t="s">
        <v>90</v>
      </c>
      <c r="C35" s="17" t="s">
        <v>94</v>
      </c>
      <c r="D35" s="17" t="s">
        <v>95</v>
      </c>
      <c r="E35" s="18" t="s">
        <v>96</v>
      </c>
      <c r="F35" t="str">
        <f>'Source Table'!$B$15</f>
        <v>West Balqa</v>
      </c>
      <c r="G35" s="15" t="str">
        <f>'Source Table'!$E$15</f>
        <v>غرب البلقاء</v>
      </c>
      <c r="H35" s="23">
        <v>99.07</v>
      </c>
      <c r="I35">
        <v>2023</v>
      </c>
    </row>
    <row r="36" ht="15" spans="1:9">
      <c r="A36" t="s">
        <v>89</v>
      </c>
      <c r="B36" t="s">
        <v>90</v>
      </c>
      <c r="C36" s="17" t="s">
        <v>94</v>
      </c>
      <c r="D36" s="17" t="s">
        <v>95</v>
      </c>
      <c r="E36" s="18" t="s">
        <v>96</v>
      </c>
      <c r="F36" t="str">
        <f>'Source Table'!$B$16</f>
        <v>Irbid</v>
      </c>
      <c r="G36" s="15" t="str">
        <f>'Source Table'!$E$16</f>
        <v>إربد</v>
      </c>
      <c r="H36" s="23">
        <v>99.73</v>
      </c>
      <c r="I36">
        <v>2023</v>
      </c>
    </row>
    <row r="37" ht="15" spans="1:9">
      <c r="A37" t="s">
        <v>89</v>
      </c>
      <c r="B37" t="s">
        <v>90</v>
      </c>
      <c r="C37" s="17" t="s">
        <v>94</v>
      </c>
      <c r="D37" s="17" t="s">
        <v>95</v>
      </c>
      <c r="E37" s="18" t="s">
        <v>96</v>
      </c>
      <c r="F37" t="str">
        <f>'Source Table'!$B$17</f>
        <v>West Irbid</v>
      </c>
      <c r="G37" s="15" t="str">
        <f>'Source Table'!$E$17</f>
        <v>غرب إربد</v>
      </c>
      <c r="H37" s="23">
        <v>99.83</v>
      </c>
      <c r="I37">
        <v>2023</v>
      </c>
    </row>
    <row r="38" ht="15" spans="1:9">
      <c r="A38" t="s">
        <v>89</v>
      </c>
      <c r="B38" t="s">
        <v>90</v>
      </c>
      <c r="C38" s="17" t="s">
        <v>94</v>
      </c>
      <c r="D38" s="17" t="s">
        <v>95</v>
      </c>
      <c r="E38" s="18" t="s">
        <v>96</v>
      </c>
      <c r="F38" t="str">
        <f>'Source Table'!$B$18</f>
        <v>Mafraq</v>
      </c>
      <c r="G38" s="15" t="str">
        <f>'Source Table'!$E$18</f>
        <v>المفرق</v>
      </c>
      <c r="H38" s="23">
        <v>99.57</v>
      </c>
      <c r="I38">
        <v>2023</v>
      </c>
    </row>
    <row r="39" ht="15" spans="1:9">
      <c r="A39" t="s">
        <v>89</v>
      </c>
      <c r="B39" t="s">
        <v>90</v>
      </c>
      <c r="C39" s="17" t="s">
        <v>94</v>
      </c>
      <c r="D39" s="17" t="s">
        <v>95</v>
      </c>
      <c r="E39" s="18" t="s">
        <v>96</v>
      </c>
      <c r="F39" t="str">
        <f>'Source Table'!$B$19</f>
        <v>Jarash</v>
      </c>
      <c r="G39" s="15" t="str">
        <f>'Source Table'!$E$19</f>
        <v>جرش</v>
      </c>
      <c r="H39" s="23">
        <v>100</v>
      </c>
      <c r="I39">
        <v>2023</v>
      </c>
    </row>
    <row r="40" ht="15" spans="1:9">
      <c r="A40" t="s">
        <v>89</v>
      </c>
      <c r="B40" t="s">
        <v>90</v>
      </c>
      <c r="C40" s="17" t="s">
        <v>94</v>
      </c>
      <c r="D40" s="17" t="s">
        <v>95</v>
      </c>
      <c r="E40" s="18" t="s">
        <v>96</v>
      </c>
      <c r="F40" t="str">
        <f>'Source Table'!$B$20</f>
        <v>Ajlun</v>
      </c>
      <c r="G40" s="15" t="str">
        <f>'Source Table'!$E$20</f>
        <v>عجلون</v>
      </c>
      <c r="H40" s="23">
        <v>99.19</v>
      </c>
      <c r="I40">
        <v>2023</v>
      </c>
    </row>
    <row r="41" ht="15" spans="1:9">
      <c r="A41" t="s">
        <v>89</v>
      </c>
      <c r="B41" t="s">
        <v>90</v>
      </c>
      <c r="C41" s="17" t="s">
        <v>94</v>
      </c>
      <c r="D41" s="17" t="s">
        <v>95</v>
      </c>
      <c r="E41" s="18" t="s">
        <v>96</v>
      </c>
      <c r="F41" s="18" t="str">
        <f>'Source Table'!$B$21</f>
        <v>Al Ramtha</v>
      </c>
      <c r="G41" s="22" t="str">
        <f>'Source Table'!$E$21</f>
        <v>الرمثا</v>
      </c>
      <c r="H41" s="23">
        <v>98.46</v>
      </c>
      <c r="I41">
        <v>2023</v>
      </c>
    </row>
    <row r="42" ht="15" spans="1:9">
      <c r="A42" t="s">
        <v>89</v>
      </c>
      <c r="B42" t="s">
        <v>90</v>
      </c>
      <c r="C42" s="17" t="s">
        <v>94</v>
      </c>
      <c r="D42" s="17" t="s">
        <v>95</v>
      </c>
      <c r="E42" s="18" t="s">
        <v>96</v>
      </c>
      <c r="F42" s="18" t="str">
        <f>'Source Table'!$B$22</f>
        <v>Karak</v>
      </c>
      <c r="G42" s="22" t="str">
        <f>'Source Table'!$E$22</f>
        <v>الكرك</v>
      </c>
      <c r="H42" s="23">
        <v>97.96</v>
      </c>
      <c r="I42">
        <v>2023</v>
      </c>
    </row>
    <row r="43" ht="15" spans="1:9">
      <c r="A43" t="s">
        <v>89</v>
      </c>
      <c r="B43" t="s">
        <v>90</v>
      </c>
      <c r="C43" s="17" t="s">
        <v>94</v>
      </c>
      <c r="D43" s="17" t="s">
        <v>95</v>
      </c>
      <c r="E43" s="18" t="s">
        <v>96</v>
      </c>
      <c r="F43" s="18" t="str">
        <f>'Source Table'!$B$23</f>
        <v>Tafiela</v>
      </c>
      <c r="G43" s="22" t="str">
        <f>'Source Table'!$E$23</f>
        <v>الطفيلة</v>
      </c>
      <c r="H43" s="23">
        <v>100</v>
      </c>
      <c r="I43">
        <v>2023</v>
      </c>
    </row>
    <row r="44" ht="15" spans="1:9">
      <c r="A44" t="s">
        <v>89</v>
      </c>
      <c r="B44" t="s">
        <v>90</v>
      </c>
      <c r="C44" s="17" t="s">
        <v>94</v>
      </c>
      <c r="D44" s="17" t="s">
        <v>95</v>
      </c>
      <c r="E44" s="18" t="s">
        <v>96</v>
      </c>
      <c r="F44" s="18" t="str">
        <f>'Source Table'!$B$24</f>
        <v>Maan</v>
      </c>
      <c r="G44" s="22" t="str">
        <f>'Source Table'!$E$24</f>
        <v>معان</v>
      </c>
      <c r="H44" s="23">
        <v>99.76</v>
      </c>
      <c r="I44">
        <v>2023</v>
      </c>
    </row>
    <row r="45" ht="15" spans="1:9">
      <c r="A45" t="s">
        <v>89</v>
      </c>
      <c r="B45" t="s">
        <v>90</v>
      </c>
      <c r="C45" s="17" t="s">
        <v>94</v>
      </c>
      <c r="D45" s="17" t="s">
        <v>95</v>
      </c>
      <c r="E45" s="18" t="s">
        <v>96</v>
      </c>
      <c r="F45" s="18" t="str">
        <f>'Source Table'!$B$25</f>
        <v>West Maan</v>
      </c>
      <c r="G45" s="22" t="str">
        <f>'Source Table'!$E$25</f>
        <v>غرب معان</v>
      </c>
      <c r="H45" s="23">
        <v>100</v>
      </c>
      <c r="I45">
        <v>2023</v>
      </c>
    </row>
    <row r="46" ht="15" spans="1:9">
      <c r="A46" t="s">
        <v>89</v>
      </c>
      <c r="B46" t="s">
        <v>90</v>
      </c>
      <c r="C46" s="17" t="s">
        <v>94</v>
      </c>
      <c r="D46" s="17" t="s">
        <v>95</v>
      </c>
      <c r="E46" s="18" t="s">
        <v>96</v>
      </c>
      <c r="F46" s="18" t="str">
        <f>'Source Table'!$B$26</f>
        <v>Aqaba</v>
      </c>
      <c r="G46" s="22" t="str">
        <f>'Source Table'!$E$26</f>
        <v>العقبة</v>
      </c>
      <c r="H46" s="23">
        <v>99.91</v>
      </c>
      <c r="I46">
        <v>2023</v>
      </c>
    </row>
    <row r="47" ht="15" spans="1:9">
      <c r="A47" t="s">
        <v>89</v>
      </c>
      <c r="B47" t="s">
        <v>90</v>
      </c>
      <c r="C47" s="17" t="s">
        <v>94</v>
      </c>
      <c r="D47" s="17" t="s">
        <v>95</v>
      </c>
      <c r="E47" s="18" t="s">
        <v>96</v>
      </c>
      <c r="F47" s="18" t="str">
        <f>'Source Table'!$B$27</f>
        <v>North Bedouin</v>
      </c>
      <c r="G47" s="22" t="str">
        <f>'Source Table'!$E$27</f>
        <v>البادية الشمالية</v>
      </c>
      <c r="H47" s="23">
        <v>90.76</v>
      </c>
      <c r="I47">
        <v>2023</v>
      </c>
    </row>
    <row r="48" ht="15" spans="1:9">
      <c r="A48" t="s">
        <v>89</v>
      </c>
      <c r="B48" t="s">
        <v>90</v>
      </c>
      <c r="C48" s="17" t="s">
        <v>94</v>
      </c>
      <c r="D48" s="17" t="s">
        <v>95</v>
      </c>
      <c r="E48" s="18" t="s">
        <v>96</v>
      </c>
      <c r="F48" s="18" t="str">
        <f>'Source Table'!$B$28</f>
        <v>Middle Bedouin</v>
      </c>
      <c r="G48" s="22" t="str">
        <f>'Source Table'!$E$28</f>
        <v>البادية الوسطى</v>
      </c>
      <c r="H48" s="23">
        <v>98.91</v>
      </c>
      <c r="I48">
        <v>2023</v>
      </c>
    </row>
    <row r="49" ht="15" spans="1:9">
      <c r="A49" t="s">
        <v>89</v>
      </c>
      <c r="B49" t="s">
        <v>90</v>
      </c>
      <c r="C49" s="17" t="s">
        <v>94</v>
      </c>
      <c r="D49" s="17" t="s">
        <v>95</v>
      </c>
      <c r="E49" s="18" t="s">
        <v>96</v>
      </c>
      <c r="F49" s="18" t="str">
        <f>'Source Table'!$B$29</f>
        <v>South Bedouin</v>
      </c>
      <c r="G49" s="22" t="str">
        <f>'Source Table'!$E$29</f>
        <v>البادية الجنوبية</v>
      </c>
      <c r="H49" s="23">
        <v>91.67</v>
      </c>
      <c r="I49">
        <v>2023</v>
      </c>
    </row>
    <row r="50" ht="15" spans="1:9">
      <c r="A50" t="s">
        <v>89</v>
      </c>
      <c r="B50" t="s">
        <v>90</v>
      </c>
      <c r="C50" s="17" t="s">
        <v>91</v>
      </c>
      <c r="D50" s="17" t="s">
        <v>92</v>
      </c>
      <c r="E50" s="18" t="s">
        <v>93</v>
      </c>
      <c r="F50" t="str">
        <f>'Source Table'!$B$7</f>
        <v>Middle Amman</v>
      </c>
      <c r="G50" s="15" t="str">
        <f>'Source Table'!$E$7</f>
        <v>وسط عمان</v>
      </c>
      <c r="H50" s="24">
        <v>1377</v>
      </c>
      <c r="I50">
        <v>2022</v>
      </c>
    </row>
    <row r="51" ht="15" spans="1:9">
      <c r="A51" t="s">
        <v>89</v>
      </c>
      <c r="B51" t="s">
        <v>90</v>
      </c>
      <c r="C51" s="17" t="s">
        <v>91</v>
      </c>
      <c r="D51" s="17" t="s">
        <v>92</v>
      </c>
      <c r="E51" s="18" t="s">
        <v>93</v>
      </c>
      <c r="F51" t="str">
        <f>'Source Table'!$B$8</f>
        <v>South Amman</v>
      </c>
      <c r="G51" s="15" t="str">
        <f>'Source Table'!$E$8</f>
        <v>جنوب عمان</v>
      </c>
      <c r="H51" s="24">
        <v>1862</v>
      </c>
      <c r="I51">
        <v>2022</v>
      </c>
    </row>
    <row r="52" ht="15" spans="1:9">
      <c r="A52" t="s">
        <v>89</v>
      </c>
      <c r="B52" t="s">
        <v>90</v>
      </c>
      <c r="C52" s="17" t="s">
        <v>91</v>
      </c>
      <c r="D52" s="17" t="s">
        <v>92</v>
      </c>
      <c r="E52" s="18" t="s">
        <v>93</v>
      </c>
      <c r="F52" t="str">
        <f>'Source Table'!$B$9</f>
        <v>North Amman</v>
      </c>
      <c r="G52" s="15" t="str">
        <f>'Source Table'!$E$9</f>
        <v>شمال عمان</v>
      </c>
      <c r="H52" s="24">
        <v>1639</v>
      </c>
      <c r="I52">
        <v>2022</v>
      </c>
    </row>
    <row r="53" ht="15" spans="1:9">
      <c r="A53" t="s">
        <v>89</v>
      </c>
      <c r="B53" t="s">
        <v>90</v>
      </c>
      <c r="C53" s="17" t="s">
        <v>91</v>
      </c>
      <c r="D53" s="17" t="s">
        <v>92</v>
      </c>
      <c r="E53" s="18" t="s">
        <v>93</v>
      </c>
      <c r="F53" t="str">
        <f>'Source Table'!$B$10</f>
        <v>East Amman</v>
      </c>
      <c r="G53" s="15" t="str">
        <f>'Source Table'!$E$10</f>
        <v>شرق عمان</v>
      </c>
      <c r="H53" s="24">
        <v>2382</v>
      </c>
      <c r="I53">
        <v>2022</v>
      </c>
    </row>
    <row r="54" ht="15" spans="1:9">
      <c r="A54" t="s">
        <v>89</v>
      </c>
      <c r="B54" t="s">
        <v>90</v>
      </c>
      <c r="C54" s="17" t="s">
        <v>91</v>
      </c>
      <c r="D54" s="17" t="s">
        <v>92</v>
      </c>
      <c r="E54" s="18" t="s">
        <v>93</v>
      </c>
      <c r="F54" t="str">
        <f>'Source Table'!$B$11</f>
        <v>Zarqa</v>
      </c>
      <c r="G54" s="15" t="str">
        <f>'Source Table'!$E$11</f>
        <v>الزرقاء</v>
      </c>
      <c r="H54" s="24">
        <v>1681</v>
      </c>
      <c r="I54">
        <v>2022</v>
      </c>
    </row>
    <row r="55" ht="15" spans="1:9">
      <c r="A55" t="s">
        <v>89</v>
      </c>
      <c r="B55" t="s">
        <v>90</v>
      </c>
      <c r="C55" s="17" t="s">
        <v>91</v>
      </c>
      <c r="D55" s="17" t="s">
        <v>92</v>
      </c>
      <c r="E55" s="18" t="s">
        <v>93</v>
      </c>
      <c r="F55" t="str">
        <f>'Source Table'!$B$12</f>
        <v>Balqa</v>
      </c>
      <c r="G55" s="15" t="str">
        <f>'Source Table'!$E$12</f>
        <v>البلقاء</v>
      </c>
      <c r="H55" s="25">
        <v>911</v>
      </c>
      <c r="I55">
        <v>2022</v>
      </c>
    </row>
    <row r="56" ht="15" spans="1:9">
      <c r="A56" t="s">
        <v>89</v>
      </c>
      <c r="B56" t="s">
        <v>90</v>
      </c>
      <c r="C56" s="17" t="s">
        <v>91</v>
      </c>
      <c r="D56" s="17" t="s">
        <v>92</v>
      </c>
      <c r="E56" s="18" t="s">
        <v>93</v>
      </c>
      <c r="F56" t="str">
        <f>'Source Table'!$B$13</f>
        <v>Madaba</v>
      </c>
      <c r="G56" s="15" t="str">
        <f>'Source Table'!$E$13</f>
        <v>مادبا</v>
      </c>
      <c r="H56" s="25">
        <v>345</v>
      </c>
      <c r="I56">
        <v>2022</v>
      </c>
    </row>
    <row r="57" ht="15" spans="1:9">
      <c r="A57" t="s">
        <v>89</v>
      </c>
      <c r="B57" t="s">
        <v>90</v>
      </c>
      <c r="C57" s="17" t="s">
        <v>91</v>
      </c>
      <c r="D57" s="17" t="s">
        <v>92</v>
      </c>
      <c r="E57" s="18" t="s">
        <v>93</v>
      </c>
      <c r="F57" t="str">
        <f>'Source Table'!$B$14</f>
        <v>Al-Russaifa</v>
      </c>
      <c r="G57" s="15" t="str">
        <f>'Source Table'!$E$14</f>
        <v>الرصيفة</v>
      </c>
      <c r="H57" s="25">
        <v>897</v>
      </c>
      <c r="I57">
        <v>2022</v>
      </c>
    </row>
    <row r="58" ht="15" spans="1:9">
      <c r="A58" t="s">
        <v>89</v>
      </c>
      <c r="B58" t="s">
        <v>90</v>
      </c>
      <c r="C58" s="17" t="s">
        <v>91</v>
      </c>
      <c r="D58" s="17" t="s">
        <v>92</v>
      </c>
      <c r="E58" s="18" t="s">
        <v>93</v>
      </c>
      <c r="F58" t="str">
        <f>'Source Table'!$B$15</f>
        <v>West Balqa</v>
      </c>
      <c r="G58" s="15" t="str">
        <f>'Source Table'!$E$15</f>
        <v>غرب البلقاء</v>
      </c>
      <c r="H58" s="25">
        <v>378</v>
      </c>
      <c r="I58">
        <v>2022</v>
      </c>
    </row>
    <row r="59" ht="15" spans="1:9">
      <c r="A59" t="s">
        <v>89</v>
      </c>
      <c r="B59" t="s">
        <v>90</v>
      </c>
      <c r="C59" s="17" t="s">
        <v>91</v>
      </c>
      <c r="D59" s="17" t="s">
        <v>92</v>
      </c>
      <c r="E59" s="18" t="s">
        <v>93</v>
      </c>
      <c r="F59" t="str">
        <f>'Source Table'!$B$16</f>
        <v>Irbid</v>
      </c>
      <c r="G59" s="15" t="str">
        <f>'Source Table'!$E$16</f>
        <v>إربد</v>
      </c>
      <c r="H59" s="24">
        <v>1594</v>
      </c>
      <c r="I59">
        <v>2022</v>
      </c>
    </row>
    <row r="60" ht="15" spans="1:9">
      <c r="A60" t="s">
        <v>89</v>
      </c>
      <c r="B60" t="s">
        <v>90</v>
      </c>
      <c r="C60" s="17" t="s">
        <v>91</v>
      </c>
      <c r="D60" s="17" t="s">
        <v>92</v>
      </c>
      <c r="E60" s="18" t="s">
        <v>93</v>
      </c>
      <c r="F60" t="str">
        <f>'Source Table'!$B$17</f>
        <v>West Irbid</v>
      </c>
      <c r="G60" s="15" t="str">
        <f>'Source Table'!$E$17</f>
        <v>غرب إربد</v>
      </c>
      <c r="H60" s="25">
        <v>324</v>
      </c>
      <c r="I60">
        <v>2022</v>
      </c>
    </row>
    <row r="61" ht="15" spans="1:9">
      <c r="A61" t="s">
        <v>89</v>
      </c>
      <c r="B61" t="s">
        <v>90</v>
      </c>
      <c r="C61" s="17" t="s">
        <v>91</v>
      </c>
      <c r="D61" s="17" t="s">
        <v>92</v>
      </c>
      <c r="E61" s="18" t="s">
        <v>93</v>
      </c>
      <c r="F61" t="str">
        <f>'Source Table'!$B$18</f>
        <v>Mafraq</v>
      </c>
      <c r="G61" s="15" t="str">
        <f>'Source Table'!$E$18</f>
        <v>المفرق</v>
      </c>
      <c r="H61" s="25">
        <v>780</v>
      </c>
      <c r="I61">
        <v>2022</v>
      </c>
    </row>
    <row r="62" ht="15" spans="1:9">
      <c r="A62" t="s">
        <v>89</v>
      </c>
      <c r="B62" t="s">
        <v>90</v>
      </c>
      <c r="C62" s="17" t="s">
        <v>91</v>
      </c>
      <c r="D62" s="17" t="s">
        <v>92</v>
      </c>
      <c r="E62" s="18" t="s">
        <v>93</v>
      </c>
      <c r="F62" t="str">
        <f>'Source Table'!$B$19</f>
        <v>Jarash</v>
      </c>
      <c r="G62" s="15" t="str">
        <f>'Source Table'!$E$19</f>
        <v>جرش</v>
      </c>
      <c r="H62" s="25">
        <v>469</v>
      </c>
      <c r="I62">
        <v>2022</v>
      </c>
    </row>
    <row r="63" ht="15" spans="1:9">
      <c r="A63" t="s">
        <v>89</v>
      </c>
      <c r="B63" t="s">
        <v>90</v>
      </c>
      <c r="C63" s="17" t="s">
        <v>91</v>
      </c>
      <c r="D63" s="17" t="s">
        <v>92</v>
      </c>
      <c r="E63" s="18" t="s">
        <v>93</v>
      </c>
      <c r="F63" t="str">
        <f>'Source Table'!$B$20</f>
        <v>Ajlun</v>
      </c>
      <c r="G63" s="15" t="str">
        <f>'Source Table'!$E$20</f>
        <v>عجلون</v>
      </c>
      <c r="H63" s="25">
        <v>169</v>
      </c>
      <c r="I63">
        <v>2022</v>
      </c>
    </row>
    <row r="64" ht="15" spans="1:9">
      <c r="A64" t="s">
        <v>89</v>
      </c>
      <c r="B64" t="s">
        <v>90</v>
      </c>
      <c r="C64" s="17" t="s">
        <v>91</v>
      </c>
      <c r="D64" s="17" t="s">
        <v>92</v>
      </c>
      <c r="E64" s="18" t="s">
        <v>93</v>
      </c>
      <c r="F64" s="18" t="str">
        <f>'Source Table'!$B$21</f>
        <v>Al Ramtha</v>
      </c>
      <c r="G64" s="22" t="str">
        <f>'Source Table'!$E$21</f>
        <v>الرمثا</v>
      </c>
      <c r="H64" s="25">
        <v>500</v>
      </c>
      <c r="I64">
        <v>2022</v>
      </c>
    </row>
    <row r="65" ht="15" spans="1:9">
      <c r="A65" t="s">
        <v>89</v>
      </c>
      <c r="B65" t="s">
        <v>90</v>
      </c>
      <c r="C65" s="17" t="s">
        <v>91</v>
      </c>
      <c r="D65" s="17" t="s">
        <v>92</v>
      </c>
      <c r="E65" s="18" t="s">
        <v>93</v>
      </c>
      <c r="F65" s="18" t="str">
        <f>'Source Table'!$B$22</f>
        <v>Karak</v>
      </c>
      <c r="G65" s="22" t="str">
        <f>'Source Table'!$E$22</f>
        <v>الكرك</v>
      </c>
      <c r="H65" s="25">
        <v>405</v>
      </c>
      <c r="I65">
        <v>2022</v>
      </c>
    </row>
    <row r="66" ht="15" spans="1:9">
      <c r="A66" t="s">
        <v>89</v>
      </c>
      <c r="B66" t="s">
        <v>90</v>
      </c>
      <c r="C66" s="17" t="s">
        <v>91</v>
      </c>
      <c r="D66" s="17" t="s">
        <v>92</v>
      </c>
      <c r="E66" s="18" t="s">
        <v>93</v>
      </c>
      <c r="F66" s="18" t="str">
        <f>'Source Table'!$B$23</f>
        <v>Tafiela</v>
      </c>
      <c r="G66" s="22" t="str">
        <f>'Source Table'!$E$23</f>
        <v>الطفيلة</v>
      </c>
      <c r="H66" s="25">
        <v>190</v>
      </c>
      <c r="I66">
        <v>2022</v>
      </c>
    </row>
    <row r="67" ht="15" spans="1:9">
      <c r="A67" t="s">
        <v>89</v>
      </c>
      <c r="B67" t="s">
        <v>90</v>
      </c>
      <c r="C67" s="17" t="s">
        <v>91</v>
      </c>
      <c r="D67" s="17" t="s">
        <v>92</v>
      </c>
      <c r="E67" s="18" t="s">
        <v>93</v>
      </c>
      <c r="F67" s="18" t="str">
        <f>'Source Table'!$B$24</f>
        <v>Maan</v>
      </c>
      <c r="G67" s="22" t="str">
        <f>'Source Table'!$E$24</f>
        <v>معان</v>
      </c>
      <c r="H67" s="25">
        <v>241</v>
      </c>
      <c r="I67">
        <v>2022</v>
      </c>
    </row>
    <row r="68" ht="15" spans="1:9">
      <c r="A68" t="s">
        <v>89</v>
      </c>
      <c r="B68" t="s">
        <v>90</v>
      </c>
      <c r="C68" s="17" t="s">
        <v>91</v>
      </c>
      <c r="D68" s="17" t="s">
        <v>92</v>
      </c>
      <c r="E68" s="18" t="s">
        <v>93</v>
      </c>
      <c r="F68" s="18" t="str">
        <f>'Source Table'!$B$25</f>
        <v>West Maan</v>
      </c>
      <c r="G68" s="22" t="str">
        <f>'Source Table'!$E$25</f>
        <v>غرب معان</v>
      </c>
      <c r="H68" s="25">
        <v>27</v>
      </c>
      <c r="I68">
        <v>2022</v>
      </c>
    </row>
    <row r="69" ht="15" spans="1:9">
      <c r="A69" t="s">
        <v>89</v>
      </c>
      <c r="B69" t="s">
        <v>90</v>
      </c>
      <c r="C69" s="17" t="s">
        <v>91</v>
      </c>
      <c r="D69" s="17" t="s">
        <v>92</v>
      </c>
      <c r="E69" s="18" t="s">
        <v>93</v>
      </c>
      <c r="F69" s="18" t="str">
        <f>'Source Table'!$B$26</f>
        <v>Aqaba</v>
      </c>
      <c r="G69" s="22" t="str">
        <f>'Source Table'!$E$26</f>
        <v>العقبة</v>
      </c>
      <c r="H69" s="25">
        <v>914</v>
      </c>
      <c r="I69">
        <v>2022</v>
      </c>
    </row>
    <row r="70" ht="15" spans="1:9">
      <c r="A70" t="s">
        <v>89</v>
      </c>
      <c r="B70" t="s">
        <v>90</v>
      </c>
      <c r="C70" s="17" t="s">
        <v>91</v>
      </c>
      <c r="D70" s="17" t="s">
        <v>92</v>
      </c>
      <c r="E70" s="18" t="s">
        <v>93</v>
      </c>
      <c r="F70" s="18" t="str">
        <f>'Source Table'!$B$27</f>
        <v>North Bedouin</v>
      </c>
      <c r="G70" s="22" t="str">
        <f>'Source Table'!$E$27</f>
        <v>البادية الشمالية</v>
      </c>
      <c r="H70" s="25">
        <v>424</v>
      </c>
      <c r="I70">
        <v>2022</v>
      </c>
    </row>
    <row r="71" ht="15" spans="1:9">
      <c r="A71" t="s">
        <v>89</v>
      </c>
      <c r="B71" t="s">
        <v>90</v>
      </c>
      <c r="C71" s="17" t="s">
        <v>91</v>
      </c>
      <c r="D71" s="17" t="s">
        <v>92</v>
      </c>
      <c r="E71" s="18" t="s">
        <v>93</v>
      </c>
      <c r="F71" s="18" t="str">
        <f>'Source Table'!$B$28</f>
        <v>Middle Bedouin</v>
      </c>
      <c r="G71" s="22" t="str">
        <f>'Source Table'!$E$28</f>
        <v>البادية الوسطى</v>
      </c>
      <c r="H71" s="25">
        <v>822</v>
      </c>
      <c r="I71">
        <v>2022</v>
      </c>
    </row>
    <row r="72" ht="15" spans="1:9">
      <c r="A72" t="s">
        <v>89</v>
      </c>
      <c r="B72" t="s">
        <v>90</v>
      </c>
      <c r="C72" s="17" t="s">
        <v>91</v>
      </c>
      <c r="D72" s="17" t="s">
        <v>92</v>
      </c>
      <c r="E72" s="18" t="s">
        <v>93</v>
      </c>
      <c r="F72" s="18" t="str">
        <f>'Source Table'!$B$29</f>
        <v>South Bedouin</v>
      </c>
      <c r="G72" s="22" t="str">
        <f>'Source Table'!$E$29</f>
        <v>البادية الجنوبية</v>
      </c>
      <c r="H72" s="25">
        <v>3</v>
      </c>
      <c r="I72">
        <v>2022</v>
      </c>
    </row>
    <row r="73" ht="15" spans="1:9">
      <c r="A73" t="s">
        <v>89</v>
      </c>
      <c r="B73" t="s">
        <v>90</v>
      </c>
      <c r="C73" s="17" t="s">
        <v>94</v>
      </c>
      <c r="D73" s="17" t="s">
        <v>95</v>
      </c>
      <c r="E73" s="18" t="s">
        <v>96</v>
      </c>
      <c r="F73" t="str">
        <f>'Source Table'!$B$7</f>
        <v>Middle Amman</v>
      </c>
      <c r="G73" s="15" t="str">
        <f>'Source Table'!$E$7</f>
        <v>وسط عمان</v>
      </c>
      <c r="H73" s="26">
        <v>99.64</v>
      </c>
      <c r="I73">
        <v>2022</v>
      </c>
    </row>
    <row r="74" ht="15" spans="1:9">
      <c r="A74" t="s">
        <v>89</v>
      </c>
      <c r="B74" t="s">
        <v>90</v>
      </c>
      <c r="C74" s="17" t="s">
        <v>94</v>
      </c>
      <c r="D74" s="17" t="s">
        <v>95</v>
      </c>
      <c r="E74" s="18" t="s">
        <v>96</v>
      </c>
      <c r="F74" t="str">
        <f>'Source Table'!$B$8</f>
        <v>South Amman</v>
      </c>
      <c r="G74" s="15" t="str">
        <f>'Source Table'!$E$8</f>
        <v>جنوب عمان</v>
      </c>
      <c r="H74" s="26">
        <v>99.73</v>
      </c>
      <c r="I74">
        <v>2022</v>
      </c>
    </row>
    <row r="75" ht="15" spans="1:9">
      <c r="A75" t="s">
        <v>89</v>
      </c>
      <c r="B75" t="s">
        <v>90</v>
      </c>
      <c r="C75" s="17" t="s">
        <v>94</v>
      </c>
      <c r="D75" s="17" t="s">
        <v>95</v>
      </c>
      <c r="E75" s="18" t="s">
        <v>96</v>
      </c>
      <c r="F75" t="str">
        <f>'Source Table'!$B$9</f>
        <v>North Amman</v>
      </c>
      <c r="G75" s="15" t="str">
        <f>'Source Table'!$E$9</f>
        <v>شمال عمان</v>
      </c>
      <c r="H75" s="26">
        <v>99.82</v>
      </c>
      <c r="I75">
        <v>2022</v>
      </c>
    </row>
    <row r="76" ht="15" spans="1:9">
      <c r="A76" t="s">
        <v>89</v>
      </c>
      <c r="B76" t="s">
        <v>90</v>
      </c>
      <c r="C76" s="17" t="s">
        <v>94</v>
      </c>
      <c r="D76" s="17" t="s">
        <v>95</v>
      </c>
      <c r="E76" s="18" t="s">
        <v>96</v>
      </c>
      <c r="F76" t="str">
        <f>'Source Table'!$B$10</f>
        <v>East Amman</v>
      </c>
      <c r="G76" s="15" t="str">
        <f>'Source Table'!$E$10</f>
        <v>شرق عمان</v>
      </c>
      <c r="H76" s="26">
        <v>99.92</v>
      </c>
      <c r="I76">
        <v>2022</v>
      </c>
    </row>
    <row r="77" ht="15" spans="1:9">
      <c r="A77" t="s">
        <v>89</v>
      </c>
      <c r="B77" t="s">
        <v>90</v>
      </c>
      <c r="C77" s="17" t="s">
        <v>94</v>
      </c>
      <c r="D77" s="17" t="s">
        <v>95</v>
      </c>
      <c r="E77" s="18" t="s">
        <v>96</v>
      </c>
      <c r="F77" t="str">
        <f>'Source Table'!$B$11</f>
        <v>Zarqa</v>
      </c>
      <c r="G77" s="15" t="str">
        <f>'Source Table'!$E$11</f>
        <v>الزرقاء</v>
      </c>
      <c r="H77" s="26">
        <v>99.88</v>
      </c>
      <c r="I77">
        <v>2022</v>
      </c>
    </row>
    <row r="78" ht="15" spans="1:9">
      <c r="A78" t="s">
        <v>89</v>
      </c>
      <c r="B78" t="s">
        <v>90</v>
      </c>
      <c r="C78" s="17" t="s">
        <v>94</v>
      </c>
      <c r="D78" s="17" t="s">
        <v>95</v>
      </c>
      <c r="E78" s="18" t="s">
        <v>96</v>
      </c>
      <c r="F78" t="str">
        <f>'Source Table'!$B$12</f>
        <v>Balqa</v>
      </c>
      <c r="G78" s="15" t="str">
        <f>'Source Table'!$E$12</f>
        <v>البلقاء</v>
      </c>
      <c r="H78" s="26">
        <v>99.78</v>
      </c>
      <c r="I78">
        <v>2022</v>
      </c>
    </row>
    <row r="79" ht="15" spans="1:9">
      <c r="A79" t="s">
        <v>89</v>
      </c>
      <c r="B79" t="s">
        <v>90</v>
      </c>
      <c r="C79" s="17" t="s">
        <v>94</v>
      </c>
      <c r="D79" s="17" t="s">
        <v>95</v>
      </c>
      <c r="E79" s="18" t="s">
        <v>96</v>
      </c>
      <c r="F79" t="str">
        <f>'Source Table'!$B$13</f>
        <v>Madaba</v>
      </c>
      <c r="G79" s="15" t="str">
        <f>'Source Table'!$E$13</f>
        <v>مادبا</v>
      </c>
      <c r="H79" s="26">
        <v>99.13</v>
      </c>
      <c r="I79">
        <v>2022</v>
      </c>
    </row>
    <row r="80" ht="15" spans="1:9">
      <c r="A80" t="s">
        <v>89</v>
      </c>
      <c r="B80" t="s">
        <v>90</v>
      </c>
      <c r="C80" s="17" t="s">
        <v>94</v>
      </c>
      <c r="D80" s="17" t="s">
        <v>95</v>
      </c>
      <c r="E80" s="18" t="s">
        <v>96</v>
      </c>
      <c r="F80" t="str">
        <f>'Source Table'!$B$14</f>
        <v>Al-Russaifa</v>
      </c>
      <c r="G80" s="15" t="str">
        <f>'Source Table'!$E$14</f>
        <v>الرصيفة</v>
      </c>
      <c r="H80" s="26">
        <v>99.78</v>
      </c>
      <c r="I80">
        <v>2022</v>
      </c>
    </row>
    <row r="81" ht="15" spans="1:9">
      <c r="A81" t="s">
        <v>89</v>
      </c>
      <c r="B81" t="s">
        <v>90</v>
      </c>
      <c r="C81" s="17" t="s">
        <v>94</v>
      </c>
      <c r="D81" s="17" t="s">
        <v>95</v>
      </c>
      <c r="E81" s="18" t="s">
        <v>96</v>
      </c>
      <c r="F81" t="str">
        <f>'Source Table'!$B$15</f>
        <v>West Balqa</v>
      </c>
      <c r="G81" s="15" t="str">
        <f>'Source Table'!$E$15</f>
        <v>غرب البلقاء</v>
      </c>
      <c r="H81" s="26">
        <v>99.21</v>
      </c>
      <c r="I81">
        <v>2022</v>
      </c>
    </row>
    <row r="82" ht="15" spans="1:9">
      <c r="A82" t="s">
        <v>89</v>
      </c>
      <c r="B82" t="s">
        <v>90</v>
      </c>
      <c r="C82" s="17" t="s">
        <v>94</v>
      </c>
      <c r="D82" s="17" t="s">
        <v>95</v>
      </c>
      <c r="E82" s="18" t="s">
        <v>96</v>
      </c>
      <c r="F82" t="str">
        <f>'Source Table'!$B$16</f>
        <v>Irbid</v>
      </c>
      <c r="G82" s="15" t="str">
        <f>'Source Table'!$E$16</f>
        <v>إربد</v>
      </c>
      <c r="H82" s="26">
        <v>99.69</v>
      </c>
      <c r="I82">
        <v>2022</v>
      </c>
    </row>
    <row r="83" ht="15" spans="1:9">
      <c r="A83" t="s">
        <v>89</v>
      </c>
      <c r="B83" t="s">
        <v>90</v>
      </c>
      <c r="C83" s="17" t="s">
        <v>94</v>
      </c>
      <c r="D83" s="17" t="s">
        <v>95</v>
      </c>
      <c r="E83" s="18" t="s">
        <v>96</v>
      </c>
      <c r="F83" t="str">
        <f>'Source Table'!$B$17</f>
        <v>West Irbid</v>
      </c>
      <c r="G83" s="15" t="str">
        <f>'Source Table'!$E$17</f>
        <v>غرب إربد</v>
      </c>
      <c r="H83" s="26">
        <v>99.69</v>
      </c>
      <c r="I83">
        <v>2022</v>
      </c>
    </row>
    <row r="84" ht="15" spans="1:9">
      <c r="A84" t="s">
        <v>89</v>
      </c>
      <c r="B84" t="s">
        <v>90</v>
      </c>
      <c r="C84" s="17" t="s">
        <v>94</v>
      </c>
      <c r="D84" s="17" t="s">
        <v>95</v>
      </c>
      <c r="E84" s="18" t="s">
        <v>96</v>
      </c>
      <c r="F84" t="str">
        <f>'Source Table'!$B$18</f>
        <v>Mafraq</v>
      </c>
      <c r="G84" s="15" t="str">
        <f>'Source Table'!$E$18</f>
        <v>المفرق</v>
      </c>
      <c r="H84" s="26">
        <v>99.87</v>
      </c>
      <c r="I84">
        <v>2022</v>
      </c>
    </row>
    <row r="85" ht="15" spans="1:9">
      <c r="A85" t="s">
        <v>89</v>
      </c>
      <c r="B85" t="s">
        <v>90</v>
      </c>
      <c r="C85" s="17" t="s">
        <v>94</v>
      </c>
      <c r="D85" s="17" t="s">
        <v>95</v>
      </c>
      <c r="E85" s="18" t="s">
        <v>96</v>
      </c>
      <c r="F85" t="str">
        <f>'Source Table'!$B$19</f>
        <v>Jarash</v>
      </c>
      <c r="G85" s="15" t="str">
        <f>'Source Table'!$E$19</f>
        <v>جرش</v>
      </c>
      <c r="H85" s="26">
        <v>99.79</v>
      </c>
      <c r="I85">
        <v>2022</v>
      </c>
    </row>
    <row r="86" ht="15" spans="1:9">
      <c r="A86" t="s">
        <v>89</v>
      </c>
      <c r="B86" t="s">
        <v>90</v>
      </c>
      <c r="C86" s="17" t="s">
        <v>94</v>
      </c>
      <c r="D86" s="17" t="s">
        <v>95</v>
      </c>
      <c r="E86" s="18" t="s">
        <v>96</v>
      </c>
      <c r="F86" t="str">
        <f>'Source Table'!$B$20</f>
        <v>Ajlun</v>
      </c>
      <c r="G86" s="15" t="str">
        <f>'Source Table'!$E$20</f>
        <v>عجلون</v>
      </c>
      <c r="H86" s="26">
        <v>100</v>
      </c>
      <c r="I86">
        <v>2022</v>
      </c>
    </row>
    <row r="87" ht="15" spans="1:9">
      <c r="A87" t="s">
        <v>89</v>
      </c>
      <c r="B87" t="s">
        <v>90</v>
      </c>
      <c r="C87" s="17" t="s">
        <v>94</v>
      </c>
      <c r="D87" s="17" t="s">
        <v>95</v>
      </c>
      <c r="E87" s="18" t="s">
        <v>96</v>
      </c>
      <c r="F87" s="18" t="str">
        <f>'Source Table'!$B$21</f>
        <v>Al Ramtha</v>
      </c>
      <c r="G87" s="22" t="str">
        <f>'Source Table'!$E$21</f>
        <v>الرمثا</v>
      </c>
      <c r="H87" s="26">
        <v>98.4</v>
      </c>
      <c r="I87">
        <v>2022</v>
      </c>
    </row>
    <row r="88" ht="15" spans="1:9">
      <c r="A88" t="s">
        <v>89</v>
      </c>
      <c r="B88" t="s">
        <v>90</v>
      </c>
      <c r="C88" s="17" t="s">
        <v>94</v>
      </c>
      <c r="D88" s="17" t="s">
        <v>95</v>
      </c>
      <c r="E88" s="18" t="s">
        <v>96</v>
      </c>
      <c r="F88" s="18" t="str">
        <f>'Source Table'!$B$22</f>
        <v>Karak</v>
      </c>
      <c r="G88" s="22" t="str">
        <f>'Source Table'!$E$22</f>
        <v>الكرك</v>
      </c>
      <c r="H88" s="26">
        <v>99.26</v>
      </c>
      <c r="I88">
        <v>2022</v>
      </c>
    </row>
    <row r="89" ht="15" spans="1:9">
      <c r="A89" t="s">
        <v>89</v>
      </c>
      <c r="B89" t="s">
        <v>90</v>
      </c>
      <c r="C89" s="17" t="s">
        <v>94</v>
      </c>
      <c r="D89" s="17" t="s">
        <v>95</v>
      </c>
      <c r="E89" s="18" t="s">
        <v>96</v>
      </c>
      <c r="F89" s="18" t="str">
        <f>'Source Table'!$B$23</f>
        <v>Tafiela</v>
      </c>
      <c r="G89" s="22" t="str">
        <f>'Source Table'!$E$23</f>
        <v>الطفيلة</v>
      </c>
      <c r="H89" s="26">
        <v>100</v>
      </c>
      <c r="I89">
        <v>2022</v>
      </c>
    </row>
    <row r="90" ht="15" spans="1:9">
      <c r="A90" t="s">
        <v>89</v>
      </c>
      <c r="B90" t="s">
        <v>90</v>
      </c>
      <c r="C90" s="17" t="s">
        <v>94</v>
      </c>
      <c r="D90" s="17" t="s">
        <v>95</v>
      </c>
      <c r="E90" s="18" t="s">
        <v>96</v>
      </c>
      <c r="F90" s="18" t="str">
        <f>'Source Table'!$B$24</f>
        <v>Maan</v>
      </c>
      <c r="G90" s="22" t="str">
        <f>'Source Table'!$E$24</f>
        <v>معان</v>
      </c>
      <c r="H90" s="26">
        <v>98.76</v>
      </c>
      <c r="I90">
        <v>2022</v>
      </c>
    </row>
    <row r="91" ht="15" spans="1:9">
      <c r="A91" t="s">
        <v>89</v>
      </c>
      <c r="B91" t="s">
        <v>90</v>
      </c>
      <c r="C91" s="17" t="s">
        <v>94</v>
      </c>
      <c r="D91" s="17" t="s">
        <v>95</v>
      </c>
      <c r="E91" s="18" t="s">
        <v>96</v>
      </c>
      <c r="F91" s="18" t="str">
        <f>'Source Table'!$B$25</f>
        <v>West Maan</v>
      </c>
      <c r="G91" s="22" t="str">
        <f>'Source Table'!$E$25</f>
        <v>غرب معان</v>
      </c>
      <c r="H91" s="26">
        <v>100</v>
      </c>
      <c r="I91">
        <v>2022</v>
      </c>
    </row>
    <row r="92" ht="15" spans="1:9">
      <c r="A92" t="s">
        <v>89</v>
      </c>
      <c r="B92" t="s">
        <v>90</v>
      </c>
      <c r="C92" s="17" t="s">
        <v>94</v>
      </c>
      <c r="D92" s="17" t="s">
        <v>95</v>
      </c>
      <c r="E92" s="18" t="s">
        <v>96</v>
      </c>
      <c r="F92" s="18" t="str">
        <f>'Source Table'!$B$26</f>
        <v>Aqaba</v>
      </c>
      <c r="G92" s="22" t="str">
        <f>'Source Table'!$E$26</f>
        <v>العقبة</v>
      </c>
      <c r="H92" s="26">
        <v>99.67</v>
      </c>
      <c r="I92">
        <v>2022</v>
      </c>
    </row>
    <row r="93" ht="15" spans="1:9">
      <c r="A93" t="s">
        <v>89</v>
      </c>
      <c r="B93" t="s">
        <v>90</v>
      </c>
      <c r="C93" s="17" t="s">
        <v>94</v>
      </c>
      <c r="D93" s="17" t="s">
        <v>95</v>
      </c>
      <c r="E93" s="18" t="s">
        <v>96</v>
      </c>
      <c r="F93" s="18" t="str">
        <f>'Source Table'!$B$27</f>
        <v>North Bedouin</v>
      </c>
      <c r="G93" s="22" t="str">
        <f>'Source Table'!$E$27</f>
        <v>البادية الشمالية</v>
      </c>
      <c r="H93" s="26">
        <v>91.98</v>
      </c>
      <c r="I93">
        <v>2022</v>
      </c>
    </row>
    <row r="94" ht="15" spans="1:9">
      <c r="A94" t="s">
        <v>89</v>
      </c>
      <c r="B94" t="s">
        <v>90</v>
      </c>
      <c r="C94" s="17" t="s">
        <v>94</v>
      </c>
      <c r="D94" s="17" t="s">
        <v>95</v>
      </c>
      <c r="E94" s="18" t="s">
        <v>96</v>
      </c>
      <c r="F94" s="18" t="str">
        <f>'Source Table'!$B$28</f>
        <v>Middle Bedouin</v>
      </c>
      <c r="G94" s="22" t="str">
        <f>'Source Table'!$E$28</f>
        <v>البادية الوسطى</v>
      </c>
      <c r="H94" s="26">
        <v>99.15</v>
      </c>
      <c r="I94">
        <v>2022</v>
      </c>
    </row>
    <row r="95" ht="15" spans="1:9">
      <c r="A95" t="s">
        <v>89</v>
      </c>
      <c r="B95" t="s">
        <v>90</v>
      </c>
      <c r="C95" s="17" t="s">
        <v>94</v>
      </c>
      <c r="D95" s="17" t="s">
        <v>95</v>
      </c>
      <c r="E95" s="18" t="s">
        <v>96</v>
      </c>
      <c r="F95" s="18" t="str">
        <f>'Source Table'!$B$29</f>
        <v>South Bedouin</v>
      </c>
      <c r="G95" s="22" t="str">
        <f>'Source Table'!$E$29</f>
        <v>البادية الجنوبية</v>
      </c>
      <c r="H95" s="26">
        <v>100</v>
      </c>
      <c r="I95">
        <v>2022</v>
      </c>
    </row>
    <row r="96" ht="15" spans="1:9">
      <c r="A96" t="s">
        <v>89</v>
      </c>
      <c r="B96" t="s">
        <v>90</v>
      </c>
      <c r="C96" s="17" t="s">
        <v>91</v>
      </c>
      <c r="D96" s="17" t="s">
        <v>92</v>
      </c>
      <c r="E96" s="18" t="s">
        <v>93</v>
      </c>
      <c r="F96" t="str">
        <f>'Source Table'!$B$7</f>
        <v>Middle Amman</v>
      </c>
      <c r="G96" s="15" t="str">
        <f>'Source Table'!$E$7</f>
        <v>وسط عمان</v>
      </c>
      <c r="H96" s="27">
        <v>1662</v>
      </c>
      <c r="I96">
        <v>2021</v>
      </c>
    </row>
    <row r="97" ht="15" spans="1:9">
      <c r="A97" t="s">
        <v>89</v>
      </c>
      <c r="B97" t="s">
        <v>90</v>
      </c>
      <c r="C97" s="17" t="s">
        <v>91</v>
      </c>
      <c r="D97" s="17" t="s">
        <v>92</v>
      </c>
      <c r="E97" s="18" t="s">
        <v>93</v>
      </c>
      <c r="F97" t="str">
        <f>'Source Table'!$B$8</f>
        <v>South Amman</v>
      </c>
      <c r="G97" s="15" t="str">
        <f>'Source Table'!$E$8</f>
        <v>جنوب عمان</v>
      </c>
      <c r="H97" s="27">
        <v>1820</v>
      </c>
      <c r="I97">
        <v>2021</v>
      </c>
    </row>
    <row r="98" ht="15" spans="1:9">
      <c r="A98" t="s">
        <v>89</v>
      </c>
      <c r="B98" t="s">
        <v>90</v>
      </c>
      <c r="C98" s="17" t="s">
        <v>91</v>
      </c>
      <c r="D98" s="17" t="s">
        <v>92</v>
      </c>
      <c r="E98" s="18" t="s">
        <v>93</v>
      </c>
      <c r="F98" t="str">
        <f>'Source Table'!$B$9</f>
        <v>North Amman</v>
      </c>
      <c r="G98" s="15" t="str">
        <f>'Source Table'!$E$9</f>
        <v>شمال عمان</v>
      </c>
      <c r="H98" s="27">
        <v>1530</v>
      </c>
      <c r="I98">
        <v>2021</v>
      </c>
    </row>
    <row r="99" ht="15" spans="1:9">
      <c r="A99" t="s">
        <v>89</v>
      </c>
      <c r="B99" t="s">
        <v>90</v>
      </c>
      <c r="C99" s="17" t="s">
        <v>91</v>
      </c>
      <c r="D99" s="17" t="s">
        <v>92</v>
      </c>
      <c r="E99" s="18" t="s">
        <v>93</v>
      </c>
      <c r="F99" t="str">
        <f>'Source Table'!$B$10</f>
        <v>East Amman</v>
      </c>
      <c r="G99" s="15" t="str">
        <f>'Source Table'!$E$10</f>
        <v>شرق عمان</v>
      </c>
      <c r="H99" s="27">
        <v>2818</v>
      </c>
      <c r="I99">
        <v>2021</v>
      </c>
    </row>
    <row r="100" ht="15" spans="1:9">
      <c r="A100" t="s">
        <v>89</v>
      </c>
      <c r="B100" t="s">
        <v>90</v>
      </c>
      <c r="C100" s="17" t="s">
        <v>91</v>
      </c>
      <c r="D100" s="17" t="s">
        <v>92</v>
      </c>
      <c r="E100" s="18" t="s">
        <v>93</v>
      </c>
      <c r="F100" t="str">
        <f>'Source Table'!$B$11</f>
        <v>Zarqa</v>
      </c>
      <c r="G100" s="15" t="str">
        <f>'Source Table'!$E$11</f>
        <v>الزرقاء</v>
      </c>
      <c r="H100" s="27">
        <v>1747</v>
      </c>
      <c r="I100">
        <v>2021</v>
      </c>
    </row>
    <row r="101" ht="15" spans="1:9">
      <c r="A101" t="s">
        <v>89</v>
      </c>
      <c r="B101" t="s">
        <v>90</v>
      </c>
      <c r="C101" s="17" t="s">
        <v>91</v>
      </c>
      <c r="D101" s="17" t="s">
        <v>92</v>
      </c>
      <c r="E101" s="18" t="s">
        <v>93</v>
      </c>
      <c r="F101" t="str">
        <f>'Source Table'!$B$12</f>
        <v>Balqa</v>
      </c>
      <c r="G101" s="15" t="str">
        <f>'Source Table'!$E$12</f>
        <v>البلقاء</v>
      </c>
      <c r="H101" s="27">
        <v>940</v>
      </c>
      <c r="I101">
        <v>2021</v>
      </c>
    </row>
    <row r="102" ht="15" spans="1:9">
      <c r="A102" t="s">
        <v>89</v>
      </c>
      <c r="B102" t="s">
        <v>90</v>
      </c>
      <c r="C102" s="17" t="s">
        <v>91</v>
      </c>
      <c r="D102" s="17" t="s">
        <v>92</v>
      </c>
      <c r="E102" s="18" t="s">
        <v>93</v>
      </c>
      <c r="F102" t="str">
        <f>'Source Table'!$B$13</f>
        <v>Madaba</v>
      </c>
      <c r="G102" s="15" t="str">
        <f>'Source Table'!$E$13</f>
        <v>مادبا</v>
      </c>
      <c r="H102" s="27">
        <v>503</v>
      </c>
      <c r="I102">
        <v>2021</v>
      </c>
    </row>
    <row r="103" ht="15" spans="1:9">
      <c r="A103" t="s">
        <v>89</v>
      </c>
      <c r="B103" t="s">
        <v>90</v>
      </c>
      <c r="C103" s="17" t="s">
        <v>91</v>
      </c>
      <c r="D103" s="17" t="s">
        <v>92</v>
      </c>
      <c r="E103" s="18" t="s">
        <v>93</v>
      </c>
      <c r="F103" t="str">
        <f>'Source Table'!$B$14</f>
        <v>Al-Russaifa</v>
      </c>
      <c r="G103" s="15" t="str">
        <f>'Source Table'!$E$14</f>
        <v>الرصيفة</v>
      </c>
      <c r="H103" s="27">
        <v>879</v>
      </c>
      <c r="I103">
        <v>2021</v>
      </c>
    </row>
    <row r="104" ht="15" spans="1:9">
      <c r="A104" t="s">
        <v>89</v>
      </c>
      <c r="B104" t="s">
        <v>90</v>
      </c>
      <c r="C104" s="17" t="s">
        <v>91</v>
      </c>
      <c r="D104" s="17" t="s">
        <v>92</v>
      </c>
      <c r="E104" s="18" t="s">
        <v>93</v>
      </c>
      <c r="F104" t="str">
        <f>'Source Table'!$B$15</f>
        <v>West Balqa</v>
      </c>
      <c r="G104" s="15" t="str">
        <f>'Source Table'!$E$15</f>
        <v>غرب البلقاء</v>
      </c>
      <c r="H104" s="27">
        <v>363</v>
      </c>
      <c r="I104">
        <v>2021</v>
      </c>
    </row>
    <row r="105" ht="15" spans="1:9">
      <c r="A105" t="s">
        <v>89</v>
      </c>
      <c r="B105" t="s">
        <v>90</v>
      </c>
      <c r="C105" s="17" t="s">
        <v>91</v>
      </c>
      <c r="D105" s="17" t="s">
        <v>92</v>
      </c>
      <c r="E105" s="18" t="s">
        <v>93</v>
      </c>
      <c r="F105" t="str">
        <f>'Source Table'!$B$16</f>
        <v>Irbid</v>
      </c>
      <c r="G105" s="15" t="str">
        <f>'Source Table'!$E$16</f>
        <v>إربد</v>
      </c>
      <c r="H105" s="27">
        <v>1462</v>
      </c>
      <c r="I105">
        <v>2021</v>
      </c>
    </row>
    <row r="106" ht="15" spans="1:9">
      <c r="A106" t="s">
        <v>89</v>
      </c>
      <c r="B106" t="s">
        <v>90</v>
      </c>
      <c r="C106" s="17" t="s">
        <v>91</v>
      </c>
      <c r="D106" s="17" t="s">
        <v>92</v>
      </c>
      <c r="E106" s="18" t="s">
        <v>93</v>
      </c>
      <c r="F106" t="str">
        <f>'Source Table'!$B$17</f>
        <v>West Irbid</v>
      </c>
      <c r="G106" s="15" t="str">
        <f>'Source Table'!$E$17</f>
        <v>غرب إربد</v>
      </c>
      <c r="H106" s="27">
        <v>365</v>
      </c>
      <c r="I106">
        <v>2021</v>
      </c>
    </row>
    <row r="107" ht="15" spans="1:9">
      <c r="A107" t="s">
        <v>89</v>
      </c>
      <c r="B107" t="s">
        <v>90</v>
      </c>
      <c r="C107" s="17" t="s">
        <v>91</v>
      </c>
      <c r="D107" s="17" t="s">
        <v>92</v>
      </c>
      <c r="E107" s="18" t="s">
        <v>93</v>
      </c>
      <c r="F107" t="str">
        <f>'Source Table'!$B$18</f>
        <v>Mafraq</v>
      </c>
      <c r="G107" s="15" t="str">
        <f>'Source Table'!$E$18</f>
        <v>المفرق</v>
      </c>
      <c r="H107" s="27">
        <v>733</v>
      </c>
      <c r="I107">
        <v>2021</v>
      </c>
    </row>
    <row r="108" ht="15" spans="1:9">
      <c r="A108" t="s">
        <v>89</v>
      </c>
      <c r="B108" t="s">
        <v>90</v>
      </c>
      <c r="C108" s="17" t="s">
        <v>91</v>
      </c>
      <c r="D108" s="17" t="s">
        <v>92</v>
      </c>
      <c r="E108" s="18" t="s">
        <v>93</v>
      </c>
      <c r="F108" t="str">
        <f>'Source Table'!$B$19</f>
        <v>Jarash</v>
      </c>
      <c r="G108" s="15" t="str">
        <f>'Source Table'!$E$19</f>
        <v>جرش</v>
      </c>
      <c r="H108" s="27">
        <v>532</v>
      </c>
      <c r="I108">
        <v>2021</v>
      </c>
    </row>
    <row r="109" ht="15" spans="1:9">
      <c r="A109" t="s">
        <v>89</v>
      </c>
      <c r="B109" t="s">
        <v>90</v>
      </c>
      <c r="C109" s="17" t="s">
        <v>91</v>
      </c>
      <c r="D109" s="17" t="s">
        <v>92</v>
      </c>
      <c r="E109" s="18" t="s">
        <v>93</v>
      </c>
      <c r="F109" t="str">
        <f>'Source Table'!$B$20</f>
        <v>Ajlun</v>
      </c>
      <c r="G109" s="15" t="str">
        <f>'Source Table'!$E$20</f>
        <v>عجلون</v>
      </c>
      <c r="H109" s="27">
        <v>348</v>
      </c>
      <c r="I109">
        <v>2021</v>
      </c>
    </row>
    <row r="110" ht="15" spans="1:9">
      <c r="A110" t="s">
        <v>89</v>
      </c>
      <c r="B110" t="s">
        <v>90</v>
      </c>
      <c r="C110" s="17" t="s">
        <v>91</v>
      </c>
      <c r="D110" s="17" t="s">
        <v>92</v>
      </c>
      <c r="E110" s="18" t="s">
        <v>93</v>
      </c>
      <c r="F110" s="18" t="str">
        <f>'Source Table'!$B$21</f>
        <v>Al Ramtha</v>
      </c>
      <c r="G110" s="22" t="str">
        <f>'Source Table'!$E$21</f>
        <v>الرمثا</v>
      </c>
      <c r="H110" s="27">
        <v>526</v>
      </c>
      <c r="I110">
        <v>2021</v>
      </c>
    </row>
    <row r="111" ht="15" spans="1:9">
      <c r="A111" t="s">
        <v>89</v>
      </c>
      <c r="B111" t="s">
        <v>90</v>
      </c>
      <c r="C111" s="17" t="s">
        <v>91</v>
      </c>
      <c r="D111" s="17" t="s">
        <v>92</v>
      </c>
      <c r="E111" s="18" t="s">
        <v>93</v>
      </c>
      <c r="F111" s="18" t="str">
        <f>'Source Table'!$B$22</f>
        <v>Karak</v>
      </c>
      <c r="G111" s="22" t="str">
        <f>'Source Table'!$E$22</f>
        <v>الكرك</v>
      </c>
      <c r="H111" s="27">
        <v>447</v>
      </c>
      <c r="I111">
        <v>2021</v>
      </c>
    </row>
    <row r="112" ht="15" spans="1:9">
      <c r="A112" t="s">
        <v>89</v>
      </c>
      <c r="B112" t="s">
        <v>90</v>
      </c>
      <c r="C112" s="17" t="s">
        <v>91</v>
      </c>
      <c r="D112" s="17" t="s">
        <v>92</v>
      </c>
      <c r="E112" s="18" t="s">
        <v>93</v>
      </c>
      <c r="F112" s="18" t="str">
        <f>'Source Table'!$B$23</f>
        <v>Tafiela</v>
      </c>
      <c r="G112" s="22" t="str">
        <f>'Source Table'!$E$23</f>
        <v>الطفيلة</v>
      </c>
      <c r="H112" s="27">
        <v>176</v>
      </c>
      <c r="I112">
        <v>2021</v>
      </c>
    </row>
    <row r="113" ht="15" spans="1:9">
      <c r="A113" t="s">
        <v>89</v>
      </c>
      <c r="B113" t="s">
        <v>90</v>
      </c>
      <c r="C113" s="17" t="s">
        <v>91</v>
      </c>
      <c r="D113" s="17" t="s">
        <v>92</v>
      </c>
      <c r="E113" s="18" t="s">
        <v>93</v>
      </c>
      <c r="F113" s="18" t="str">
        <f>'Source Table'!$B$24</f>
        <v>Maan</v>
      </c>
      <c r="G113" s="22" t="str">
        <f>'Source Table'!$E$24</f>
        <v>معان</v>
      </c>
      <c r="H113" s="27">
        <v>368</v>
      </c>
      <c r="I113">
        <v>2021</v>
      </c>
    </row>
    <row r="114" ht="15" spans="1:9">
      <c r="A114" t="s">
        <v>89</v>
      </c>
      <c r="B114" t="s">
        <v>90</v>
      </c>
      <c r="C114" s="17" t="s">
        <v>91</v>
      </c>
      <c r="D114" s="17" t="s">
        <v>92</v>
      </c>
      <c r="E114" s="18" t="s">
        <v>93</v>
      </c>
      <c r="F114" s="18" t="str">
        <f>'Source Table'!$B$25</f>
        <v>West Maan</v>
      </c>
      <c r="G114" s="22" t="str">
        <f>'Source Table'!$E$25</f>
        <v>غرب معان</v>
      </c>
      <c r="H114" s="27">
        <v>11</v>
      </c>
      <c r="I114">
        <v>2021</v>
      </c>
    </row>
    <row r="115" ht="15" spans="1:9">
      <c r="A115" t="s">
        <v>89</v>
      </c>
      <c r="B115" t="s">
        <v>90</v>
      </c>
      <c r="C115" s="17" t="s">
        <v>91</v>
      </c>
      <c r="D115" s="17" t="s">
        <v>92</v>
      </c>
      <c r="E115" s="18" t="s">
        <v>93</v>
      </c>
      <c r="F115" s="18" t="str">
        <f>'Source Table'!$B$26</f>
        <v>Aqaba</v>
      </c>
      <c r="G115" s="22" t="str">
        <f>'Source Table'!$E$26</f>
        <v>العقبة</v>
      </c>
      <c r="H115" s="27">
        <v>1038</v>
      </c>
      <c r="I115">
        <v>2021</v>
      </c>
    </row>
    <row r="116" ht="15" spans="1:9">
      <c r="A116" t="s">
        <v>89</v>
      </c>
      <c r="B116" t="s">
        <v>90</v>
      </c>
      <c r="C116" s="17" t="s">
        <v>91</v>
      </c>
      <c r="D116" s="17" t="s">
        <v>92</v>
      </c>
      <c r="E116" s="18" t="s">
        <v>93</v>
      </c>
      <c r="F116" s="18" t="str">
        <f>'Source Table'!$B$27</f>
        <v>North Bedouin</v>
      </c>
      <c r="G116" s="22" t="str">
        <f>'Source Table'!$E$27</f>
        <v>البادية الشمالية</v>
      </c>
      <c r="H116" s="27">
        <v>208</v>
      </c>
      <c r="I116">
        <v>2021</v>
      </c>
    </row>
    <row r="117" ht="15" spans="1:9">
      <c r="A117" t="s">
        <v>89</v>
      </c>
      <c r="B117" t="s">
        <v>90</v>
      </c>
      <c r="C117" s="17" t="s">
        <v>91</v>
      </c>
      <c r="D117" s="17" t="s">
        <v>92</v>
      </c>
      <c r="E117" s="18" t="s">
        <v>93</v>
      </c>
      <c r="F117" s="18" t="str">
        <f>'Source Table'!$B$28</f>
        <v>Middle Bedouin</v>
      </c>
      <c r="G117" s="22" t="str">
        <f>'Source Table'!$E$28</f>
        <v>البادية الوسطى</v>
      </c>
      <c r="H117" s="27">
        <v>641</v>
      </c>
      <c r="I117">
        <v>2021</v>
      </c>
    </row>
    <row r="118" ht="15" spans="1:9">
      <c r="A118" t="s">
        <v>89</v>
      </c>
      <c r="B118" t="s">
        <v>90</v>
      </c>
      <c r="C118" s="17" t="s">
        <v>91</v>
      </c>
      <c r="D118" s="17" t="s">
        <v>92</v>
      </c>
      <c r="E118" s="18" t="s">
        <v>93</v>
      </c>
      <c r="F118" s="18" t="str">
        <f>'Source Table'!$B$29</f>
        <v>South Bedouin</v>
      </c>
      <c r="G118" s="22" t="str">
        <f>'Source Table'!$E$29</f>
        <v>البادية الجنوبية</v>
      </c>
      <c r="H118" s="27">
        <v>5</v>
      </c>
      <c r="I118">
        <v>2021</v>
      </c>
    </row>
    <row r="119" ht="15" spans="1:9">
      <c r="A119" t="s">
        <v>89</v>
      </c>
      <c r="B119" t="s">
        <v>90</v>
      </c>
      <c r="C119" s="17" t="s">
        <v>94</v>
      </c>
      <c r="D119" s="17" t="s">
        <v>95</v>
      </c>
      <c r="E119" s="18" t="s">
        <v>96</v>
      </c>
      <c r="F119" t="str">
        <f>'Source Table'!$B$7</f>
        <v>Middle Amman</v>
      </c>
      <c r="G119" s="15" t="str">
        <f>'Source Table'!$E$7</f>
        <v>وسط عمان</v>
      </c>
      <c r="H119" s="28">
        <v>8.73</v>
      </c>
      <c r="I119">
        <v>2021</v>
      </c>
    </row>
    <row r="120" ht="15" spans="1:9">
      <c r="A120" t="s">
        <v>89</v>
      </c>
      <c r="B120" t="s">
        <v>90</v>
      </c>
      <c r="C120" s="17" t="s">
        <v>94</v>
      </c>
      <c r="D120" s="17" t="s">
        <v>95</v>
      </c>
      <c r="E120" s="18" t="s">
        <v>96</v>
      </c>
      <c r="F120" t="str">
        <f>'Source Table'!$B$8</f>
        <v>South Amman</v>
      </c>
      <c r="G120" s="15" t="str">
        <f>'Source Table'!$E$8</f>
        <v>جنوب عمان</v>
      </c>
      <c r="H120" s="28">
        <v>9.26</v>
      </c>
      <c r="I120">
        <v>2021</v>
      </c>
    </row>
    <row r="121" ht="15" spans="1:9">
      <c r="A121" t="s">
        <v>89</v>
      </c>
      <c r="B121" t="s">
        <v>90</v>
      </c>
      <c r="C121" s="17" t="s">
        <v>94</v>
      </c>
      <c r="D121" s="17" t="s">
        <v>95</v>
      </c>
      <c r="E121" s="18" t="s">
        <v>96</v>
      </c>
      <c r="F121" t="str">
        <f>'Source Table'!$B$9</f>
        <v>North Amman</v>
      </c>
      <c r="G121" s="15" t="str">
        <f>'Source Table'!$E$9</f>
        <v>شمال عمان</v>
      </c>
      <c r="H121" s="28">
        <v>8.27</v>
      </c>
      <c r="I121">
        <v>2021</v>
      </c>
    </row>
    <row r="122" ht="15" spans="1:9">
      <c r="A122" t="s">
        <v>89</v>
      </c>
      <c r="B122" t="s">
        <v>90</v>
      </c>
      <c r="C122" s="17" t="s">
        <v>94</v>
      </c>
      <c r="D122" s="17" t="s">
        <v>95</v>
      </c>
      <c r="E122" s="18" t="s">
        <v>96</v>
      </c>
      <c r="F122" t="str">
        <f>'Source Table'!$B$10</f>
        <v>East Amman</v>
      </c>
      <c r="G122" s="15" t="str">
        <f>'Source Table'!$E$10</f>
        <v>شرق عمان</v>
      </c>
      <c r="H122" s="28">
        <v>15.04</v>
      </c>
      <c r="I122">
        <v>2021</v>
      </c>
    </row>
    <row r="123" ht="15" spans="1:9">
      <c r="A123" t="s">
        <v>89</v>
      </c>
      <c r="B123" t="s">
        <v>90</v>
      </c>
      <c r="C123" s="17" t="s">
        <v>94</v>
      </c>
      <c r="D123" s="17" t="s">
        <v>95</v>
      </c>
      <c r="E123" s="18" t="s">
        <v>96</v>
      </c>
      <c r="F123" t="str">
        <f>'Source Table'!$B$11</f>
        <v>Zarqa</v>
      </c>
      <c r="G123" s="15" t="str">
        <f>'Source Table'!$E$11</f>
        <v>الزرقاء</v>
      </c>
      <c r="H123" s="28">
        <v>8.32</v>
      </c>
      <c r="I123">
        <v>2021</v>
      </c>
    </row>
    <row r="124" ht="15" spans="1:9">
      <c r="A124" t="s">
        <v>89</v>
      </c>
      <c r="B124" t="s">
        <v>90</v>
      </c>
      <c r="C124" s="17" t="s">
        <v>94</v>
      </c>
      <c r="D124" s="17" t="s">
        <v>95</v>
      </c>
      <c r="E124" s="18" t="s">
        <v>96</v>
      </c>
      <c r="F124" t="str">
        <f>'Source Table'!$B$12</f>
        <v>Balqa</v>
      </c>
      <c r="G124" s="15" t="str">
        <f>'Source Table'!$E$12</f>
        <v>البلقاء</v>
      </c>
      <c r="H124" s="28">
        <v>5.52</v>
      </c>
      <c r="I124">
        <v>2021</v>
      </c>
    </row>
    <row r="125" ht="15" spans="1:9">
      <c r="A125" t="s">
        <v>89</v>
      </c>
      <c r="B125" t="s">
        <v>90</v>
      </c>
      <c r="C125" s="17" t="s">
        <v>94</v>
      </c>
      <c r="D125" s="17" t="s">
        <v>95</v>
      </c>
      <c r="E125" s="18" t="s">
        <v>96</v>
      </c>
      <c r="F125" t="str">
        <f>'Source Table'!$B$13</f>
        <v>Madaba</v>
      </c>
      <c r="G125" s="15" t="str">
        <f>'Source Table'!$E$13</f>
        <v>مادبا</v>
      </c>
      <c r="H125" s="28">
        <v>3.02</v>
      </c>
      <c r="I125">
        <v>2021</v>
      </c>
    </row>
    <row r="126" ht="15" spans="1:9">
      <c r="A126" t="s">
        <v>89</v>
      </c>
      <c r="B126" t="s">
        <v>90</v>
      </c>
      <c r="C126" s="17" t="s">
        <v>94</v>
      </c>
      <c r="D126" s="17" t="s">
        <v>95</v>
      </c>
      <c r="E126" s="18" t="s">
        <v>96</v>
      </c>
      <c r="F126" t="str">
        <f>'Source Table'!$B$14</f>
        <v>Al-Russaifa</v>
      </c>
      <c r="G126" s="15" t="str">
        <f>'Source Table'!$E$14</f>
        <v>الرصيفة</v>
      </c>
      <c r="H126" s="28">
        <v>4.69</v>
      </c>
      <c r="I126">
        <v>2021</v>
      </c>
    </row>
    <row r="127" ht="15" spans="1:9">
      <c r="A127" t="s">
        <v>89</v>
      </c>
      <c r="B127" t="s">
        <v>90</v>
      </c>
      <c r="C127" s="17" t="s">
        <v>94</v>
      </c>
      <c r="D127" s="17" t="s">
        <v>95</v>
      </c>
      <c r="E127" s="18" t="s">
        <v>96</v>
      </c>
      <c r="F127" t="str">
        <f>'Source Table'!$B$15</f>
        <v>West Balqa</v>
      </c>
      <c r="G127" s="15" t="str">
        <f>'Source Table'!$E$15</f>
        <v>غرب البلقاء</v>
      </c>
      <c r="H127" s="28">
        <v>2.12</v>
      </c>
      <c r="I127">
        <v>2021</v>
      </c>
    </row>
    <row r="128" ht="15" spans="1:9">
      <c r="A128" t="s">
        <v>89</v>
      </c>
      <c r="B128" t="s">
        <v>90</v>
      </c>
      <c r="C128" s="17" t="s">
        <v>94</v>
      </c>
      <c r="D128" s="17" t="s">
        <v>95</v>
      </c>
      <c r="E128" s="18" t="s">
        <v>96</v>
      </c>
      <c r="F128" t="str">
        <f>'Source Table'!$B$16</f>
        <v>Irbid</v>
      </c>
      <c r="G128" s="15" t="str">
        <f>'Source Table'!$E$16</f>
        <v>إربد</v>
      </c>
      <c r="H128" s="28">
        <v>6.46</v>
      </c>
      <c r="I128">
        <v>2021</v>
      </c>
    </row>
    <row r="129" ht="15" spans="1:9">
      <c r="A129" t="s">
        <v>89</v>
      </c>
      <c r="B129" t="s">
        <v>90</v>
      </c>
      <c r="C129" s="17" t="s">
        <v>94</v>
      </c>
      <c r="D129" s="17" t="s">
        <v>95</v>
      </c>
      <c r="E129" s="18" t="s">
        <v>96</v>
      </c>
      <c r="F129" t="str">
        <f>'Source Table'!$B$17</f>
        <v>West Irbid</v>
      </c>
      <c r="G129" s="15" t="str">
        <f>'Source Table'!$E$17</f>
        <v>غرب إربد</v>
      </c>
      <c r="H129" s="28">
        <v>1.88</v>
      </c>
      <c r="I129">
        <v>2021</v>
      </c>
    </row>
    <row r="130" ht="15" spans="1:9">
      <c r="A130" t="s">
        <v>89</v>
      </c>
      <c r="B130" t="s">
        <v>90</v>
      </c>
      <c r="C130" s="17" t="s">
        <v>94</v>
      </c>
      <c r="D130" s="17" t="s">
        <v>95</v>
      </c>
      <c r="E130" s="18" t="s">
        <v>96</v>
      </c>
      <c r="F130" t="str">
        <f>'Source Table'!$B$18</f>
        <v>Mafraq</v>
      </c>
      <c r="G130" s="15" t="str">
        <f>'Source Table'!$E$18</f>
        <v>المفرق</v>
      </c>
      <c r="H130" s="28">
        <v>3.72</v>
      </c>
      <c r="I130">
        <v>2021</v>
      </c>
    </row>
    <row r="131" ht="15" spans="1:9">
      <c r="A131" t="s">
        <v>89</v>
      </c>
      <c r="B131" t="s">
        <v>90</v>
      </c>
      <c r="C131" s="17" t="s">
        <v>94</v>
      </c>
      <c r="D131" s="17" t="s">
        <v>95</v>
      </c>
      <c r="E131" s="18" t="s">
        <v>96</v>
      </c>
      <c r="F131" t="str">
        <f>'Source Table'!$B$19</f>
        <v>Jarash</v>
      </c>
      <c r="G131" s="15" t="str">
        <f>'Source Table'!$E$19</f>
        <v>جرش</v>
      </c>
      <c r="H131" s="28">
        <v>3.38</v>
      </c>
      <c r="I131">
        <v>2021</v>
      </c>
    </row>
    <row r="132" ht="15" spans="1:9">
      <c r="A132" t="s">
        <v>89</v>
      </c>
      <c r="B132" t="s">
        <v>90</v>
      </c>
      <c r="C132" s="17" t="s">
        <v>94</v>
      </c>
      <c r="D132" s="17" t="s">
        <v>95</v>
      </c>
      <c r="E132" s="18" t="s">
        <v>96</v>
      </c>
      <c r="F132" t="str">
        <f>'Source Table'!$B$20</f>
        <v>Ajlun</v>
      </c>
      <c r="G132" s="15" t="str">
        <f>'Source Table'!$E$20</f>
        <v>عجلون</v>
      </c>
      <c r="H132" s="28">
        <v>1.79</v>
      </c>
      <c r="I132">
        <v>2021</v>
      </c>
    </row>
    <row r="133" ht="15" spans="1:9">
      <c r="A133" t="s">
        <v>89</v>
      </c>
      <c r="B133" t="s">
        <v>90</v>
      </c>
      <c r="C133" s="17" t="s">
        <v>94</v>
      </c>
      <c r="D133" s="17" t="s">
        <v>95</v>
      </c>
      <c r="E133" s="18" t="s">
        <v>96</v>
      </c>
      <c r="F133" s="18" t="str">
        <f>'Source Table'!$B$21</f>
        <v>Al Ramtha</v>
      </c>
      <c r="G133" s="22" t="str">
        <f>'Source Table'!$E$21</f>
        <v>الرمثا</v>
      </c>
      <c r="H133" s="28">
        <v>2.36</v>
      </c>
      <c r="I133">
        <v>2021</v>
      </c>
    </row>
    <row r="134" ht="15" spans="1:9">
      <c r="A134" t="s">
        <v>89</v>
      </c>
      <c r="B134" t="s">
        <v>90</v>
      </c>
      <c r="C134" s="17" t="s">
        <v>94</v>
      </c>
      <c r="D134" s="17" t="s">
        <v>95</v>
      </c>
      <c r="E134" s="18" t="s">
        <v>96</v>
      </c>
      <c r="F134" s="18" t="str">
        <f>'Source Table'!$B$22</f>
        <v>Karak</v>
      </c>
      <c r="G134" s="22" t="str">
        <f>'Source Table'!$E$22</f>
        <v>الكرك</v>
      </c>
      <c r="H134" s="28">
        <v>2.3</v>
      </c>
      <c r="I134">
        <v>2021</v>
      </c>
    </row>
    <row r="135" ht="15" spans="1:9">
      <c r="A135" t="s">
        <v>89</v>
      </c>
      <c r="B135" t="s">
        <v>90</v>
      </c>
      <c r="C135" s="17" t="s">
        <v>94</v>
      </c>
      <c r="D135" s="17" t="s">
        <v>95</v>
      </c>
      <c r="E135" s="18" t="s">
        <v>96</v>
      </c>
      <c r="F135" s="18" t="str">
        <f>'Source Table'!$B$23</f>
        <v>Tafiela</v>
      </c>
      <c r="G135" s="22" t="str">
        <f>'Source Table'!$E$23</f>
        <v>الطفيلة</v>
      </c>
      <c r="H135" s="28">
        <v>0.97</v>
      </c>
      <c r="I135">
        <v>2021</v>
      </c>
    </row>
    <row r="136" ht="15" spans="1:9">
      <c r="A136" t="s">
        <v>89</v>
      </c>
      <c r="B136" t="s">
        <v>90</v>
      </c>
      <c r="C136" s="17" t="s">
        <v>94</v>
      </c>
      <c r="D136" s="17" t="s">
        <v>95</v>
      </c>
      <c r="E136" s="18" t="s">
        <v>96</v>
      </c>
      <c r="F136" s="18" t="str">
        <f>'Source Table'!$B$24</f>
        <v>Maan</v>
      </c>
      <c r="G136" s="22" t="str">
        <f>'Source Table'!$E$24</f>
        <v>معان</v>
      </c>
      <c r="H136" s="28">
        <v>1.99</v>
      </c>
      <c r="I136">
        <v>2021</v>
      </c>
    </row>
    <row r="137" ht="15" spans="1:9">
      <c r="A137" t="s">
        <v>89</v>
      </c>
      <c r="B137" t="s">
        <v>90</v>
      </c>
      <c r="C137" s="17" t="s">
        <v>94</v>
      </c>
      <c r="D137" s="17" t="s">
        <v>95</v>
      </c>
      <c r="E137" s="18" t="s">
        <v>96</v>
      </c>
      <c r="F137" s="18" t="str">
        <f>'Source Table'!$B$25</f>
        <v>West Maan</v>
      </c>
      <c r="G137" s="22" t="str">
        <f>'Source Table'!$E$25</f>
        <v>غرب معان</v>
      </c>
      <c r="H137" s="28">
        <v>0.06</v>
      </c>
      <c r="I137">
        <v>2021</v>
      </c>
    </row>
    <row r="138" ht="15" spans="1:9">
      <c r="A138" t="s">
        <v>89</v>
      </c>
      <c r="B138" t="s">
        <v>90</v>
      </c>
      <c r="C138" s="17" t="s">
        <v>94</v>
      </c>
      <c r="D138" s="17" t="s">
        <v>95</v>
      </c>
      <c r="E138" s="18" t="s">
        <v>96</v>
      </c>
      <c r="F138" s="18" t="str">
        <f>'Source Table'!$B$26</f>
        <v>Aqaba</v>
      </c>
      <c r="G138" s="22" t="str">
        <f>'Source Table'!$E$26</f>
        <v>العقبة</v>
      </c>
      <c r="H138" s="28">
        <v>5.8</v>
      </c>
      <c r="I138">
        <v>2021</v>
      </c>
    </row>
    <row r="139" ht="15" spans="1:9">
      <c r="A139" t="s">
        <v>89</v>
      </c>
      <c r="B139" t="s">
        <v>90</v>
      </c>
      <c r="C139" s="17" t="s">
        <v>94</v>
      </c>
      <c r="D139" s="17" t="s">
        <v>95</v>
      </c>
      <c r="E139" s="18" t="s">
        <v>96</v>
      </c>
      <c r="F139" s="18" t="str">
        <f>'Source Table'!$B$27</f>
        <v>North Bedouin</v>
      </c>
      <c r="G139" s="22" t="str">
        <f>'Source Table'!$E$27</f>
        <v>البادية الشمالية</v>
      </c>
      <c r="H139" s="28">
        <v>0.79</v>
      </c>
      <c r="I139">
        <v>2021</v>
      </c>
    </row>
    <row r="140" ht="15" spans="1:9">
      <c r="A140" t="s">
        <v>89</v>
      </c>
      <c r="B140" t="s">
        <v>90</v>
      </c>
      <c r="C140" s="17" t="s">
        <v>94</v>
      </c>
      <c r="D140" s="17" t="s">
        <v>95</v>
      </c>
      <c r="E140" s="18" t="s">
        <v>96</v>
      </c>
      <c r="F140" s="18" t="str">
        <f>'Source Table'!$B$28</f>
        <v>Middle Bedouin</v>
      </c>
      <c r="G140" s="22" t="str">
        <f>'Source Table'!$E$28</f>
        <v>البادية الوسطى</v>
      </c>
      <c r="H140" s="28">
        <v>3.5</v>
      </c>
      <c r="I140">
        <v>2021</v>
      </c>
    </row>
    <row r="141" ht="15" spans="1:9">
      <c r="A141" t="s">
        <v>89</v>
      </c>
      <c r="B141" t="s">
        <v>90</v>
      </c>
      <c r="C141" s="17" t="s">
        <v>94</v>
      </c>
      <c r="D141" s="17" t="s">
        <v>95</v>
      </c>
      <c r="E141" s="18" t="s">
        <v>96</v>
      </c>
      <c r="F141" s="18" t="str">
        <f>'Source Table'!$B$29</f>
        <v>South Bedouin</v>
      </c>
      <c r="G141" s="22" t="str">
        <f>'Source Table'!$E$29</f>
        <v>البادية الجنوبية</v>
      </c>
      <c r="H141" s="28">
        <v>0.02</v>
      </c>
      <c r="I141">
        <v>2021</v>
      </c>
    </row>
    <row r="142" ht="15" spans="1:9">
      <c r="A142" t="s">
        <v>89</v>
      </c>
      <c r="B142" t="s">
        <v>90</v>
      </c>
      <c r="C142" s="17" t="s">
        <v>91</v>
      </c>
      <c r="D142" s="17" t="s">
        <v>92</v>
      </c>
      <c r="E142" s="18" t="s">
        <v>93</v>
      </c>
      <c r="F142" t="str">
        <f>'Source Table'!$B$7</f>
        <v>Middle Amman</v>
      </c>
      <c r="G142" s="15" t="str">
        <f>'Source Table'!$E$7</f>
        <v>وسط عمان</v>
      </c>
      <c r="H142" s="29">
        <v>1728</v>
      </c>
      <c r="I142">
        <v>2020</v>
      </c>
    </row>
    <row r="143" ht="15" spans="1:9">
      <c r="A143" t="s">
        <v>89</v>
      </c>
      <c r="B143" t="s">
        <v>90</v>
      </c>
      <c r="C143" s="17" t="s">
        <v>91</v>
      </c>
      <c r="D143" s="17" t="s">
        <v>92</v>
      </c>
      <c r="E143" s="18" t="s">
        <v>93</v>
      </c>
      <c r="F143" t="str">
        <f>'Source Table'!$B$8</f>
        <v>South Amman</v>
      </c>
      <c r="G143" s="15" t="str">
        <f>'Source Table'!$E$8</f>
        <v>جنوب عمان</v>
      </c>
      <c r="H143" s="29">
        <v>1805</v>
      </c>
      <c r="I143">
        <v>2020</v>
      </c>
    </row>
    <row r="144" ht="15" spans="1:9">
      <c r="A144" t="s">
        <v>89</v>
      </c>
      <c r="B144" t="s">
        <v>90</v>
      </c>
      <c r="C144" s="17" t="s">
        <v>91</v>
      </c>
      <c r="D144" s="17" t="s">
        <v>92</v>
      </c>
      <c r="E144" s="18" t="s">
        <v>93</v>
      </c>
      <c r="F144" t="str">
        <f>'Source Table'!$B$9</f>
        <v>North Amman</v>
      </c>
      <c r="G144" s="15" t="str">
        <f>'Source Table'!$E$9</f>
        <v>شمال عمان</v>
      </c>
      <c r="H144" s="29">
        <v>1720</v>
      </c>
      <c r="I144">
        <v>2020</v>
      </c>
    </row>
    <row r="145" ht="15" spans="1:9">
      <c r="A145" t="s">
        <v>89</v>
      </c>
      <c r="B145" t="s">
        <v>90</v>
      </c>
      <c r="C145" s="17" t="s">
        <v>91</v>
      </c>
      <c r="D145" s="17" t="s">
        <v>92</v>
      </c>
      <c r="E145" s="18" t="s">
        <v>93</v>
      </c>
      <c r="F145" t="str">
        <f>'Source Table'!$B$10</f>
        <v>East Amman</v>
      </c>
      <c r="G145" s="15" t="str">
        <f>'Source Table'!$E$10</f>
        <v>شرق عمان</v>
      </c>
      <c r="H145" s="29">
        <v>3313</v>
      </c>
      <c r="I145">
        <v>2020</v>
      </c>
    </row>
    <row r="146" ht="15" spans="1:9">
      <c r="A146" t="s">
        <v>89</v>
      </c>
      <c r="B146" t="s">
        <v>90</v>
      </c>
      <c r="C146" s="17" t="s">
        <v>91</v>
      </c>
      <c r="D146" s="17" t="s">
        <v>92</v>
      </c>
      <c r="E146" s="18" t="s">
        <v>93</v>
      </c>
      <c r="F146" t="str">
        <f>'Source Table'!$B$11</f>
        <v>Zarqa</v>
      </c>
      <c r="G146" s="15" t="str">
        <f>'Source Table'!$E$11</f>
        <v>الزرقاء</v>
      </c>
      <c r="H146" s="30">
        <v>1922</v>
      </c>
      <c r="I146">
        <v>2020</v>
      </c>
    </row>
    <row r="147" ht="15" spans="1:9">
      <c r="A147" t="s">
        <v>89</v>
      </c>
      <c r="B147" t="s">
        <v>90</v>
      </c>
      <c r="C147" s="17" t="s">
        <v>91</v>
      </c>
      <c r="D147" s="17" t="s">
        <v>92</v>
      </c>
      <c r="E147" s="18" t="s">
        <v>93</v>
      </c>
      <c r="F147" t="str">
        <f>'Source Table'!$B$12</f>
        <v>Balqa</v>
      </c>
      <c r="G147" s="15" t="str">
        <f>'Source Table'!$E$12</f>
        <v>البلقاء</v>
      </c>
      <c r="H147" s="30">
        <v>1003</v>
      </c>
      <c r="I147">
        <v>2020</v>
      </c>
    </row>
    <row r="148" ht="15" spans="1:9">
      <c r="A148" t="s">
        <v>89</v>
      </c>
      <c r="B148" t="s">
        <v>90</v>
      </c>
      <c r="C148" s="17" t="s">
        <v>91</v>
      </c>
      <c r="D148" s="17" t="s">
        <v>92</v>
      </c>
      <c r="E148" s="18" t="s">
        <v>93</v>
      </c>
      <c r="F148" t="str">
        <f>'Source Table'!$B$13</f>
        <v>Madaba</v>
      </c>
      <c r="G148" s="15" t="str">
        <f>'Source Table'!$E$13</f>
        <v>مادبا</v>
      </c>
      <c r="H148" s="30">
        <v>426</v>
      </c>
      <c r="I148">
        <v>2020</v>
      </c>
    </row>
    <row r="149" ht="15" spans="1:9">
      <c r="A149" t="s">
        <v>89</v>
      </c>
      <c r="B149" t="s">
        <v>90</v>
      </c>
      <c r="C149" s="17" t="s">
        <v>91</v>
      </c>
      <c r="D149" s="17" t="s">
        <v>92</v>
      </c>
      <c r="E149" s="18" t="s">
        <v>93</v>
      </c>
      <c r="F149" t="str">
        <f>'Source Table'!$B$14</f>
        <v>Al-Russaifa</v>
      </c>
      <c r="G149" s="15" t="str">
        <f>'Source Table'!$E$14</f>
        <v>الرصيفة</v>
      </c>
      <c r="H149" s="30">
        <v>836</v>
      </c>
      <c r="I149">
        <v>2020</v>
      </c>
    </row>
    <row r="150" ht="15" spans="1:9">
      <c r="A150" t="s">
        <v>89</v>
      </c>
      <c r="B150" t="s">
        <v>90</v>
      </c>
      <c r="C150" s="17" t="s">
        <v>91</v>
      </c>
      <c r="D150" s="17" t="s">
        <v>92</v>
      </c>
      <c r="E150" s="18" t="s">
        <v>93</v>
      </c>
      <c r="F150" t="str">
        <f>'Source Table'!$B$15</f>
        <v>West Balqa</v>
      </c>
      <c r="G150" s="15" t="str">
        <f>'Source Table'!$E$15</f>
        <v>غرب البلقاء</v>
      </c>
      <c r="H150" s="30">
        <v>410</v>
      </c>
      <c r="I150">
        <v>2020</v>
      </c>
    </row>
    <row r="151" ht="15" spans="1:9">
      <c r="A151" t="s">
        <v>89</v>
      </c>
      <c r="B151" t="s">
        <v>90</v>
      </c>
      <c r="C151" s="17" t="s">
        <v>91</v>
      </c>
      <c r="D151" s="17" t="s">
        <v>92</v>
      </c>
      <c r="E151" s="18" t="s">
        <v>93</v>
      </c>
      <c r="F151" t="str">
        <f>'Source Table'!$B$16</f>
        <v>Irbid</v>
      </c>
      <c r="G151" s="15" t="str">
        <f>'Source Table'!$E$16</f>
        <v>إربد</v>
      </c>
      <c r="H151" s="31">
        <v>1487</v>
      </c>
      <c r="I151">
        <v>2020</v>
      </c>
    </row>
    <row r="152" ht="15" spans="1:9">
      <c r="A152" t="s">
        <v>89</v>
      </c>
      <c r="B152" t="s">
        <v>90</v>
      </c>
      <c r="C152" s="17" t="s">
        <v>91</v>
      </c>
      <c r="D152" s="17" t="s">
        <v>92</v>
      </c>
      <c r="E152" s="18" t="s">
        <v>93</v>
      </c>
      <c r="F152" t="str">
        <f>'Source Table'!$B$17</f>
        <v>West Irbid</v>
      </c>
      <c r="G152" s="15" t="str">
        <f>'Source Table'!$E$17</f>
        <v>غرب إربد</v>
      </c>
      <c r="H152" s="31">
        <v>463</v>
      </c>
      <c r="I152">
        <v>2020</v>
      </c>
    </row>
    <row r="153" ht="15" spans="1:9">
      <c r="A153" t="s">
        <v>89</v>
      </c>
      <c r="B153" t="s">
        <v>90</v>
      </c>
      <c r="C153" s="17" t="s">
        <v>91</v>
      </c>
      <c r="D153" s="17" t="s">
        <v>92</v>
      </c>
      <c r="E153" s="18" t="s">
        <v>93</v>
      </c>
      <c r="F153" t="str">
        <f>'Source Table'!$B$18</f>
        <v>Mafraq</v>
      </c>
      <c r="G153" s="15" t="str">
        <f>'Source Table'!$E$18</f>
        <v>المفرق</v>
      </c>
      <c r="H153" s="30">
        <v>817</v>
      </c>
      <c r="I153">
        <v>2020</v>
      </c>
    </row>
    <row r="154" ht="15" spans="1:9">
      <c r="A154" t="s">
        <v>89</v>
      </c>
      <c r="B154" t="s">
        <v>90</v>
      </c>
      <c r="C154" s="17" t="s">
        <v>91</v>
      </c>
      <c r="D154" s="17" t="s">
        <v>92</v>
      </c>
      <c r="E154" s="18" t="s">
        <v>93</v>
      </c>
      <c r="F154" t="str">
        <f>'Source Table'!$B$19</f>
        <v>Jarash</v>
      </c>
      <c r="G154" s="15" t="str">
        <f>'Source Table'!$E$19</f>
        <v>جرش</v>
      </c>
      <c r="H154" s="30">
        <v>397</v>
      </c>
      <c r="I154">
        <v>2020</v>
      </c>
    </row>
    <row r="155" ht="15" spans="1:9">
      <c r="A155" t="s">
        <v>89</v>
      </c>
      <c r="B155" t="s">
        <v>90</v>
      </c>
      <c r="C155" s="17" t="s">
        <v>91</v>
      </c>
      <c r="D155" s="17" t="s">
        <v>92</v>
      </c>
      <c r="E155" s="18" t="s">
        <v>93</v>
      </c>
      <c r="F155" t="str">
        <f>'Source Table'!$B$20</f>
        <v>Ajlun</v>
      </c>
      <c r="G155" s="15" t="str">
        <f>'Source Table'!$E$20</f>
        <v>عجلون</v>
      </c>
      <c r="H155" s="30">
        <v>369</v>
      </c>
      <c r="I155">
        <v>2020</v>
      </c>
    </row>
    <row r="156" ht="15" spans="1:9">
      <c r="A156" t="s">
        <v>89</v>
      </c>
      <c r="B156" t="s">
        <v>90</v>
      </c>
      <c r="C156" s="17" t="s">
        <v>91</v>
      </c>
      <c r="D156" s="17" t="s">
        <v>92</v>
      </c>
      <c r="E156" s="18" t="s">
        <v>93</v>
      </c>
      <c r="F156" s="18" t="str">
        <f>'Source Table'!$B$21</f>
        <v>Al Ramtha</v>
      </c>
      <c r="G156" s="22" t="str">
        <f>'Source Table'!$E$21</f>
        <v>الرمثا</v>
      </c>
      <c r="H156" s="30">
        <v>634</v>
      </c>
      <c r="I156">
        <v>2020</v>
      </c>
    </row>
    <row r="157" ht="15" spans="1:9">
      <c r="A157" t="s">
        <v>89</v>
      </c>
      <c r="B157" t="s">
        <v>90</v>
      </c>
      <c r="C157" s="17" t="s">
        <v>91</v>
      </c>
      <c r="D157" s="17" t="s">
        <v>92</v>
      </c>
      <c r="E157" s="18" t="s">
        <v>93</v>
      </c>
      <c r="F157" s="18" t="str">
        <f>'Source Table'!$B$22</f>
        <v>Karak</v>
      </c>
      <c r="G157" s="22" t="str">
        <f>'Source Table'!$E$22</f>
        <v>الكرك</v>
      </c>
      <c r="H157" s="29">
        <v>564</v>
      </c>
      <c r="I157">
        <v>2020</v>
      </c>
    </row>
    <row r="158" ht="15" spans="1:9">
      <c r="A158" t="s">
        <v>89</v>
      </c>
      <c r="B158" t="s">
        <v>90</v>
      </c>
      <c r="C158" s="17" t="s">
        <v>91</v>
      </c>
      <c r="D158" s="17" t="s">
        <v>92</v>
      </c>
      <c r="E158" s="18" t="s">
        <v>93</v>
      </c>
      <c r="F158" s="18" t="str">
        <f>'Source Table'!$B$23</f>
        <v>Tafiela</v>
      </c>
      <c r="G158" s="22" t="str">
        <f>'Source Table'!$E$23</f>
        <v>الطفيلة</v>
      </c>
      <c r="H158" s="29">
        <v>209</v>
      </c>
      <c r="I158">
        <v>2020</v>
      </c>
    </row>
    <row r="159" ht="15" spans="1:9">
      <c r="A159" t="s">
        <v>89</v>
      </c>
      <c r="B159" t="s">
        <v>90</v>
      </c>
      <c r="C159" s="17" t="s">
        <v>91</v>
      </c>
      <c r="D159" s="17" t="s">
        <v>92</v>
      </c>
      <c r="E159" s="18" t="s">
        <v>93</v>
      </c>
      <c r="F159" s="18" t="str">
        <f>'Source Table'!$B$24</f>
        <v>Maan</v>
      </c>
      <c r="G159" s="22" t="str">
        <f>'Source Table'!$E$24</f>
        <v>معان</v>
      </c>
      <c r="H159" s="29">
        <v>400</v>
      </c>
      <c r="I159">
        <v>2020</v>
      </c>
    </row>
    <row r="160" ht="15" spans="1:9">
      <c r="A160" t="s">
        <v>89</v>
      </c>
      <c r="B160" t="s">
        <v>90</v>
      </c>
      <c r="C160" s="17" t="s">
        <v>91</v>
      </c>
      <c r="D160" s="17" t="s">
        <v>92</v>
      </c>
      <c r="E160" s="18" t="s">
        <v>93</v>
      </c>
      <c r="F160" s="18" t="str">
        <f>'Source Table'!$B$25</f>
        <v>West Maan</v>
      </c>
      <c r="G160" s="22" t="str">
        <f>'Source Table'!$E$25</f>
        <v>غرب معان</v>
      </c>
      <c r="H160" s="29">
        <v>9</v>
      </c>
      <c r="I160">
        <v>2020</v>
      </c>
    </row>
    <row r="161" ht="15" spans="1:9">
      <c r="A161" t="s">
        <v>89</v>
      </c>
      <c r="B161" t="s">
        <v>90</v>
      </c>
      <c r="C161" s="17" t="s">
        <v>91</v>
      </c>
      <c r="D161" s="17" t="s">
        <v>92</v>
      </c>
      <c r="E161" s="18" t="s">
        <v>93</v>
      </c>
      <c r="F161" s="18" t="str">
        <f>'Source Table'!$B$26</f>
        <v>Aqaba</v>
      </c>
      <c r="G161" s="22" t="str">
        <f>'Source Table'!$E$26</f>
        <v>العقبة</v>
      </c>
      <c r="H161" s="30">
        <v>754</v>
      </c>
      <c r="I161">
        <v>2020</v>
      </c>
    </row>
    <row r="162" ht="15" spans="1:9">
      <c r="A162" t="s">
        <v>89</v>
      </c>
      <c r="B162" t="s">
        <v>90</v>
      </c>
      <c r="C162" s="17" t="s">
        <v>91</v>
      </c>
      <c r="D162" s="17" t="s">
        <v>92</v>
      </c>
      <c r="E162" s="18" t="s">
        <v>93</v>
      </c>
      <c r="F162" s="18" t="str">
        <f>'Source Table'!$B$27</f>
        <v>North Bedouin</v>
      </c>
      <c r="G162" s="22" t="str">
        <f>'Source Table'!$E$27</f>
        <v>البادية الشمالية</v>
      </c>
      <c r="H162" s="29">
        <v>106</v>
      </c>
      <c r="I162">
        <v>2020</v>
      </c>
    </row>
    <row r="163" ht="15" spans="1:9">
      <c r="A163" t="s">
        <v>89</v>
      </c>
      <c r="B163" t="s">
        <v>90</v>
      </c>
      <c r="C163" s="17" t="s">
        <v>91</v>
      </c>
      <c r="D163" s="17" t="s">
        <v>92</v>
      </c>
      <c r="E163" s="18" t="s">
        <v>93</v>
      </c>
      <c r="F163" s="18" t="str">
        <f>'Source Table'!$B$28</f>
        <v>Middle Bedouin</v>
      </c>
      <c r="G163" s="22" t="str">
        <f>'Source Table'!$E$28</f>
        <v>البادية الوسطى</v>
      </c>
      <c r="H163" s="29">
        <v>678</v>
      </c>
      <c r="I163">
        <v>2020</v>
      </c>
    </row>
    <row r="164" ht="15" spans="1:9">
      <c r="A164" t="s">
        <v>89</v>
      </c>
      <c r="B164" t="s">
        <v>90</v>
      </c>
      <c r="C164" s="17" t="s">
        <v>91</v>
      </c>
      <c r="D164" s="17" t="s">
        <v>92</v>
      </c>
      <c r="E164" s="18" t="s">
        <v>93</v>
      </c>
      <c r="F164" s="18" t="str">
        <f>'Source Table'!$B$29</f>
        <v>South Bedouin</v>
      </c>
      <c r="G164" s="22" t="str">
        <f>'Source Table'!$E$29</f>
        <v>البادية الجنوبية</v>
      </c>
      <c r="H164" s="29">
        <v>5</v>
      </c>
      <c r="I164">
        <v>2020</v>
      </c>
    </row>
    <row r="165" ht="15" spans="1:9">
      <c r="A165" t="s">
        <v>89</v>
      </c>
      <c r="B165" t="s">
        <v>90</v>
      </c>
      <c r="C165" s="17" t="s">
        <v>94</v>
      </c>
      <c r="D165" s="17" t="s">
        <v>95</v>
      </c>
      <c r="E165" s="18" t="s">
        <v>96</v>
      </c>
      <c r="F165" t="str">
        <f>'Source Table'!$B$7</f>
        <v>Middle Amman</v>
      </c>
      <c r="G165" s="15" t="str">
        <f>'Source Table'!$E$7</f>
        <v>وسط عمان</v>
      </c>
      <c r="H165" s="29">
        <v>1728</v>
      </c>
      <c r="I165">
        <v>2020</v>
      </c>
    </row>
    <row r="166" ht="15" spans="1:9">
      <c r="A166" t="s">
        <v>89</v>
      </c>
      <c r="B166" t="s">
        <v>90</v>
      </c>
      <c r="C166" s="17" t="s">
        <v>94</v>
      </c>
      <c r="D166" s="17" t="s">
        <v>95</v>
      </c>
      <c r="E166" s="18" t="s">
        <v>96</v>
      </c>
      <c r="F166" t="str">
        <f>'Source Table'!$B$8</f>
        <v>South Amman</v>
      </c>
      <c r="G166" s="15" t="str">
        <f>'Source Table'!$E$8</f>
        <v>جنوب عمان</v>
      </c>
      <c r="H166" s="29">
        <v>1805</v>
      </c>
      <c r="I166">
        <v>2020</v>
      </c>
    </row>
    <row r="167" ht="15" spans="1:9">
      <c r="A167" t="s">
        <v>89</v>
      </c>
      <c r="B167" t="s">
        <v>90</v>
      </c>
      <c r="C167" s="17" t="s">
        <v>94</v>
      </c>
      <c r="D167" s="17" t="s">
        <v>95</v>
      </c>
      <c r="E167" s="18" t="s">
        <v>96</v>
      </c>
      <c r="F167" t="str">
        <f>'Source Table'!$B$9</f>
        <v>North Amman</v>
      </c>
      <c r="G167" s="15" t="str">
        <f>'Source Table'!$E$9</f>
        <v>شمال عمان</v>
      </c>
      <c r="H167" s="29">
        <v>1720</v>
      </c>
      <c r="I167">
        <v>2020</v>
      </c>
    </row>
    <row r="168" ht="15" spans="1:9">
      <c r="A168" t="s">
        <v>89</v>
      </c>
      <c r="B168" t="s">
        <v>90</v>
      </c>
      <c r="C168" s="17" t="s">
        <v>94</v>
      </c>
      <c r="D168" s="17" t="s">
        <v>95</v>
      </c>
      <c r="E168" s="18" t="s">
        <v>96</v>
      </c>
      <c r="F168" t="str">
        <f>'Source Table'!$B$10</f>
        <v>East Amman</v>
      </c>
      <c r="G168" s="15" t="str">
        <f>'Source Table'!$E$10</f>
        <v>شرق عمان</v>
      </c>
      <c r="H168" s="29">
        <v>3313</v>
      </c>
      <c r="I168">
        <v>2020</v>
      </c>
    </row>
    <row r="169" ht="15" spans="1:9">
      <c r="A169" t="s">
        <v>89</v>
      </c>
      <c r="B169" t="s">
        <v>90</v>
      </c>
      <c r="C169" s="17" t="s">
        <v>94</v>
      </c>
      <c r="D169" s="17" t="s">
        <v>95</v>
      </c>
      <c r="E169" s="18" t="s">
        <v>96</v>
      </c>
      <c r="F169" t="str">
        <f>'Source Table'!$B$11</f>
        <v>Zarqa</v>
      </c>
      <c r="G169" s="15" t="str">
        <f>'Source Table'!$E$11</f>
        <v>الزرقاء</v>
      </c>
      <c r="H169" s="30">
        <v>1922</v>
      </c>
      <c r="I169">
        <v>2020</v>
      </c>
    </row>
    <row r="170" ht="15" spans="1:9">
      <c r="A170" t="s">
        <v>89</v>
      </c>
      <c r="B170" t="s">
        <v>90</v>
      </c>
      <c r="C170" s="17" t="s">
        <v>94</v>
      </c>
      <c r="D170" s="17" t="s">
        <v>95</v>
      </c>
      <c r="E170" s="18" t="s">
        <v>96</v>
      </c>
      <c r="F170" t="str">
        <f>'Source Table'!$B$12</f>
        <v>Balqa</v>
      </c>
      <c r="G170" s="15" t="str">
        <f>'Source Table'!$E$12</f>
        <v>البلقاء</v>
      </c>
      <c r="H170" s="30">
        <v>1003</v>
      </c>
      <c r="I170">
        <v>2020</v>
      </c>
    </row>
    <row r="171" ht="15" spans="1:9">
      <c r="A171" t="s">
        <v>89</v>
      </c>
      <c r="B171" t="s">
        <v>90</v>
      </c>
      <c r="C171" s="17" t="s">
        <v>94</v>
      </c>
      <c r="D171" s="17" t="s">
        <v>95</v>
      </c>
      <c r="E171" s="18" t="s">
        <v>96</v>
      </c>
      <c r="F171" t="str">
        <f>'Source Table'!$B$13</f>
        <v>Madaba</v>
      </c>
      <c r="G171" s="15" t="str">
        <f>'Source Table'!$E$13</f>
        <v>مادبا</v>
      </c>
      <c r="H171" s="30">
        <v>426</v>
      </c>
      <c r="I171">
        <v>2020</v>
      </c>
    </row>
    <row r="172" ht="15" spans="1:9">
      <c r="A172" t="s">
        <v>89</v>
      </c>
      <c r="B172" t="s">
        <v>90</v>
      </c>
      <c r="C172" s="17" t="s">
        <v>94</v>
      </c>
      <c r="D172" s="17" t="s">
        <v>95</v>
      </c>
      <c r="E172" s="18" t="s">
        <v>96</v>
      </c>
      <c r="F172" t="str">
        <f>'Source Table'!$B$14</f>
        <v>Al-Russaifa</v>
      </c>
      <c r="G172" s="15" t="str">
        <f>'Source Table'!$E$14</f>
        <v>الرصيفة</v>
      </c>
      <c r="H172" s="30">
        <v>836</v>
      </c>
      <c r="I172">
        <v>2020</v>
      </c>
    </row>
    <row r="173" ht="15" spans="1:9">
      <c r="A173" t="s">
        <v>89</v>
      </c>
      <c r="B173" t="s">
        <v>90</v>
      </c>
      <c r="C173" s="17" t="s">
        <v>94</v>
      </c>
      <c r="D173" s="17" t="s">
        <v>95</v>
      </c>
      <c r="E173" s="18" t="s">
        <v>96</v>
      </c>
      <c r="F173" t="str">
        <f>'Source Table'!$B$15</f>
        <v>West Balqa</v>
      </c>
      <c r="G173" s="15" t="str">
        <f>'Source Table'!$E$15</f>
        <v>غرب البلقاء</v>
      </c>
      <c r="H173" s="30">
        <v>410</v>
      </c>
      <c r="I173">
        <v>2020</v>
      </c>
    </row>
    <row r="174" ht="15" spans="1:9">
      <c r="A174" t="s">
        <v>89</v>
      </c>
      <c r="B174" t="s">
        <v>90</v>
      </c>
      <c r="C174" s="17" t="s">
        <v>94</v>
      </c>
      <c r="D174" s="17" t="s">
        <v>95</v>
      </c>
      <c r="E174" s="18" t="s">
        <v>96</v>
      </c>
      <c r="F174" t="str">
        <f>'Source Table'!$B$16</f>
        <v>Irbid</v>
      </c>
      <c r="G174" s="15" t="str">
        <f>'Source Table'!$E$16</f>
        <v>إربد</v>
      </c>
      <c r="H174" s="29">
        <v>1487</v>
      </c>
      <c r="I174">
        <v>2020</v>
      </c>
    </row>
    <row r="175" ht="15" spans="1:9">
      <c r="A175" t="s">
        <v>89</v>
      </c>
      <c r="B175" t="s">
        <v>90</v>
      </c>
      <c r="C175" s="17" t="s">
        <v>94</v>
      </c>
      <c r="D175" s="17" t="s">
        <v>95</v>
      </c>
      <c r="E175" s="18" t="s">
        <v>96</v>
      </c>
      <c r="F175" t="str">
        <f>'Source Table'!$B$17</f>
        <v>West Irbid</v>
      </c>
      <c r="G175" s="15" t="str">
        <f>'Source Table'!$E$17</f>
        <v>غرب إربد</v>
      </c>
      <c r="H175" s="29">
        <v>463</v>
      </c>
      <c r="I175">
        <v>2020</v>
      </c>
    </row>
    <row r="176" ht="15" spans="1:9">
      <c r="A176" t="s">
        <v>89</v>
      </c>
      <c r="B176" t="s">
        <v>90</v>
      </c>
      <c r="C176" s="17" t="s">
        <v>94</v>
      </c>
      <c r="D176" s="17" t="s">
        <v>95</v>
      </c>
      <c r="E176" s="18" t="s">
        <v>96</v>
      </c>
      <c r="F176" t="str">
        <f>'Source Table'!$B$18</f>
        <v>Mafraq</v>
      </c>
      <c r="G176" s="15" t="str">
        <f>'Source Table'!$E$18</f>
        <v>المفرق</v>
      </c>
      <c r="H176" s="30">
        <v>817</v>
      </c>
      <c r="I176">
        <v>2020</v>
      </c>
    </row>
    <row r="177" ht="15" spans="1:9">
      <c r="A177" t="s">
        <v>89</v>
      </c>
      <c r="B177" t="s">
        <v>90</v>
      </c>
      <c r="C177" s="17" t="s">
        <v>94</v>
      </c>
      <c r="D177" s="17" t="s">
        <v>95</v>
      </c>
      <c r="E177" s="18" t="s">
        <v>96</v>
      </c>
      <c r="F177" t="str">
        <f>'Source Table'!$B$19</f>
        <v>Jarash</v>
      </c>
      <c r="G177" s="15" t="str">
        <f>'Source Table'!$E$19</f>
        <v>جرش</v>
      </c>
      <c r="H177" s="29">
        <v>397</v>
      </c>
      <c r="I177">
        <v>2020</v>
      </c>
    </row>
    <row r="178" ht="15" spans="1:9">
      <c r="A178" t="s">
        <v>89</v>
      </c>
      <c r="B178" t="s">
        <v>90</v>
      </c>
      <c r="C178" s="17" t="s">
        <v>94</v>
      </c>
      <c r="D178" s="17" t="s">
        <v>95</v>
      </c>
      <c r="E178" s="18" t="s">
        <v>96</v>
      </c>
      <c r="F178" t="str">
        <f>'Source Table'!$B$20</f>
        <v>Ajlun</v>
      </c>
      <c r="G178" s="15" t="str">
        <f>'Source Table'!$E$20</f>
        <v>عجلون</v>
      </c>
      <c r="H178" s="29">
        <v>369</v>
      </c>
      <c r="I178">
        <v>2020</v>
      </c>
    </row>
    <row r="179" ht="15" spans="1:9">
      <c r="A179" t="s">
        <v>89</v>
      </c>
      <c r="B179" t="s">
        <v>90</v>
      </c>
      <c r="C179" s="17" t="s">
        <v>94</v>
      </c>
      <c r="D179" s="17" t="s">
        <v>95</v>
      </c>
      <c r="E179" s="18" t="s">
        <v>96</v>
      </c>
      <c r="F179" s="18" t="str">
        <f>'Source Table'!$B$21</f>
        <v>Al Ramtha</v>
      </c>
      <c r="G179" s="22" t="str">
        <f>'Source Table'!$E$21</f>
        <v>الرمثا</v>
      </c>
      <c r="H179" s="29">
        <v>634</v>
      </c>
      <c r="I179">
        <v>2020</v>
      </c>
    </row>
    <row r="180" ht="15" spans="1:9">
      <c r="A180" t="s">
        <v>89</v>
      </c>
      <c r="B180" t="s">
        <v>90</v>
      </c>
      <c r="C180" s="17" t="s">
        <v>94</v>
      </c>
      <c r="D180" s="17" t="s">
        <v>95</v>
      </c>
      <c r="E180" s="18" t="s">
        <v>96</v>
      </c>
      <c r="F180" s="18" t="str">
        <f>'Source Table'!$B$22</f>
        <v>Karak</v>
      </c>
      <c r="G180" s="22" t="str">
        <f>'Source Table'!$E$22</f>
        <v>الكرك</v>
      </c>
      <c r="H180" s="29">
        <v>564</v>
      </c>
      <c r="I180">
        <v>2020</v>
      </c>
    </row>
    <row r="181" ht="15" spans="1:9">
      <c r="A181" t="s">
        <v>89</v>
      </c>
      <c r="B181" t="s">
        <v>90</v>
      </c>
      <c r="C181" s="17" t="s">
        <v>94</v>
      </c>
      <c r="D181" s="17" t="s">
        <v>95</v>
      </c>
      <c r="E181" s="18" t="s">
        <v>96</v>
      </c>
      <c r="F181" s="18" t="str">
        <f>'Source Table'!$B$23</f>
        <v>Tafiela</v>
      </c>
      <c r="G181" s="22" t="str">
        <f>'Source Table'!$E$23</f>
        <v>الطفيلة</v>
      </c>
      <c r="H181" s="29">
        <v>209</v>
      </c>
      <c r="I181">
        <v>2020</v>
      </c>
    </row>
    <row r="182" ht="15" spans="1:9">
      <c r="A182" t="s">
        <v>89</v>
      </c>
      <c r="B182" t="s">
        <v>90</v>
      </c>
      <c r="C182" s="17" t="s">
        <v>94</v>
      </c>
      <c r="D182" s="17" t="s">
        <v>95</v>
      </c>
      <c r="E182" s="18" t="s">
        <v>96</v>
      </c>
      <c r="F182" s="18" t="str">
        <f>'Source Table'!$B$24</f>
        <v>Maan</v>
      </c>
      <c r="G182" s="22" t="str">
        <f>'Source Table'!$E$24</f>
        <v>معان</v>
      </c>
      <c r="H182" s="29">
        <v>400</v>
      </c>
      <c r="I182">
        <v>2020</v>
      </c>
    </row>
    <row r="183" ht="15" spans="1:9">
      <c r="A183" t="s">
        <v>89</v>
      </c>
      <c r="B183" t="s">
        <v>90</v>
      </c>
      <c r="C183" s="17" t="s">
        <v>94</v>
      </c>
      <c r="D183" s="17" t="s">
        <v>95</v>
      </c>
      <c r="E183" s="18" t="s">
        <v>96</v>
      </c>
      <c r="F183" s="18" t="str">
        <f>'Source Table'!$B$25</f>
        <v>West Maan</v>
      </c>
      <c r="G183" s="22" t="str">
        <f>'Source Table'!$E$25</f>
        <v>غرب معان</v>
      </c>
      <c r="H183" s="29">
        <v>9</v>
      </c>
      <c r="I183">
        <v>2020</v>
      </c>
    </row>
    <row r="184" ht="15" spans="1:9">
      <c r="A184" t="s">
        <v>89</v>
      </c>
      <c r="B184" t="s">
        <v>90</v>
      </c>
      <c r="C184" s="17" t="s">
        <v>94</v>
      </c>
      <c r="D184" s="17" t="s">
        <v>95</v>
      </c>
      <c r="E184" s="18" t="s">
        <v>96</v>
      </c>
      <c r="F184" s="18" t="str">
        <f>'Source Table'!$B$26</f>
        <v>Aqaba</v>
      </c>
      <c r="G184" s="22" t="str">
        <f>'Source Table'!$E$26</f>
        <v>العقبة</v>
      </c>
      <c r="H184" s="29">
        <v>754</v>
      </c>
      <c r="I184">
        <v>2020</v>
      </c>
    </row>
    <row r="185" ht="15" spans="1:9">
      <c r="A185" t="s">
        <v>89</v>
      </c>
      <c r="B185" t="s">
        <v>90</v>
      </c>
      <c r="C185" s="17" t="s">
        <v>94</v>
      </c>
      <c r="D185" s="17" t="s">
        <v>95</v>
      </c>
      <c r="E185" s="18" t="s">
        <v>96</v>
      </c>
      <c r="F185" s="18" t="str">
        <f>'Source Table'!$B$27</f>
        <v>North Bedouin</v>
      </c>
      <c r="G185" s="22" t="str">
        <f>'Source Table'!$E$27</f>
        <v>البادية الشمالية</v>
      </c>
      <c r="H185" s="29">
        <v>106</v>
      </c>
      <c r="I185">
        <v>2020</v>
      </c>
    </row>
    <row r="186" ht="15" spans="1:9">
      <c r="A186" t="s">
        <v>89</v>
      </c>
      <c r="B186" t="s">
        <v>90</v>
      </c>
      <c r="C186" s="17" t="s">
        <v>94</v>
      </c>
      <c r="D186" s="17" t="s">
        <v>95</v>
      </c>
      <c r="E186" s="18" t="s">
        <v>96</v>
      </c>
      <c r="F186" s="18" t="str">
        <f>'Source Table'!$B$28</f>
        <v>Middle Bedouin</v>
      </c>
      <c r="G186" s="22" t="str">
        <f>'Source Table'!$E$28</f>
        <v>البادية الوسطى</v>
      </c>
      <c r="H186" s="29">
        <v>678</v>
      </c>
      <c r="I186">
        <v>2020</v>
      </c>
    </row>
    <row r="187" ht="15" spans="1:9">
      <c r="A187" t="s">
        <v>89</v>
      </c>
      <c r="B187" t="s">
        <v>90</v>
      </c>
      <c r="C187" s="17" t="s">
        <v>94</v>
      </c>
      <c r="D187" s="17" t="s">
        <v>95</v>
      </c>
      <c r="E187" s="18" t="s">
        <v>96</v>
      </c>
      <c r="F187" s="18" t="str">
        <f>'Source Table'!$B$29</f>
        <v>South Bedouin</v>
      </c>
      <c r="G187" s="22" t="str">
        <f>'Source Table'!$E$29</f>
        <v>البادية الجنوبية</v>
      </c>
      <c r="H187" s="29">
        <v>5</v>
      </c>
      <c r="I187">
        <v>2020</v>
      </c>
    </row>
    <row r="188" ht="21.75" spans="1:9">
      <c r="A188" t="s">
        <v>89</v>
      </c>
      <c r="B188" t="s">
        <v>90</v>
      </c>
      <c r="C188" s="17" t="s">
        <v>91</v>
      </c>
      <c r="D188" s="17" t="s">
        <v>92</v>
      </c>
      <c r="E188" s="18" t="s">
        <v>93</v>
      </c>
      <c r="F188" s="32" t="s">
        <v>24</v>
      </c>
      <c r="G188" s="33" t="s">
        <v>25</v>
      </c>
      <c r="H188" s="27">
        <v>1721</v>
      </c>
      <c r="I188">
        <v>2019</v>
      </c>
    </row>
    <row r="189" ht="21.75" spans="1:9">
      <c r="A189" t="s">
        <v>89</v>
      </c>
      <c r="B189" t="s">
        <v>90</v>
      </c>
      <c r="C189" s="17" t="s">
        <v>91</v>
      </c>
      <c r="D189" s="17" t="s">
        <v>92</v>
      </c>
      <c r="E189" s="18" t="s">
        <v>93</v>
      </c>
      <c r="F189" s="32" t="s">
        <v>26</v>
      </c>
      <c r="G189" s="33" t="s">
        <v>27</v>
      </c>
      <c r="H189" s="27">
        <v>2389</v>
      </c>
      <c r="I189">
        <v>2019</v>
      </c>
    </row>
    <row r="190" ht="21.75" spans="1:9">
      <c r="A190" t="s">
        <v>89</v>
      </c>
      <c r="B190" t="s">
        <v>90</v>
      </c>
      <c r="C190" s="17" t="s">
        <v>91</v>
      </c>
      <c r="D190" s="17" t="s">
        <v>92</v>
      </c>
      <c r="E190" s="18" t="s">
        <v>93</v>
      </c>
      <c r="F190" s="32" t="s">
        <v>28</v>
      </c>
      <c r="G190" s="33" t="s">
        <v>29</v>
      </c>
      <c r="H190" s="27">
        <v>1564</v>
      </c>
      <c r="I190">
        <v>2019</v>
      </c>
    </row>
    <row r="191" ht="21.75" spans="1:9">
      <c r="A191" t="s">
        <v>89</v>
      </c>
      <c r="B191" t="s">
        <v>90</v>
      </c>
      <c r="C191" s="17" t="s">
        <v>91</v>
      </c>
      <c r="D191" s="17" t="s">
        <v>92</v>
      </c>
      <c r="E191" s="18" t="s">
        <v>93</v>
      </c>
      <c r="F191" s="32" t="s">
        <v>97</v>
      </c>
      <c r="G191" s="33" t="s">
        <v>31</v>
      </c>
      <c r="H191" s="27">
        <v>2993</v>
      </c>
      <c r="I191">
        <v>2019</v>
      </c>
    </row>
    <row r="192" ht="21.75" spans="1:9">
      <c r="A192" t="s">
        <v>89</v>
      </c>
      <c r="B192" t="s">
        <v>90</v>
      </c>
      <c r="C192" s="17" t="s">
        <v>91</v>
      </c>
      <c r="D192" s="17" t="s">
        <v>92</v>
      </c>
      <c r="E192" s="18" t="s">
        <v>93</v>
      </c>
      <c r="F192" s="32" t="s">
        <v>34</v>
      </c>
      <c r="G192" s="33" t="s">
        <v>35</v>
      </c>
      <c r="H192" s="27">
        <v>977</v>
      </c>
      <c r="I192">
        <v>2019</v>
      </c>
    </row>
    <row r="193" ht="21.75" spans="1:9">
      <c r="A193" t="s">
        <v>89</v>
      </c>
      <c r="B193" t="s">
        <v>90</v>
      </c>
      <c r="C193" s="17" t="s">
        <v>91</v>
      </c>
      <c r="D193" s="17" t="s">
        <v>92</v>
      </c>
      <c r="E193" s="18" t="s">
        <v>93</v>
      </c>
      <c r="F193" s="32" t="s">
        <v>40</v>
      </c>
      <c r="G193" s="33" t="s">
        <v>41</v>
      </c>
      <c r="H193" s="27">
        <v>433</v>
      </c>
      <c r="I193">
        <v>2019</v>
      </c>
    </row>
    <row r="194" ht="21.75" spans="1:9">
      <c r="A194" t="s">
        <v>89</v>
      </c>
      <c r="B194" t="s">
        <v>90</v>
      </c>
      <c r="C194" s="17" t="s">
        <v>91</v>
      </c>
      <c r="D194" s="17" t="s">
        <v>92</v>
      </c>
      <c r="E194" s="18" t="s">
        <v>93</v>
      </c>
      <c r="F194" s="32" t="s">
        <v>32</v>
      </c>
      <c r="G194" s="33" t="s">
        <v>33</v>
      </c>
      <c r="H194" s="27">
        <v>1851</v>
      </c>
      <c r="I194">
        <v>2019</v>
      </c>
    </row>
    <row r="195" ht="21.75" spans="1:9">
      <c r="A195" t="s">
        <v>89</v>
      </c>
      <c r="B195" t="s">
        <v>90</v>
      </c>
      <c r="C195" s="17" t="s">
        <v>91</v>
      </c>
      <c r="D195" s="17" t="s">
        <v>92</v>
      </c>
      <c r="E195" s="18" t="s">
        <v>93</v>
      </c>
      <c r="F195" s="32" t="s">
        <v>38</v>
      </c>
      <c r="G195" s="33" t="s">
        <v>39</v>
      </c>
      <c r="H195" s="27">
        <v>848</v>
      </c>
      <c r="I195">
        <v>2019</v>
      </c>
    </row>
    <row r="196" ht="21.75" spans="1:9">
      <c r="A196" t="s">
        <v>89</v>
      </c>
      <c r="B196" t="s">
        <v>90</v>
      </c>
      <c r="C196" s="17" t="s">
        <v>91</v>
      </c>
      <c r="D196" s="17" t="s">
        <v>92</v>
      </c>
      <c r="E196" s="18" t="s">
        <v>93</v>
      </c>
      <c r="F196" s="32" t="s">
        <v>36</v>
      </c>
      <c r="G196" s="33" t="s">
        <v>37</v>
      </c>
      <c r="H196" s="27">
        <v>373</v>
      </c>
      <c r="I196">
        <v>2019</v>
      </c>
    </row>
    <row r="197" ht="21.75" spans="1:9">
      <c r="A197" t="s">
        <v>89</v>
      </c>
      <c r="B197" t="s">
        <v>90</v>
      </c>
      <c r="C197" s="17" t="s">
        <v>91</v>
      </c>
      <c r="D197" s="17" t="s">
        <v>92</v>
      </c>
      <c r="E197" s="18" t="s">
        <v>93</v>
      </c>
      <c r="F197" s="32" t="s">
        <v>42</v>
      </c>
      <c r="G197" s="33" t="s">
        <v>98</v>
      </c>
      <c r="H197" s="27">
        <v>1277</v>
      </c>
      <c r="I197">
        <v>2019</v>
      </c>
    </row>
    <row r="198" ht="21.75" spans="1:9">
      <c r="A198" t="s">
        <v>89</v>
      </c>
      <c r="B198" t="s">
        <v>90</v>
      </c>
      <c r="C198" s="17" t="s">
        <v>91</v>
      </c>
      <c r="D198" s="17" t="s">
        <v>92</v>
      </c>
      <c r="E198" s="18" t="s">
        <v>93</v>
      </c>
      <c r="F198" s="32" t="s">
        <v>44</v>
      </c>
      <c r="G198" s="33" t="s">
        <v>99</v>
      </c>
      <c r="H198" s="27">
        <v>423</v>
      </c>
      <c r="I198">
        <v>2019</v>
      </c>
    </row>
    <row r="199" ht="21.75" spans="1:9">
      <c r="A199" t="s">
        <v>89</v>
      </c>
      <c r="B199" t="s">
        <v>90</v>
      </c>
      <c r="C199" s="17" t="s">
        <v>91</v>
      </c>
      <c r="D199" s="17" t="s">
        <v>92</v>
      </c>
      <c r="E199" s="18" t="s">
        <v>93</v>
      </c>
      <c r="F199" s="32" t="s">
        <v>100</v>
      </c>
      <c r="G199" s="33" t="s">
        <v>53</v>
      </c>
      <c r="H199" s="27">
        <v>687</v>
      </c>
      <c r="I199">
        <v>2019</v>
      </c>
    </row>
    <row r="200" ht="21.75" spans="1:9">
      <c r="A200" t="s">
        <v>89</v>
      </c>
      <c r="B200" t="s">
        <v>90</v>
      </c>
      <c r="C200" s="17" t="s">
        <v>91</v>
      </c>
      <c r="D200" s="17" t="s">
        <v>92</v>
      </c>
      <c r="E200" s="18" t="s">
        <v>93</v>
      </c>
      <c r="F200" s="32" t="s">
        <v>46</v>
      </c>
      <c r="G200" s="33" t="s">
        <v>47</v>
      </c>
      <c r="H200" s="27">
        <v>555</v>
      </c>
      <c r="I200">
        <v>2019</v>
      </c>
    </row>
    <row r="201" ht="21.75" spans="1:9">
      <c r="A201" t="s">
        <v>89</v>
      </c>
      <c r="B201" t="s">
        <v>90</v>
      </c>
      <c r="C201" s="17" t="s">
        <v>91</v>
      </c>
      <c r="D201" s="17" t="s">
        <v>92</v>
      </c>
      <c r="E201" s="18" t="s">
        <v>93</v>
      </c>
      <c r="F201" s="34" t="s">
        <v>101</v>
      </c>
      <c r="G201" s="35" t="s">
        <v>102</v>
      </c>
      <c r="H201" s="27">
        <v>94</v>
      </c>
      <c r="I201">
        <v>2019</v>
      </c>
    </row>
    <row r="202" ht="21.75" spans="1:9">
      <c r="A202" t="s">
        <v>89</v>
      </c>
      <c r="B202" t="s">
        <v>90</v>
      </c>
      <c r="C202" s="17" t="s">
        <v>91</v>
      </c>
      <c r="D202" s="17" t="s">
        <v>92</v>
      </c>
      <c r="E202" s="18" t="s">
        <v>93</v>
      </c>
      <c r="F202" s="34" t="s">
        <v>103</v>
      </c>
      <c r="G202" s="35" t="s">
        <v>104</v>
      </c>
      <c r="H202" s="27">
        <v>816</v>
      </c>
      <c r="I202">
        <v>2019</v>
      </c>
    </row>
    <row r="203" ht="21.75" spans="1:9">
      <c r="A203" t="s">
        <v>89</v>
      </c>
      <c r="B203" t="s">
        <v>90</v>
      </c>
      <c r="C203" s="17" t="s">
        <v>91</v>
      </c>
      <c r="D203" s="17" t="s">
        <v>92</v>
      </c>
      <c r="E203" s="18" t="s">
        <v>93</v>
      </c>
      <c r="F203" s="34" t="s">
        <v>105</v>
      </c>
      <c r="G203" s="35" t="s">
        <v>106</v>
      </c>
      <c r="H203" s="27">
        <v>5</v>
      </c>
      <c r="I203">
        <v>2019</v>
      </c>
    </row>
    <row r="204" ht="21.75" spans="1:9">
      <c r="A204" t="s">
        <v>89</v>
      </c>
      <c r="B204" t="s">
        <v>90</v>
      </c>
      <c r="C204" s="17" t="s">
        <v>91</v>
      </c>
      <c r="D204" s="17" t="s">
        <v>92</v>
      </c>
      <c r="E204" s="18" t="s">
        <v>93</v>
      </c>
      <c r="F204" s="32" t="s">
        <v>48</v>
      </c>
      <c r="G204" s="33" t="s">
        <v>49</v>
      </c>
      <c r="H204" s="27">
        <v>489</v>
      </c>
      <c r="I204">
        <v>2019</v>
      </c>
    </row>
    <row r="205" ht="21.75" spans="1:9">
      <c r="A205" t="s">
        <v>89</v>
      </c>
      <c r="B205" t="s">
        <v>90</v>
      </c>
      <c r="C205" s="17" t="s">
        <v>91</v>
      </c>
      <c r="D205" s="17" t="s">
        <v>92</v>
      </c>
      <c r="E205" s="18" t="s">
        <v>93</v>
      </c>
      <c r="F205" s="32" t="s">
        <v>107</v>
      </c>
      <c r="G205" s="33" t="s">
        <v>51</v>
      </c>
      <c r="H205" s="27">
        <v>297</v>
      </c>
      <c r="I205">
        <v>2019</v>
      </c>
    </row>
    <row r="206" ht="21.75" spans="1:9">
      <c r="A206" t="s">
        <v>89</v>
      </c>
      <c r="B206" t="s">
        <v>90</v>
      </c>
      <c r="C206" s="17" t="s">
        <v>91</v>
      </c>
      <c r="D206" s="17" t="s">
        <v>92</v>
      </c>
      <c r="E206" s="18" t="s">
        <v>93</v>
      </c>
      <c r="F206" s="32" t="s">
        <v>54</v>
      </c>
      <c r="G206" s="33" t="s">
        <v>55</v>
      </c>
      <c r="H206" s="27">
        <v>369</v>
      </c>
      <c r="I206">
        <v>2019</v>
      </c>
    </row>
    <row r="207" ht="21.75" spans="1:9">
      <c r="A207" t="s">
        <v>89</v>
      </c>
      <c r="B207" t="s">
        <v>90</v>
      </c>
      <c r="C207" s="17" t="s">
        <v>91</v>
      </c>
      <c r="D207" s="17" t="s">
        <v>92</v>
      </c>
      <c r="E207" s="18" t="s">
        <v>93</v>
      </c>
      <c r="F207" s="32" t="s">
        <v>56</v>
      </c>
      <c r="G207" s="33" t="s">
        <v>57</v>
      </c>
      <c r="H207" s="27">
        <v>183</v>
      </c>
      <c r="I207">
        <v>2019</v>
      </c>
    </row>
    <row r="208" ht="21.75" spans="1:9">
      <c r="A208" t="s">
        <v>89</v>
      </c>
      <c r="B208" t="s">
        <v>90</v>
      </c>
      <c r="C208" s="17" t="s">
        <v>91</v>
      </c>
      <c r="D208" s="17" t="s">
        <v>92</v>
      </c>
      <c r="E208" s="18" t="s">
        <v>93</v>
      </c>
      <c r="F208" s="32" t="s">
        <v>108</v>
      </c>
      <c r="G208" s="33" t="s">
        <v>59</v>
      </c>
      <c r="H208" s="27">
        <v>324</v>
      </c>
      <c r="I208">
        <v>2019</v>
      </c>
    </row>
    <row r="209" ht="21.75" spans="1:9">
      <c r="A209" t="s">
        <v>89</v>
      </c>
      <c r="B209" t="s">
        <v>90</v>
      </c>
      <c r="C209" s="17" t="s">
        <v>91</v>
      </c>
      <c r="D209" s="17" t="s">
        <v>92</v>
      </c>
      <c r="E209" s="18" t="s">
        <v>93</v>
      </c>
      <c r="F209" s="32" t="s">
        <v>109</v>
      </c>
      <c r="G209" s="36" t="s">
        <v>110</v>
      </c>
      <c r="H209" s="27">
        <v>16</v>
      </c>
      <c r="I209">
        <v>2019</v>
      </c>
    </row>
    <row r="210" ht="21.75" spans="1:9">
      <c r="A210" t="s">
        <v>89</v>
      </c>
      <c r="B210" t="s">
        <v>90</v>
      </c>
      <c r="C210" s="17" t="s">
        <v>91</v>
      </c>
      <c r="D210" s="17" t="s">
        <v>92</v>
      </c>
      <c r="E210" s="18" t="s">
        <v>93</v>
      </c>
      <c r="F210" s="32" t="s">
        <v>62</v>
      </c>
      <c r="G210" s="33" t="s">
        <v>63</v>
      </c>
      <c r="H210" s="27">
        <v>816</v>
      </c>
      <c r="I210">
        <v>2019</v>
      </c>
    </row>
    <row r="211" ht="21.75" spans="1:9">
      <c r="A211" t="s">
        <v>89</v>
      </c>
      <c r="B211" t="s">
        <v>90</v>
      </c>
      <c r="C211" s="17" t="s">
        <v>94</v>
      </c>
      <c r="D211" s="17" t="s">
        <v>95</v>
      </c>
      <c r="E211" s="18" t="s">
        <v>96</v>
      </c>
      <c r="F211" s="32" t="s">
        <v>24</v>
      </c>
      <c r="G211" s="33" t="s">
        <v>25</v>
      </c>
      <c r="H211" s="28">
        <v>99.83</v>
      </c>
      <c r="I211">
        <v>2019</v>
      </c>
    </row>
    <row r="212" ht="21.75" spans="1:9">
      <c r="A212" t="s">
        <v>89</v>
      </c>
      <c r="B212" t="s">
        <v>90</v>
      </c>
      <c r="C212" s="17" t="s">
        <v>94</v>
      </c>
      <c r="D212" s="17" t="s">
        <v>95</v>
      </c>
      <c r="E212" s="18" t="s">
        <v>96</v>
      </c>
      <c r="F212" s="32" t="s">
        <v>26</v>
      </c>
      <c r="G212" s="33" t="s">
        <v>27</v>
      </c>
      <c r="H212" s="28">
        <v>99.33</v>
      </c>
      <c r="I212">
        <v>2019</v>
      </c>
    </row>
    <row r="213" ht="21.75" spans="1:9">
      <c r="A213" t="s">
        <v>89</v>
      </c>
      <c r="B213" t="s">
        <v>90</v>
      </c>
      <c r="C213" s="17" t="s">
        <v>94</v>
      </c>
      <c r="D213" s="17" t="s">
        <v>95</v>
      </c>
      <c r="E213" s="18" t="s">
        <v>96</v>
      </c>
      <c r="F213" s="32" t="s">
        <v>28</v>
      </c>
      <c r="G213" s="33" t="s">
        <v>29</v>
      </c>
      <c r="H213" s="28">
        <v>99.87</v>
      </c>
      <c r="I213">
        <v>2019</v>
      </c>
    </row>
    <row r="214" ht="21.75" spans="1:9">
      <c r="A214" t="s">
        <v>89</v>
      </c>
      <c r="B214" t="s">
        <v>90</v>
      </c>
      <c r="C214" s="17" t="s">
        <v>94</v>
      </c>
      <c r="D214" s="17" t="s">
        <v>95</v>
      </c>
      <c r="E214" s="18" t="s">
        <v>96</v>
      </c>
      <c r="F214" s="32" t="s">
        <v>97</v>
      </c>
      <c r="G214" s="33" t="s">
        <v>31</v>
      </c>
      <c r="H214" s="28">
        <v>99.87</v>
      </c>
      <c r="I214">
        <v>2019</v>
      </c>
    </row>
    <row r="215" ht="21.75" spans="1:9">
      <c r="A215" t="s">
        <v>89</v>
      </c>
      <c r="B215" t="s">
        <v>90</v>
      </c>
      <c r="C215" s="17" t="s">
        <v>94</v>
      </c>
      <c r="D215" s="17" t="s">
        <v>95</v>
      </c>
      <c r="E215" s="18" t="s">
        <v>96</v>
      </c>
      <c r="F215" s="32" t="s">
        <v>34</v>
      </c>
      <c r="G215" s="33" t="s">
        <v>35</v>
      </c>
      <c r="H215" s="28">
        <v>98.98</v>
      </c>
      <c r="I215">
        <v>2019</v>
      </c>
    </row>
    <row r="216" ht="21.75" spans="1:9">
      <c r="A216" t="s">
        <v>89</v>
      </c>
      <c r="B216" t="s">
        <v>90</v>
      </c>
      <c r="C216" s="17" t="s">
        <v>94</v>
      </c>
      <c r="D216" s="17" t="s">
        <v>95</v>
      </c>
      <c r="E216" s="18" t="s">
        <v>96</v>
      </c>
      <c r="F216" s="32" t="s">
        <v>40</v>
      </c>
      <c r="G216" s="33" t="s">
        <v>41</v>
      </c>
      <c r="H216" s="28">
        <v>99.31</v>
      </c>
      <c r="I216">
        <v>2019</v>
      </c>
    </row>
    <row r="217" ht="21.75" spans="1:9">
      <c r="A217" t="s">
        <v>89</v>
      </c>
      <c r="B217" t="s">
        <v>90</v>
      </c>
      <c r="C217" s="17" t="s">
        <v>94</v>
      </c>
      <c r="D217" s="17" t="s">
        <v>95</v>
      </c>
      <c r="E217" s="18" t="s">
        <v>96</v>
      </c>
      <c r="F217" s="32" t="s">
        <v>32</v>
      </c>
      <c r="G217" s="33" t="s">
        <v>33</v>
      </c>
      <c r="H217" s="28">
        <v>99.78</v>
      </c>
      <c r="I217">
        <v>2019</v>
      </c>
    </row>
    <row r="218" ht="21.75" spans="1:9">
      <c r="A218" t="s">
        <v>89</v>
      </c>
      <c r="B218" t="s">
        <v>90</v>
      </c>
      <c r="C218" s="17" t="s">
        <v>94</v>
      </c>
      <c r="D218" s="17" t="s">
        <v>95</v>
      </c>
      <c r="E218" s="18" t="s">
        <v>96</v>
      </c>
      <c r="F218" s="32" t="s">
        <v>38</v>
      </c>
      <c r="G218" s="33" t="s">
        <v>39</v>
      </c>
      <c r="H218" s="28">
        <v>100</v>
      </c>
      <c r="I218">
        <v>2019</v>
      </c>
    </row>
    <row r="219" ht="21.75" spans="1:9">
      <c r="A219" t="s">
        <v>89</v>
      </c>
      <c r="B219" t="s">
        <v>90</v>
      </c>
      <c r="C219" s="17" t="s">
        <v>94</v>
      </c>
      <c r="D219" s="17" t="s">
        <v>95</v>
      </c>
      <c r="E219" s="18" t="s">
        <v>96</v>
      </c>
      <c r="F219" s="32" t="s">
        <v>36</v>
      </c>
      <c r="G219" s="33" t="s">
        <v>37</v>
      </c>
      <c r="H219" s="28">
        <v>99.2</v>
      </c>
      <c r="I219">
        <v>2019</v>
      </c>
    </row>
    <row r="220" ht="21.75" spans="1:9">
      <c r="A220" t="s">
        <v>89</v>
      </c>
      <c r="B220" t="s">
        <v>90</v>
      </c>
      <c r="C220" s="17" t="s">
        <v>94</v>
      </c>
      <c r="D220" s="17" t="s">
        <v>95</v>
      </c>
      <c r="E220" s="18" t="s">
        <v>96</v>
      </c>
      <c r="F220" s="32" t="s">
        <v>42</v>
      </c>
      <c r="G220" s="33" t="s">
        <v>98</v>
      </c>
      <c r="H220" s="28">
        <v>99.37</v>
      </c>
      <c r="I220">
        <v>2019</v>
      </c>
    </row>
    <row r="221" ht="21.75" spans="1:9">
      <c r="A221" t="s">
        <v>89</v>
      </c>
      <c r="B221" t="s">
        <v>90</v>
      </c>
      <c r="C221" s="17" t="s">
        <v>94</v>
      </c>
      <c r="D221" s="17" t="s">
        <v>95</v>
      </c>
      <c r="E221" s="18" t="s">
        <v>96</v>
      </c>
      <c r="F221" s="32" t="s">
        <v>44</v>
      </c>
      <c r="G221" s="33" t="s">
        <v>99</v>
      </c>
      <c r="H221" s="28">
        <v>99.76</v>
      </c>
      <c r="I221">
        <v>2019</v>
      </c>
    </row>
    <row r="222" ht="21.75" spans="1:9">
      <c r="A222" t="s">
        <v>89</v>
      </c>
      <c r="B222" t="s">
        <v>90</v>
      </c>
      <c r="C222" s="17" t="s">
        <v>94</v>
      </c>
      <c r="D222" s="17" t="s">
        <v>95</v>
      </c>
      <c r="E222" s="18" t="s">
        <v>96</v>
      </c>
      <c r="F222" s="32" t="s">
        <v>100</v>
      </c>
      <c r="G222" s="33" t="s">
        <v>53</v>
      </c>
      <c r="H222" s="28">
        <v>97.38</v>
      </c>
      <c r="I222">
        <v>2019</v>
      </c>
    </row>
    <row r="223" ht="21.75" spans="1:9">
      <c r="A223" t="s">
        <v>89</v>
      </c>
      <c r="B223" t="s">
        <v>90</v>
      </c>
      <c r="C223" s="17" t="s">
        <v>94</v>
      </c>
      <c r="D223" s="17" t="s">
        <v>95</v>
      </c>
      <c r="E223" s="18" t="s">
        <v>96</v>
      </c>
      <c r="F223" s="32" t="s">
        <v>46</v>
      </c>
      <c r="G223" s="33" t="s">
        <v>47</v>
      </c>
      <c r="H223" s="28">
        <v>94.41</v>
      </c>
      <c r="I223">
        <v>2019</v>
      </c>
    </row>
    <row r="224" ht="21.75" spans="1:9">
      <c r="A224" t="s">
        <v>89</v>
      </c>
      <c r="B224" t="s">
        <v>90</v>
      </c>
      <c r="C224" s="17" t="s">
        <v>94</v>
      </c>
      <c r="D224" s="17" t="s">
        <v>95</v>
      </c>
      <c r="E224" s="18" t="s">
        <v>96</v>
      </c>
      <c r="F224" s="34" t="s">
        <v>101</v>
      </c>
      <c r="G224" s="35" t="s">
        <v>102</v>
      </c>
      <c r="H224" s="28">
        <v>86.17</v>
      </c>
      <c r="I224">
        <v>2019</v>
      </c>
    </row>
    <row r="225" ht="21.75" spans="1:9">
      <c r="A225" t="s">
        <v>89</v>
      </c>
      <c r="B225" t="s">
        <v>90</v>
      </c>
      <c r="C225" s="17" t="s">
        <v>94</v>
      </c>
      <c r="D225" s="17" t="s">
        <v>95</v>
      </c>
      <c r="E225" s="18" t="s">
        <v>96</v>
      </c>
      <c r="F225" s="34" t="s">
        <v>103</v>
      </c>
      <c r="G225" s="35" t="s">
        <v>104</v>
      </c>
      <c r="H225" s="28">
        <v>99.14</v>
      </c>
      <c r="I225">
        <v>2019</v>
      </c>
    </row>
    <row r="226" ht="21.75" spans="1:9">
      <c r="A226" t="s">
        <v>89</v>
      </c>
      <c r="B226" t="s">
        <v>90</v>
      </c>
      <c r="C226" s="17" t="s">
        <v>94</v>
      </c>
      <c r="D226" s="17" t="s">
        <v>95</v>
      </c>
      <c r="E226" s="18" t="s">
        <v>96</v>
      </c>
      <c r="F226" s="34" t="s">
        <v>105</v>
      </c>
      <c r="G226" s="35" t="s">
        <v>106</v>
      </c>
      <c r="H226" s="28">
        <v>80</v>
      </c>
      <c r="I226">
        <v>2019</v>
      </c>
    </row>
    <row r="227" ht="21.75" spans="1:9">
      <c r="A227" t="s">
        <v>89</v>
      </c>
      <c r="B227" t="s">
        <v>90</v>
      </c>
      <c r="C227" s="17" t="s">
        <v>94</v>
      </c>
      <c r="D227" s="17" t="s">
        <v>95</v>
      </c>
      <c r="E227" s="18" t="s">
        <v>96</v>
      </c>
      <c r="F227" s="32" t="s">
        <v>48</v>
      </c>
      <c r="G227" s="33" t="s">
        <v>49</v>
      </c>
      <c r="H227" s="28">
        <v>99.18</v>
      </c>
      <c r="I227">
        <v>2019</v>
      </c>
    </row>
    <row r="228" ht="21.75" spans="1:9">
      <c r="A228" t="s">
        <v>89</v>
      </c>
      <c r="B228" t="s">
        <v>90</v>
      </c>
      <c r="C228" s="17" t="s">
        <v>94</v>
      </c>
      <c r="D228" s="17" t="s">
        <v>95</v>
      </c>
      <c r="E228" s="18" t="s">
        <v>96</v>
      </c>
      <c r="F228" s="32" t="s">
        <v>107</v>
      </c>
      <c r="G228" s="33" t="s">
        <v>51</v>
      </c>
      <c r="H228" s="28">
        <v>100</v>
      </c>
      <c r="I228">
        <v>2019</v>
      </c>
    </row>
    <row r="229" ht="21.75" spans="1:9">
      <c r="A229" t="s">
        <v>89</v>
      </c>
      <c r="B229" t="s">
        <v>90</v>
      </c>
      <c r="C229" s="17" t="s">
        <v>94</v>
      </c>
      <c r="D229" s="17" t="s">
        <v>95</v>
      </c>
      <c r="E229" s="18" t="s">
        <v>96</v>
      </c>
      <c r="F229" s="32" t="s">
        <v>54</v>
      </c>
      <c r="G229" s="33" t="s">
        <v>55</v>
      </c>
      <c r="H229" s="28">
        <v>99.19</v>
      </c>
      <c r="I229">
        <v>2019</v>
      </c>
    </row>
    <row r="230" ht="21.75" spans="1:9">
      <c r="A230" t="s">
        <v>89</v>
      </c>
      <c r="B230" t="s">
        <v>90</v>
      </c>
      <c r="C230" s="17" t="s">
        <v>94</v>
      </c>
      <c r="D230" s="17" t="s">
        <v>95</v>
      </c>
      <c r="E230" s="18" t="s">
        <v>96</v>
      </c>
      <c r="F230" s="32" t="s">
        <v>56</v>
      </c>
      <c r="G230" s="33" t="s">
        <v>57</v>
      </c>
      <c r="H230" s="28">
        <v>98.91</v>
      </c>
      <c r="I230">
        <v>2019</v>
      </c>
    </row>
    <row r="231" ht="21.75" spans="1:9">
      <c r="A231" t="s">
        <v>89</v>
      </c>
      <c r="B231" t="s">
        <v>90</v>
      </c>
      <c r="C231" s="17" t="s">
        <v>94</v>
      </c>
      <c r="D231" s="17" t="s">
        <v>95</v>
      </c>
      <c r="E231" s="18" t="s">
        <v>96</v>
      </c>
      <c r="F231" s="32" t="s">
        <v>108</v>
      </c>
      <c r="G231" s="33" t="s">
        <v>59</v>
      </c>
      <c r="H231" s="28">
        <v>99.38</v>
      </c>
      <c r="I231">
        <v>2019</v>
      </c>
    </row>
    <row r="232" ht="21.75" spans="1:9">
      <c r="A232" t="s">
        <v>89</v>
      </c>
      <c r="B232" t="s">
        <v>90</v>
      </c>
      <c r="C232" s="17" t="s">
        <v>94</v>
      </c>
      <c r="D232" s="17" t="s">
        <v>95</v>
      </c>
      <c r="E232" s="18" t="s">
        <v>96</v>
      </c>
      <c r="F232" s="32" t="s">
        <v>109</v>
      </c>
      <c r="G232" s="36" t="s">
        <v>110</v>
      </c>
      <c r="H232" s="28">
        <v>100</v>
      </c>
      <c r="I232">
        <v>2019</v>
      </c>
    </row>
    <row r="233" ht="21.75" spans="1:9">
      <c r="A233" t="s">
        <v>89</v>
      </c>
      <c r="B233" t="s">
        <v>90</v>
      </c>
      <c r="C233" s="17" t="s">
        <v>94</v>
      </c>
      <c r="D233" s="17" t="s">
        <v>95</v>
      </c>
      <c r="E233" s="18" t="s">
        <v>96</v>
      </c>
      <c r="F233" s="32" t="s">
        <v>62</v>
      </c>
      <c r="G233" s="33" t="s">
        <v>63</v>
      </c>
      <c r="H233" s="28">
        <v>98.77</v>
      </c>
      <c r="I233">
        <v>2019</v>
      </c>
    </row>
    <row r="234" ht="21.75" spans="1:9">
      <c r="A234" t="s">
        <v>89</v>
      </c>
      <c r="B234" t="s">
        <v>90</v>
      </c>
      <c r="C234" s="17" t="s">
        <v>91</v>
      </c>
      <c r="D234" s="17" t="s">
        <v>92</v>
      </c>
      <c r="E234" s="18" t="s">
        <v>93</v>
      </c>
      <c r="F234" s="32" t="s">
        <v>24</v>
      </c>
      <c r="G234" s="33" t="s">
        <v>25</v>
      </c>
      <c r="H234" s="27">
        <v>2724</v>
      </c>
      <c r="I234">
        <v>2018</v>
      </c>
    </row>
    <row r="235" ht="21.75" spans="1:9">
      <c r="A235" t="s">
        <v>89</v>
      </c>
      <c r="B235" t="s">
        <v>90</v>
      </c>
      <c r="C235" s="17" t="s">
        <v>91</v>
      </c>
      <c r="D235" s="17" t="s">
        <v>92</v>
      </c>
      <c r="E235" s="18" t="s">
        <v>93</v>
      </c>
      <c r="F235" s="32" t="s">
        <v>26</v>
      </c>
      <c r="G235" s="33" t="s">
        <v>27</v>
      </c>
      <c r="H235" s="27">
        <v>2059</v>
      </c>
      <c r="I235">
        <v>2018</v>
      </c>
    </row>
    <row r="236" ht="21.75" spans="1:9">
      <c r="A236" t="s">
        <v>89</v>
      </c>
      <c r="B236" t="s">
        <v>90</v>
      </c>
      <c r="C236" s="17" t="s">
        <v>91</v>
      </c>
      <c r="D236" s="17" t="s">
        <v>92</v>
      </c>
      <c r="E236" s="18" t="s">
        <v>93</v>
      </c>
      <c r="F236" s="32" t="s">
        <v>28</v>
      </c>
      <c r="G236" s="33" t="s">
        <v>29</v>
      </c>
      <c r="H236" s="27">
        <v>1336</v>
      </c>
      <c r="I236">
        <v>2018</v>
      </c>
    </row>
    <row r="237" ht="21.75" spans="1:9">
      <c r="A237" t="s">
        <v>89</v>
      </c>
      <c r="B237" t="s">
        <v>90</v>
      </c>
      <c r="C237" s="17" t="s">
        <v>91</v>
      </c>
      <c r="D237" s="17" t="s">
        <v>92</v>
      </c>
      <c r="E237" s="18" t="s">
        <v>93</v>
      </c>
      <c r="F237" s="32" t="s">
        <v>97</v>
      </c>
      <c r="G237" s="33" t="s">
        <v>31</v>
      </c>
      <c r="H237" s="27">
        <v>2661</v>
      </c>
      <c r="I237">
        <v>2018</v>
      </c>
    </row>
    <row r="238" ht="21.75" spans="1:9">
      <c r="A238" t="s">
        <v>89</v>
      </c>
      <c r="B238" t="s">
        <v>90</v>
      </c>
      <c r="C238" s="17" t="s">
        <v>91</v>
      </c>
      <c r="D238" s="17" t="s">
        <v>92</v>
      </c>
      <c r="E238" s="18" t="s">
        <v>93</v>
      </c>
      <c r="F238" s="32" t="s">
        <v>34</v>
      </c>
      <c r="G238" s="33" t="s">
        <v>35</v>
      </c>
      <c r="H238" s="27">
        <v>714</v>
      </c>
      <c r="I238">
        <v>2018</v>
      </c>
    </row>
    <row r="239" ht="21.75" spans="1:9">
      <c r="A239" t="s">
        <v>89</v>
      </c>
      <c r="B239" t="s">
        <v>90</v>
      </c>
      <c r="C239" s="17" t="s">
        <v>91</v>
      </c>
      <c r="D239" s="17" t="s">
        <v>92</v>
      </c>
      <c r="E239" s="18" t="s">
        <v>93</v>
      </c>
      <c r="F239" s="32" t="s">
        <v>40</v>
      </c>
      <c r="G239" s="33" t="s">
        <v>41</v>
      </c>
      <c r="H239" s="27">
        <v>471</v>
      </c>
      <c r="I239">
        <v>2018</v>
      </c>
    </row>
    <row r="240" ht="21.75" spans="1:9">
      <c r="A240" t="s">
        <v>89</v>
      </c>
      <c r="B240" t="s">
        <v>90</v>
      </c>
      <c r="C240" s="17" t="s">
        <v>91</v>
      </c>
      <c r="D240" s="17" t="s">
        <v>92</v>
      </c>
      <c r="E240" s="18" t="s">
        <v>93</v>
      </c>
      <c r="F240" s="32" t="s">
        <v>32</v>
      </c>
      <c r="G240" s="33" t="s">
        <v>33</v>
      </c>
      <c r="H240" s="27">
        <v>1622</v>
      </c>
      <c r="I240">
        <v>2018</v>
      </c>
    </row>
    <row r="241" ht="21.75" spans="1:9">
      <c r="A241" t="s">
        <v>89</v>
      </c>
      <c r="B241" t="s">
        <v>90</v>
      </c>
      <c r="C241" s="17" t="s">
        <v>91</v>
      </c>
      <c r="D241" s="17" t="s">
        <v>92</v>
      </c>
      <c r="E241" s="18" t="s">
        <v>93</v>
      </c>
      <c r="F241" s="32" t="s">
        <v>38</v>
      </c>
      <c r="G241" s="33" t="s">
        <v>39</v>
      </c>
      <c r="H241" s="27">
        <v>805</v>
      </c>
      <c r="I241">
        <v>2018</v>
      </c>
    </row>
    <row r="242" ht="21.75" spans="1:9">
      <c r="A242" t="s">
        <v>89</v>
      </c>
      <c r="B242" t="s">
        <v>90</v>
      </c>
      <c r="C242" s="17" t="s">
        <v>91</v>
      </c>
      <c r="D242" s="17" t="s">
        <v>92</v>
      </c>
      <c r="E242" s="18" t="s">
        <v>93</v>
      </c>
      <c r="F242" s="32" t="s">
        <v>36</v>
      </c>
      <c r="G242" s="33" t="s">
        <v>37</v>
      </c>
      <c r="H242" s="27">
        <v>388</v>
      </c>
      <c r="I242">
        <v>2018</v>
      </c>
    </row>
    <row r="243" ht="21.75" spans="1:9">
      <c r="A243" t="s">
        <v>89</v>
      </c>
      <c r="B243" t="s">
        <v>90</v>
      </c>
      <c r="C243" s="17" t="s">
        <v>91</v>
      </c>
      <c r="D243" s="17" t="s">
        <v>92</v>
      </c>
      <c r="E243" s="18" t="s">
        <v>93</v>
      </c>
      <c r="F243" s="32" t="s">
        <v>42</v>
      </c>
      <c r="G243" s="33" t="s">
        <v>98</v>
      </c>
      <c r="H243" s="27">
        <v>1122</v>
      </c>
      <c r="I243">
        <v>2018</v>
      </c>
    </row>
    <row r="244" ht="21.75" spans="1:9">
      <c r="A244" t="s">
        <v>89</v>
      </c>
      <c r="B244" t="s">
        <v>90</v>
      </c>
      <c r="C244" s="17" t="s">
        <v>91</v>
      </c>
      <c r="D244" s="17" t="s">
        <v>92</v>
      </c>
      <c r="E244" s="18" t="s">
        <v>93</v>
      </c>
      <c r="F244" s="32" t="s">
        <v>44</v>
      </c>
      <c r="G244" s="33" t="s">
        <v>99</v>
      </c>
      <c r="H244" s="27">
        <v>394</v>
      </c>
      <c r="I244">
        <v>2018</v>
      </c>
    </row>
    <row r="245" ht="21.75" spans="1:9">
      <c r="A245" t="s">
        <v>89</v>
      </c>
      <c r="B245" t="s">
        <v>90</v>
      </c>
      <c r="C245" s="17" t="s">
        <v>91</v>
      </c>
      <c r="D245" s="17" t="s">
        <v>92</v>
      </c>
      <c r="E245" s="18" t="s">
        <v>93</v>
      </c>
      <c r="F245" s="32" t="s">
        <v>100</v>
      </c>
      <c r="G245" s="33" t="s">
        <v>53</v>
      </c>
      <c r="H245" s="27">
        <v>291</v>
      </c>
      <c r="I245">
        <v>2018</v>
      </c>
    </row>
    <row r="246" ht="21.75" spans="1:9">
      <c r="A246" t="s">
        <v>89</v>
      </c>
      <c r="B246" t="s">
        <v>90</v>
      </c>
      <c r="C246" s="17" t="s">
        <v>91</v>
      </c>
      <c r="D246" s="17" t="s">
        <v>92</v>
      </c>
      <c r="E246" s="18" t="s">
        <v>93</v>
      </c>
      <c r="F246" s="32" t="s">
        <v>46</v>
      </c>
      <c r="G246" s="33" t="s">
        <v>47</v>
      </c>
      <c r="H246" s="27">
        <v>613</v>
      </c>
      <c r="I246">
        <v>2018</v>
      </c>
    </row>
    <row r="247" ht="21.75" spans="1:9">
      <c r="A247" t="s">
        <v>89</v>
      </c>
      <c r="B247" t="s">
        <v>90</v>
      </c>
      <c r="C247" s="17" t="s">
        <v>91</v>
      </c>
      <c r="D247" s="17" t="s">
        <v>92</v>
      </c>
      <c r="E247" s="18" t="s">
        <v>93</v>
      </c>
      <c r="F247" s="34" t="s">
        <v>101</v>
      </c>
      <c r="G247" s="35" t="s">
        <v>102</v>
      </c>
      <c r="H247" s="27">
        <v>97</v>
      </c>
      <c r="I247">
        <v>2018</v>
      </c>
    </row>
    <row r="248" ht="21.75" spans="1:9">
      <c r="A248" t="s">
        <v>89</v>
      </c>
      <c r="B248" t="s">
        <v>90</v>
      </c>
      <c r="C248" s="17" t="s">
        <v>91</v>
      </c>
      <c r="D248" s="17" t="s">
        <v>92</v>
      </c>
      <c r="E248" s="18" t="s">
        <v>93</v>
      </c>
      <c r="F248" s="34" t="s">
        <v>103</v>
      </c>
      <c r="G248" s="35" t="s">
        <v>104</v>
      </c>
      <c r="H248" s="27">
        <v>933</v>
      </c>
      <c r="I248">
        <v>2018</v>
      </c>
    </row>
    <row r="249" ht="21.75" spans="1:9">
      <c r="A249" t="s">
        <v>89</v>
      </c>
      <c r="B249" t="s">
        <v>90</v>
      </c>
      <c r="C249" s="17" t="s">
        <v>91</v>
      </c>
      <c r="D249" s="17" t="s">
        <v>92</v>
      </c>
      <c r="E249" s="18" t="s">
        <v>93</v>
      </c>
      <c r="F249" s="34" t="s">
        <v>105</v>
      </c>
      <c r="G249" s="35" t="s">
        <v>106</v>
      </c>
      <c r="H249" s="27">
        <v>4</v>
      </c>
      <c r="I249">
        <v>2018</v>
      </c>
    </row>
    <row r="250" ht="21.75" spans="1:9">
      <c r="A250" t="s">
        <v>89</v>
      </c>
      <c r="B250" t="s">
        <v>90</v>
      </c>
      <c r="C250" s="17" t="s">
        <v>91</v>
      </c>
      <c r="D250" s="17" t="s">
        <v>92</v>
      </c>
      <c r="E250" s="18" t="s">
        <v>93</v>
      </c>
      <c r="F250" s="32" t="s">
        <v>48</v>
      </c>
      <c r="G250" s="33" t="s">
        <v>49</v>
      </c>
      <c r="H250" s="27">
        <v>251</v>
      </c>
      <c r="I250">
        <v>2018</v>
      </c>
    </row>
    <row r="251" ht="21.75" spans="1:9">
      <c r="A251" t="s">
        <v>89</v>
      </c>
      <c r="B251" t="s">
        <v>90</v>
      </c>
      <c r="C251" s="17" t="s">
        <v>91</v>
      </c>
      <c r="D251" s="17" t="s">
        <v>92</v>
      </c>
      <c r="E251" s="18" t="s">
        <v>93</v>
      </c>
      <c r="F251" s="32" t="s">
        <v>107</v>
      </c>
      <c r="G251" s="33" t="s">
        <v>51</v>
      </c>
      <c r="H251" s="27">
        <v>217</v>
      </c>
      <c r="I251">
        <v>2018</v>
      </c>
    </row>
    <row r="252" ht="21.75" spans="1:9">
      <c r="A252" t="s">
        <v>89</v>
      </c>
      <c r="B252" t="s">
        <v>90</v>
      </c>
      <c r="C252" s="17" t="s">
        <v>91</v>
      </c>
      <c r="D252" s="17" t="s">
        <v>92</v>
      </c>
      <c r="E252" s="18" t="s">
        <v>93</v>
      </c>
      <c r="F252" s="32" t="s">
        <v>54</v>
      </c>
      <c r="G252" s="33" t="s">
        <v>55</v>
      </c>
      <c r="H252" s="27">
        <v>292</v>
      </c>
      <c r="I252">
        <v>2018</v>
      </c>
    </row>
    <row r="253" ht="21.75" spans="1:9">
      <c r="A253" t="s">
        <v>89</v>
      </c>
      <c r="B253" t="s">
        <v>90</v>
      </c>
      <c r="C253" s="17" t="s">
        <v>91</v>
      </c>
      <c r="D253" s="17" t="s">
        <v>92</v>
      </c>
      <c r="E253" s="18" t="s">
        <v>93</v>
      </c>
      <c r="F253" s="32" t="s">
        <v>56</v>
      </c>
      <c r="G253" s="33" t="s">
        <v>57</v>
      </c>
      <c r="H253" s="27">
        <v>175</v>
      </c>
      <c r="I253">
        <v>2018</v>
      </c>
    </row>
    <row r="254" ht="21.75" spans="1:9">
      <c r="A254" t="s">
        <v>89</v>
      </c>
      <c r="B254" t="s">
        <v>90</v>
      </c>
      <c r="C254" s="17" t="s">
        <v>91</v>
      </c>
      <c r="D254" s="17" t="s">
        <v>92</v>
      </c>
      <c r="E254" s="18" t="s">
        <v>93</v>
      </c>
      <c r="F254" s="32" t="s">
        <v>108</v>
      </c>
      <c r="G254" s="33" t="s">
        <v>59</v>
      </c>
      <c r="H254" s="27">
        <v>326</v>
      </c>
      <c r="I254">
        <v>2018</v>
      </c>
    </row>
    <row r="255" ht="21.75" spans="1:9">
      <c r="A255" t="s">
        <v>89</v>
      </c>
      <c r="B255" t="s">
        <v>90</v>
      </c>
      <c r="C255" s="17" t="s">
        <v>91</v>
      </c>
      <c r="D255" s="17" t="s">
        <v>92</v>
      </c>
      <c r="E255" s="18" t="s">
        <v>93</v>
      </c>
      <c r="F255" s="32" t="s">
        <v>109</v>
      </c>
      <c r="G255" s="36" t="s">
        <v>110</v>
      </c>
      <c r="H255" s="27">
        <v>29</v>
      </c>
      <c r="I255">
        <v>2018</v>
      </c>
    </row>
    <row r="256" ht="21.75" spans="1:9">
      <c r="A256" t="s">
        <v>89</v>
      </c>
      <c r="B256" t="s">
        <v>90</v>
      </c>
      <c r="C256" s="17" t="s">
        <v>91</v>
      </c>
      <c r="D256" s="17" t="s">
        <v>92</v>
      </c>
      <c r="E256" s="18" t="s">
        <v>93</v>
      </c>
      <c r="F256" s="32" t="s">
        <v>62</v>
      </c>
      <c r="G256" s="33" t="s">
        <v>63</v>
      </c>
      <c r="H256" s="27">
        <v>876</v>
      </c>
      <c r="I256">
        <v>2018</v>
      </c>
    </row>
    <row r="257" ht="21.75" spans="1:9">
      <c r="A257" t="s">
        <v>89</v>
      </c>
      <c r="B257" t="s">
        <v>90</v>
      </c>
      <c r="C257" s="17" t="s">
        <v>94</v>
      </c>
      <c r="D257" s="17" t="s">
        <v>95</v>
      </c>
      <c r="E257" s="18" t="s">
        <v>96</v>
      </c>
      <c r="F257" s="32" t="s">
        <v>24</v>
      </c>
      <c r="G257" s="33" t="s">
        <v>25</v>
      </c>
      <c r="H257" s="28">
        <v>99.78</v>
      </c>
      <c r="I257">
        <v>2018</v>
      </c>
    </row>
    <row r="258" ht="21.75" spans="1:9">
      <c r="A258" t="s">
        <v>89</v>
      </c>
      <c r="B258" t="s">
        <v>90</v>
      </c>
      <c r="C258" s="17" t="s">
        <v>94</v>
      </c>
      <c r="D258" s="17" t="s">
        <v>95</v>
      </c>
      <c r="E258" s="18" t="s">
        <v>96</v>
      </c>
      <c r="F258" s="32" t="s">
        <v>26</v>
      </c>
      <c r="G258" s="33" t="s">
        <v>27</v>
      </c>
      <c r="H258" s="28">
        <v>99.76</v>
      </c>
      <c r="I258">
        <v>2018</v>
      </c>
    </row>
    <row r="259" ht="21.75" spans="1:9">
      <c r="A259" t="s">
        <v>89</v>
      </c>
      <c r="B259" t="s">
        <v>90</v>
      </c>
      <c r="C259" s="17" t="s">
        <v>94</v>
      </c>
      <c r="D259" s="17" t="s">
        <v>95</v>
      </c>
      <c r="E259" s="18" t="s">
        <v>96</v>
      </c>
      <c r="F259" s="32" t="s">
        <v>28</v>
      </c>
      <c r="G259" s="33" t="s">
        <v>29</v>
      </c>
      <c r="H259" s="28">
        <v>99.93</v>
      </c>
      <c r="I259">
        <v>2018</v>
      </c>
    </row>
    <row r="260" ht="21.75" spans="1:9">
      <c r="A260" t="s">
        <v>89</v>
      </c>
      <c r="B260" t="s">
        <v>90</v>
      </c>
      <c r="C260" s="17" t="s">
        <v>94</v>
      </c>
      <c r="D260" s="17" t="s">
        <v>95</v>
      </c>
      <c r="E260" s="18" t="s">
        <v>96</v>
      </c>
      <c r="F260" s="32" t="s">
        <v>97</v>
      </c>
      <c r="G260" s="33" t="s">
        <v>31</v>
      </c>
      <c r="H260" s="28">
        <v>99.81</v>
      </c>
      <c r="I260">
        <v>2018</v>
      </c>
    </row>
    <row r="261" ht="21.75" spans="1:9">
      <c r="A261" t="s">
        <v>89</v>
      </c>
      <c r="B261" t="s">
        <v>90</v>
      </c>
      <c r="C261" s="17" t="s">
        <v>94</v>
      </c>
      <c r="D261" s="17" t="s">
        <v>95</v>
      </c>
      <c r="E261" s="18" t="s">
        <v>96</v>
      </c>
      <c r="F261" s="32" t="s">
        <v>34</v>
      </c>
      <c r="G261" s="33" t="s">
        <v>35</v>
      </c>
      <c r="H261" s="28">
        <v>99.72</v>
      </c>
      <c r="I261">
        <v>2018</v>
      </c>
    </row>
    <row r="262" ht="21.75" spans="1:9">
      <c r="A262" t="s">
        <v>89</v>
      </c>
      <c r="B262" t="s">
        <v>90</v>
      </c>
      <c r="C262" s="17" t="s">
        <v>94</v>
      </c>
      <c r="D262" s="17" t="s">
        <v>95</v>
      </c>
      <c r="E262" s="18" t="s">
        <v>96</v>
      </c>
      <c r="F262" s="32" t="s">
        <v>40</v>
      </c>
      <c r="G262" s="33" t="s">
        <v>41</v>
      </c>
      <c r="H262" s="28">
        <v>95.33</v>
      </c>
      <c r="I262">
        <v>2018</v>
      </c>
    </row>
    <row r="263" ht="21.75" spans="1:9">
      <c r="A263" t="s">
        <v>89</v>
      </c>
      <c r="B263" t="s">
        <v>90</v>
      </c>
      <c r="C263" s="17" t="s">
        <v>94</v>
      </c>
      <c r="D263" s="17" t="s">
        <v>95</v>
      </c>
      <c r="E263" s="18" t="s">
        <v>96</v>
      </c>
      <c r="F263" s="32" t="s">
        <v>32</v>
      </c>
      <c r="G263" s="33" t="s">
        <v>33</v>
      </c>
      <c r="H263" s="28">
        <v>99.63</v>
      </c>
      <c r="I263">
        <v>2018</v>
      </c>
    </row>
    <row r="264" ht="21.75" spans="1:9">
      <c r="A264" t="s">
        <v>89</v>
      </c>
      <c r="B264" t="s">
        <v>90</v>
      </c>
      <c r="C264" s="17" t="s">
        <v>94</v>
      </c>
      <c r="D264" s="17" t="s">
        <v>95</v>
      </c>
      <c r="E264" s="18" t="s">
        <v>96</v>
      </c>
      <c r="F264" s="32" t="s">
        <v>38</v>
      </c>
      <c r="G264" s="33" t="s">
        <v>39</v>
      </c>
      <c r="H264" s="28">
        <v>100</v>
      </c>
      <c r="I264">
        <v>2018</v>
      </c>
    </row>
    <row r="265" ht="21.75" spans="1:9">
      <c r="A265" t="s">
        <v>89</v>
      </c>
      <c r="B265" t="s">
        <v>90</v>
      </c>
      <c r="C265" s="17" t="s">
        <v>94</v>
      </c>
      <c r="D265" s="17" t="s">
        <v>95</v>
      </c>
      <c r="E265" s="18" t="s">
        <v>96</v>
      </c>
      <c r="F265" s="32" t="s">
        <v>36</v>
      </c>
      <c r="G265" s="33" t="s">
        <v>37</v>
      </c>
      <c r="H265" s="28">
        <v>99.74</v>
      </c>
      <c r="I265">
        <v>2018</v>
      </c>
    </row>
    <row r="266" ht="21.75" spans="1:9">
      <c r="A266" t="s">
        <v>89</v>
      </c>
      <c r="B266" t="s">
        <v>90</v>
      </c>
      <c r="C266" s="17" t="s">
        <v>94</v>
      </c>
      <c r="D266" s="17" t="s">
        <v>95</v>
      </c>
      <c r="E266" s="18" t="s">
        <v>96</v>
      </c>
      <c r="F266" s="32" t="s">
        <v>42</v>
      </c>
      <c r="G266" s="33" t="s">
        <v>98</v>
      </c>
      <c r="H266" s="28">
        <v>99.38</v>
      </c>
      <c r="I266">
        <v>2018</v>
      </c>
    </row>
    <row r="267" ht="21.75" spans="1:9">
      <c r="A267" t="s">
        <v>89</v>
      </c>
      <c r="B267" t="s">
        <v>90</v>
      </c>
      <c r="C267" s="17" t="s">
        <v>94</v>
      </c>
      <c r="D267" s="17" t="s">
        <v>95</v>
      </c>
      <c r="E267" s="18" t="s">
        <v>96</v>
      </c>
      <c r="F267" s="32" t="s">
        <v>44</v>
      </c>
      <c r="G267" s="33" t="s">
        <v>99</v>
      </c>
      <c r="H267" s="28">
        <v>100</v>
      </c>
      <c r="I267">
        <v>2018</v>
      </c>
    </row>
    <row r="268" ht="21.75" spans="1:9">
      <c r="A268" t="s">
        <v>89</v>
      </c>
      <c r="B268" t="s">
        <v>90</v>
      </c>
      <c r="C268" s="17" t="s">
        <v>94</v>
      </c>
      <c r="D268" s="17" t="s">
        <v>95</v>
      </c>
      <c r="E268" s="18" t="s">
        <v>96</v>
      </c>
      <c r="F268" s="32" t="s">
        <v>100</v>
      </c>
      <c r="G268" s="33" t="s">
        <v>53</v>
      </c>
      <c r="H268" s="28">
        <v>97.25</v>
      </c>
      <c r="I268">
        <v>2018</v>
      </c>
    </row>
    <row r="269" ht="21.75" spans="1:9">
      <c r="A269" t="s">
        <v>89</v>
      </c>
      <c r="B269" t="s">
        <v>90</v>
      </c>
      <c r="C269" s="17" t="s">
        <v>94</v>
      </c>
      <c r="D269" s="17" t="s">
        <v>95</v>
      </c>
      <c r="E269" s="18" t="s">
        <v>96</v>
      </c>
      <c r="F269" s="32" t="s">
        <v>46</v>
      </c>
      <c r="G269" s="33" t="s">
        <v>47</v>
      </c>
      <c r="H269" s="28">
        <v>95.11</v>
      </c>
      <c r="I269">
        <v>2018</v>
      </c>
    </row>
    <row r="270" ht="21.75" spans="1:9">
      <c r="A270" t="s">
        <v>89</v>
      </c>
      <c r="B270" t="s">
        <v>90</v>
      </c>
      <c r="C270" s="17" t="s">
        <v>94</v>
      </c>
      <c r="D270" s="17" t="s">
        <v>95</v>
      </c>
      <c r="E270" s="18" t="s">
        <v>96</v>
      </c>
      <c r="F270" s="34" t="s">
        <v>101</v>
      </c>
      <c r="G270" s="35" t="s">
        <v>102</v>
      </c>
      <c r="H270" s="28">
        <v>78.35</v>
      </c>
      <c r="I270">
        <v>2018</v>
      </c>
    </row>
    <row r="271" ht="21.75" spans="1:9">
      <c r="A271" t="s">
        <v>89</v>
      </c>
      <c r="B271" t="s">
        <v>90</v>
      </c>
      <c r="C271" s="17" t="s">
        <v>94</v>
      </c>
      <c r="D271" s="17" t="s">
        <v>95</v>
      </c>
      <c r="E271" s="18" t="s">
        <v>96</v>
      </c>
      <c r="F271" s="34" t="s">
        <v>103</v>
      </c>
      <c r="G271" s="35" t="s">
        <v>104</v>
      </c>
      <c r="H271" s="28">
        <v>98.61</v>
      </c>
      <c r="I271">
        <v>2018</v>
      </c>
    </row>
    <row r="272" ht="21.75" spans="1:9">
      <c r="A272" t="s">
        <v>89</v>
      </c>
      <c r="B272" t="s">
        <v>90</v>
      </c>
      <c r="C272" s="17" t="s">
        <v>94</v>
      </c>
      <c r="D272" s="17" t="s">
        <v>95</v>
      </c>
      <c r="E272" s="18" t="s">
        <v>96</v>
      </c>
      <c r="F272" s="34" t="s">
        <v>105</v>
      </c>
      <c r="G272" s="35" t="s">
        <v>106</v>
      </c>
      <c r="H272" s="28">
        <v>75</v>
      </c>
      <c r="I272">
        <v>2018</v>
      </c>
    </row>
    <row r="273" ht="21.75" spans="1:9">
      <c r="A273" t="s">
        <v>89</v>
      </c>
      <c r="B273" t="s">
        <v>90</v>
      </c>
      <c r="C273" s="17" t="s">
        <v>94</v>
      </c>
      <c r="D273" s="17" t="s">
        <v>95</v>
      </c>
      <c r="E273" s="18" t="s">
        <v>96</v>
      </c>
      <c r="F273" s="32" t="s">
        <v>48</v>
      </c>
      <c r="G273" s="33" t="s">
        <v>49</v>
      </c>
      <c r="H273" s="28">
        <v>99.6</v>
      </c>
      <c r="I273">
        <v>2018</v>
      </c>
    </row>
    <row r="274" ht="21.75" spans="1:9">
      <c r="A274" t="s">
        <v>89</v>
      </c>
      <c r="B274" t="s">
        <v>90</v>
      </c>
      <c r="C274" s="17" t="s">
        <v>94</v>
      </c>
      <c r="D274" s="17" t="s">
        <v>95</v>
      </c>
      <c r="E274" s="18" t="s">
        <v>96</v>
      </c>
      <c r="F274" s="32" t="s">
        <v>107</v>
      </c>
      <c r="G274" s="33" t="s">
        <v>51</v>
      </c>
      <c r="H274" s="28">
        <v>99.08</v>
      </c>
      <c r="I274">
        <v>2018</v>
      </c>
    </row>
    <row r="275" ht="21.75" spans="1:9">
      <c r="A275" t="s">
        <v>89</v>
      </c>
      <c r="B275" t="s">
        <v>90</v>
      </c>
      <c r="C275" s="17" t="s">
        <v>94</v>
      </c>
      <c r="D275" s="17" t="s">
        <v>95</v>
      </c>
      <c r="E275" s="18" t="s">
        <v>96</v>
      </c>
      <c r="F275" s="32" t="s">
        <v>54</v>
      </c>
      <c r="G275" s="33" t="s">
        <v>55</v>
      </c>
      <c r="H275" s="28">
        <v>99.32</v>
      </c>
      <c r="I275">
        <v>2018</v>
      </c>
    </row>
    <row r="276" ht="21.75" spans="1:9">
      <c r="A276" t="s">
        <v>89</v>
      </c>
      <c r="B276" t="s">
        <v>90</v>
      </c>
      <c r="C276" s="17" t="s">
        <v>94</v>
      </c>
      <c r="D276" s="17" t="s">
        <v>95</v>
      </c>
      <c r="E276" s="18" t="s">
        <v>96</v>
      </c>
      <c r="F276" s="32" t="s">
        <v>56</v>
      </c>
      <c r="G276" s="33" t="s">
        <v>57</v>
      </c>
      <c r="H276" s="28">
        <v>98.29</v>
      </c>
      <c r="I276">
        <v>2018</v>
      </c>
    </row>
    <row r="277" ht="21.75" spans="1:9">
      <c r="A277" t="s">
        <v>89</v>
      </c>
      <c r="B277" t="s">
        <v>90</v>
      </c>
      <c r="C277" s="17" t="s">
        <v>94</v>
      </c>
      <c r="D277" s="17" t="s">
        <v>95</v>
      </c>
      <c r="E277" s="18" t="s">
        <v>96</v>
      </c>
      <c r="F277" s="32" t="s">
        <v>108</v>
      </c>
      <c r="G277" s="33" t="s">
        <v>59</v>
      </c>
      <c r="H277" s="28">
        <v>99.69</v>
      </c>
      <c r="I277">
        <v>2018</v>
      </c>
    </row>
    <row r="278" ht="21.75" spans="1:9">
      <c r="A278" t="s">
        <v>89</v>
      </c>
      <c r="B278" t="s">
        <v>90</v>
      </c>
      <c r="C278" s="17" t="s">
        <v>94</v>
      </c>
      <c r="D278" s="17" t="s">
        <v>95</v>
      </c>
      <c r="E278" s="18" t="s">
        <v>96</v>
      </c>
      <c r="F278" s="32" t="s">
        <v>109</v>
      </c>
      <c r="G278" s="36" t="s">
        <v>110</v>
      </c>
      <c r="H278" s="28">
        <v>100</v>
      </c>
      <c r="I278">
        <v>2018</v>
      </c>
    </row>
    <row r="279" ht="21.75" spans="1:9">
      <c r="A279" t="s">
        <v>89</v>
      </c>
      <c r="B279" t="s">
        <v>90</v>
      </c>
      <c r="C279" s="17" t="s">
        <v>94</v>
      </c>
      <c r="D279" s="17" t="s">
        <v>95</v>
      </c>
      <c r="E279" s="18" t="s">
        <v>96</v>
      </c>
      <c r="F279" s="32" t="s">
        <v>62</v>
      </c>
      <c r="G279" s="33" t="s">
        <v>63</v>
      </c>
      <c r="H279" s="28">
        <v>99.32</v>
      </c>
      <c r="I279">
        <v>2018</v>
      </c>
    </row>
    <row r="280" ht="21.75" spans="1:9">
      <c r="A280" t="s">
        <v>89</v>
      </c>
      <c r="B280" t="s">
        <v>90</v>
      </c>
      <c r="C280" s="17" t="s">
        <v>91</v>
      </c>
      <c r="D280" s="17" t="s">
        <v>92</v>
      </c>
      <c r="E280" s="18" t="s">
        <v>93</v>
      </c>
      <c r="F280" s="32" t="s">
        <v>24</v>
      </c>
      <c r="G280" s="33" t="s">
        <v>25</v>
      </c>
      <c r="H280" s="27">
        <v>2449</v>
      </c>
      <c r="I280">
        <v>2017</v>
      </c>
    </row>
    <row r="281" ht="21.75" spans="1:9">
      <c r="A281" t="s">
        <v>89</v>
      </c>
      <c r="B281" t="s">
        <v>90</v>
      </c>
      <c r="C281" s="17" t="s">
        <v>91</v>
      </c>
      <c r="D281" s="17" t="s">
        <v>92</v>
      </c>
      <c r="E281" s="18" t="s">
        <v>93</v>
      </c>
      <c r="F281" s="32" t="s">
        <v>26</v>
      </c>
      <c r="G281" s="33" t="s">
        <v>27</v>
      </c>
      <c r="H281" s="27">
        <v>1443</v>
      </c>
      <c r="I281">
        <v>2017</v>
      </c>
    </row>
    <row r="282" ht="21.75" spans="1:9">
      <c r="A282" t="s">
        <v>89</v>
      </c>
      <c r="B282" t="s">
        <v>90</v>
      </c>
      <c r="C282" s="17" t="s">
        <v>91</v>
      </c>
      <c r="D282" s="17" t="s">
        <v>92</v>
      </c>
      <c r="E282" s="18" t="s">
        <v>93</v>
      </c>
      <c r="F282" s="32" t="s">
        <v>28</v>
      </c>
      <c r="G282" s="33" t="s">
        <v>29</v>
      </c>
      <c r="H282" s="27">
        <v>1178</v>
      </c>
      <c r="I282">
        <v>2017</v>
      </c>
    </row>
    <row r="283" ht="21.75" spans="1:9">
      <c r="A283" t="s">
        <v>89</v>
      </c>
      <c r="B283" t="s">
        <v>90</v>
      </c>
      <c r="C283" s="17" t="s">
        <v>91</v>
      </c>
      <c r="D283" s="17" t="s">
        <v>92</v>
      </c>
      <c r="E283" s="18" t="s">
        <v>93</v>
      </c>
      <c r="F283" s="32" t="s">
        <v>97</v>
      </c>
      <c r="G283" s="33" t="s">
        <v>31</v>
      </c>
      <c r="H283" s="27">
        <v>2098</v>
      </c>
      <c r="I283">
        <v>2017</v>
      </c>
    </row>
    <row r="284" ht="21.75" spans="1:9">
      <c r="A284" t="s">
        <v>89</v>
      </c>
      <c r="B284" t="s">
        <v>90</v>
      </c>
      <c r="C284" s="17" t="s">
        <v>91</v>
      </c>
      <c r="D284" s="17" t="s">
        <v>92</v>
      </c>
      <c r="E284" s="18" t="s">
        <v>93</v>
      </c>
      <c r="F284" s="32" t="s">
        <v>34</v>
      </c>
      <c r="G284" s="33" t="s">
        <v>35</v>
      </c>
      <c r="H284" s="27">
        <v>577</v>
      </c>
      <c r="I284">
        <v>2017</v>
      </c>
    </row>
    <row r="285" ht="21.75" spans="1:9">
      <c r="A285" t="s">
        <v>89</v>
      </c>
      <c r="B285" t="s">
        <v>90</v>
      </c>
      <c r="C285" s="17" t="s">
        <v>91</v>
      </c>
      <c r="D285" s="17" t="s">
        <v>92</v>
      </c>
      <c r="E285" s="18" t="s">
        <v>93</v>
      </c>
      <c r="F285" s="32" t="s">
        <v>40</v>
      </c>
      <c r="G285" s="33" t="s">
        <v>41</v>
      </c>
      <c r="H285" s="27">
        <v>308</v>
      </c>
      <c r="I285">
        <v>2017</v>
      </c>
    </row>
    <row r="286" ht="21.75" spans="1:9">
      <c r="A286" t="s">
        <v>89</v>
      </c>
      <c r="B286" t="s">
        <v>90</v>
      </c>
      <c r="C286" s="17" t="s">
        <v>91</v>
      </c>
      <c r="D286" s="17" t="s">
        <v>92</v>
      </c>
      <c r="E286" s="18" t="s">
        <v>93</v>
      </c>
      <c r="F286" s="32" t="s">
        <v>32</v>
      </c>
      <c r="G286" s="33" t="s">
        <v>33</v>
      </c>
      <c r="H286" s="27">
        <v>1060</v>
      </c>
      <c r="I286">
        <v>2017</v>
      </c>
    </row>
    <row r="287" ht="21.75" spans="1:9">
      <c r="A287" t="s">
        <v>89</v>
      </c>
      <c r="B287" t="s">
        <v>90</v>
      </c>
      <c r="C287" s="17" t="s">
        <v>91</v>
      </c>
      <c r="D287" s="17" t="s">
        <v>92</v>
      </c>
      <c r="E287" s="18" t="s">
        <v>93</v>
      </c>
      <c r="F287" s="32" t="s">
        <v>38</v>
      </c>
      <c r="G287" s="33" t="s">
        <v>39</v>
      </c>
      <c r="H287" s="27">
        <v>642</v>
      </c>
      <c r="I287">
        <v>2017</v>
      </c>
    </row>
    <row r="288" ht="21.75" spans="1:9">
      <c r="A288" t="s">
        <v>89</v>
      </c>
      <c r="B288" t="s">
        <v>90</v>
      </c>
      <c r="C288" s="17" t="s">
        <v>91</v>
      </c>
      <c r="D288" s="17" t="s">
        <v>92</v>
      </c>
      <c r="E288" s="18" t="s">
        <v>93</v>
      </c>
      <c r="F288" s="32" t="s">
        <v>36</v>
      </c>
      <c r="G288" s="33" t="s">
        <v>37</v>
      </c>
      <c r="H288" s="27">
        <v>306</v>
      </c>
      <c r="I288">
        <v>2017</v>
      </c>
    </row>
    <row r="289" ht="21.75" spans="1:9">
      <c r="A289" t="s">
        <v>89</v>
      </c>
      <c r="B289" t="s">
        <v>90</v>
      </c>
      <c r="C289" s="17" t="s">
        <v>91</v>
      </c>
      <c r="D289" s="17" t="s">
        <v>92</v>
      </c>
      <c r="E289" s="18" t="s">
        <v>93</v>
      </c>
      <c r="F289" s="32" t="s">
        <v>42</v>
      </c>
      <c r="G289" s="33" t="s">
        <v>98</v>
      </c>
      <c r="H289" s="27">
        <v>620</v>
      </c>
      <c r="I289">
        <v>2017</v>
      </c>
    </row>
    <row r="290" ht="21.75" spans="1:9">
      <c r="A290" t="s">
        <v>89</v>
      </c>
      <c r="B290" t="s">
        <v>90</v>
      </c>
      <c r="C290" s="17" t="s">
        <v>91</v>
      </c>
      <c r="D290" s="17" t="s">
        <v>92</v>
      </c>
      <c r="E290" s="18" t="s">
        <v>93</v>
      </c>
      <c r="F290" s="32" t="s">
        <v>44</v>
      </c>
      <c r="G290" s="33" t="s">
        <v>99</v>
      </c>
      <c r="H290" s="27">
        <v>287</v>
      </c>
      <c r="I290">
        <v>2017</v>
      </c>
    </row>
    <row r="291" ht="21.75" spans="1:9">
      <c r="A291" t="s">
        <v>89</v>
      </c>
      <c r="B291" t="s">
        <v>90</v>
      </c>
      <c r="C291" s="17" t="s">
        <v>91</v>
      </c>
      <c r="D291" s="17" t="s">
        <v>92</v>
      </c>
      <c r="E291" s="18" t="s">
        <v>93</v>
      </c>
      <c r="F291" s="32" t="s">
        <v>100</v>
      </c>
      <c r="G291" s="33" t="s">
        <v>53</v>
      </c>
      <c r="H291" s="27">
        <v>226</v>
      </c>
      <c r="I291">
        <v>2017</v>
      </c>
    </row>
    <row r="292" ht="21.75" spans="1:9">
      <c r="A292" t="s">
        <v>89</v>
      </c>
      <c r="B292" t="s">
        <v>90</v>
      </c>
      <c r="C292" s="17" t="s">
        <v>91</v>
      </c>
      <c r="D292" s="17" t="s">
        <v>92</v>
      </c>
      <c r="E292" s="18" t="s">
        <v>93</v>
      </c>
      <c r="F292" s="32" t="s">
        <v>46</v>
      </c>
      <c r="G292" s="33" t="s">
        <v>47</v>
      </c>
      <c r="H292" s="27">
        <v>415</v>
      </c>
      <c r="I292">
        <v>2017</v>
      </c>
    </row>
    <row r="293" ht="21.75" spans="1:9">
      <c r="A293" t="s">
        <v>89</v>
      </c>
      <c r="B293" t="s">
        <v>90</v>
      </c>
      <c r="C293" s="17" t="s">
        <v>91</v>
      </c>
      <c r="D293" s="17" t="s">
        <v>92</v>
      </c>
      <c r="E293" s="18" t="s">
        <v>93</v>
      </c>
      <c r="F293" s="34" t="s">
        <v>101</v>
      </c>
      <c r="G293" s="35" t="s">
        <v>102</v>
      </c>
      <c r="H293" s="27">
        <v>69</v>
      </c>
      <c r="I293">
        <v>2017</v>
      </c>
    </row>
    <row r="294" ht="21.75" spans="1:9">
      <c r="A294" t="s">
        <v>89</v>
      </c>
      <c r="B294" t="s">
        <v>90</v>
      </c>
      <c r="C294" s="17" t="s">
        <v>91</v>
      </c>
      <c r="D294" s="17" t="s">
        <v>92</v>
      </c>
      <c r="E294" s="18" t="s">
        <v>93</v>
      </c>
      <c r="F294" s="34" t="s">
        <v>103</v>
      </c>
      <c r="G294" s="35" t="s">
        <v>104</v>
      </c>
      <c r="H294" s="27">
        <v>700</v>
      </c>
      <c r="I294">
        <v>2017</v>
      </c>
    </row>
    <row r="295" ht="21.75" spans="1:9">
      <c r="A295" t="s">
        <v>89</v>
      </c>
      <c r="B295" t="s">
        <v>90</v>
      </c>
      <c r="C295" s="17" t="s">
        <v>91</v>
      </c>
      <c r="D295" s="17" t="s">
        <v>92</v>
      </c>
      <c r="E295" s="18" t="s">
        <v>93</v>
      </c>
      <c r="F295" s="34" t="s">
        <v>105</v>
      </c>
      <c r="G295" s="35" t="s">
        <v>106</v>
      </c>
      <c r="H295" s="27">
        <v>3</v>
      </c>
      <c r="I295">
        <v>2017</v>
      </c>
    </row>
    <row r="296" ht="21.75" spans="1:9">
      <c r="A296" t="s">
        <v>89</v>
      </c>
      <c r="B296" t="s">
        <v>90</v>
      </c>
      <c r="C296" s="17" t="s">
        <v>91</v>
      </c>
      <c r="D296" s="17" t="s">
        <v>92</v>
      </c>
      <c r="E296" s="18" t="s">
        <v>93</v>
      </c>
      <c r="F296" s="32" t="s">
        <v>48</v>
      </c>
      <c r="G296" s="33" t="s">
        <v>49</v>
      </c>
      <c r="H296" s="27">
        <v>184</v>
      </c>
      <c r="I296">
        <v>2017</v>
      </c>
    </row>
    <row r="297" ht="21.75" spans="1:9">
      <c r="A297" t="s">
        <v>89</v>
      </c>
      <c r="B297" t="s">
        <v>90</v>
      </c>
      <c r="C297" s="17" t="s">
        <v>91</v>
      </c>
      <c r="D297" s="17" t="s">
        <v>92</v>
      </c>
      <c r="E297" s="18" t="s">
        <v>93</v>
      </c>
      <c r="F297" s="32" t="s">
        <v>107</v>
      </c>
      <c r="G297" s="33" t="s">
        <v>51</v>
      </c>
      <c r="H297" s="27">
        <v>121</v>
      </c>
      <c r="I297">
        <v>2017</v>
      </c>
    </row>
    <row r="298" ht="21.75" spans="1:9">
      <c r="A298" t="s">
        <v>89</v>
      </c>
      <c r="B298" t="s">
        <v>90</v>
      </c>
      <c r="C298" s="17" t="s">
        <v>91</v>
      </c>
      <c r="D298" s="17" t="s">
        <v>92</v>
      </c>
      <c r="E298" s="18" t="s">
        <v>93</v>
      </c>
      <c r="F298" s="32" t="s">
        <v>54</v>
      </c>
      <c r="G298" s="33" t="s">
        <v>55</v>
      </c>
      <c r="H298" s="27">
        <v>236</v>
      </c>
      <c r="I298">
        <v>2017</v>
      </c>
    </row>
    <row r="299" ht="21.75" spans="1:9">
      <c r="A299" t="s">
        <v>89</v>
      </c>
      <c r="B299" t="s">
        <v>90</v>
      </c>
      <c r="C299" s="17" t="s">
        <v>91</v>
      </c>
      <c r="D299" s="17" t="s">
        <v>92</v>
      </c>
      <c r="E299" s="18" t="s">
        <v>93</v>
      </c>
      <c r="F299" s="32" t="s">
        <v>56</v>
      </c>
      <c r="G299" s="33" t="s">
        <v>57</v>
      </c>
      <c r="H299" s="27">
        <v>171</v>
      </c>
      <c r="I299">
        <v>2017</v>
      </c>
    </row>
    <row r="300" ht="21.75" spans="1:9">
      <c r="A300" t="s">
        <v>89</v>
      </c>
      <c r="B300" t="s">
        <v>90</v>
      </c>
      <c r="C300" s="17" t="s">
        <v>91</v>
      </c>
      <c r="D300" s="17" t="s">
        <v>92</v>
      </c>
      <c r="E300" s="18" t="s">
        <v>93</v>
      </c>
      <c r="F300" s="32" t="s">
        <v>108</v>
      </c>
      <c r="G300" s="33" t="s">
        <v>59</v>
      </c>
      <c r="H300" s="27">
        <v>183</v>
      </c>
      <c r="I300">
        <v>2017</v>
      </c>
    </row>
    <row r="301" ht="21.75" spans="1:9">
      <c r="A301" t="s">
        <v>89</v>
      </c>
      <c r="B301" t="s">
        <v>90</v>
      </c>
      <c r="C301" s="17" t="s">
        <v>91</v>
      </c>
      <c r="D301" s="17" t="s">
        <v>92</v>
      </c>
      <c r="E301" s="18" t="s">
        <v>93</v>
      </c>
      <c r="F301" s="32" t="s">
        <v>109</v>
      </c>
      <c r="G301" s="36" t="s">
        <v>61</v>
      </c>
      <c r="H301" s="27">
        <v>12</v>
      </c>
      <c r="I301">
        <v>2017</v>
      </c>
    </row>
    <row r="302" ht="21.75" spans="1:9">
      <c r="A302" t="s">
        <v>89</v>
      </c>
      <c r="B302" t="s">
        <v>90</v>
      </c>
      <c r="C302" s="17" t="s">
        <v>91</v>
      </c>
      <c r="D302" s="17" t="s">
        <v>92</v>
      </c>
      <c r="E302" s="18" t="s">
        <v>93</v>
      </c>
      <c r="F302" s="32" t="s">
        <v>62</v>
      </c>
      <c r="G302" s="33" t="s">
        <v>63</v>
      </c>
      <c r="H302" s="27">
        <v>662</v>
      </c>
      <c r="I302">
        <v>2017</v>
      </c>
    </row>
    <row r="303" ht="21.75" spans="1:9">
      <c r="A303" t="s">
        <v>89</v>
      </c>
      <c r="B303" t="s">
        <v>90</v>
      </c>
      <c r="C303" s="17" t="s">
        <v>94</v>
      </c>
      <c r="D303" s="17" t="s">
        <v>95</v>
      </c>
      <c r="E303" s="18" t="s">
        <v>96</v>
      </c>
      <c r="F303" s="32" t="s">
        <v>24</v>
      </c>
      <c r="G303" s="33" t="s">
        <v>25</v>
      </c>
      <c r="H303" s="28">
        <v>17.56</v>
      </c>
      <c r="I303">
        <v>2017</v>
      </c>
    </row>
    <row r="304" ht="21.75" spans="1:9">
      <c r="A304" t="s">
        <v>89</v>
      </c>
      <c r="B304" t="s">
        <v>90</v>
      </c>
      <c r="C304" s="17" t="s">
        <v>94</v>
      </c>
      <c r="D304" s="17" t="s">
        <v>95</v>
      </c>
      <c r="E304" s="18" t="s">
        <v>96</v>
      </c>
      <c r="F304" s="32" t="s">
        <v>26</v>
      </c>
      <c r="G304" s="33" t="s">
        <v>27</v>
      </c>
      <c r="H304" s="28">
        <v>10.34</v>
      </c>
      <c r="I304">
        <v>2017</v>
      </c>
    </row>
    <row r="305" ht="21.75" spans="1:9">
      <c r="A305" t="s">
        <v>89</v>
      </c>
      <c r="B305" t="s">
        <v>90</v>
      </c>
      <c r="C305" s="17" t="s">
        <v>94</v>
      </c>
      <c r="D305" s="17" t="s">
        <v>95</v>
      </c>
      <c r="E305" s="18" t="s">
        <v>96</v>
      </c>
      <c r="F305" s="32" t="s">
        <v>28</v>
      </c>
      <c r="G305" s="33" t="s">
        <v>29</v>
      </c>
      <c r="H305" s="28">
        <v>8.44</v>
      </c>
      <c r="I305">
        <v>2017</v>
      </c>
    </row>
    <row r="306" ht="21.75" spans="1:9">
      <c r="A306" t="s">
        <v>89</v>
      </c>
      <c r="B306" t="s">
        <v>90</v>
      </c>
      <c r="C306" s="17" t="s">
        <v>94</v>
      </c>
      <c r="D306" s="17" t="s">
        <v>95</v>
      </c>
      <c r="E306" s="18" t="s">
        <v>96</v>
      </c>
      <c r="F306" s="32" t="s">
        <v>97</v>
      </c>
      <c r="G306" s="33" t="s">
        <v>31</v>
      </c>
      <c r="H306" s="28">
        <v>15.04</v>
      </c>
      <c r="I306">
        <v>2017</v>
      </c>
    </row>
    <row r="307" ht="21.75" spans="1:9">
      <c r="A307" t="s">
        <v>89</v>
      </c>
      <c r="B307" t="s">
        <v>90</v>
      </c>
      <c r="C307" s="17" t="s">
        <v>94</v>
      </c>
      <c r="D307" s="17" t="s">
        <v>95</v>
      </c>
      <c r="E307" s="18" t="s">
        <v>96</v>
      </c>
      <c r="F307" s="32" t="s">
        <v>34</v>
      </c>
      <c r="G307" s="33" t="s">
        <v>35</v>
      </c>
      <c r="H307" s="28">
        <v>4.14</v>
      </c>
      <c r="I307">
        <v>2017</v>
      </c>
    </row>
    <row r="308" ht="21.75" spans="1:9">
      <c r="A308" t="s">
        <v>89</v>
      </c>
      <c r="B308" t="s">
        <v>90</v>
      </c>
      <c r="C308" s="17" t="s">
        <v>94</v>
      </c>
      <c r="D308" s="17" t="s">
        <v>95</v>
      </c>
      <c r="E308" s="18" t="s">
        <v>96</v>
      </c>
      <c r="F308" s="32" t="s">
        <v>40</v>
      </c>
      <c r="G308" s="33" t="s">
        <v>41</v>
      </c>
      <c r="H308" s="28">
        <v>2.21</v>
      </c>
      <c r="I308">
        <v>2017</v>
      </c>
    </row>
    <row r="309" ht="21.75" spans="1:9">
      <c r="A309" t="s">
        <v>89</v>
      </c>
      <c r="B309" t="s">
        <v>90</v>
      </c>
      <c r="C309" s="17" t="s">
        <v>94</v>
      </c>
      <c r="D309" s="17" t="s">
        <v>95</v>
      </c>
      <c r="E309" s="18" t="s">
        <v>96</v>
      </c>
      <c r="F309" s="32" t="s">
        <v>32</v>
      </c>
      <c r="G309" s="33" t="s">
        <v>33</v>
      </c>
      <c r="H309" s="28">
        <v>7.6</v>
      </c>
      <c r="I309">
        <v>2017</v>
      </c>
    </row>
    <row r="310" ht="21.75" spans="1:9">
      <c r="A310" t="s">
        <v>89</v>
      </c>
      <c r="B310" t="s">
        <v>90</v>
      </c>
      <c r="C310" s="17" t="s">
        <v>94</v>
      </c>
      <c r="D310" s="17" t="s">
        <v>95</v>
      </c>
      <c r="E310" s="18" t="s">
        <v>96</v>
      </c>
      <c r="F310" s="32" t="s">
        <v>38</v>
      </c>
      <c r="G310" s="33" t="s">
        <v>39</v>
      </c>
      <c r="H310" s="28">
        <v>4.6</v>
      </c>
      <c r="I310">
        <v>2017</v>
      </c>
    </row>
    <row r="311" ht="21.75" spans="1:9">
      <c r="A311" t="s">
        <v>89</v>
      </c>
      <c r="B311" t="s">
        <v>90</v>
      </c>
      <c r="C311" s="17" t="s">
        <v>94</v>
      </c>
      <c r="D311" s="17" t="s">
        <v>95</v>
      </c>
      <c r="E311" s="18" t="s">
        <v>96</v>
      </c>
      <c r="F311" s="32" t="s">
        <v>36</v>
      </c>
      <c r="G311" s="33" t="s">
        <v>37</v>
      </c>
      <c r="H311" s="28">
        <v>2.19</v>
      </c>
      <c r="I311">
        <v>2017</v>
      </c>
    </row>
    <row r="312" ht="21.75" spans="1:9">
      <c r="A312" t="s">
        <v>89</v>
      </c>
      <c r="B312" t="s">
        <v>90</v>
      </c>
      <c r="C312" s="17" t="s">
        <v>94</v>
      </c>
      <c r="D312" s="17" t="s">
        <v>95</v>
      </c>
      <c r="E312" s="18" t="s">
        <v>96</v>
      </c>
      <c r="F312" s="32" t="s">
        <v>42</v>
      </c>
      <c r="G312" s="33" t="s">
        <v>98</v>
      </c>
      <c r="H312" s="28">
        <v>4.44</v>
      </c>
      <c r="I312">
        <v>2017</v>
      </c>
    </row>
    <row r="313" ht="21.75" spans="1:9">
      <c r="A313" t="s">
        <v>89</v>
      </c>
      <c r="B313" t="s">
        <v>90</v>
      </c>
      <c r="C313" s="17" t="s">
        <v>94</v>
      </c>
      <c r="D313" s="17" t="s">
        <v>95</v>
      </c>
      <c r="E313" s="18" t="s">
        <v>96</v>
      </c>
      <c r="F313" s="32" t="s">
        <v>44</v>
      </c>
      <c r="G313" s="33" t="s">
        <v>99</v>
      </c>
      <c r="H313" s="28">
        <v>2.06</v>
      </c>
      <c r="I313">
        <v>2017</v>
      </c>
    </row>
    <row r="314" ht="21.75" spans="1:9">
      <c r="A314" t="s">
        <v>89</v>
      </c>
      <c r="B314" t="s">
        <v>90</v>
      </c>
      <c r="C314" s="17" t="s">
        <v>94</v>
      </c>
      <c r="D314" s="17" t="s">
        <v>95</v>
      </c>
      <c r="E314" s="18" t="s">
        <v>96</v>
      </c>
      <c r="F314" s="32" t="s">
        <v>100</v>
      </c>
      <c r="G314" s="33" t="s">
        <v>53</v>
      </c>
      <c r="H314" s="28">
        <v>1.62</v>
      </c>
      <c r="I314">
        <v>2017</v>
      </c>
    </row>
    <row r="315" ht="21.75" spans="1:9">
      <c r="A315" t="s">
        <v>89</v>
      </c>
      <c r="B315" t="s">
        <v>90</v>
      </c>
      <c r="C315" s="17" t="s">
        <v>94</v>
      </c>
      <c r="D315" s="17" t="s">
        <v>95</v>
      </c>
      <c r="E315" s="18" t="s">
        <v>96</v>
      </c>
      <c r="F315" s="32" t="s">
        <v>46</v>
      </c>
      <c r="G315" s="33" t="s">
        <v>47</v>
      </c>
      <c r="H315" s="28">
        <v>2.97</v>
      </c>
      <c r="I315">
        <v>2017</v>
      </c>
    </row>
    <row r="316" ht="21.75" spans="1:9">
      <c r="A316" t="s">
        <v>89</v>
      </c>
      <c r="B316" t="s">
        <v>90</v>
      </c>
      <c r="C316" s="17" t="s">
        <v>94</v>
      </c>
      <c r="D316" s="17" t="s">
        <v>95</v>
      </c>
      <c r="E316" s="18" t="s">
        <v>96</v>
      </c>
      <c r="F316" s="34" t="s">
        <v>101</v>
      </c>
      <c r="G316" s="35" t="s">
        <v>102</v>
      </c>
      <c r="H316" s="28">
        <v>0.49</v>
      </c>
      <c r="I316">
        <v>2017</v>
      </c>
    </row>
    <row r="317" ht="21.75" spans="1:9">
      <c r="A317" t="s">
        <v>89</v>
      </c>
      <c r="B317" t="s">
        <v>90</v>
      </c>
      <c r="C317" s="17" t="s">
        <v>94</v>
      </c>
      <c r="D317" s="17" t="s">
        <v>95</v>
      </c>
      <c r="E317" s="18" t="s">
        <v>96</v>
      </c>
      <c r="F317" s="34" t="s">
        <v>103</v>
      </c>
      <c r="G317" s="35" t="s">
        <v>104</v>
      </c>
      <c r="H317" s="28">
        <v>5.02</v>
      </c>
      <c r="I317">
        <v>2017</v>
      </c>
    </row>
    <row r="318" ht="21.75" spans="1:9">
      <c r="A318" t="s">
        <v>89</v>
      </c>
      <c r="B318" t="s">
        <v>90</v>
      </c>
      <c r="C318" s="17" t="s">
        <v>94</v>
      </c>
      <c r="D318" s="17" t="s">
        <v>95</v>
      </c>
      <c r="E318" s="18" t="s">
        <v>96</v>
      </c>
      <c r="F318" s="34" t="s">
        <v>105</v>
      </c>
      <c r="G318" s="35" t="s">
        <v>106</v>
      </c>
      <c r="H318" s="28">
        <v>0.02</v>
      </c>
      <c r="I318">
        <v>2017</v>
      </c>
    </row>
    <row r="319" ht="21.75" spans="1:9">
      <c r="A319" t="s">
        <v>89</v>
      </c>
      <c r="B319" t="s">
        <v>90</v>
      </c>
      <c r="C319" s="17" t="s">
        <v>94</v>
      </c>
      <c r="D319" s="17" t="s">
        <v>95</v>
      </c>
      <c r="E319" s="18" t="s">
        <v>96</v>
      </c>
      <c r="F319" s="32" t="s">
        <v>48</v>
      </c>
      <c r="G319" s="33" t="s">
        <v>49</v>
      </c>
      <c r="H319" s="28">
        <v>1.32</v>
      </c>
      <c r="I319">
        <v>2017</v>
      </c>
    </row>
    <row r="320" ht="21.75" spans="1:9">
      <c r="A320" t="s">
        <v>89</v>
      </c>
      <c r="B320" t="s">
        <v>90</v>
      </c>
      <c r="C320" s="17" t="s">
        <v>94</v>
      </c>
      <c r="D320" s="17" t="s">
        <v>95</v>
      </c>
      <c r="E320" s="18" t="s">
        <v>96</v>
      </c>
      <c r="F320" s="32" t="s">
        <v>107</v>
      </c>
      <c r="G320" s="33" t="s">
        <v>51</v>
      </c>
      <c r="H320" s="28">
        <v>0.87</v>
      </c>
      <c r="I320">
        <v>2017</v>
      </c>
    </row>
    <row r="321" ht="21.75" spans="1:9">
      <c r="A321" t="s">
        <v>89</v>
      </c>
      <c r="B321" t="s">
        <v>90</v>
      </c>
      <c r="C321" s="17" t="s">
        <v>94</v>
      </c>
      <c r="D321" s="17" t="s">
        <v>95</v>
      </c>
      <c r="E321" s="18" t="s">
        <v>96</v>
      </c>
      <c r="F321" s="32" t="s">
        <v>54</v>
      </c>
      <c r="G321" s="33" t="s">
        <v>55</v>
      </c>
      <c r="H321" s="28">
        <v>1.69</v>
      </c>
      <c r="I321">
        <v>2017</v>
      </c>
    </row>
    <row r="322" ht="21.75" spans="1:9">
      <c r="A322" t="s">
        <v>89</v>
      </c>
      <c r="B322" t="s">
        <v>90</v>
      </c>
      <c r="C322" s="17" t="s">
        <v>94</v>
      </c>
      <c r="D322" s="17" t="s">
        <v>95</v>
      </c>
      <c r="E322" s="18" t="s">
        <v>96</v>
      </c>
      <c r="F322" s="32" t="s">
        <v>56</v>
      </c>
      <c r="G322" s="33" t="s">
        <v>57</v>
      </c>
      <c r="H322" s="28">
        <v>1.23</v>
      </c>
      <c r="I322">
        <v>2017</v>
      </c>
    </row>
    <row r="323" ht="21.75" spans="1:9">
      <c r="A323" t="s">
        <v>89</v>
      </c>
      <c r="B323" t="s">
        <v>90</v>
      </c>
      <c r="C323" s="17" t="s">
        <v>94</v>
      </c>
      <c r="D323" s="17" t="s">
        <v>95</v>
      </c>
      <c r="E323" s="18" t="s">
        <v>96</v>
      </c>
      <c r="F323" s="32" t="s">
        <v>108</v>
      </c>
      <c r="G323" s="33" t="s">
        <v>59</v>
      </c>
      <c r="H323" s="28">
        <v>1.31</v>
      </c>
      <c r="I323">
        <v>2017</v>
      </c>
    </row>
    <row r="324" ht="21.75" spans="1:9">
      <c r="A324" t="s">
        <v>89</v>
      </c>
      <c r="B324" t="s">
        <v>90</v>
      </c>
      <c r="C324" s="17" t="s">
        <v>94</v>
      </c>
      <c r="D324" s="17" t="s">
        <v>95</v>
      </c>
      <c r="E324" s="18" t="s">
        <v>96</v>
      </c>
      <c r="F324" s="32" t="s">
        <v>109</v>
      </c>
      <c r="G324" s="36" t="s">
        <v>61</v>
      </c>
      <c r="H324" s="28">
        <v>0.09</v>
      </c>
      <c r="I324">
        <v>2017</v>
      </c>
    </row>
    <row r="325" ht="21.75" spans="1:9">
      <c r="A325" t="s">
        <v>89</v>
      </c>
      <c r="B325" t="s">
        <v>90</v>
      </c>
      <c r="C325" s="17" t="s">
        <v>94</v>
      </c>
      <c r="D325" s="17" t="s">
        <v>95</v>
      </c>
      <c r="E325" s="18" t="s">
        <v>96</v>
      </c>
      <c r="F325" s="32" t="s">
        <v>62</v>
      </c>
      <c r="G325" s="33" t="s">
        <v>63</v>
      </c>
      <c r="H325" s="28">
        <v>4.75</v>
      </c>
      <c r="I325">
        <v>2017</v>
      </c>
    </row>
    <row r="326" ht="21.75" spans="1:9">
      <c r="A326" t="s">
        <v>89</v>
      </c>
      <c r="B326" t="s">
        <v>90</v>
      </c>
      <c r="C326" s="17" t="s">
        <v>91</v>
      </c>
      <c r="D326" s="17" t="s">
        <v>92</v>
      </c>
      <c r="E326" s="18" t="s">
        <v>93</v>
      </c>
      <c r="F326" s="32" t="s">
        <v>24</v>
      </c>
      <c r="G326" s="33" t="s">
        <v>25</v>
      </c>
      <c r="H326" s="37">
        <v>2302</v>
      </c>
      <c r="I326">
        <v>2016</v>
      </c>
    </row>
    <row r="327" ht="21.75" spans="1:9">
      <c r="A327" t="s">
        <v>89</v>
      </c>
      <c r="B327" t="s">
        <v>90</v>
      </c>
      <c r="C327" s="17" t="s">
        <v>91</v>
      </c>
      <c r="D327" s="17" t="s">
        <v>92</v>
      </c>
      <c r="E327" s="18" t="s">
        <v>93</v>
      </c>
      <c r="F327" s="32" t="s">
        <v>26</v>
      </c>
      <c r="G327" s="33" t="s">
        <v>27</v>
      </c>
      <c r="H327" s="37">
        <v>1450</v>
      </c>
      <c r="I327">
        <v>2016</v>
      </c>
    </row>
    <row r="328" ht="21.75" spans="1:9">
      <c r="A328" t="s">
        <v>89</v>
      </c>
      <c r="B328" t="s">
        <v>90</v>
      </c>
      <c r="C328" s="17" t="s">
        <v>91</v>
      </c>
      <c r="D328" s="17" t="s">
        <v>92</v>
      </c>
      <c r="E328" s="18" t="s">
        <v>93</v>
      </c>
      <c r="F328" s="32" t="s">
        <v>28</v>
      </c>
      <c r="G328" s="33" t="s">
        <v>29</v>
      </c>
      <c r="H328" s="37">
        <v>929</v>
      </c>
      <c r="I328">
        <v>2016</v>
      </c>
    </row>
    <row r="329" ht="21.75" spans="1:9">
      <c r="A329" t="s">
        <v>89</v>
      </c>
      <c r="B329" t="s">
        <v>90</v>
      </c>
      <c r="C329" s="17" t="s">
        <v>91</v>
      </c>
      <c r="D329" s="17" t="s">
        <v>92</v>
      </c>
      <c r="E329" s="18" t="s">
        <v>93</v>
      </c>
      <c r="F329" s="32" t="s">
        <v>97</v>
      </c>
      <c r="G329" s="33" t="s">
        <v>31</v>
      </c>
      <c r="H329" s="37">
        <v>2256</v>
      </c>
      <c r="I329">
        <v>2016</v>
      </c>
    </row>
    <row r="330" ht="21.75" spans="1:9">
      <c r="A330" t="s">
        <v>89</v>
      </c>
      <c r="B330" t="s">
        <v>90</v>
      </c>
      <c r="C330" s="17" t="s">
        <v>91</v>
      </c>
      <c r="D330" s="17" t="s">
        <v>92</v>
      </c>
      <c r="E330" s="18" t="s">
        <v>93</v>
      </c>
      <c r="F330" s="32" t="s">
        <v>34</v>
      </c>
      <c r="G330" s="33" t="s">
        <v>35</v>
      </c>
      <c r="H330" s="37">
        <v>609</v>
      </c>
      <c r="I330">
        <v>2016</v>
      </c>
    </row>
    <row r="331" ht="21.75" spans="1:9">
      <c r="A331" t="s">
        <v>89</v>
      </c>
      <c r="B331" t="s">
        <v>90</v>
      </c>
      <c r="C331" s="17" t="s">
        <v>91</v>
      </c>
      <c r="D331" s="17" t="s">
        <v>92</v>
      </c>
      <c r="E331" s="18" t="s">
        <v>93</v>
      </c>
      <c r="F331" s="32" t="s">
        <v>40</v>
      </c>
      <c r="G331" s="33" t="s">
        <v>41</v>
      </c>
      <c r="H331" s="37">
        <v>221</v>
      </c>
      <c r="I331">
        <v>2016</v>
      </c>
    </row>
    <row r="332" ht="21.75" spans="1:9">
      <c r="A332" t="s">
        <v>89</v>
      </c>
      <c r="B332" t="s">
        <v>90</v>
      </c>
      <c r="C332" s="17" t="s">
        <v>91</v>
      </c>
      <c r="D332" s="17" t="s">
        <v>92</v>
      </c>
      <c r="E332" s="18" t="s">
        <v>93</v>
      </c>
      <c r="F332" s="32" t="s">
        <v>32</v>
      </c>
      <c r="G332" s="33" t="s">
        <v>33</v>
      </c>
      <c r="H332" s="37">
        <v>1139</v>
      </c>
      <c r="I332">
        <v>2016</v>
      </c>
    </row>
    <row r="333" ht="21.75" spans="1:9">
      <c r="A333" t="s">
        <v>89</v>
      </c>
      <c r="B333" t="s">
        <v>90</v>
      </c>
      <c r="C333" s="17" t="s">
        <v>91</v>
      </c>
      <c r="D333" s="17" t="s">
        <v>92</v>
      </c>
      <c r="E333" s="18" t="s">
        <v>93</v>
      </c>
      <c r="F333" s="32" t="s">
        <v>38</v>
      </c>
      <c r="G333" s="33" t="s">
        <v>39</v>
      </c>
      <c r="H333" s="37">
        <v>554</v>
      </c>
      <c r="I333">
        <v>2016</v>
      </c>
    </row>
    <row r="334" ht="21.75" spans="1:9">
      <c r="A334" t="s">
        <v>89</v>
      </c>
      <c r="B334" t="s">
        <v>90</v>
      </c>
      <c r="C334" s="17" t="s">
        <v>91</v>
      </c>
      <c r="D334" s="17" t="s">
        <v>92</v>
      </c>
      <c r="E334" s="18" t="s">
        <v>93</v>
      </c>
      <c r="F334" s="32" t="s">
        <v>36</v>
      </c>
      <c r="G334" s="33" t="s">
        <v>37</v>
      </c>
      <c r="H334" s="37">
        <v>303</v>
      </c>
      <c r="I334">
        <v>2016</v>
      </c>
    </row>
    <row r="335" ht="21.75" spans="1:9">
      <c r="A335" t="s">
        <v>89</v>
      </c>
      <c r="B335" t="s">
        <v>90</v>
      </c>
      <c r="C335" s="17" t="s">
        <v>91</v>
      </c>
      <c r="D335" s="17" t="s">
        <v>92</v>
      </c>
      <c r="E335" s="18" t="s">
        <v>93</v>
      </c>
      <c r="F335" s="32" t="s">
        <v>42</v>
      </c>
      <c r="G335" s="33" t="s">
        <v>98</v>
      </c>
      <c r="H335" s="37">
        <v>722</v>
      </c>
      <c r="I335">
        <v>2016</v>
      </c>
    </row>
    <row r="336" ht="21.75" spans="1:9">
      <c r="A336" t="s">
        <v>89</v>
      </c>
      <c r="B336" t="s">
        <v>90</v>
      </c>
      <c r="C336" s="17" t="s">
        <v>91</v>
      </c>
      <c r="D336" s="17" t="s">
        <v>92</v>
      </c>
      <c r="E336" s="18" t="s">
        <v>93</v>
      </c>
      <c r="F336" s="32" t="s">
        <v>44</v>
      </c>
      <c r="G336" s="33" t="s">
        <v>99</v>
      </c>
      <c r="H336" s="37">
        <v>285</v>
      </c>
      <c r="I336">
        <v>2016</v>
      </c>
    </row>
    <row r="337" ht="21.75" spans="1:9">
      <c r="A337" t="s">
        <v>89</v>
      </c>
      <c r="B337" t="s">
        <v>90</v>
      </c>
      <c r="C337" s="17" t="s">
        <v>91</v>
      </c>
      <c r="D337" s="17" t="s">
        <v>92</v>
      </c>
      <c r="E337" s="18" t="s">
        <v>93</v>
      </c>
      <c r="F337" s="32" t="s">
        <v>100</v>
      </c>
      <c r="G337" s="33" t="s">
        <v>53</v>
      </c>
      <c r="H337" s="37">
        <v>145</v>
      </c>
      <c r="I337">
        <v>2016</v>
      </c>
    </row>
    <row r="338" ht="21.75" spans="1:9">
      <c r="A338" t="s">
        <v>89</v>
      </c>
      <c r="B338" t="s">
        <v>90</v>
      </c>
      <c r="C338" s="17" t="s">
        <v>91</v>
      </c>
      <c r="D338" s="17" t="s">
        <v>92</v>
      </c>
      <c r="E338" s="18" t="s">
        <v>93</v>
      </c>
      <c r="F338" s="32" t="s">
        <v>46</v>
      </c>
      <c r="G338" s="33" t="s">
        <v>47</v>
      </c>
      <c r="H338" s="37">
        <v>345</v>
      </c>
      <c r="I338">
        <v>2016</v>
      </c>
    </row>
    <row r="339" ht="21.75" spans="1:9">
      <c r="A339" t="s">
        <v>89</v>
      </c>
      <c r="B339" t="s">
        <v>90</v>
      </c>
      <c r="C339" s="17" t="s">
        <v>91</v>
      </c>
      <c r="D339" s="17" t="s">
        <v>92</v>
      </c>
      <c r="E339" s="18" t="s">
        <v>93</v>
      </c>
      <c r="F339" s="32" t="s">
        <v>111</v>
      </c>
      <c r="G339" s="33" t="s">
        <v>112</v>
      </c>
      <c r="H339" s="37">
        <v>518</v>
      </c>
      <c r="I339">
        <v>2016</v>
      </c>
    </row>
    <row r="340" ht="21.75" spans="1:9">
      <c r="A340" t="s">
        <v>89</v>
      </c>
      <c r="B340" t="s">
        <v>90</v>
      </c>
      <c r="C340" s="17" t="s">
        <v>91</v>
      </c>
      <c r="D340" s="17" t="s">
        <v>92</v>
      </c>
      <c r="E340" s="18" t="s">
        <v>93</v>
      </c>
      <c r="F340" s="32" t="s">
        <v>48</v>
      </c>
      <c r="G340" s="33" t="s">
        <v>49</v>
      </c>
      <c r="H340" s="37">
        <v>306</v>
      </c>
      <c r="I340">
        <v>2016</v>
      </c>
    </row>
    <row r="341" ht="21.75" spans="1:9">
      <c r="A341" t="s">
        <v>89</v>
      </c>
      <c r="B341" t="s">
        <v>90</v>
      </c>
      <c r="C341" s="17" t="s">
        <v>91</v>
      </c>
      <c r="D341" s="17" t="s">
        <v>92</v>
      </c>
      <c r="E341" s="18" t="s">
        <v>93</v>
      </c>
      <c r="F341" s="32" t="s">
        <v>107</v>
      </c>
      <c r="G341" s="33" t="s">
        <v>51</v>
      </c>
      <c r="H341" s="37">
        <v>208</v>
      </c>
      <c r="I341">
        <v>2016</v>
      </c>
    </row>
    <row r="342" ht="21.75" spans="1:9">
      <c r="A342" t="s">
        <v>89</v>
      </c>
      <c r="B342" t="s">
        <v>90</v>
      </c>
      <c r="C342" s="17" t="s">
        <v>91</v>
      </c>
      <c r="D342" s="17" t="s">
        <v>92</v>
      </c>
      <c r="E342" s="18" t="s">
        <v>93</v>
      </c>
      <c r="F342" s="32" t="s">
        <v>54</v>
      </c>
      <c r="G342" s="33" t="s">
        <v>55</v>
      </c>
      <c r="H342" s="37">
        <v>374</v>
      </c>
      <c r="I342">
        <v>2016</v>
      </c>
    </row>
    <row r="343" ht="21.75" spans="1:9">
      <c r="A343" t="s">
        <v>89</v>
      </c>
      <c r="B343" t="s">
        <v>90</v>
      </c>
      <c r="C343" s="17" t="s">
        <v>91</v>
      </c>
      <c r="D343" s="17" t="s">
        <v>92</v>
      </c>
      <c r="E343" s="18" t="s">
        <v>93</v>
      </c>
      <c r="F343" s="32" t="s">
        <v>56</v>
      </c>
      <c r="G343" s="33" t="s">
        <v>57</v>
      </c>
      <c r="H343" s="37">
        <v>240</v>
      </c>
      <c r="I343">
        <v>2016</v>
      </c>
    </row>
    <row r="344" ht="21.75" spans="1:9">
      <c r="A344" t="s">
        <v>89</v>
      </c>
      <c r="B344" t="s">
        <v>90</v>
      </c>
      <c r="C344" s="17" t="s">
        <v>91</v>
      </c>
      <c r="D344" s="17" t="s">
        <v>92</v>
      </c>
      <c r="E344" s="18" t="s">
        <v>93</v>
      </c>
      <c r="F344" s="32" t="s">
        <v>108</v>
      </c>
      <c r="G344" s="33" t="s">
        <v>59</v>
      </c>
      <c r="H344" s="37">
        <v>151</v>
      </c>
      <c r="I344">
        <v>2016</v>
      </c>
    </row>
    <row r="345" ht="21.75" spans="1:9">
      <c r="A345" t="s">
        <v>89</v>
      </c>
      <c r="B345" t="s">
        <v>90</v>
      </c>
      <c r="C345" s="17" t="s">
        <v>91</v>
      </c>
      <c r="D345" s="17" t="s">
        <v>92</v>
      </c>
      <c r="E345" s="18" t="s">
        <v>93</v>
      </c>
      <c r="F345" s="32" t="s">
        <v>113</v>
      </c>
      <c r="G345" s="33" t="s">
        <v>114</v>
      </c>
      <c r="H345" s="37">
        <v>8</v>
      </c>
      <c r="I345">
        <v>2016</v>
      </c>
    </row>
    <row r="346" ht="21.75" spans="1:9">
      <c r="A346" t="s">
        <v>89</v>
      </c>
      <c r="B346" t="s">
        <v>90</v>
      </c>
      <c r="C346" s="17" t="s">
        <v>91</v>
      </c>
      <c r="D346" s="17" t="s">
        <v>92</v>
      </c>
      <c r="E346" s="18" t="s">
        <v>93</v>
      </c>
      <c r="F346" s="32" t="s">
        <v>62</v>
      </c>
      <c r="G346" s="33" t="s">
        <v>63</v>
      </c>
      <c r="H346" s="37">
        <v>556</v>
      </c>
      <c r="I346">
        <v>2016</v>
      </c>
    </row>
    <row r="347" ht="21.75" spans="1:9">
      <c r="A347" t="s">
        <v>89</v>
      </c>
      <c r="B347" t="s">
        <v>90</v>
      </c>
      <c r="C347" s="17" t="s">
        <v>94</v>
      </c>
      <c r="D347" s="17" t="s">
        <v>95</v>
      </c>
      <c r="E347" s="18" t="s">
        <v>96</v>
      </c>
      <c r="F347" s="32" t="s">
        <v>24</v>
      </c>
      <c r="G347" s="33" t="s">
        <v>25</v>
      </c>
      <c r="H347" s="38">
        <v>16.9</v>
      </c>
      <c r="I347">
        <v>2016</v>
      </c>
    </row>
    <row r="348" ht="21.75" spans="1:9">
      <c r="A348" t="s">
        <v>89</v>
      </c>
      <c r="B348" t="s">
        <v>90</v>
      </c>
      <c r="C348" s="17" t="s">
        <v>94</v>
      </c>
      <c r="D348" s="17" t="s">
        <v>95</v>
      </c>
      <c r="E348" s="18" t="s">
        <v>96</v>
      </c>
      <c r="F348" s="32" t="s">
        <v>26</v>
      </c>
      <c r="G348" s="33" t="s">
        <v>27</v>
      </c>
      <c r="H348" s="38">
        <v>10.65</v>
      </c>
      <c r="I348">
        <v>2016</v>
      </c>
    </row>
    <row r="349" ht="21.75" spans="1:9">
      <c r="A349" t="s">
        <v>89</v>
      </c>
      <c r="B349" t="s">
        <v>90</v>
      </c>
      <c r="C349" s="17" t="s">
        <v>94</v>
      </c>
      <c r="D349" s="17" t="s">
        <v>95</v>
      </c>
      <c r="E349" s="18" t="s">
        <v>96</v>
      </c>
      <c r="F349" s="32" t="s">
        <v>28</v>
      </c>
      <c r="G349" s="33" t="s">
        <v>29</v>
      </c>
      <c r="H349" s="38">
        <v>6.82</v>
      </c>
      <c r="I349">
        <v>2016</v>
      </c>
    </row>
    <row r="350" ht="21.75" spans="1:9">
      <c r="A350" t="s">
        <v>89</v>
      </c>
      <c r="B350" t="s">
        <v>90</v>
      </c>
      <c r="C350" s="17" t="s">
        <v>94</v>
      </c>
      <c r="D350" s="17" t="s">
        <v>95</v>
      </c>
      <c r="E350" s="18" t="s">
        <v>96</v>
      </c>
      <c r="F350" s="32" t="s">
        <v>97</v>
      </c>
      <c r="G350" s="33" t="s">
        <v>31</v>
      </c>
      <c r="H350" s="38">
        <v>16.56</v>
      </c>
      <c r="I350">
        <v>2016</v>
      </c>
    </row>
    <row r="351" ht="21.75" spans="1:9">
      <c r="A351" t="s">
        <v>89</v>
      </c>
      <c r="B351" t="s">
        <v>90</v>
      </c>
      <c r="C351" s="17" t="s">
        <v>94</v>
      </c>
      <c r="D351" s="17" t="s">
        <v>95</v>
      </c>
      <c r="E351" s="18" t="s">
        <v>96</v>
      </c>
      <c r="F351" s="32" t="s">
        <v>34</v>
      </c>
      <c r="G351" s="33" t="s">
        <v>35</v>
      </c>
      <c r="H351" s="38">
        <v>4.47</v>
      </c>
      <c r="I351">
        <v>2016</v>
      </c>
    </row>
    <row r="352" ht="21.75" spans="1:9">
      <c r="A352" t="s">
        <v>89</v>
      </c>
      <c r="B352" t="s">
        <v>90</v>
      </c>
      <c r="C352" s="17" t="s">
        <v>94</v>
      </c>
      <c r="D352" s="17" t="s">
        <v>95</v>
      </c>
      <c r="E352" s="18" t="s">
        <v>96</v>
      </c>
      <c r="F352" s="32" t="s">
        <v>40</v>
      </c>
      <c r="G352" s="33" t="s">
        <v>41</v>
      </c>
      <c r="H352" s="38">
        <v>1.62</v>
      </c>
      <c r="I352">
        <v>2016</v>
      </c>
    </row>
    <row r="353" ht="21.75" spans="1:9">
      <c r="A353" t="s">
        <v>89</v>
      </c>
      <c r="B353" t="s">
        <v>90</v>
      </c>
      <c r="C353" s="17" t="s">
        <v>94</v>
      </c>
      <c r="D353" s="17" t="s">
        <v>95</v>
      </c>
      <c r="E353" s="18" t="s">
        <v>96</v>
      </c>
      <c r="F353" s="32" t="s">
        <v>32</v>
      </c>
      <c r="G353" s="33" t="s">
        <v>33</v>
      </c>
      <c r="H353" s="38">
        <v>8.36</v>
      </c>
      <c r="I353">
        <v>2016</v>
      </c>
    </row>
    <row r="354" ht="21.75" spans="1:9">
      <c r="A354" t="s">
        <v>89</v>
      </c>
      <c r="B354" t="s">
        <v>90</v>
      </c>
      <c r="C354" s="17" t="s">
        <v>94</v>
      </c>
      <c r="D354" s="17" t="s">
        <v>95</v>
      </c>
      <c r="E354" s="18" t="s">
        <v>96</v>
      </c>
      <c r="F354" s="32" t="s">
        <v>38</v>
      </c>
      <c r="G354" s="33" t="s">
        <v>39</v>
      </c>
      <c r="H354" s="38">
        <v>4.07</v>
      </c>
      <c r="I354">
        <v>2016</v>
      </c>
    </row>
    <row r="355" ht="21.75" spans="1:9">
      <c r="A355" t="s">
        <v>89</v>
      </c>
      <c r="B355" t="s">
        <v>90</v>
      </c>
      <c r="C355" s="17" t="s">
        <v>94</v>
      </c>
      <c r="D355" s="17" t="s">
        <v>95</v>
      </c>
      <c r="E355" s="18" t="s">
        <v>96</v>
      </c>
      <c r="F355" s="32" t="s">
        <v>36</v>
      </c>
      <c r="G355" s="33" t="s">
        <v>37</v>
      </c>
      <c r="H355" s="38">
        <v>2.22</v>
      </c>
      <c r="I355">
        <v>2016</v>
      </c>
    </row>
    <row r="356" ht="21.75" spans="1:9">
      <c r="A356" t="s">
        <v>89</v>
      </c>
      <c r="B356" t="s">
        <v>90</v>
      </c>
      <c r="C356" s="17" t="s">
        <v>94</v>
      </c>
      <c r="D356" s="17" t="s">
        <v>95</v>
      </c>
      <c r="E356" s="18" t="s">
        <v>96</v>
      </c>
      <c r="F356" s="32" t="s">
        <v>42</v>
      </c>
      <c r="G356" s="33" t="s">
        <v>98</v>
      </c>
      <c r="H356" s="38">
        <v>5.3</v>
      </c>
      <c r="I356">
        <v>2016</v>
      </c>
    </row>
    <row r="357" ht="21.75" spans="1:9">
      <c r="A357" t="s">
        <v>89</v>
      </c>
      <c r="B357" t="s">
        <v>90</v>
      </c>
      <c r="C357" s="17" t="s">
        <v>94</v>
      </c>
      <c r="D357" s="17" t="s">
        <v>95</v>
      </c>
      <c r="E357" s="18" t="s">
        <v>96</v>
      </c>
      <c r="F357" s="32" t="s">
        <v>44</v>
      </c>
      <c r="G357" s="33" t="s">
        <v>99</v>
      </c>
      <c r="H357" s="38">
        <v>2.09</v>
      </c>
      <c r="I357">
        <v>2016</v>
      </c>
    </row>
    <row r="358" ht="21.75" spans="1:9">
      <c r="A358" t="s">
        <v>89</v>
      </c>
      <c r="B358" t="s">
        <v>90</v>
      </c>
      <c r="C358" s="17" t="s">
        <v>94</v>
      </c>
      <c r="D358" s="17" t="s">
        <v>95</v>
      </c>
      <c r="E358" s="18" t="s">
        <v>96</v>
      </c>
      <c r="F358" s="32" t="s">
        <v>100</v>
      </c>
      <c r="G358" s="33" t="s">
        <v>53</v>
      </c>
      <c r="H358" s="38">
        <v>1.06</v>
      </c>
      <c r="I358">
        <v>2016</v>
      </c>
    </row>
    <row r="359" ht="21.75" spans="1:9">
      <c r="A359" t="s">
        <v>89</v>
      </c>
      <c r="B359" t="s">
        <v>90</v>
      </c>
      <c r="C359" s="17" t="s">
        <v>94</v>
      </c>
      <c r="D359" s="17" t="s">
        <v>95</v>
      </c>
      <c r="E359" s="18" t="s">
        <v>96</v>
      </c>
      <c r="F359" s="32" t="s">
        <v>46</v>
      </c>
      <c r="G359" s="33" t="s">
        <v>47</v>
      </c>
      <c r="H359" s="38">
        <v>2.53</v>
      </c>
      <c r="I359">
        <v>2016</v>
      </c>
    </row>
    <row r="360" ht="21.75" spans="1:9">
      <c r="A360" t="s">
        <v>89</v>
      </c>
      <c r="B360" t="s">
        <v>90</v>
      </c>
      <c r="C360" s="17" t="s">
        <v>94</v>
      </c>
      <c r="D360" s="17" t="s">
        <v>95</v>
      </c>
      <c r="E360" s="18" t="s">
        <v>96</v>
      </c>
      <c r="F360" s="32" t="s">
        <v>111</v>
      </c>
      <c r="G360" s="33" t="s">
        <v>112</v>
      </c>
      <c r="H360" s="38">
        <v>3.8</v>
      </c>
      <c r="I360">
        <v>2016</v>
      </c>
    </row>
    <row r="361" ht="21.75" spans="1:9">
      <c r="A361" t="s">
        <v>89</v>
      </c>
      <c r="B361" t="s">
        <v>90</v>
      </c>
      <c r="C361" s="17" t="s">
        <v>94</v>
      </c>
      <c r="D361" s="17" t="s">
        <v>95</v>
      </c>
      <c r="E361" s="18" t="s">
        <v>96</v>
      </c>
      <c r="F361" s="32" t="s">
        <v>48</v>
      </c>
      <c r="G361" s="33" t="s">
        <v>49</v>
      </c>
      <c r="H361" s="38">
        <v>2.25</v>
      </c>
      <c r="I361">
        <v>2016</v>
      </c>
    </row>
    <row r="362" ht="21.75" spans="1:9">
      <c r="A362" t="s">
        <v>89</v>
      </c>
      <c r="B362" t="s">
        <v>90</v>
      </c>
      <c r="C362" s="17" t="s">
        <v>94</v>
      </c>
      <c r="D362" s="17" t="s">
        <v>95</v>
      </c>
      <c r="E362" s="18" t="s">
        <v>96</v>
      </c>
      <c r="F362" s="32" t="s">
        <v>107</v>
      </c>
      <c r="G362" s="33" t="s">
        <v>51</v>
      </c>
      <c r="H362" s="38">
        <v>1.53</v>
      </c>
      <c r="I362">
        <v>2016</v>
      </c>
    </row>
    <row r="363" ht="21.75" spans="1:9">
      <c r="A363" t="s">
        <v>89</v>
      </c>
      <c r="B363" t="s">
        <v>90</v>
      </c>
      <c r="C363" s="17" t="s">
        <v>94</v>
      </c>
      <c r="D363" s="17" t="s">
        <v>95</v>
      </c>
      <c r="E363" s="18" t="s">
        <v>96</v>
      </c>
      <c r="F363" s="32" t="s">
        <v>54</v>
      </c>
      <c r="G363" s="33" t="s">
        <v>55</v>
      </c>
      <c r="H363" s="38">
        <v>2.75</v>
      </c>
      <c r="I363">
        <v>2016</v>
      </c>
    </row>
    <row r="364" ht="21.75" spans="1:9">
      <c r="A364" t="s">
        <v>89</v>
      </c>
      <c r="B364" t="s">
        <v>90</v>
      </c>
      <c r="C364" s="17" t="s">
        <v>94</v>
      </c>
      <c r="D364" s="17" t="s">
        <v>95</v>
      </c>
      <c r="E364" s="18" t="s">
        <v>96</v>
      </c>
      <c r="F364" s="32" t="s">
        <v>56</v>
      </c>
      <c r="G364" s="33" t="s">
        <v>57</v>
      </c>
      <c r="H364" s="38">
        <v>1.76</v>
      </c>
      <c r="I364">
        <v>2016</v>
      </c>
    </row>
    <row r="365" ht="21.75" spans="1:9">
      <c r="A365" t="s">
        <v>89</v>
      </c>
      <c r="B365" t="s">
        <v>90</v>
      </c>
      <c r="C365" s="17" t="s">
        <v>94</v>
      </c>
      <c r="D365" s="17" t="s">
        <v>95</v>
      </c>
      <c r="E365" s="18" t="s">
        <v>96</v>
      </c>
      <c r="F365" s="32" t="s">
        <v>108</v>
      </c>
      <c r="G365" s="33" t="s">
        <v>59</v>
      </c>
      <c r="H365" s="38">
        <v>1.11</v>
      </c>
      <c r="I365">
        <v>2016</v>
      </c>
    </row>
    <row r="366" ht="21.75" spans="1:9">
      <c r="A366" t="s">
        <v>89</v>
      </c>
      <c r="B366" t="s">
        <v>90</v>
      </c>
      <c r="C366" s="17" t="s">
        <v>94</v>
      </c>
      <c r="D366" s="17" t="s">
        <v>95</v>
      </c>
      <c r="E366" s="18" t="s">
        <v>96</v>
      </c>
      <c r="F366" s="32" t="s">
        <v>113</v>
      </c>
      <c r="G366" s="33" t="s">
        <v>114</v>
      </c>
      <c r="H366" s="38">
        <v>0.06</v>
      </c>
      <c r="I366">
        <v>2016</v>
      </c>
    </row>
    <row r="367" ht="21.75" spans="1:9">
      <c r="A367" t="s">
        <v>89</v>
      </c>
      <c r="B367" t="s">
        <v>90</v>
      </c>
      <c r="C367" s="17" t="s">
        <v>94</v>
      </c>
      <c r="D367" s="17" t="s">
        <v>95</v>
      </c>
      <c r="E367" s="18" t="s">
        <v>96</v>
      </c>
      <c r="F367" s="32" t="s">
        <v>62</v>
      </c>
      <c r="G367" s="33" t="s">
        <v>63</v>
      </c>
      <c r="H367" s="38">
        <v>4.08</v>
      </c>
      <c r="I367">
        <v>2016</v>
      </c>
    </row>
    <row r="368" ht="15" spans="3:5">
      <c r="C368" s="17"/>
      <c r="D368" s="17"/>
      <c r="E368" s="18"/>
    </row>
    <row r="369" ht="15" spans="3:5">
      <c r="C369" s="17"/>
      <c r="D369" s="17"/>
      <c r="E369" s="18"/>
    </row>
    <row r="370" ht="15" spans="3:5">
      <c r="C370" s="17"/>
      <c r="D370" s="17"/>
      <c r="E370" s="18"/>
    </row>
    <row r="371" ht="15" spans="3:5">
      <c r="C371" s="17"/>
      <c r="D371" s="17"/>
      <c r="E371" s="18"/>
    </row>
    <row r="372" ht="15" spans="3:5">
      <c r="C372" s="17"/>
      <c r="D372" s="17"/>
      <c r="E372" s="18"/>
    </row>
    <row r="373" ht="15" spans="3:5">
      <c r="C373" s="17"/>
      <c r="D373" s="17"/>
      <c r="E373" s="18"/>
    </row>
    <row r="374" ht="15" spans="3:5">
      <c r="C374" s="17"/>
      <c r="D374" s="17"/>
      <c r="E374" s="18"/>
    </row>
    <row r="375" ht="15" spans="3:5">
      <c r="C375" s="17"/>
      <c r="D375" s="17"/>
      <c r="E375" s="18"/>
    </row>
    <row r="376" ht="15" spans="3:5">
      <c r="C376" s="17"/>
      <c r="D376" s="17"/>
      <c r="E376" s="18"/>
    </row>
    <row r="377" ht="15" spans="3:5">
      <c r="C377" s="17"/>
      <c r="D377" s="17"/>
      <c r="E377" s="18"/>
    </row>
    <row r="378" ht="15" spans="3:5">
      <c r="C378" s="17"/>
      <c r="D378" s="17"/>
      <c r="E378" s="18"/>
    </row>
    <row r="379" ht="15" spans="3:5">
      <c r="C379" s="17"/>
      <c r="D379" s="17"/>
      <c r="E379" s="18"/>
    </row>
    <row r="380" ht="15" spans="3:5">
      <c r="C380" s="17"/>
      <c r="D380" s="17"/>
      <c r="E380" s="18"/>
    </row>
    <row r="381" ht="15" spans="3:5">
      <c r="C381" s="17"/>
      <c r="D381" s="17"/>
      <c r="E381" s="18"/>
    </row>
    <row r="382" ht="15" spans="3:7">
      <c r="C382" s="17"/>
      <c r="D382" s="17"/>
      <c r="E382" s="18"/>
      <c r="F382" s="18"/>
      <c r="G382" s="22"/>
    </row>
    <row r="383" ht="15" spans="3:7">
      <c r="C383" s="17"/>
      <c r="D383" s="17"/>
      <c r="E383" s="18"/>
      <c r="F383" s="18"/>
      <c r="G383" s="22"/>
    </row>
    <row r="384" ht="15" spans="3:7">
      <c r="C384" s="17"/>
      <c r="D384" s="17"/>
      <c r="E384" s="18"/>
      <c r="F384" s="18"/>
      <c r="G384" s="22"/>
    </row>
    <row r="385" ht="15" spans="3:7">
      <c r="C385" s="17"/>
      <c r="D385" s="17"/>
      <c r="E385" s="18"/>
      <c r="F385" s="18"/>
      <c r="G385" s="22"/>
    </row>
    <row r="386" ht="15" spans="3:7">
      <c r="C386" s="17"/>
      <c r="D386" s="17"/>
      <c r="E386" s="18"/>
      <c r="F386" s="18"/>
      <c r="G386" s="22"/>
    </row>
    <row r="387" ht="15" spans="3:7">
      <c r="C387" s="17"/>
      <c r="D387" s="17"/>
      <c r="E387" s="18"/>
      <c r="F387" s="18"/>
      <c r="G387" s="22"/>
    </row>
    <row r="388" ht="15" spans="3:7">
      <c r="C388" s="17"/>
      <c r="D388" s="17"/>
      <c r="E388" s="18"/>
      <c r="F388" s="18"/>
      <c r="G388" s="22"/>
    </row>
    <row r="389" ht="15" spans="3:7">
      <c r="C389" s="17"/>
      <c r="D389" s="17"/>
      <c r="E389" s="18"/>
      <c r="F389" s="18"/>
      <c r="G389" s="22"/>
    </row>
    <row r="390" ht="15" spans="3:7">
      <c r="C390" s="17"/>
      <c r="D390" s="17"/>
      <c r="E390" s="18"/>
      <c r="F390" s="18"/>
      <c r="G390" s="22"/>
    </row>
    <row r="391" ht="15" spans="3:5">
      <c r="C391" s="17"/>
      <c r="D391" s="17"/>
      <c r="E391" s="18"/>
    </row>
    <row r="392" ht="15" spans="3:5">
      <c r="C392" s="17"/>
      <c r="D392" s="17"/>
      <c r="E392" s="18"/>
    </row>
    <row r="393" ht="15" spans="3:5">
      <c r="C393" s="17"/>
      <c r="D393" s="17"/>
      <c r="E393" s="18"/>
    </row>
    <row r="394" ht="15" spans="3:5">
      <c r="C394" s="17"/>
      <c r="D394" s="17"/>
      <c r="E394" s="18"/>
    </row>
    <row r="395" ht="15" spans="3:5">
      <c r="C395" s="17"/>
      <c r="D395" s="17"/>
      <c r="E395" s="18"/>
    </row>
    <row r="396" ht="15" spans="3:5">
      <c r="C396" s="17"/>
      <c r="D396" s="17"/>
      <c r="E396" s="18"/>
    </row>
    <row r="397" ht="15" spans="3:5">
      <c r="C397" s="17"/>
      <c r="D397" s="17"/>
      <c r="E397" s="18"/>
    </row>
    <row r="398" ht="15" spans="3:5">
      <c r="C398" s="17"/>
      <c r="D398" s="17"/>
      <c r="E398" s="18"/>
    </row>
    <row r="399" ht="15" spans="3:5">
      <c r="C399" s="17"/>
      <c r="D399" s="17"/>
      <c r="E399" s="18"/>
    </row>
    <row r="400" ht="15" spans="3:5">
      <c r="C400" s="17"/>
      <c r="D400" s="17"/>
      <c r="E400" s="18"/>
    </row>
    <row r="401" ht="15" spans="3:5">
      <c r="C401" s="17"/>
      <c r="D401" s="17"/>
      <c r="E401" s="18"/>
    </row>
    <row r="402" ht="15" spans="3:5">
      <c r="C402" s="17"/>
      <c r="D402" s="17"/>
      <c r="E402" s="18"/>
    </row>
    <row r="403" ht="15" spans="3:5">
      <c r="C403" s="17"/>
      <c r="D403" s="17"/>
      <c r="E403" s="18"/>
    </row>
    <row r="404" ht="15" spans="3:5">
      <c r="C404" s="17"/>
      <c r="D404" s="17"/>
      <c r="E404" s="18"/>
    </row>
    <row r="405" ht="15" spans="3:7">
      <c r="C405" s="17"/>
      <c r="D405" s="17"/>
      <c r="E405" s="18"/>
      <c r="F405" s="18"/>
      <c r="G405" s="22"/>
    </row>
    <row r="406" ht="15" spans="3:7">
      <c r="C406" s="17"/>
      <c r="D406" s="17"/>
      <c r="E406" s="18"/>
      <c r="F406" s="18"/>
      <c r="G406" s="22"/>
    </row>
    <row r="407" ht="15" spans="3:7">
      <c r="C407" s="17"/>
      <c r="D407" s="17"/>
      <c r="E407" s="18"/>
      <c r="F407" s="18"/>
      <c r="G407" s="22"/>
    </row>
    <row r="408" ht="15" spans="3:7">
      <c r="C408" s="17"/>
      <c r="D408" s="17"/>
      <c r="E408" s="18"/>
      <c r="F408" s="18"/>
      <c r="G408" s="22"/>
    </row>
    <row r="409" ht="15" spans="3:7">
      <c r="C409" s="17"/>
      <c r="D409" s="17"/>
      <c r="E409" s="18"/>
      <c r="F409" s="18"/>
      <c r="G409" s="22"/>
    </row>
    <row r="410" ht="15" spans="3:7">
      <c r="C410" s="17"/>
      <c r="D410" s="17"/>
      <c r="E410" s="18"/>
      <c r="F410" s="18"/>
      <c r="G410" s="22"/>
    </row>
    <row r="411" ht="15" spans="3:7">
      <c r="C411" s="17"/>
      <c r="D411" s="17"/>
      <c r="E411" s="18"/>
      <c r="F411" s="18"/>
      <c r="G411" s="22"/>
    </row>
    <row r="412" ht="15" spans="3:7">
      <c r="C412" s="17"/>
      <c r="D412" s="17"/>
      <c r="E412" s="18"/>
      <c r="F412" s="18"/>
      <c r="G412" s="22"/>
    </row>
    <row r="413" ht="15" spans="3:7">
      <c r="C413" s="17"/>
      <c r="D413" s="17"/>
      <c r="E413" s="18"/>
      <c r="F413" s="18"/>
      <c r="G413" s="2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zoomScale="70" zoomScaleNormal="70" topLeftCell="B1" workbookViewId="0">
      <selection activeCell="F1" sqref="F$1:G$1048576"/>
    </sheetView>
  </sheetViews>
  <sheetFormatPr defaultColWidth="9" defaultRowHeight="14.25" outlineLevelRow="4"/>
  <cols>
    <col min="1" max="6" width="24.375" customWidth="1"/>
    <col min="7" max="7" width="8.75" customWidth="1"/>
    <col min="8" max="8" width="11.375" customWidth="1"/>
    <col min="9" max="9" width="12" customWidth="1"/>
    <col min="10" max="10" width="9.875" customWidth="1"/>
    <col min="11" max="11" width="7.375" customWidth="1"/>
  </cols>
  <sheetData>
    <row r="1" ht="15" spans="1:2">
      <c r="A1" s="11" t="s">
        <v>115</v>
      </c>
      <c r="B1" s="12">
        <f>DATE(B2,B3,1)</f>
        <v>45292</v>
      </c>
    </row>
    <row r="2" ht="15" spans="1:4">
      <c r="A2" s="11" t="s">
        <v>16</v>
      </c>
      <c r="B2">
        <v>2024</v>
      </c>
      <c r="D2" s="12"/>
    </row>
    <row r="3" ht="15" spans="1:2">
      <c r="A3" s="11" t="s">
        <v>116</v>
      </c>
      <c r="B3">
        <v>1</v>
      </c>
    </row>
    <row r="4" s="10" customFormat="1" ht="18" customHeight="1" spans="1:10">
      <c r="A4" s="13" t="s">
        <v>71</v>
      </c>
      <c r="B4" s="13" t="s">
        <v>72</v>
      </c>
      <c r="C4" s="13" t="s">
        <v>73</v>
      </c>
      <c r="D4" s="13" t="s">
        <v>74</v>
      </c>
      <c r="E4" s="13" t="s">
        <v>75</v>
      </c>
      <c r="F4" s="14" t="s">
        <v>76</v>
      </c>
      <c r="G4" s="14" t="s">
        <v>77</v>
      </c>
      <c r="H4" s="13" t="s">
        <v>78</v>
      </c>
      <c r="I4" s="13" t="s">
        <v>79</v>
      </c>
      <c r="J4" s="13" t="s">
        <v>80</v>
      </c>
    </row>
    <row r="5" s="10" customFormat="1" ht="18" customHeight="1" spans="1:10">
      <c r="A5" s="13" t="s">
        <v>81</v>
      </c>
      <c r="B5" s="13" t="s">
        <v>82</v>
      </c>
      <c r="C5" s="13" t="s">
        <v>83</v>
      </c>
      <c r="D5" s="13" t="s">
        <v>84</v>
      </c>
      <c r="E5" s="13" t="s">
        <v>85</v>
      </c>
      <c r="F5" s="14" t="s">
        <v>18</v>
      </c>
      <c r="G5" s="14" t="s">
        <v>21</v>
      </c>
      <c r="H5" s="13" t="s">
        <v>86</v>
      </c>
      <c r="I5" s="13" t="s">
        <v>87</v>
      </c>
      <c r="J5" s="13" t="s">
        <v>88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17" workbookViewId="0">
      <selection activeCell="A20" sqref="A20"/>
    </sheetView>
  </sheetViews>
  <sheetFormatPr defaultColWidth="8.875" defaultRowHeight="14.25" outlineLevelCol="2"/>
  <cols>
    <col min="1" max="1" width="90" style="1" customWidth="1"/>
    <col min="2" max="2" width="2.625" style="2" customWidth="1"/>
    <col min="3" max="3" width="87.25" style="3" customWidth="1"/>
    <col min="4" max="16384" width="8.875" style="4"/>
  </cols>
  <sheetData>
    <row r="2" ht="17.25" spans="1:3">
      <c r="A2" s="5" t="s">
        <v>117</v>
      </c>
      <c r="C2" s="6" t="s">
        <v>118</v>
      </c>
    </row>
    <row r="3" spans="1:1">
      <c r="A3" s="7"/>
    </row>
    <row r="4" ht="28.5" spans="1:3">
      <c r="A4" s="7" t="s">
        <v>119</v>
      </c>
      <c r="C4" s="3" t="s">
        <v>120</v>
      </c>
    </row>
    <row r="6" ht="17.25" spans="1:3">
      <c r="A6" s="5" t="s">
        <v>121</v>
      </c>
      <c r="C6" s="6" t="s">
        <v>122</v>
      </c>
    </row>
    <row r="7" spans="1:1">
      <c r="A7" s="7"/>
    </row>
    <row r="8" ht="30" spans="1:3">
      <c r="A8" s="8" t="s">
        <v>123</v>
      </c>
      <c r="C8" s="3" t="s">
        <v>124</v>
      </c>
    </row>
    <row r="10" ht="17.25" spans="1:3">
      <c r="A10" s="5" t="s">
        <v>125</v>
      </c>
      <c r="C10" s="6" t="s">
        <v>126</v>
      </c>
    </row>
    <row r="11" spans="1:1">
      <c r="A11" s="7"/>
    </row>
    <row r="12" spans="1:3">
      <c r="A12" s="7" t="s">
        <v>127</v>
      </c>
      <c r="C12" s="3" t="s">
        <v>128</v>
      </c>
    </row>
    <row r="13" ht="15" spans="1:3">
      <c r="A13" s="8" t="s">
        <v>129</v>
      </c>
      <c r="C13" s="9" t="s">
        <v>130</v>
      </c>
    </row>
    <row r="14" ht="29.25" spans="1:3">
      <c r="A14" s="8" t="s">
        <v>131</v>
      </c>
      <c r="C14" s="9" t="s">
        <v>132</v>
      </c>
    </row>
    <row r="15" ht="15" spans="1:3">
      <c r="A15" s="8" t="s">
        <v>133</v>
      </c>
      <c r="C15" s="9" t="s">
        <v>134</v>
      </c>
    </row>
    <row r="16" ht="15" spans="1:3">
      <c r="A16" s="8" t="s">
        <v>135</v>
      </c>
      <c r="C16" s="9" t="s">
        <v>136</v>
      </c>
    </row>
    <row r="17" ht="15" spans="1:3">
      <c r="A17" s="8" t="s">
        <v>137</v>
      </c>
      <c r="C17" s="9" t="s">
        <v>138</v>
      </c>
    </row>
    <row r="18" spans="1:3">
      <c r="A18" s="7" t="s">
        <v>139</v>
      </c>
      <c r="C18" s="3" t="s">
        <v>140</v>
      </c>
    </row>
    <row r="19" spans="1:3">
      <c r="A19" s="7" t="s">
        <v>141</v>
      </c>
      <c r="C19" s="3" t="s">
        <v>142</v>
      </c>
    </row>
    <row r="20" ht="29.25" spans="1:3">
      <c r="A20" s="8" t="s">
        <v>143</v>
      </c>
      <c r="C20" s="9" t="s">
        <v>144</v>
      </c>
    </row>
    <row r="22" ht="17.25" spans="1:3">
      <c r="A22" s="5" t="s">
        <v>145</v>
      </c>
      <c r="C22" s="6" t="s">
        <v>146</v>
      </c>
    </row>
    <row r="23" spans="1:1">
      <c r="A23" s="7"/>
    </row>
    <row r="24" ht="29.25" spans="1:3">
      <c r="A24" s="7" t="s">
        <v>147</v>
      </c>
      <c r="C24" s="3" t="s">
        <v>148</v>
      </c>
    </row>
    <row r="25" ht="30" spans="1:3">
      <c r="A25" s="7" t="s">
        <v>149</v>
      </c>
      <c r="C25" s="3" t="s">
        <v>150</v>
      </c>
    </row>
    <row r="27" ht="17.25" spans="1:3">
      <c r="A27" s="5" t="s">
        <v>151</v>
      </c>
      <c r="C27" s="6" t="s">
        <v>152</v>
      </c>
    </row>
    <row r="28" spans="1:1">
      <c r="A28" s="7"/>
    </row>
    <row r="29" ht="15" spans="1:3">
      <c r="A29" s="7" t="s">
        <v>153</v>
      </c>
      <c r="C29" s="3" t="s">
        <v>154</v>
      </c>
    </row>
    <row r="30" spans="1:3">
      <c r="A30" s="7" t="s">
        <v>155</v>
      </c>
      <c r="C30" s="3" t="s">
        <v>156</v>
      </c>
    </row>
    <row r="32" ht="17.25" spans="1:3">
      <c r="A32" s="5" t="s">
        <v>157</v>
      </c>
      <c r="C32" s="6" t="s">
        <v>158</v>
      </c>
    </row>
    <row r="33" spans="1:1">
      <c r="A33" s="7"/>
    </row>
    <row r="34" ht="15" spans="1:3">
      <c r="A34" s="8" t="s">
        <v>159</v>
      </c>
      <c r="C34" s="3" t="s">
        <v>160</v>
      </c>
    </row>
    <row r="36" ht="17.25" spans="1:3">
      <c r="A36" s="5" t="s">
        <v>161</v>
      </c>
      <c r="C36" s="6" t="s">
        <v>162</v>
      </c>
    </row>
    <row r="37" spans="1:1">
      <c r="A37" s="7"/>
    </row>
    <row r="38" spans="1:3">
      <c r="A38" s="7" t="s">
        <v>163</v>
      </c>
      <c r="C38" s="3" t="s">
        <v>164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Range3" rangeCreator="" othersAccessPermission="edit"/>
    <arrUserId title="Range1" rangeCreator="" othersAccessPermission="edit"/>
    <arrUserId title="Range2" rangeCreator="" othersAccessPermission="edit"/>
  </rangeList>
  <rangeList sheetStid="3" master="" otherUserPermission="visible"/>
  <rangeList sheetStid="4" master="" otherUserPermission="visible"/>
  <rangeList sheetStid="6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3517F994-C603-46B5-AEAB-E4EEDEDA8C7D}">
  <ds:schemaRefs/>
</ds:datastoreItem>
</file>

<file path=customXml/itemProps3.xml><?xml version="1.0" encoding="utf-8"?>
<ds:datastoreItem xmlns:ds="http://schemas.openxmlformats.org/officeDocument/2006/customXml" ds:itemID="{CEFB3727-0098-41DB-9DEB-08A099D40A76}">
  <ds:schemaRefs/>
</ds:datastoreItem>
</file>

<file path=customXml/itemProps4.xml><?xml version="1.0" encoding="utf-8"?>
<ds:datastoreItem xmlns:ds="http://schemas.openxmlformats.org/officeDocument/2006/customXml" ds:itemID="{376B0781-3F54-40BC-A068-7F5A2310E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2025-04-21T12:16:57Z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  <property fmtid="{D5CDD505-2E9C-101B-9397-08002B2CF9AE}" pid="4" name="ICV">
    <vt:lpwstr>9B32A0A478AD41DBAAFCAAEA42189C4B_13</vt:lpwstr>
  </property>
  <property fmtid="{D5CDD505-2E9C-101B-9397-08002B2CF9AE}" pid="5" name="KSOProductBuildVer">
    <vt:lpwstr>1033-12.2.0.20795</vt:lpwstr>
  </property>
</Properties>
</file>