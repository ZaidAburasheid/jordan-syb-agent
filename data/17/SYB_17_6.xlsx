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715" activeTab="2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  <sheet name="Sheet1" sheetId="7" r:id="rId6"/>
  </sheets>
  <definedNames>
    <definedName name="_Toc175815732" localSheetId="1">'Source Table'!$E$5</definedName>
    <definedName name="_Toc175815736" localSheetId="1">'Source Table'!$B$5</definedName>
    <definedName name="_xlnm.Print_Area" localSheetId="1">'Source Table'!$B$2:$E$29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<sst xmlns="http://schemas.openxmlformats.org/spreadsheetml/2006/main" count="2010" uniqueCount="148">
  <si>
    <t>Code</t>
  </si>
  <si>
    <t>SYB_17_6</t>
  </si>
  <si>
    <t>Version</t>
  </si>
  <si>
    <t>V1</t>
  </si>
  <si>
    <t>اسم القالب</t>
  </si>
  <si>
    <t>الجرائم العامة حسب مناطق وقوعها</t>
  </si>
  <si>
    <t>Template Name</t>
  </si>
  <si>
    <t>General Crimes by Location of Occurrence</t>
  </si>
  <si>
    <t>دورية البيانات</t>
  </si>
  <si>
    <t>سنوي</t>
  </si>
  <si>
    <t>Data Frequency</t>
  </si>
  <si>
    <t>Annual</t>
  </si>
  <si>
    <t>الجهة المصدرية</t>
  </si>
  <si>
    <t>مديرية الأمن العام</t>
  </si>
  <si>
    <t>Data Source</t>
  </si>
  <si>
    <t>Public Security Directorate</t>
  </si>
  <si>
    <t>Year</t>
  </si>
  <si>
    <t>السنة</t>
  </si>
  <si>
    <t>Police Directorate</t>
  </si>
  <si>
    <t>الجرائم الجنحوية</t>
  </si>
  <si>
    <t>الجرائم الجنائية</t>
  </si>
  <si>
    <t xml:space="preserve">مديرية الشرطة  </t>
  </si>
  <si>
    <t>Misdemeanor Crimes</t>
  </si>
  <si>
    <t>Felony Crimes</t>
  </si>
  <si>
    <t>Middle Amman</t>
  </si>
  <si>
    <t>وسط عمان</t>
  </si>
  <si>
    <t>South Amman</t>
  </si>
  <si>
    <t>جنوب عمان</t>
  </si>
  <si>
    <t>North Amman</t>
  </si>
  <si>
    <t xml:space="preserve">شمال عمان </t>
  </si>
  <si>
    <t>East Amman</t>
  </si>
  <si>
    <t>شرق عمان</t>
  </si>
  <si>
    <t>Balqa</t>
  </si>
  <si>
    <t>البلقاء</t>
  </si>
  <si>
    <t>West Balqa</t>
  </si>
  <si>
    <t xml:space="preserve">غرب البلقاء </t>
  </si>
  <si>
    <t>Zarqa</t>
  </si>
  <si>
    <t>الزرقاء</t>
  </si>
  <si>
    <t>Al-Russaifa</t>
  </si>
  <si>
    <t>الرصيفة</t>
  </si>
  <si>
    <t>Madaba</t>
  </si>
  <si>
    <t>مادبا</t>
  </si>
  <si>
    <t>Irbid</t>
  </si>
  <si>
    <t>إربد</t>
  </si>
  <si>
    <t>West Irbid</t>
  </si>
  <si>
    <t>غرب إربد</t>
  </si>
  <si>
    <t>Al-Ramtha</t>
  </si>
  <si>
    <t>الرمثا</t>
  </si>
  <si>
    <t>Mafraq</t>
  </si>
  <si>
    <t>المفرق</t>
  </si>
  <si>
    <t>North Bedouin</t>
  </si>
  <si>
    <t>الباديةالشمالية</t>
  </si>
  <si>
    <t>Middle Bedouin</t>
  </si>
  <si>
    <t>البادية الوسطى</t>
  </si>
  <si>
    <t>South Bedouin</t>
  </si>
  <si>
    <t xml:space="preserve">البادية الجنوبية </t>
  </si>
  <si>
    <t>Jarash</t>
  </si>
  <si>
    <t>جرش</t>
  </si>
  <si>
    <t>Ajloun</t>
  </si>
  <si>
    <t>عجلون</t>
  </si>
  <si>
    <t>Karak</t>
  </si>
  <si>
    <t>الكرك</t>
  </si>
  <si>
    <t>Tafiela</t>
  </si>
  <si>
    <t>الطفيلة</t>
  </si>
  <si>
    <t>Ma'an</t>
  </si>
  <si>
    <t>معان</t>
  </si>
  <si>
    <t>West ofMa'an</t>
  </si>
  <si>
    <t>غرب معان</t>
  </si>
  <si>
    <t>Aqaba</t>
  </si>
  <si>
    <t>العقبة</t>
  </si>
  <si>
    <t>Relational Sheet</t>
  </si>
  <si>
    <t>Measure_Name_Ar</t>
  </si>
  <si>
    <t>Measure_Name_En</t>
  </si>
  <si>
    <t>Measure_ID</t>
  </si>
  <si>
    <t>Unit_EN</t>
  </si>
  <si>
    <t>Unit_AR</t>
  </si>
  <si>
    <t>CL_KIND_OF_GENERAL_CRIME_EN_V1</t>
  </si>
  <si>
    <t>CL_KIND_OF_GENERAL_CRIME_AR_V1</t>
  </si>
  <si>
    <t>CL_POLICE_DIRECTORATE_EN_V1</t>
  </si>
  <si>
    <t>CL_POLICE_DIRECTORATE_ARV1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</si>
  <si>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</si>
  <si>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</si>
  <si>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</si>
  <si>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</si>
  <si>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</si>
  <si>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</si>
  <si>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</si>
  <si>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</si>
  <si>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General Kind of Crime</t>
  </si>
  <si>
    <t>نوع الجريمة العامة</t>
  </si>
  <si>
    <t>قيمة المؤشر</t>
  </si>
  <si>
    <t>سنة فترة القياس</t>
  </si>
  <si>
    <t>شهر فترة القياس</t>
  </si>
  <si>
    <t>الجرائم العامة</t>
  </si>
  <si>
    <t>General Crimes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</si>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</sst>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992889187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10" borderId="16" applyNumberFormat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25" fillId="11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4" fillId="0" borderId="0">
      <alignment horizontal="centerContinuous" vertical="center"/>
    </xf>
    <xf numFmtId="0" fontId="35" fillId="0" borderId="0">
      <alignment horizontal="centerContinuous" vertical="center"/>
    </xf>
    <xf numFmtId="1" fontId="36" fillId="39" borderId="20">
      <alignment horizontal="center" vertical="center"/>
    </xf>
    <xf numFmtId="0" fontId="37" fillId="39" borderId="20">
      <alignment horizontal="center" vertical="center" wrapText="1"/>
    </xf>
    <xf numFmtId="0" fontId="38" fillId="39" borderId="20">
      <alignment horizontal="center" vertical="center" wrapText="1"/>
    </xf>
    <xf numFmtId="0" fontId="33" fillId="0" borderId="0"/>
    <xf numFmtId="0" fontId="33" fillId="0" borderId="0"/>
    <xf numFmtId="0" fontId="0" fillId="0" borderId="0"/>
    <xf numFmtId="0" fontId="0" fillId="0" borderId="0"/>
    <xf numFmtId="0" fontId="33" fillId="0" borderId="0"/>
    <xf numFmtId="0" fontId="0" fillId="0" borderId="0"/>
    <xf numFmtId="9" fontId="0" fillId="0" borderId="0"/>
    <xf numFmtId="9" fontId="0" fillId="0" borderId="0"/>
    <xf numFmtId="0" fontId="39" fillId="0" borderId="0">
      <alignment horizontal="right" vertical="center"/>
    </xf>
    <xf numFmtId="0" fontId="33" fillId="0" borderId="0">
      <alignment horizontal="left" vertical="center"/>
    </xf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readingOrder="2"/>
    </xf>
    <xf numFmtId="0" fontId="2" fillId="0" borderId="0" xfId="0" applyFont="1" applyAlignment="1">
      <alignment horizontal="center" readingOrder="2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 readingOrder="2"/>
    </xf>
    <xf numFmtId="0" fontId="5" fillId="0" borderId="0" xfId="0" applyFont="1"/>
    <xf numFmtId="0" fontId="6" fillId="0" borderId="0" xfId="0" applyFont="1" applyAlignment="1">
      <alignment horizontal="center"/>
    </xf>
    <xf numFmtId="14" fontId="0" fillId="0" borderId="0" xfId="0" applyNumberFormat="1"/>
    <xf numFmtId="0" fontId="7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right" vertical="top" readingOrder="2"/>
    </xf>
    <xf numFmtId="3" fontId="9" fillId="0" borderId="1" xfId="0" applyNumberFormat="1" applyFont="1" applyBorder="1" applyAlignment="1">
      <alignment horizontal="right" vertical="top" wrapText="1" readingOrder="2"/>
    </xf>
    <xf numFmtId="0" fontId="9" fillId="0" borderId="1" xfId="0" applyFont="1" applyBorder="1" applyAlignment="1">
      <alignment horizontal="right" vertical="top" wrapText="1" readingOrder="2"/>
    </xf>
    <xf numFmtId="0" fontId="9" fillId="0" borderId="1" xfId="0" applyFont="1" applyBorder="1" applyAlignment="1">
      <alignment horizontal="right" vertical="top" indent="1"/>
    </xf>
    <xf numFmtId="3" fontId="9" fillId="0" borderId="1" xfId="0" applyNumberFormat="1" applyFont="1" applyBorder="1" applyAlignment="1">
      <alignment horizontal="right" vertical="top" wrapText="1" indent="1"/>
    </xf>
    <xf numFmtId="0" fontId="9" fillId="0" borderId="1" xfId="0" applyFont="1" applyBorder="1" applyAlignment="1">
      <alignment horizontal="right" vertical="top" wrapText="1" inden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readingOrder="2"/>
    </xf>
    <xf numFmtId="0" fontId="9" fillId="0" borderId="1" xfId="0" applyFont="1" applyBorder="1" applyAlignment="1">
      <alignment horizontal="center" wrapText="1" readingOrder="2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right" vertical="top" wrapText="1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right" vertical="center"/>
    </xf>
    <xf numFmtId="0" fontId="11" fillId="7" borderId="4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right" vertical="center"/>
    </xf>
    <xf numFmtId="0" fontId="11" fillId="7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2" fillId="0" borderId="11" xfId="56" applyFont="1" applyFill="1" applyBorder="1" applyProtection="1"/>
    <xf numFmtId="0" fontId="13" fillId="3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wrapText="1"/>
    </xf>
    <xf numFmtId="0" fontId="8" fillId="0" borderId="0" xfId="0" applyFont="1" applyFill="1" applyAlignment="1">
      <alignment horizontal="center" readingOrder="2"/>
    </xf>
    <xf numFmtId="0" fontId="0" fillId="0" borderId="0" xfId="0" applyAlignment="1" quotePrefix="1">
      <alignment horizont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1" sqref="B11"/>
    </sheetView>
  </sheetViews>
  <sheetFormatPr defaultColWidth="9" defaultRowHeight="14.25" outlineLevelRow="7" outlineLevelCol="1"/>
  <cols>
    <col min="1" max="1" width="32.375" customWidth="1"/>
    <col min="2" max="2" width="115.75" customWidth="1"/>
  </cols>
  <sheetData>
    <row r="1" ht="21" customHeight="1" spans="1:2">
      <c r="A1" s="48" t="s">
        <v>0</v>
      </c>
      <c r="B1" s="49" t="s">
        <v>1</v>
      </c>
    </row>
    <row r="2" ht="21" customHeight="1" spans="1:2">
      <c r="A2" s="48" t="s">
        <v>2</v>
      </c>
      <c r="B2" s="49" t="s">
        <v>3</v>
      </c>
    </row>
    <row r="3" ht="21" customHeight="1" spans="1:2">
      <c r="A3" s="48" t="s">
        <v>4</v>
      </c>
      <c r="B3" s="50" t="s">
        <v>5</v>
      </c>
    </row>
    <row r="4" ht="21" customHeight="1" spans="1:2">
      <c r="A4" s="48" t="s">
        <v>6</v>
      </c>
      <c r="B4" s="51" t="s">
        <v>7</v>
      </c>
    </row>
    <row r="5" ht="21" customHeight="1" spans="1:2">
      <c r="A5" s="48" t="s">
        <v>8</v>
      </c>
      <c r="B5" s="52" t="s">
        <v>9</v>
      </c>
    </row>
    <row r="6" ht="21" customHeight="1" spans="1:2">
      <c r="A6" s="48" t="s">
        <v>10</v>
      </c>
      <c r="B6" s="52" t="s">
        <v>11</v>
      </c>
    </row>
    <row r="7" ht="21" customHeight="1" spans="1:2">
      <c r="A7" s="48" t="s">
        <v>12</v>
      </c>
      <c r="B7" s="49" t="s">
        <v>13</v>
      </c>
    </row>
    <row r="8" ht="21" customHeight="1" spans="1:2">
      <c r="A8" s="48" t="s">
        <v>14</v>
      </c>
      <c r="B8" s="49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29"/>
  <sheetViews>
    <sheetView view="pageBreakPreview" zoomScale="80" zoomScaleNormal="100" workbookViewId="0">
      <selection activeCell="E8" sqref="E8"/>
    </sheetView>
  </sheetViews>
  <sheetFormatPr defaultColWidth="16.75" defaultRowHeight="14.25" outlineLevelCol="4"/>
  <cols>
    <col min="1" max="1" width="58.125" customWidth="1"/>
    <col min="2" max="2" width="48" customWidth="1"/>
    <col min="3" max="3" width="26.625" customWidth="1"/>
    <col min="4" max="4" width="22" customWidth="1"/>
    <col min="5" max="5" width="28" customWidth="1"/>
  </cols>
  <sheetData>
    <row r="2" ht="28.15" customHeight="1" spans="2:5">
      <c r="B2" s="33" t="str">
        <f>'Cover Page'!B4</f>
        <v>General Crimes by Location of Occurrence</v>
      </c>
      <c r="C2" s="34"/>
      <c r="D2" s="34"/>
      <c r="E2" s="35"/>
    </row>
    <row r="3" ht="28.15" customHeight="1" spans="2:5">
      <c r="B3" s="33" t="str">
        <f>'Cover Page'!B3</f>
        <v>الجرائم العامة حسب مناطق وقوعها</v>
      </c>
      <c r="C3" s="36"/>
      <c r="D3" s="36"/>
      <c r="E3" s="35"/>
    </row>
    <row r="4" ht="28.15" customHeight="1" spans="2:5">
      <c r="B4" s="37" t="s">
        <v>16</v>
      </c>
      <c r="C4" s="38">
        <f>YEAR('Template Data'!B1)</f>
        <v>2024</v>
      </c>
      <c r="D4" s="39"/>
      <c r="E4" s="37" t="s">
        <v>17</v>
      </c>
    </row>
    <row r="5" ht="28.15" customHeight="1" spans="2:5">
      <c r="B5" s="40" t="s">
        <v>18</v>
      </c>
      <c r="C5" s="41" t="s">
        <v>19</v>
      </c>
      <c r="D5" s="42" t="s">
        <v>20</v>
      </c>
      <c r="E5" s="43" t="s">
        <v>21</v>
      </c>
    </row>
    <row r="6" ht="28.15" customHeight="1" spans="2:5">
      <c r="B6" s="44"/>
      <c r="C6" s="41" t="s">
        <v>22</v>
      </c>
      <c r="D6" s="42" t="s">
        <v>23</v>
      </c>
      <c r="E6" s="45"/>
    </row>
    <row r="7" ht="22.15" customHeight="1" spans="2:5">
      <c r="B7" s="46" t="s">
        <v>24</v>
      </c>
      <c r="C7" s="47"/>
      <c r="D7" s="47"/>
      <c r="E7" s="46" t="s">
        <v>25</v>
      </c>
    </row>
    <row r="8" ht="18" spans="2:5">
      <c r="B8" s="46" t="s">
        <v>26</v>
      </c>
      <c r="C8" s="47"/>
      <c r="D8" s="47"/>
      <c r="E8" s="46" t="s">
        <v>27</v>
      </c>
    </row>
    <row r="9" ht="18" spans="2:5">
      <c r="B9" s="46" t="s">
        <v>28</v>
      </c>
      <c r="C9" s="47"/>
      <c r="D9" s="47"/>
      <c r="E9" s="46" t="s">
        <v>29</v>
      </c>
    </row>
    <row r="10" ht="18" spans="2:5">
      <c r="B10" s="46" t="s">
        <v>30</v>
      </c>
      <c r="C10" s="47"/>
      <c r="D10" s="47"/>
      <c r="E10" s="46" t="s">
        <v>31</v>
      </c>
    </row>
    <row r="11" ht="18" spans="2:5">
      <c r="B11" s="46" t="s">
        <v>32</v>
      </c>
      <c r="C11" s="47"/>
      <c r="D11" s="47"/>
      <c r="E11" s="46" t="s">
        <v>33</v>
      </c>
    </row>
    <row r="12" ht="18" spans="2:5">
      <c r="B12" s="46" t="s">
        <v>34</v>
      </c>
      <c r="C12" s="47"/>
      <c r="D12" s="47"/>
      <c r="E12" s="46" t="s">
        <v>35</v>
      </c>
    </row>
    <row r="13" ht="18" spans="2:5">
      <c r="B13" s="46" t="s">
        <v>36</v>
      </c>
      <c r="C13" s="47"/>
      <c r="D13" s="47"/>
      <c r="E13" s="46" t="s">
        <v>37</v>
      </c>
    </row>
    <row r="14" ht="18" spans="2:5">
      <c r="B14" s="46" t="s">
        <v>38</v>
      </c>
      <c r="C14" s="47"/>
      <c r="D14" s="47"/>
      <c r="E14" s="46" t="s">
        <v>39</v>
      </c>
    </row>
    <row r="15" ht="18" spans="2:5">
      <c r="B15" s="46" t="s">
        <v>40</v>
      </c>
      <c r="C15" s="47"/>
      <c r="D15" s="47"/>
      <c r="E15" s="46" t="s">
        <v>41</v>
      </c>
    </row>
    <row r="16" ht="18" spans="2:5">
      <c r="B16" s="46" t="s">
        <v>42</v>
      </c>
      <c r="C16" s="47"/>
      <c r="D16" s="47"/>
      <c r="E16" s="46" t="s">
        <v>43</v>
      </c>
    </row>
    <row r="17" ht="18" spans="2:5">
      <c r="B17" s="46" t="s">
        <v>44</v>
      </c>
      <c r="C17" s="47"/>
      <c r="D17" s="47"/>
      <c r="E17" s="46" t="s">
        <v>45</v>
      </c>
    </row>
    <row r="18" ht="18" spans="2:5">
      <c r="B18" s="46" t="s">
        <v>46</v>
      </c>
      <c r="C18" s="47"/>
      <c r="D18" s="47"/>
      <c r="E18" s="46" t="s">
        <v>47</v>
      </c>
    </row>
    <row r="19" ht="18" spans="2:5">
      <c r="B19" s="46" t="s">
        <v>48</v>
      </c>
      <c r="C19" s="47"/>
      <c r="D19" s="47"/>
      <c r="E19" s="46" t="s">
        <v>49</v>
      </c>
    </row>
    <row r="20" ht="18" spans="2:5">
      <c r="B20" s="46" t="s">
        <v>50</v>
      </c>
      <c r="C20" s="47"/>
      <c r="D20" s="47"/>
      <c r="E20" s="46" t="s">
        <v>51</v>
      </c>
    </row>
    <row r="21" ht="18" spans="2:5">
      <c r="B21" s="46" t="s">
        <v>52</v>
      </c>
      <c r="C21" s="47"/>
      <c r="D21" s="47"/>
      <c r="E21" s="46" t="s">
        <v>53</v>
      </c>
    </row>
    <row r="22" ht="18" spans="2:5">
      <c r="B22" s="46" t="s">
        <v>54</v>
      </c>
      <c r="C22" s="47"/>
      <c r="D22" s="47"/>
      <c r="E22" s="46" t="s">
        <v>55</v>
      </c>
    </row>
    <row r="23" ht="18" spans="2:5">
      <c r="B23" s="46" t="s">
        <v>56</v>
      </c>
      <c r="C23" s="47"/>
      <c r="D23" s="47"/>
      <c r="E23" s="46" t="s">
        <v>57</v>
      </c>
    </row>
    <row r="24" ht="18" spans="2:5">
      <c r="B24" s="46" t="s">
        <v>58</v>
      </c>
      <c r="C24" s="47"/>
      <c r="D24" s="47"/>
      <c r="E24" s="46" t="s">
        <v>59</v>
      </c>
    </row>
    <row r="25" ht="18" spans="2:5">
      <c r="B25" s="46" t="s">
        <v>60</v>
      </c>
      <c r="C25" s="47"/>
      <c r="D25" s="47"/>
      <c r="E25" s="46" t="s">
        <v>61</v>
      </c>
    </row>
    <row r="26" ht="18" spans="2:5">
      <c r="B26" s="46" t="s">
        <v>62</v>
      </c>
      <c r="C26" s="47"/>
      <c r="D26" s="47"/>
      <c r="E26" s="46" t="s">
        <v>63</v>
      </c>
    </row>
    <row r="27" ht="18" spans="2:5">
      <c r="B27" s="46" t="s">
        <v>64</v>
      </c>
      <c r="C27" s="47"/>
      <c r="D27" s="47"/>
      <c r="E27" s="46" t="s">
        <v>65</v>
      </c>
    </row>
    <row r="28" ht="18" spans="2:5">
      <c r="B28" s="46" t="s">
        <v>66</v>
      </c>
      <c r="C28" s="47"/>
      <c r="D28" s="47"/>
      <c r="E28" s="46" t="s">
        <v>67</v>
      </c>
    </row>
    <row r="29" ht="18" spans="2:5">
      <c r="B29" s="46" t="s">
        <v>68</v>
      </c>
      <c r="C29" s="47"/>
      <c r="D29" s="47"/>
      <c r="E29" s="46" t="s">
        <v>69</v>
      </c>
    </row>
  </sheetData>
  <sheetProtection password="DEF8" sheet="1" objects="1" scenarios="1"/>
  <protectedRanges>
    <protectedRange sqref="C7:D29" name="Range3"/>
    <protectedRange sqref="C7:D29" name="Range1"/>
    <protectedRange sqref="C7:D29" name="Range2"/>
  </protectedRanges>
  <mergeCells count="4">
    <mergeCell ref="B2:E2"/>
    <mergeCell ref="B3:E3"/>
    <mergeCell ref="B5:B6"/>
    <mergeCell ref="E5:E6"/>
  </mergeCells>
  <pageMargins left="0.7" right="0.7" top="0.75" bottom="0.75" header="0.3" footer="0.3"/>
  <pageSetup paperSize="1" scale="3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1"/>
  <sheetViews>
    <sheetView tabSelected="1" zoomScale="70" zoomScaleNormal="70" topLeftCell="B298" workbookViewId="0">
      <selection activeCell="J324" sqref="J324"/>
    </sheetView>
  </sheetViews>
  <sheetFormatPr defaultColWidth="9" defaultRowHeight="14.25"/>
  <cols>
    <col min="1" max="1" width="24.75" customWidth="1"/>
    <col min="2" max="2" width="51.125" customWidth="1"/>
    <col min="3" max="3" width="9.75" customWidth="1"/>
    <col min="4" max="9" width="18.125" customWidth="1"/>
    <col min="10" max="12" width="15.375" customWidth="1"/>
  </cols>
  <sheetData>
    <row r="1" ht="20.25" spans="1:1">
      <c r="A1" s="18" t="s">
        <v>70</v>
      </c>
    </row>
    <row r="2" s="13" customFormat="1" ht="18" customHeight="1" spans="1:12">
      <c r="A2" s="16" t="s">
        <v>71</v>
      </c>
      <c r="B2" s="16" t="s">
        <v>72</v>
      </c>
      <c r="C2" s="16" t="s">
        <v>73</v>
      </c>
      <c r="D2" s="16" t="s">
        <v>74</v>
      </c>
      <c r="E2" s="16" t="s">
        <v>75</v>
      </c>
      <c r="F2" s="17" t="s">
        <v>76</v>
      </c>
      <c r="G2" s="17" t="s">
        <v>77</v>
      </c>
      <c r="H2" s="17" t="s">
        <v>78</v>
      </c>
      <c r="I2" s="17" t="s">
        <v>79</v>
      </c>
      <c r="J2" s="16" t="s">
        <v>80</v>
      </c>
      <c r="K2" s="16" t="s">
        <v>81</v>
      </c>
      <c r="L2" s="16" t="s">
        <v>82</v>
      </c>
    </row>
    <row r="3" s="13" customFormat="1" ht="18" customHeight="1" spans="1:12">
      <c r="A3" s="16" t="s">
        <v>83</v>
      </c>
      <c r="B3" s="16" t="s">
        <v>84</v>
      </c>
      <c r="C3" s="16" t="s">
        <v>85</v>
      </c>
      <c r="D3" s="16" t="s">
        <v>86</v>
      </c>
      <c r="E3" s="16" t="s">
        <v>87</v>
      </c>
      <c r="F3" s="17" t="s">
        <v>88</v>
      </c>
      <c r="G3" s="17" t="s">
        <v>89</v>
      </c>
      <c r="H3" s="17" t="s">
        <v>18</v>
      </c>
      <c r="I3" s="17" t="s">
        <v>21</v>
      </c>
      <c r="J3" s="16" t="s">
        <v>90</v>
      </c>
      <c r="K3" s="16" t="s">
        <v>91</v>
      </c>
      <c r="L3" s="16" t="s">
        <v>92</v>
      </c>
    </row>
    <row r="4" ht="15" spans="1:11">
      <c r="A4" t="s">
        <v>93</v>
      </c>
      <c r="B4" t="s">
        <v>94</v>
      </c>
      <c r="C4" s="1" t="s">
        <v>95</v>
      </c>
      <c r="D4" s="53" t="s">
        <v>96</v>
      </c>
      <c r="E4" s="2" t="s">
        <v>97</v>
      </c>
      <c r="F4" s="2" t="str">
        <f>'Source Table'!$D$6</f>
        <v>Felony Crimes</v>
      </c>
      <c r="G4" t="str">
        <f>'Source Table'!$D$5</f>
        <v>الجرائم الجنائية</v>
      </c>
      <c r="H4" t="str">
        <f>'Source Table'!$B$7</f>
        <v>Middle Amman</v>
      </c>
      <c r="I4" t="str">
        <f>'Source Table'!$E$7</f>
        <v>وسط عمان</v>
      </c>
      <c r="J4" s="19">
        <v>603</v>
      </c>
      <c r="K4">
        <v>2023</v>
      </c>
    </row>
    <row r="5" ht="15" spans="1:11">
      <c r="A5" t="s">
        <v>93</v>
      </c>
      <c r="B5" t="s">
        <v>94</v>
      </c>
      <c r="C5" s="1" t="s">
        <v>95</v>
      </c>
      <c r="D5" s="53" t="s">
        <v>96</v>
      </c>
      <c r="E5" s="2" t="s">
        <v>97</v>
      </c>
      <c r="F5" s="2" t="str">
        <f>'Source Table'!$D$6</f>
        <v>Felony Crimes</v>
      </c>
      <c r="G5" t="str">
        <f>'Source Table'!$D$5</f>
        <v>الجرائم الجنائية</v>
      </c>
      <c r="H5" t="str">
        <f>'Source Table'!$B$8</f>
        <v>South Amman</v>
      </c>
      <c r="I5" t="str">
        <f>'Source Table'!$E$8</f>
        <v>جنوب عمان</v>
      </c>
      <c r="J5" s="19">
        <v>450</v>
      </c>
      <c r="K5">
        <v>2023</v>
      </c>
    </row>
    <row r="6" ht="15" spans="1:11">
      <c r="A6" t="s">
        <v>93</v>
      </c>
      <c r="B6" t="s">
        <v>94</v>
      </c>
      <c r="C6" s="1" t="s">
        <v>95</v>
      </c>
      <c r="D6" s="53" t="s">
        <v>96</v>
      </c>
      <c r="E6" s="2" t="s">
        <v>97</v>
      </c>
      <c r="F6" s="2" t="str">
        <f>'Source Table'!$D$6</f>
        <v>Felony Crimes</v>
      </c>
      <c r="G6" t="str">
        <f>'Source Table'!$D$5</f>
        <v>الجرائم الجنائية</v>
      </c>
      <c r="H6" t="str">
        <f>'Source Table'!$B$9</f>
        <v>North Amman</v>
      </c>
      <c r="I6" t="str">
        <f>'Source Table'!$E$9</f>
        <v>شمال عمان </v>
      </c>
      <c r="J6" s="19">
        <v>477</v>
      </c>
      <c r="K6">
        <v>2023</v>
      </c>
    </row>
    <row r="7" ht="15" spans="1:11">
      <c r="A7" t="s">
        <v>93</v>
      </c>
      <c r="B7" t="s">
        <v>94</v>
      </c>
      <c r="C7" s="1" t="s">
        <v>95</v>
      </c>
      <c r="D7" s="53" t="s">
        <v>96</v>
      </c>
      <c r="E7" s="2" t="s">
        <v>97</v>
      </c>
      <c r="F7" s="2" t="str">
        <f>'Source Table'!$D$6</f>
        <v>Felony Crimes</v>
      </c>
      <c r="G7" t="str">
        <f>'Source Table'!$D$5</f>
        <v>الجرائم الجنائية</v>
      </c>
      <c r="H7" t="str">
        <f>'Source Table'!$B$10</f>
        <v>East Amman</v>
      </c>
      <c r="I7" t="str">
        <f>'Source Table'!$E$10</f>
        <v>شرق عمان</v>
      </c>
      <c r="J7" s="19">
        <v>619</v>
      </c>
      <c r="K7">
        <v>2023</v>
      </c>
    </row>
    <row r="8" ht="15" spans="1:11">
      <c r="A8" t="s">
        <v>93</v>
      </c>
      <c r="B8" t="s">
        <v>94</v>
      </c>
      <c r="C8" s="1" t="s">
        <v>95</v>
      </c>
      <c r="D8" s="53" t="s">
        <v>96</v>
      </c>
      <c r="E8" s="2" t="s">
        <v>97</v>
      </c>
      <c r="F8" s="2" t="str">
        <f>'Source Table'!$D$6</f>
        <v>Felony Crimes</v>
      </c>
      <c r="G8" t="str">
        <f>'Source Table'!$D$5</f>
        <v>الجرائم الجنائية</v>
      </c>
      <c r="H8" t="str">
        <f>'Source Table'!$B$11</f>
        <v>Balqa</v>
      </c>
      <c r="I8" t="str">
        <f>'Source Table'!$E$11</f>
        <v>البلقاء</v>
      </c>
      <c r="J8" s="19">
        <v>302</v>
      </c>
      <c r="K8">
        <v>2023</v>
      </c>
    </row>
    <row r="9" ht="15" spans="1:11">
      <c r="A9" t="s">
        <v>93</v>
      </c>
      <c r="B9" t="s">
        <v>94</v>
      </c>
      <c r="C9" s="1" t="s">
        <v>95</v>
      </c>
      <c r="D9" s="53" t="s">
        <v>96</v>
      </c>
      <c r="E9" s="2" t="s">
        <v>97</v>
      </c>
      <c r="F9" s="2" t="str">
        <f>'Source Table'!$D$6</f>
        <v>Felony Crimes</v>
      </c>
      <c r="G9" t="str">
        <f>'Source Table'!$D$5</f>
        <v>الجرائم الجنائية</v>
      </c>
      <c r="H9" t="str">
        <f>'Source Table'!$B$12</f>
        <v>West Balqa</v>
      </c>
      <c r="I9" t="str">
        <f>'Source Table'!$E$12</f>
        <v>غرب البلقاء </v>
      </c>
      <c r="J9" s="19">
        <v>124</v>
      </c>
      <c r="K9">
        <v>2023</v>
      </c>
    </row>
    <row r="10" ht="15" spans="1:11">
      <c r="A10" t="s">
        <v>93</v>
      </c>
      <c r="B10" t="s">
        <v>94</v>
      </c>
      <c r="C10" s="1" t="s">
        <v>95</v>
      </c>
      <c r="D10" s="53" t="s">
        <v>96</v>
      </c>
      <c r="E10" s="2" t="s">
        <v>97</v>
      </c>
      <c r="F10" s="2" t="str">
        <f>'Source Table'!$D$6</f>
        <v>Felony Crimes</v>
      </c>
      <c r="G10" t="str">
        <f>'Source Table'!$D$5</f>
        <v>الجرائم الجنائية</v>
      </c>
      <c r="H10" t="str">
        <f>'Source Table'!$B$13</f>
        <v>Zarqa</v>
      </c>
      <c r="I10" t="str">
        <f>'Source Table'!$E$13</f>
        <v>الزرقاء</v>
      </c>
      <c r="J10" s="19">
        <v>489</v>
      </c>
      <c r="K10">
        <v>2023</v>
      </c>
    </row>
    <row r="11" ht="15" spans="1:11">
      <c r="A11" t="s">
        <v>93</v>
      </c>
      <c r="B11" t="s">
        <v>94</v>
      </c>
      <c r="C11" s="1" t="s">
        <v>95</v>
      </c>
      <c r="D11" s="53" t="s">
        <v>96</v>
      </c>
      <c r="E11" s="2" t="s">
        <v>97</v>
      </c>
      <c r="F11" s="2" t="str">
        <f>'Source Table'!$D$6</f>
        <v>Felony Crimes</v>
      </c>
      <c r="G11" t="str">
        <f>'Source Table'!$D$5</f>
        <v>الجرائم الجنائية</v>
      </c>
      <c r="H11" t="str">
        <f>'Source Table'!$B$14</f>
        <v>Al-Russaifa</v>
      </c>
      <c r="I11" t="str">
        <f>'Source Table'!$E$14</f>
        <v>الرصيفة</v>
      </c>
      <c r="J11" s="19">
        <v>179</v>
      </c>
      <c r="K11">
        <v>2023</v>
      </c>
    </row>
    <row r="12" ht="15" spans="1:11">
      <c r="A12" t="s">
        <v>93</v>
      </c>
      <c r="B12" t="s">
        <v>94</v>
      </c>
      <c r="C12" s="1" t="s">
        <v>95</v>
      </c>
      <c r="D12" s="53" t="s">
        <v>96</v>
      </c>
      <c r="E12" s="2" t="s">
        <v>97</v>
      </c>
      <c r="F12" s="2" t="str">
        <f>'Source Table'!$D$6</f>
        <v>Felony Crimes</v>
      </c>
      <c r="G12" t="str">
        <f>'Source Table'!$D$5</f>
        <v>الجرائم الجنائية</v>
      </c>
      <c r="H12" t="str">
        <f>'Source Table'!$B$15</f>
        <v>Madaba</v>
      </c>
      <c r="I12" t="str">
        <f>'Source Table'!$E$15</f>
        <v>مادبا</v>
      </c>
      <c r="J12" s="19">
        <v>137</v>
      </c>
      <c r="K12">
        <v>2023</v>
      </c>
    </row>
    <row r="13" ht="15" spans="1:11">
      <c r="A13" t="s">
        <v>93</v>
      </c>
      <c r="B13" t="s">
        <v>94</v>
      </c>
      <c r="C13" s="1" t="s">
        <v>95</v>
      </c>
      <c r="D13" s="53" t="s">
        <v>96</v>
      </c>
      <c r="E13" s="2" t="s">
        <v>97</v>
      </c>
      <c r="F13" s="2" t="str">
        <f>'Source Table'!$D$6</f>
        <v>Felony Crimes</v>
      </c>
      <c r="G13" t="str">
        <f>'Source Table'!$D$5</f>
        <v>الجرائم الجنائية</v>
      </c>
      <c r="H13" t="str">
        <f>'Source Table'!$B$16</f>
        <v>Irbid</v>
      </c>
      <c r="I13" t="str">
        <f>'Source Table'!$E$16</f>
        <v>إربد</v>
      </c>
      <c r="J13" s="19">
        <v>737</v>
      </c>
      <c r="K13">
        <v>2023</v>
      </c>
    </row>
    <row r="14" ht="15" spans="1:11">
      <c r="A14" t="s">
        <v>93</v>
      </c>
      <c r="B14" t="s">
        <v>94</v>
      </c>
      <c r="C14" s="1" t="s">
        <v>95</v>
      </c>
      <c r="D14" s="53" t="s">
        <v>96</v>
      </c>
      <c r="E14" s="2" t="s">
        <v>97</v>
      </c>
      <c r="F14" s="2" t="str">
        <f>'Source Table'!$D$6</f>
        <v>Felony Crimes</v>
      </c>
      <c r="G14" t="str">
        <f>'Source Table'!$D$5</f>
        <v>الجرائم الجنائية</v>
      </c>
      <c r="H14" t="str">
        <f>'Source Table'!$B$17</f>
        <v>West Irbid</v>
      </c>
      <c r="I14" t="str">
        <f>'Source Table'!$E$17</f>
        <v>غرب إربد</v>
      </c>
      <c r="J14" s="19">
        <v>168</v>
      </c>
      <c r="K14">
        <v>2023</v>
      </c>
    </row>
    <row r="15" ht="15" spans="1:11">
      <c r="A15" t="s">
        <v>93</v>
      </c>
      <c r="B15" t="s">
        <v>94</v>
      </c>
      <c r="C15" s="1" t="s">
        <v>95</v>
      </c>
      <c r="D15" s="53" t="s">
        <v>96</v>
      </c>
      <c r="E15" s="2" t="s">
        <v>97</v>
      </c>
      <c r="F15" s="2" t="str">
        <f>'Source Table'!$D$6</f>
        <v>Felony Crimes</v>
      </c>
      <c r="G15" t="str">
        <f>'Source Table'!$D$5</f>
        <v>الجرائم الجنائية</v>
      </c>
      <c r="H15" t="str">
        <f>'Source Table'!$B$18</f>
        <v>Al-Ramtha</v>
      </c>
      <c r="I15" t="str">
        <f>'Source Table'!$E$18</f>
        <v>الرمثا</v>
      </c>
      <c r="J15" s="19">
        <v>63</v>
      </c>
      <c r="K15">
        <v>2023</v>
      </c>
    </row>
    <row r="16" ht="15" spans="1:11">
      <c r="A16" t="s">
        <v>93</v>
      </c>
      <c r="B16" t="s">
        <v>94</v>
      </c>
      <c r="C16" s="1" t="s">
        <v>95</v>
      </c>
      <c r="D16" s="53" t="s">
        <v>96</v>
      </c>
      <c r="E16" s="2" t="s">
        <v>97</v>
      </c>
      <c r="F16" s="2" t="str">
        <f>'Source Table'!$D$6</f>
        <v>Felony Crimes</v>
      </c>
      <c r="G16" t="str">
        <f>'Source Table'!$D$5</f>
        <v>الجرائم الجنائية</v>
      </c>
      <c r="H16" t="str">
        <f>'Source Table'!$B$19</f>
        <v>Mafraq</v>
      </c>
      <c r="I16" t="str">
        <f>'Source Table'!$E$19</f>
        <v>المفرق</v>
      </c>
      <c r="J16" s="19">
        <v>210</v>
      </c>
      <c r="K16">
        <v>2023</v>
      </c>
    </row>
    <row r="17" ht="15" spans="1:11">
      <c r="A17" t="s">
        <v>93</v>
      </c>
      <c r="B17" t="s">
        <v>94</v>
      </c>
      <c r="C17" s="1" t="s">
        <v>95</v>
      </c>
      <c r="D17" s="53" t="s">
        <v>96</v>
      </c>
      <c r="E17" s="2" t="s">
        <v>97</v>
      </c>
      <c r="F17" s="2" t="str">
        <f>'Source Table'!$D$6</f>
        <v>Felony Crimes</v>
      </c>
      <c r="G17" t="str">
        <f>'Source Table'!$D$5</f>
        <v>الجرائم الجنائية</v>
      </c>
      <c r="H17" t="str">
        <f>'Source Table'!$B$20</f>
        <v>North Bedouin</v>
      </c>
      <c r="I17" t="str">
        <f>'Source Table'!$E$20</f>
        <v>الباديةالشمالية</v>
      </c>
      <c r="J17" s="19">
        <v>96</v>
      </c>
      <c r="K17">
        <v>2023</v>
      </c>
    </row>
    <row r="18" ht="15" spans="1:11">
      <c r="A18" t="s">
        <v>93</v>
      </c>
      <c r="B18" t="s">
        <v>94</v>
      </c>
      <c r="C18" s="1" t="s">
        <v>95</v>
      </c>
      <c r="D18" s="53" t="s">
        <v>96</v>
      </c>
      <c r="E18" s="2" t="s">
        <v>97</v>
      </c>
      <c r="F18" s="2" t="str">
        <f>'Source Table'!$D$6</f>
        <v>Felony Crimes</v>
      </c>
      <c r="G18" t="str">
        <f>'Source Table'!$D$5</f>
        <v>الجرائم الجنائية</v>
      </c>
      <c r="H18" s="3" t="str">
        <f>'Source Table'!$B$21</f>
        <v>Middle Bedouin</v>
      </c>
      <c r="I18" s="3" t="str">
        <f>'Source Table'!$E$21</f>
        <v>البادية الوسطى</v>
      </c>
      <c r="J18" s="19">
        <v>138</v>
      </c>
      <c r="K18">
        <v>2023</v>
      </c>
    </row>
    <row r="19" ht="15" spans="1:11">
      <c r="A19" t="s">
        <v>93</v>
      </c>
      <c r="B19" t="s">
        <v>94</v>
      </c>
      <c r="C19" s="1" t="s">
        <v>95</v>
      </c>
      <c r="D19" s="53" t="s">
        <v>96</v>
      </c>
      <c r="E19" s="2" t="s">
        <v>97</v>
      </c>
      <c r="F19" s="2" t="str">
        <f>'Source Table'!$D$6</f>
        <v>Felony Crimes</v>
      </c>
      <c r="G19" t="str">
        <f>'Source Table'!$D$5</f>
        <v>الجرائم الجنائية</v>
      </c>
      <c r="H19" s="3" t="str">
        <f>'Source Table'!$B$22</f>
        <v>South Bedouin</v>
      </c>
      <c r="I19" s="3" t="str">
        <f>'Source Table'!$E$22</f>
        <v>البادية الجنوبية </v>
      </c>
      <c r="J19" s="19">
        <v>14</v>
      </c>
      <c r="K19">
        <v>2023</v>
      </c>
    </row>
    <row r="20" ht="15" spans="1:11">
      <c r="A20" t="s">
        <v>93</v>
      </c>
      <c r="B20" t="s">
        <v>94</v>
      </c>
      <c r="C20" s="1" t="s">
        <v>95</v>
      </c>
      <c r="D20" s="53" t="s">
        <v>96</v>
      </c>
      <c r="E20" s="2" t="s">
        <v>97</v>
      </c>
      <c r="F20" s="2" t="str">
        <f>'Source Table'!$D$6</f>
        <v>Felony Crimes</v>
      </c>
      <c r="G20" t="str">
        <f>'Source Table'!$D$5</f>
        <v>الجرائم الجنائية</v>
      </c>
      <c r="H20" s="3" t="str">
        <f>'Source Table'!$B$23</f>
        <v>Jarash</v>
      </c>
      <c r="I20" s="3" t="str">
        <f>'Source Table'!$E$23</f>
        <v>جرش</v>
      </c>
      <c r="J20" s="19">
        <v>136</v>
      </c>
      <c r="K20">
        <v>2023</v>
      </c>
    </row>
    <row r="21" ht="15" spans="1:11">
      <c r="A21" t="s">
        <v>93</v>
      </c>
      <c r="B21" t="s">
        <v>94</v>
      </c>
      <c r="C21" s="1" t="s">
        <v>95</v>
      </c>
      <c r="D21" s="53" t="s">
        <v>96</v>
      </c>
      <c r="E21" s="2" t="s">
        <v>97</v>
      </c>
      <c r="F21" s="2" t="str">
        <f>'Source Table'!$D$6</f>
        <v>Felony Crimes</v>
      </c>
      <c r="G21" t="str">
        <f>'Source Table'!$D$5</f>
        <v>الجرائم الجنائية</v>
      </c>
      <c r="H21" s="3" t="str">
        <f>'Source Table'!$B$24</f>
        <v>Ajloun</v>
      </c>
      <c r="I21" s="3" t="str">
        <f>'Source Table'!$E$24</f>
        <v>عجلون</v>
      </c>
      <c r="J21" s="19">
        <v>86</v>
      </c>
      <c r="K21">
        <v>2023</v>
      </c>
    </row>
    <row r="22" ht="15" spans="1:11">
      <c r="A22" t="s">
        <v>93</v>
      </c>
      <c r="B22" t="s">
        <v>94</v>
      </c>
      <c r="C22" s="1" t="s">
        <v>95</v>
      </c>
      <c r="D22" s="53" t="s">
        <v>96</v>
      </c>
      <c r="E22" s="2" t="s">
        <v>97</v>
      </c>
      <c r="F22" s="2" t="str">
        <f>'Source Table'!$D$6</f>
        <v>Felony Crimes</v>
      </c>
      <c r="G22" t="str">
        <f>'Source Table'!$D$5</f>
        <v>الجرائم الجنائية</v>
      </c>
      <c r="H22" s="3" t="str">
        <f>'Source Table'!$B$25</f>
        <v>Karak</v>
      </c>
      <c r="I22" s="3" t="str">
        <f>'Source Table'!$E$25</f>
        <v>الكرك</v>
      </c>
      <c r="J22" s="19">
        <v>235</v>
      </c>
      <c r="K22">
        <v>2023</v>
      </c>
    </row>
    <row r="23" ht="15" spans="1:11">
      <c r="A23" t="s">
        <v>93</v>
      </c>
      <c r="B23" t="s">
        <v>94</v>
      </c>
      <c r="C23" s="1" t="s">
        <v>95</v>
      </c>
      <c r="D23" s="53" t="s">
        <v>96</v>
      </c>
      <c r="E23" s="2" t="s">
        <v>97</v>
      </c>
      <c r="F23" s="2" t="str">
        <f>'Source Table'!$D$6</f>
        <v>Felony Crimes</v>
      </c>
      <c r="G23" t="str">
        <f>'Source Table'!$D$5</f>
        <v>الجرائم الجنائية</v>
      </c>
      <c r="H23" s="3" t="str">
        <f>'Source Table'!$B$26</f>
        <v>Tafiela</v>
      </c>
      <c r="I23" s="3" t="str">
        <f>'Source Table'!$E$26</f>
        <v>الطفيلة</v>
      </c>
      <c r="J23" s="19">
        <v>51</v>
      </c>
      <c r="K23">
        <v>2023</v>
      </c>
    </row>
    <row r="24" ht="15" spans="1:11">
      <c r="A24" t="s">
        <v>93</v>
      </c>
      <c r="B24" t="s">
        <v>94</v>
      </c>
      <c r="C24" s="1" t="s">
        <v>95</v>
      </c>
      <c r="D24" s="53" t="s">
        <v>96</v>
      </c>
      <c r="E24" s="2" t="s">
        <v>97</v>
      </c>
      <c r="F24" s="2" t="str">
        <f>'Source Table'!$D$6</f>
        <v>Felony Crimes</v>
      </c>
      <c r="G24" t="str">
        <f>'Source Table'!$D$5</f>
        <v>الجرائم الجنائية</v>
      </c>
      <c r="H24" s="3" t="str">
        <f>'Source Table'!$B$27</f>
        <v>Ma'an</v>
      </c>
      <c r="I24" s="3" t="str">
        <f>'Source Table'!$E$27</f>
        <v>معان</v>
      </c>
      <c r="J24" s="19">
        <v>95</v>
      </c>
      <c r="K24">
        <v>2023</v>
      </c>
    </row>
    <row r="25" ht="15" spans="1:11">
      <c r="A25" t="s">
        <v>93</v>
      </c>
      <c r="B25" t="s">
        <v>94</v>
      </c>
      <c r="C25" s="1" t="s">
        <v>95</v>
      </c>
      <c r="D25" s="53" t="s">
        <v>96</v>
      </c>
      <c r="E25" s="2" t="s">
        <v>97</v>
      </c>
      <c r="F25" s="2" t="str">
        <f>'Source Table'!$D$6</f>
        <v>Felony Crimes</v>
      </c>
      <c r="G25" t="str">
        <f>'Source Table'!$D$5</f>
        <v>الجرائم الجنائية</v>
      </c>
      <c r="H25" s="3" t="str">
        <f>'Source Table'!$B$28</f>
        <v>West ofMa'an</v>
      </c>
      <c r="I25" s="3" t="str">
        <f>'Source Table'!$E$28</f>
        <v>غرب معان</v>
      </c>
      <c r="J25" s="19">
        <v>17</v>
      </c>
      <c r="K25">
        <v>2023</v>
      </c>
    </row>
    <row r="26" ht="15" spans="1:11">
      <c r="A26" t="s">
        <v>93</v>
      </c>
      <c r="B26" t="s">
        <v>94</v>
      </c>
      <c r="C26" s="1" t="s">
        <v>95</v>
      </c>
      <c r="D26" s="53" t="s">
        <v>96</v>
      </c>
      <c r="E26" s="2" t="s">
        <v>97</v>
      </c>
      <c r="F26" s="2" t="str">
        <f>'Source Table'!$D$6</f>
        <v>Felony Crimes</v>
      </c>
      <c r="G26" t="str">
        <f>'Source Table'!$D$5</f>
        <v>الجرائم الجنائية</v>
      </c>
      <c r="H26" s="3" t="str">
        <f>'Source Table'!$B$29</f>
        <v>Aqaba</v>
      </c>
      <c r="I26" s="3" t="str">
        <f>'Source Table'!$E$29</f>
        <v>العقبة</v>
      </c>
      <c r="J26" s="19">
        <v>153</v>
      </c>
      <c r="K26">
        <v>2023</v>
      </c>
    </row>
    <row r="27" ht="15" spans="1:11">
      <c r="A27" t="s">
        <v>93</v>
      </c>
      <c r="B27" t="s">
        <v>94</v>
      </c>
      <c r="C27" s="1" t="s">
        <v>95</v>
      </c>
      <c r="D27" s="53" t="s">
        <v>96</v>
      </c>
      <c r="E27" s="2" t="s">
        <v>97</v>
      </c>
      <c r="F27" s="3" t="str">
        <f>'Source Table'!$C$6</f>
        <v>Misdemeanor Crimes</v>
      </c>
      <c r="G27" s="3" t="str">
        <f>'Source Table'!$C$5</f>
        <v>الجرائم الجنحوية</v>
      </c>
      <c r="H27" t="str">
        <f>'Source Table'!$B$7</f>
        <v>Middle Amman</v>
      </c>
      <c r="I27" t="str">
        <f>'Source Table'!$E$7</f>
        <v>وسط عمان</v>
      </c>
      <c r="J27" s="20">
        <v>1907</v>
      </c>
      <c r="K27">
        <v>2023</v>
      </c>
    </row>
    <row r="28" ht="15" spans="1:11">
      <c r="A28" t="s">
        <v>93</v>
      </c>
      <c r="B28" t="s">
        <v>94</v>
      </c>
      <c r="C28" s="1" t="s">
        <v>95</v>
      </c>
      <c r="D28" s="53" t="s">
        <v>96</v>
      </c>
      <c r="E28" s="2" t="s">
        <v>97</v>
      </c>
      <c r="F28" s="3" t="str">
        <f>'Source Table'!$C$6</f>
        <v>Misdemeanor Crimes</v>
      </c>
      <c r="G28" s="3" t="str">
        <f>'Source Table'!$C$5</f>
        <v>الجرائم الجنحوية</v>
      </c>
      <c r="H28" t="str">
        <f>'Source Table'!$B$8</f>
        <v>South Amman</v>
      </c>
      <c r="I28" t="str">
        <f>'Source Table'!$E$8</f>
        <v>جنوب عمان</v>
      </c>
      <c r="J28" s="20">
        <v>1908</v>
      </c>
      <c r="K28">
        <v>2023</v>
      </c>
    </row>
    <row r="29" ht="15" spans="1:11">
      <c r="A29" t="s">
        <v>93</v>
      </c>
      <c r="B29" t="s">
        <v>94</v>
      </c>
      <c r="C29" s="1" t="s">
        <v>95</v>
      </c>
      <c r="D29" s="53" t="s">
        <v>96</v>
      </c>
      <c r="E29" s="2" t="s">
        <v>97</v>
      </c>
      <c r="F29" s="3" t="str">
        <f>'Source Table'!$C$6</f>
        <v>Misdemeanor Crimes</v>
      </c>
      <c r="G29" s="3" t="str">
        <f>'Source Table'!$C$5</f>
        <v>الجرائم الجنحوية</v>
      </c>
      <c r="H29" t="str">
        <f>'Source Table'!$B$9</f>
        <v>North Amman</v>
      </c>
      <c r="I29" t="str">
        <f>'Source Table'!$E$9</f>
        <v>شمال عمان </v>
      </c>
      <c r="J29" s="20">
        <v>1955</v>
      </c>
      <c r="K29">
        <v>2023</v>
      </c>
    </row>
    <row r="30" ht="15" spans="1:11">
      <c r="A30" t="s">
        <v>93</v>
      </c>
      <c r="B30" t="s">
        <v>94</v>
      </c>
      <c r="C30" s="1" t="s">
        <v>95</v>
      </c>
      <c r="D30" s="53" t="s">
        <v>96</v>
      </c>
      <c r="E30" s="2" t="s">
        <v>97</v>
      </c>
      <c r="F30" s="3" t="str">
        <f>'Source Table'!$C$6</f>
        <v>Misdemeanor Crimes</v>
      </c>
      <c r="G30" s="3" t="str">
        <f>'Source Table'!$C$5</f>
        <v>الجرائم الجنحوية</v>
      </c>
      <c r="H30" t="str">
        <f>'Source Table'!$B$10</f>
        <v>East Amman</v>
      </c>
      <c r="I30" t="str">
        <f>'Source Table'!$E$10</f>
        <v>شرق عمان</v>
      </c>
      <c r="J30" s="20">
        <v>1633</v>
      </c>
      <c r="K30">
        <v>2023</v>
      </c>
    </row>
    <row r="31" ht="15" spans="1:11">
      <c r="A31" t="s">
        <v>93</v>
      </c>
      <c r="B31" t="s">
        <v>94</v>
      </c>
      <c r="C31" s="1" t="s">
        <v>95</v>
      </c>
      <c r="D31" s="53" t="s">
        <v>96</v>
      </c>
      <c r="E31" s="2" t="s">
        <v>97</v>
      </c>
      <c r="F31" s="3" t="str">
        <f>'Source Table'!$C$6</f>
        <v>Misdemeanor Crimes</v>
      </c>
      <c r="G31" s="3" t="str">
        <f>'Source Table'!$C$5</f>
        <v>الجرائم الجنحوية</v>
      </c>
      <c r="H31" t="str">
        <f>'Source Table'!$B$11</f>
        <v>Balqa</v>
      </c>
      <c r="I31" t="str">
        <f>'Source Table'!$E$11</f>
        <v>البلقاء</v>
      </c>
      <c r="J31" s="21">
        <v>765</v>
      </c>
      <c r="K31">
        <v>2023</v>
      </c>
    </row>
    <row r="32" ht="15" spans="1:11">
      <c r="A32" t="s">
        <v>93</v>
      </c>
      <c r="B32" t="s">
        <v>94</v>
      </c>
      <c r="C32" s="1" t="s">
        <v>95</v>
      </c>
      <c r="D32" s="53" t="s">
        <v>96</v>
      </c>
      <c r="E32" s="2" t="s">
        <v>97</v>
      </c>
      <c r="F32" s="3" t="str">
        <f>'Source Table'!$C$6</f>
        <v>Misdemeanor Crimes</v>
      </c>
      <c r="G32" s="3" t="str">
        <f>'Source Table'!$C$5</f>
        <v>الجرائم الجنحوية</v>
      </c>
      <c r="H32" t="str">
        <f>'Source Table'!$B$12</f>
        <v>West Balqa</v>
      </c>
      <c r="I32" t="str">
        <f>'Source Table'!$E$12</f>
        <v>غرب البلقاء </v>
      </c>
      <c r="J32" s="21">
        <v>292</v>
      </c>
      <c r="K32">
        <v>2023</v>
      </c>
    </row>
    <row r="33" ht="15" spans="1:11">
      <c r="A33" t="s">
        <v>93</v>
      </c>
      <c r="B33" t="s">
        <v>94</v>
      </c>
      <c r="C33" s="1" t="s">
        <v>95</v>
      </c>
      <c r="D33" s="53" t="s">
        <v>96</v>
      </c>
      <c r="E33" s="2" t="s">
        <v>97</v>
      </c>
      <c r="F33" s="3" t="str">
        <f>'Source Table'!$C$6</f>
        <v>Misdemeanor Crimes</v>
      </c>
      <c r="G33" s="3" t="str">
        <f>'Source Table'!$C$5</f>
        <v>الجرائم الجنحوية</v>
      </c>
      <c r="H33" t="str">
        <f>'Source Table'!$B$13</f>
        <v>Zarqa</v>
      </c>
      <c r="I33" t="str">
        <f>'Source Table'!$E$13</f>
        <v>الزرقاء</v>
      </c>
      <c r="J33" s="20">
        <v>1328</v>
      </c>
      <c r="K33">
        <v>2023</v>
      </c>
    </row>
    <row r="34" ht="15" spans="1:11">
      <c r="A34" t="s">
        <v>93</v>
      </c>
      <c r="B34" t="s">
        <v>94</v>
      </c>
      <c r="C34" s="1" t="s">
        <v>95</v>
      </c>
      <c r="D34" s="53" t="s">
        <v>96</v>
      </c>
      <c r="E34" s="2" t="s">
        <v>97</v>
      </c>
      <c r="F34" s="3" t="str">
        <f>'Source Table'!$C$6</f>
        <v>Misdemeanor Crimes</v>
      </c>
      <c r="G34" s="3" t="str">
        <f>'Source Table'!$C$5</f>
        <v>الجرائم الجنحوية</v>
      </c>
      <c r="H34" t="str">
        <f>'Source Table'!$B$14</f>
        <v>Al-Russaifa</v>
      </c>
      <c r="I34" t="str">
        <f>'Source Table'!$E$14</f>
        <v>الرصيفة</v>
      </c>
      <c r="J34" s="21">
        <v>570</v>
      </c>
      <c r="K34">
        <v>2023</v>
      </c>
    </row>
    <row r="35" ht="15" spans="1:11">
      <c r="A35" t="s">
        <v>93</v>
      </c>
      <c r="B35" t="s">
        <v>94</v>
      </c>
      <c r="C35" s="1" t="s">
        <v>95</v>
      </c>
      <c r="D35" s="53" t="s">
        <v>96</v>
      </c>
      <c r="E35" s="2" t="s">
        <v>97</v>
      </c>
      <c r="F35" s="3" t="str">
        <f>'Source Table'!$C$6</f>
        <v>Misdemeanor Crimes</v>
      </c>
      <c r="G35" s="3" t="str">
        <f>'Source Table'!$C$5</f>
        <v>الجرائم الجنحوية</v>
      </c>
      <c r="H35" t="str">
        <f>'Source Table'!$B$15</f>
        <v>Madaba</v>
      </c>
      <c r="I35" t="str">
        <f>'Source Table'!$E$15</f>
        <v>مادبا</v>
      </c>
      <c r="J35" s="21">
        <v>370</v>
      </c>
      <c r="K35">
        <v>2023</v>
      </c>
    </row>
    <row r="36" ht="15" spans="1:11">
      <c r="A36" t="s">
        <v>93</v>
      </c>
      <c r="B36" t="s">
        <v>94</v>
      </c>
      <c r="C36" s="1" t="s">
        <v>95</v>
      </c>
      <c r="D36" s="53" t="s">
        <v>96</v>
      </c>
      <c r="E36" s="2" t="s">
        <v>97</v>
      </c>
      <c r="F36" s="3" t="str">
        <f>'Source Table'!$C$6</f>
        <v>Misdemeanor Crimes</v>
      </c>
      <c r="G36" s="3" t="str">
        <f>'Source Table'!$C$5</f>
        <v>الجرائم الجنحوية</v>
      </c>
      <c r="H36" t="str">
        <f>'Source Table'!$B$16</f>
        <v>Irbid</v>
      </c>
      <c r="I36" t="str">
        <f>'Source Table'!$E$16</f>
        <v>إربد</v>
      </c>
      <c r="J36" s="20">
        <v>2635</v>
      </c>
      <c r="K36">
        <v>2023</v>
      </c>
    </row>
    <row r="37" ht="15" spans="1:11">
      <c r="A37" t="s">
        <v>93</v>
      </c>
      <c r="B37" t="s">
        <v>94</v>
      </c>
      <c r="C37" s="1" t="s">
        <v>95</v>
      </c>
      <c r="D37" s="53" t="s">
        <v>96</v>
      </c>
      <c r="E37" s="2" t="s">
        <v>97</v>
      </c>
      <c r="F37" s="3" t="str">
        <f>'Source Table'!$C$6</f>
        <v>Misdemeanor Crimes</v>
      </c>
      <c r="G37" s="3" t="str">
        <f>'Source Table'!$C$5</f>
        <v>الجرائم الجنحوية</v>
      </c>
      <c r="H37" t="str">
        <f>'Source Table'!$B$17</f>
        <v>West Irbid</v>
      </c>
      <c r="I37" t="str">
        <f>'Source Table'!$E$17</f>
        <v>غرب إربد</v>
      </c>
      <c r="J37" s="21">
        <v>346</v>
      </c>
      <c r="K37">
        <v>2023</v>
      </c>
    </row>
    <row r="38" ht="15" spans="1:11">
      <c r="A38" t="s">
        <v>93</v>
      </c>
      <c r="B38" t="s">
        <v>94</v>
      </c>
      <c r="C38" s="1" t="s">
        <v>95</v>
      </c>
      <c r="D38" s="53" t="s">
        <v>96</v>
      </c>
      <c r="E38" s="2" t="s">
        <v>97</v>
      </c>
      <c r="F38" s="3" t="str">
        <f>'Source Table'!$C$6</f>
        <v>Misdemeanor Crimes</v>
      </c>
      <c r="G38" s="3" t="str">
        <f>'Source Table'!$C$5</f>
        <v>الجرائم الجنحوية</v>
      </c>
      <c r="H38" t="str">
        <f>'Source Table'!$B$18</f>
        <v>Al-Ramtha</v>
      </c>
      <c r="I38" t="str">
        <f>'Source Table'!$E$18</f>
        <v>الرمثا</v>
      </c>
      <c r="J38" s="21">
        <v>297</v>
      </c>
      <c r="K38">
        <v>2023</v>
      </c>
    </row>
    <row r="39" ht="15" spans="1:11">
      <c r="A39" t="s">
        <v>93</v>
      </c>
      <c r="B39" t="s">
        <v>94</v>
      </c>
      <c r="C39" s="1" t="s">
        <v>95</v>
      </c>
      <c r="D39" s="53" t="s">
        <v>96</v>
      </c>
      <c r="E39" s="2" t="s">
        <v>97</v>
      </c>
      <c r="F39" s="3" t="str">
        <f>'Source Table'!$C$6</f>
        <v>Misdemeanor Crimes</v>
      </c>
      <c r="G39" s="3" t="str">
        <f>'Source Table'!$C$5</f>
        <v>الجرائم الجنحوية</v>
      </c>
      <c r="H39" t="str">
        <f>'Source Table'!$B$19</f>
        <v>Mafraq</v>
      </c>
      <c r="I39" t="str">
        <f>'Source Table'!$E$19</f>
        <v>المفرق</v>
      </c>
      <c r="J39" s="21">
        <v>556</v>
      </c>
      <c r="K39">
        <v>2023</v>
      </c>
    </row>
    <row r="40" ht="15" spans="1:11">
      <c r="A40" t="s">
        <v>93</v>
      </c>
      <c r="B40" t="s">
        <v>94</v>
      </c>
      <c r="C40" s="1" t="s">
        <v>95</v>
      </c>
      <c r="D40" s="53" t="s">
        <v>96</v>
      </c>
      <c r="E40" s="2" t="s">
        <v>97</v>
      </c>
      <c r="F40" s="3" t="str">
        <f>'Source Table'!$C$6</f>
        <v>Misdemeanor Crimes</v>
      </c>
      <c r="G40" s="3" t="str">
        <f>'Source Table'!$C$5</f>
        <v>الجرائم الجنحوية</v>
      </c>
      <c r="H40" t="str">
        <f>'Source Table'!$B$20</f>
        <v>North Bedouin</v>
      </c>
      <c r="I40" t="str">
        <f>'Source Table'!$E$20</f>
        <v>الباديةالشمالية</v>
      </c>
      <c r="J40" s="21">
        <v>253</v>
      </c>
      <c r="K40">
        <v>2023</v>
      </c>
    </row>
    <row r="41" ht="15" spans="1:11">
      <c r="A41" t="s">
        <v>93</v>
      </c>
      <c r="B41" t="s">
        <v>94</v>
      </c>
      <c r="C41" s="1" t="s">
        <v>95</v>
      </c>
      <c r="D41" s="53" t="s">
        <v>96</v>
      </c>
      <c r="E41" s="2" t="s">
        <v>97</v>
      </c>
      <c r="F41" s="3" t="str">
        <f>'Source Table'!$C$6</f>
        <v>Misdemeanor Crimes</v>
      </c>
      <c r="G41" s="3" t="str">
        <f>'Source Table'!$C$5</f>
        <v>الجرائم الجنحوية</v>
      </c>
      <c r="H41" s="3" t="str">
        <f>'Source Table'!$B$21</f>
        <v>Middle Bedouin</v>
      </c>
      <c r="I41" s="3" t="str">
        <f>'Source Table'!$E$21</f>
        <v>البادية الوسطى</v>
      </c>
      <c r="J41" s="21">
        <v>410</v>
      </c>
      <c r="K41">
        <v>2023</v>
      </c>
    </row>
    <row r="42" ht="15" spans="1:11">
      <c r="A42" t="s">
        <v>93</v>
      </c>
      <c r="B42" t="s">
        <v>94</v>
      </c>
      <c r="C42" s="1" t="s">
        <v>95</v>
      </c>
      <c r="D42" s="53" t="s">
        <v>96</v>
      </c>
      <c r="E42" s="2" t="s">
        <v>97</v>
      </c>
      <c r="F42" s="3" t="str">
        <f>'Source Table'!$C$6</f>
        <v>Misdemeanor Crimes</v>
      </c>
      <c r="G42" s="3" t="str">
        <f>'Source Table'!$C$5</f>
        <v>الجرائم الجنحوية</v>
      </c>
      <c r="H42" s="3" t="str">
        <f>'Source Table'!$B$22</f>
        <v>South Bedouin</v>
      </c>
      <c r="I42" s="3" t="str">
        <f>'Source Table'!$E$22</f>
        <v>البادية الجنوبية </v>
      </c>
      <c r="J42" s="21">
        <v>57</v>
      </c>
      <c r="K42">
        <v>2023</v>
      </c>
    </row>
    <row r="43" ht="15" spans="1:11">
      <c r="A43" t="s">
        <v>93</v>
      </c>
      <c r="B43" t="s">
        <v>94</v>
      </c>
      <c r="C43" s="1" t="s">
        <v>95</v>
      </c>
      <c r="D43" s="53" t="s">
        <v>96</v>
      </c>
      <c r="E43" s="2" t="s">
        <v>97</v>
      </c>
      <c r="F43" s="3" t="str">
        <f>'Source Table'!$C$6</f>
        <v>Misdemeanor Crimes</v>
      </c>
      <c r="G43" s="3" t="str">
        <f>'Source Table'!$C$5</f>
        <v>الجرائم الجنحوية</v>
      </c>
      <c r="H43" s="3" t="str">
        <f>'Source Table'!$B$23</f>
        <v>Jarash</v>
      </c>
      <c r="I43" s="3" t="str">
        <f>'Source Table'!$E$23</f>
        <v>جرش</v>
      </c>
      <c r="J43" s="21">
        <v>320</v>
      </c>
      <c r="K43">
        <v>2023</v>
      </c>
    </row>
    <row r="44" ht="15" spans="1:11">
      <c r="A44" t="s">
        <v>93</v>
      </c>
      <c r="B44" t="s">
        <v>94</v>
      </c>
      <c r="C44" s="1" t="s">
        <v>95</v>
      </c>
      <c r="D44" s="53" t="s">
        <v>96</v>
      </c>
      <c r="E44" s="2" t="s">
        <v>97</v>
      </c>
      <c r="F44" s="3" t="str">
        <f>'Source Table'!$C$6</f>
        <v>Misdemeanor Crimes</v>
      </c>
      <c r="G44" s="3" t="str">
        <f>'Source Table'!$C$5</f>
        <v>الجرائم الجنحوية</v>
      </c>
      <c r="H44" s="3" t="str">
        <f>'Source Table'!$B$24</f>
        <v>Ajloun</v>
      </c>
      <c r="I44" s="3" t="str">
        <f>'Source Table'!$E$24</f>
        <v>عجلون</v>
      </c>
      <c r="J44" s="21">
        <v>182</v>
      </c>
      <c r="K44">
        <v>2023</v>
      </c>
    </row>
    <row r="45" ht="15" spans="1:11">
      <c r="A45" t="s">
        <v>93</v>
      </c>
      <c r="B45" t="s">
        <v>94</v>
      </c>
      <c r="C45" s="1" t="s">
        <v>95</v>
      </c>
      <c r="D45" s="53" t="s">
        <v>96</v>
      </c>
      <c r="E45" s="2" t="s">
        <v>97</v>
      </c>
      <c r="F45" s="3" t="str">
        <f>'Source Table'!$C$6</f>
        <v>Misdemeanor Crimes</v>
      </c>
      <c r="G45" s="3" t="str">
        <f>'Source Table'!$C$5</f>
        <v>الجرائم الجنحوية</v>
      </c>
      <c r="H45" s="3" t="str">
        <f>'Source Table'!$B$25</f>
        <v>Karak</v>
      </c>
      <c r="I45" s="3" t="str">
        <f>'Source Table'!$E$25</f>
        <v>الكرك</v>
      </c>
      <c r="J45" s="21">
        <v>492</v>
      </c>
      <c r="K45">
        <v>2023</v>
      </c>
    </row>
    <row r="46" ht="15" spans="1:11">
      <c r="A46" t="s">
        <v>93</v>
      </c>
      <c r="B46" t="s">
        <v>94</v>
      </c>
      <c r="C46" s="1" t="s">
        <v>95</v>
      </c>
      <c r="D46" s="53" t="s">
        <v>96</v>
      </c>
      <c r="E46" s="2" t="s">
        <v>97</v>
      </c>
      <c r="F46" s="3" t="str">
        <f>'Source Table'!$C$6</f>
        <v>Misdemeanor Crimes</v>
      </c>
      <c r="G46" s="3" t="str">
        <f>'Source Table'!$C$5</f>
        <v>الجرائم الجنحوية</v>
      </c>
      <c r="H46" s="3" t="str">
        <f>'Source Table'!$B$26</f>
        <v>Tafiela</v>
      </c>
      <c r="I46" s="3" t="str">
        <f>'Source Table'!$E$26</f>
        <v>الطفيلة</v>
      </c>
      <c r="J46" s="21">
        <v>172</v>
      </c>
      <c r="K46">
        <v>2023</v>
      </c>
    </row>
    <row r="47" ht="15" spans="1:11">
      <c r="A47" t="s">
        <v>93</v>
      </c>
      <c r="B47" t="s">
        <v>94</v>
      </c>
      <c r="C47" s="1" t="s">
        <v>95</v>
      </c>
      <c r="D47" s="53" t="s">
        <v>96</v>
      </c>
      <c r="E47" s="2" t="s">
        <v>97</v>
      </c>
      <c r="F47" s="3" t="str">
        <f>'Source Table'!$C$6</f>
        <v>Misdemeanor Crimes</v>
      </c>
      <c r="G47" s="3" t="str">
        <f>'Source Table'!$C$5</f>
        <v>الجرائم الجنحوية</v>
      </c>
      <c r="H47" s="3" t="str">
        <f>'Source Table'!$B$27</f>
        <v>Ma'an</v>
      </c>
      <c r="I47" s="3" t="str">
        <f>'Source Table'!$E$27</f>
        <v>معان</v>
      </c>
      <c r="J47" s="21">
        <v>180</v>
      </c>
      <c r="K47">
        <v>2023</v>
      </c>
    </row>
    <row r="48" ht="15" spans="1:11">
      <c r="A48" t="s">
        <v>93</v>
      </c>
      <c r="B48" t="s">
        <v>94</v>
      </c>
      <c r="C48" s="1" t="s">
        <v>95</v>
      </c>
      <c r="D48" s="53" t="s">
        <v>96</v>
      </c>
      <c r="E48" s="2" t="s">
        <v>97</v>
      </c>
      <c r="F48" s="3" t="str">
        <f>'Source Table'!$C$6</f>
        <v>Misdemeanor Crimes</v>
      </c>
      <c r="G48" s="3" t="str">
        <f>'Source Table'!$C$5</f>
        <v>الجرائم الجنحوية</v>
      </c>
      <c r="H48" s="3" t="str">
        <f>'Source Table'!$B$28</f>
        <v>West ofMa'an</v>
      </c>
      <c r="I48" s="3" t="str">
        <f>'Source Table'!$E$28</f>
        <v>غرب معان</v>
      </c>
      <c r="J48" s="21">
        <v>86</v>
      </c>
      <c r="K48">
        <v>2023</v>
      </c>
    </row>
    <row r="49" ht="15" spans="1:11">
      <c r="A49" t="s">
        <v>93</v>
      </c>
      <c r="B49" t="s">
        <v>94</v>
      </c>
      <c r="C49" s="1" t="s">
        <v>95</v>
      </c>
      <c r="D49" s="53" t="s">
        <v>96</v>
      </c>
      <c r="E49" s="2" t="s">
        <v>97</v>
      </c>
      <c r="F49" s="3" t="str">
        <f>'Source Table'!$C$6</f>
        <v>Misdemeanor Crimes</v>
      </c>
      <c r="G49" s="3" t="str">
        <f>'Source Table'!$C$5</f>
        <v>الجرائم الجنحوية</v>
      </c>
      <c r="H49" s="3" t="str">
        <f>'Source Table'!$B$29</f>
        <v>Aqaba</v>
      </c>
      <c r="I49" s="3" t="str">
        <f>'Source Table'!$E$29</f>
        <v>العقبة</v>
      </c>
      <c r="J49" s="21">
        <v>491</v>
      </c>
      <c r="K49">
        <v>2023</v>
      </c>
    </row>
    <row r="50" ht="15" spans="1:11">
      <c r="A50" t="s">
        <v>93</v>
      </c>
      <c r="B50" t="s">
        <v>94</v>
      </c>
      <c r="C50" s="1" t="s">
        <v>95</v>
      </c>
      <c r="D50" s="53" t="s">
        <v>96</v>
      </c>
      <c r="E50" s="2" t="s">
        <v>97</v>
      </c>
      <c r="F50" s="2" t="str">
        <f>'Source Table'!$D$6</f>
        <v>Felony Crimes</v>
      </c>
      <c r="G50" t="str">
        <f>'Source Table'!$D$5</f>
        <v>الجرائم الجنائية</v>
      </c>
      <c r="H50" t="str">
        <f>'Source Table'!$B$7</f>
        <v>Middle Amman</v>
      </c>
      <c r="I50" t="str">
        <f>'Source Table'!$E$7</f>
        <v>وسط عمان</v>
      </c>
      <c r="J50" s="22">
        <v>540</v>
      </c>
      <c r="K50">
        <v>2022</v>
      </c>
    </row>
    <row r="51" ht="15" spans="1:11">
      <c r="A51" t="s">
        <v>93</v>
      </c>
      <c r="B51" t="s">
        <v>94</v>
      </c>
      <c r="C51" s="1" t="s">
        <v>95</v>
      </c>
      <c r="D51" s="53" t="s">
        <v>96</v>
      </c>
      <c r="E51" s="2" t="s">
        <v>97</v>
      </c>
      <c r="F51" s="2" t="str">
        <f>'Source Table'!$D$6</f>
        <v>Felony Crimes</v>
      </c>
      <c r="G51" t="str">
        <f>'Source Table'!$D$5</f>
        <v>الجرائم الجنائية</v>
      </c>
      <c r="H51" t="str">
        <f>'Source Table'!$B$8</f>
        <v>South Amman</v>
      </c>
      <c r="I51" t="str">
        <f>'Source Table'!$E$8</f>
        <v>جنوب عمان</v>
      </c>
      <c r="J51" s="22">
        <v>526</v>
      </c>
      <c r="K51">
        <v>2022</v>
      </c>
    </row>
    <row r="52" ht="15" spans="1:11">
      <c r="A52" t="s">
        <v>93</v>
      </c>
      <c r="B52" t="s">
        <v>94</v>
      </c>
      <c r="C52" s="1" t="s">
        <v>95</v>
      </c>
      <c r="D52" s="53" t="s">
        <v>96</v>
      </c>
      <c r="E52" s="2" t="s">
        <v>97</v>
      </c>
      <c r="F52" s="2" t="str">
        <f>'Source Table'!$D$6</f>
        <v>Felony Crimes</v>
      </c>
      <c r="G52" t="str">
        <f>'Source Table'!$D$5</f>
        <v>الجرائم الجنائية</v>
      </c>
      <c r="H52" t="str">
        <f>'Source Table'!$B$9</f>
        <v>North Amman</v>
      </c>
      <c r="I52" t="str">
        <f>'Source Table'!$E$9</f>
        <v>شمال عمان </v>
      </c>
      <c r="J52" s="22">
        <v>450</v>
      </c>
      <c r="K52">
        <v>2022</v>
      </c>
    </row>
    <row r="53" ht="15" spans="1:11">
      <c r="A53" t="s">
        <v>93</v>
      </c>
      <c r="B53" t="s">
        <v>94</v>
      </c>
      <c r="C53" s="1" t="s">
        <v>95</v>
      </c>
      <c r="D53" s="53" t="s">
        <v>96</v>
      </c>
      <c r="E53" s="2" t="s">
        <v>97</v>
      </c>
      <c r="F53" s="2" t="str">
        <f>'Source Table'!$D$6</f>
        <v>Felony Crimes</v>
      </c>
      <c r="G53" t="str">
        <f>'Source Table'!$D$5</f>
        <v>الجرائم الجنائية</v>
      </c>
      <c r="H53" t="str">
        <f>'Source Table'!$B$10</f>
        <v>East Amman</v>
      </c>
      <c r="I53" t="str">
        <f>'Source Table'!$E$10</f>
        <v>شرق عمان</v>
      </c>
      <c r="J53" s="22">
        <v>674</v>
      </c>
      <c r="K53">
        <v>2022</v>
      </c>
    </row>
    <row r="54" ht="15" spans="1:11">
      <c r="A54" t="s">
        <v>93</v>
      </c>
      <c r="B54" t="s">
        <v>94</v>
      </c>
      <c r="C54" s="1" t="s">
        <v>95</v>
      </c>
      <c r="D54" s="53" t="s">
        <v>96</v>
      </c>
      <c r="E54" s="2" t="s">
        <v>97</v>
      </c>
      <c r="F54" s="2" t="str">
        <f>'Source Table'!$D$6</f>
        <v>Felony Crimes</v>
      </c>
      <c r="G54" t="str">
        <f>'Source Table'!$D$5</f>
        <v>الجرائم الجنائية</v>
      </c>
      <c r="H54" t="str">
        <f>'Source Table'!$B$11</f>
        <v>Balqa</v>
      </c>
      <c r="I54" t="str">
        <f>'Source Table'!$E$11</f>
        <v>البلقاء</v>
      </c>
      <c r="J54" s="22">
        <v>385</v>
      </c>
      <c r="K54">
        <v>2022</v>
      </c>
    </row>
    <row r="55" ht="15" spans="1:11">
      <c r="A55" t="s">
        <v>93</v>
      </c>
      <c r="B55" t="s">
        <v>94</v>
      </c>
      <c r="C55" s="1" t="s">
        <v>95</v>
      </c>
      <c r="D55" s="53" t="s">
        <v>96</v>
      </c>
      <c r="E55" s="2" t="s">
        <v>97</v>
      </c>
      <c r="F55" s="2" t="str">
        <f>'Source Table'!$D$6</f>
        <v>Felony Crimes</v>
      </c>
      <c r="G55" t="str">
        <f>'Source Table'!$D$5</f>
        <v>الجرائم الجنائية</v>
      </c>
      <c r="H55" t="str">
        <f>'Source Table'!$B$12</f>
        <v>West Balqa</v>
      </c>
      <c r="I55" t="str">
        <f>'Source Table'!$E$12</f>
        <v>غرب البلقاء </v>
      </c>
      <c r="J55" s="22">
        <v>320</v>
      </c>
      <c r="K55">
        <v>2022</v>
      </c>
    </row>
    <row r="56" ht="15" spans="1:11">
      <c r="A56" t="s">
        <v>93</v>
      </c>
      <c r="B56" t="s">
        <v>94</v>
      </c>
      <c r="C56" s="1" t="s">
        <v>95</v>
      </c>
      <c r="D56" s="53" t="s">
        <v>96</v>
      </c>
      <c r="E56" s="2" t="s">
        <v>97</v>
      </c>
      <c r="F56" s="2" t="str">
        <f>'Source Table'!$D$6</f>
        <v>Felony Crimes</v>
      </c>
      <c r="G56" t="str">
        <f>'Source Table'!$D$5</f>
        <v>الجرائم الجنائية</v>
      </c>
      <c r="H56" t="str">
        <f>'Source Table'!$B$13</f>
        <v>Zarqa</v>
      </c>
      <c r="I56" t="str">
        <f>'Source Table'!$E$13</f>
        <v>الزرقاء</v>
      </c>
      <c r="J56" s="22">
        <v>134</v>
      </c>
      <c r="K56">
        <v>2022</v>
      </c>
    </row>
    <row r="57" ht="15" spans="1:11">
      <c r="A57" t="s">
        <v>93</v>
      </c>
      <c r="B57" t="s">
        <v>94</v>
      </c>
      <c r="C57" s="1" t="s">
        <v>95</v>
      </c>
      <c r="D57" s="53" t="s">
        <v>96</v>
      </c>
      <c r="E57" s="2" t="s">
        <v>97</v>
      </c>
      <c r="F57" s="2" t="str">
        <f>'Source Table'!$D$6</f>
        <v>Felony Crimes</v>
      </c>
      <c r="G57" t="str">
        <f>'Source Table'!$D$5</f>
        <v>الجرائم الجنائية</v>
      </c>
      <c r="H57" t="str">
        <f>'Source Table'!$B$14</f>
        <v>Al-Russaifa</v>
      </c>
      <c r="I57" t="str">
        <f>'Source Table'!$E$14</f>
        <v>الرصيفة</v>
      </c>
      <c r="J57" s="22">
        <v>192</v>
      </c>
      <c r="K57">
        <v>2022</v>
      </c>
    </row>
    <row r="58" ht="15" spans="1:11">
      <c r="A58" t="s">
        <v>93</v>
      </c>
      <c r="B58" t="s">
        <v>94</v>
      </c>
      <c r="C58" s="1" t="s">
        <v>95</v>
      </c>
      <c r="D58" s="53" t="s">
        <v>96</v>
      </c>
      <c r="E58" s="2" t="s">
        <v>97</v>
      </c>
      <c r="F58" s="2" t="str">
        <f>'Source Table'!$D$6</f>
        <v>Felony Crimes</v>
      </c>
      <c r="G58" t="str">
        <f>'Source Table'!$D$5</f>
        <v>الجرائم الجنائية</v>
      </c>
      <c r="H58" t="str">
        <f>'Source Table'!$B$15</f>
        <v>Madaba</v>
      </c>
      <c r="I58" t="str">
        <f>'Source Table'!$E$15</f>
        <v>مادبا</v>
      </c>
      <c r="J58" s="22">
        <v>147</v>
      </c>
      <c r="K58">
        <v>2022</v>
      </c>
    </row>
    <row r="59" ht="15" spans="1:11">
      <c r="A59" t="s">
        <v>93</v>
      </c>
      <c r="B59" t="s">
        <v>94</v>
      </c>
      <c r="C59" s="1" t="s">
        <v>95</v>
      </c>
      <c r="D59" s="53" t="s">
        <v>96</v>
      </c>
      <c r="E59" s="2" t="s">
        <v>97</v>
      </c>
      <c r="F59" s="2" t="str">
        <f>'Source Table'!$D$6</f>
        <v>Felony Crimes</v>
      </c>
      <c r="G59" t="str">
        <f>'Source Table'!$D$5</f>
        <v>الجرائم الجنائية</v>
      </c>
      <c r="H59" t="str">
        <f>'Source Table'!$B$16</f>
        <v>Irbid</v>
      </c>
      <c r="I59" t="str">
        <f>'Source Table'!$E$16</f>
        <v>إربد</v>
      </c>
      <c r="J59" s="22">
        <v>667</v>
      </c>
      <c r="K59">
        <v>2022</v>
      </c>
    </row>
    <row r="60" ht="15" spans="1:11">
      <c r="A60" t="s">
        <v>93</v>
      </c>
      <c r="B60" t="s">
        <v>94</v>
      </c>
      <c r="C60" s="1" t="s">
        <v>95</v>
      </c>
      <c r="D60" s="53" t="s">
        <v>96</v>
      </c>
      <c r="E60" s="2" t="s">
        <v>97</v>
      </c>
      <c r="F60" s="2" t="str">
        <f>'Source Table'!$D$6</f>
        <v>Felony Crimes</v>
      </c>
      <c r="G60" t="str">
        <f>'Source Table'!$D$5</f>
        <v>الجرائم الجنائية</v>
      </c>
      <c r="H60" t="str">
        <f>'Source Table'!$B$17</f>
        <v>West Irbid</v>
      </c>
      <c r="I60" t="str">
        <f>'Source Table'!$E$17</f>
        <v>غرب إربد</v>
      </c>
      <c r="J60" s="22">
        <v>159</v>
      </c>
      <c r="K60">
        <v>2022</v>
      </c>
    </row>
    <row r="61" ht="15" spans="1:11">
      <c r="A61" t="s">
        <v>93</v>
      </c>
      <c r="B61" t="s">
        <v>94</v>
      </c>
      <c r="C61" s="1" t="s">
        <v>95</v>
      </c>
      <c r="D61" s="53" t="s">
        <v>96</v>
      </c>
      <c r="E61" s="2" t="s">
        <v>97</v>
      </c>
      <c r="F61" s="2" t="str">
        <f>'Source Table'!$D$6</f>
        <v>Felony Crimes</v>
      </c>
      <c r="G61" t="str">
        <f>'Source Table'!$D$5</f>
        <v>الجرائم الجنائية</v>
      </c>
      <c r="H61" t="str">
        <f>'Source Table'!$B$18</f>
        <v>Al-Ramtha</v>
      </c>
      <c r="I61" t="str">
        <f>'Source Table'!$E$18</f>
        <v>الرمثا</v>
      </c>
      <c r="J61" s="22">
        <v>225</v>
      </c>
      <c r="K61">
        <v>2022</v>
      </c>
    </row>
    <row r="62" ht="15" spans="1:11">
      <c r="A62" t="s">
        <v>93</v>
      </c>
      <c r="B62" t="s">
        <v>94</v>
      </c>
      <c r="C62" s="1" t="s">
        <v>95</v>
      </c>
      <c r="D62" s="53" t="s">
        <v>96</v>
      </c>
      <c r="E62" s="2" t="s">
        <v>97</v>
      </c>
      <c r="F62" s="2" t="str">
        <f>'Source Table'!$D$6</f>
        <v>Felony Crimes</v>
      </c>
      <c r="G62" t="str">
        <f>'Source Table'!$D$5</f>
        <v>الجرائم الجنائية</v>
      </c>
      <c r="H62" t="str">
        <f>'Source Table'!$B$19</f>
        <v>Mafraq</v>
      </c>
      <c r="I62" t="str">
        <f>'Source Table'!$E$19</f>
        <v>المفرق</v>
      </c>
      <c r="J62" s="22">
        <v>191</v>
      </c>
      <c r="K62">
        <v>2022</v>
      </c>
    </row>
    <row r="63" ht="15" spans="1:11">
      <c r="A63" t="s">
        <v>93</v>
      </c>
      <c r="B63" t="s">
        <v>94</v>
      </c>
      <c r="C63" s="1" t="s">
        <v>95</v>
      </c>
      <c r="D63" s="53" t="s">
        <v>96</v>
      </c>
      <c r="E63" s="2" t="s">
        <v>97</v>
      </c>
      <c r="F63" s="2" t="str">
        <f>'Source Table'!$D$6</f>
        <v>Felony Crimes</v>
      </c>
      <c r="G63" t="str">
        <f>'Source Table'!$D$5</f>
        <v>الجرائم الجنائية</v>
      </c>
      <c r="H63" t="str">
        <f>'Source Table'!$B$20</f>
        <v>North Bedouin</v>
      </c>
      <c r="I63" t="str">
        <f>'Source Table'!$E$20</f>
        <v>الباديةالشمالية</v>
      </c>
      <c r="J63" s="22">
        <v>85</v>
      </c>
      <c r="K63">
        <v>2022</v>
      </c>
    </row>
    <row r="64" ht="15" spans="1:11">
      <c r="A64" t="s">
        <v>93</v>
      </c>
      <c r="B64" t="s">
        <v>94</v>
      </c>
      <c r="C64" s="1" t="s">
        <v>95</v>
      </c>
      <c r="D64" s="53" t="s">
        <v>96</v>
      </c>
      <c r="E64" s="2" t="s">
        <v>97</v>
      </c>
      <c r="F64" s="2" t="str">
        <f>'Source Table'!$D$6</f>
        <v>Felony Crimes</v>
      </c>
      <c r="G64" t="str">
        <f>'Source Table'!$D$5</f>
        <v>الجرائم الجنائية</v>
      </c>
      <c r="H64" s="3" t="str">
        <f>'Source Table'!$B$21</f>
        <v>Middle Bedouin</v>
      </c>
      <c r="I64" s="3" t="str">
        <f>'Source Table'!$E$21</f>
        <v>البادية الوسطى</v>
      </c>
      <c r="J64" s="22">
        <v>96</v>
      </c>
      <c r="K64">
        <v>2022</v>
      </c>
    </row>
    <row r="65" ht="15" spans="1:11">
      <c r="A65" t="s">
        <v>93</v>
      </c>
      <c r="B65" t="s">
        <v>94</v>
      </c>
      <c r="C65" s="1" t="s">
        <v>95</v>
      </c>
      <c r="D65" s="53" t="s">
        <v>96</v>
      </c>
      <c r="E65" s="2" t="s">
        <v>97</v>
      </c>
      <c r="F65" s="2" t="str">
        <f>'Source Table'!$D$6</f>
        <v>Felony Crimes</v>
      </c>
      <c r="G65" t="str">
        <f>'Source Table'!$D$5</f>
        <v>الجرائم الجنائية</v>
      </c>
      <c r="H65" s="3" t="str">
        <f>'Source Table'!$B$22</f>
        <v>South Bedouin</v>
      </c>
      <c r="I65" s="3" t="str">
        <f>'Source Table'!$E$22</f>
        <v>البادية الجنوبية </v>
      </c>
      <c r="J65" s="22">
        <v>193</v>
      </c>
      <c r="K65">
        <v>2022</v>
      </c>
    </row>
    <row r="66" ht="15" spans="1:11">
      <c r="A66" t="s">
        <v>93</v>
      </c>
      <c r="B66" t="s">
        <v>94</v>
      </c>
      <c r="C66" s="1" t="s">
        <v>95</v>
      </c>
      <c r="D66" s="53" t="s">
        <v>96</v>
      </c>
      <c r="E66" s="2" t="s">
        <v>97</v>
      </c>
      <c r="F66" s="2" t="str">
        <f>'Source Table'!$D$6</f>
        <v>Felony Crimes</v>
      </c>
      <c r="G66" t="str">
        <f>'Source Table'!$D$5</f>
        <v>الجرائم الجنائية</v>
      </c>
      <c r="H66" s="3" t="str">
        <f>'Source Table'!$B$23</f>
        <v>Jarash</v>
      </c>
      <c r="I66" s="3" t="str">
        <f>'Source Table'!$E$23</f>
        <v>جرش</v>
      </c>
      <c r="J66" s="22">
        <v>56</v>
      </c>
      <c r="K66">
        <v>2022</v>
      </c>
    </row>
    <row r="67" ht="15" spans="1:11">
      <c r="A67" t="s">
        <v>93</v>
      </c>
      <c r="B67" t="s">
        <v>94</v>
      </c>
      <c r="C67" s="1" t="s">
        <v>95</v>
      </c>
      <c r="D67" s="53" t="s">
        <v>96</v>
      </c>
      <c r="E67" s="2" t="s">
        <v>97</v>
      </c>
      <c r="F67" s="2" t="str">
        <f>'Source Table'!$D$6</f>
        <v>Felony Crimes</v>
      </c>
      <c r="G67" t="str">
        <f>'Source Table'!$D$5</f>
        <v>الجرائم الجنائية</v>
      </c>
      <c r="H67" s="3" t="str">
        <f>'Source Table'!$B$24</f>
        <v>Ajloun</v>
      </c>
      <c r="I67" s="3" t="str">
        <f>'Source Table'!$E$24</f>
        <v>عجلون</v>
      </c>
      <c r="J67" s="22">
        <v>67</v>
      </c>
      <c r="K67">
        <v>2022</v>
      </c>
    </row>
    <row r="68" ht="15" spans="1:11">
      <c r="A68" t="s">
        <v>93</v>
      </c>
      <c r="B68" t="s">
        <v>94</v>
      </c>
      <c r="C68" s="1" t="s">
        <v>95</v>
      </c>
      <c r="D68" s="53" t="s">
        <v>96</v>
      </c>
      <c r="E68" s="2" t="s">
        <v>97</v>
      </c>
      <c r="F68" s="2" t="str">
        <f>'Source Table'!$D$6</f>
        <v>Felony Crimes</v>
      </c>
      <c r="G68" t="str">
        <f>'Source Table'!$D$5</f>
        <v>الجرائم الجنائية</v>
      </c>
      <c r="H68" s="3" t="str">
        <f>'Source Table'!$B$25</f>
        <v>Karak</v>
      </c>
      <c r="I68" s="3" t="str">
        <f>'Source Table'!$E$25</f>
        <v>الكرك</v>
      </c>
      <c r="J68" s="22">
        <v>25</v>
      </c>
      <c r="K68">
        <v>2022</v>
      </c>
    </row>
    <row r="69" ht="15" spans="1:11">
      <c r="A69" t="s">
        <v>93</v>
      </c>
      <c r="B69" t="s">
        <v>94</v>
      </c>
      <c r="C69" s="1" t="s">
        <v>95</v>
      </c>
      <c r="D69" s="53" t="s">
        <v>96</v>
      </c>
      <c r="E69" s="2" t="s">
        <v>97</v>
      </c>
      <c r="F69" s="2" t="str">
        <f>'Source Table'!$D$6</f>
        <v>Felony Crimes</v>
      </c>
      <c r="G69" t="str">
        <f>'Source Table'!$D$5</f>
        <v>الجرائم الجنائية</v>
      </c>
      <c r="H69" s="3" t="str">
        <f>'Source Table'!$B$26</f>
        <v>Tafiela</v>
      </c>
      <c r="I69" s="3" t="str">
        <f>'Source Table'!$E$26</f>
        <v>الطفيلة</v>
      </c>
      <c r="J69" s="22">
        <v>136</v>
      </c>
      <c r="K69">
        <v>2022</v>
      </c>
    </row>
    <row r="70" ht="15" spans="1:11">
      <c r="A70" t="s">
        <v>93</v>
      </c>
      <c r="B70" t="s">
        <v>94</v>
      </c>
      <c r="C70" s="1" t="s">
        <v>95</v>
      </c>
      <c r="D70" s="53" t="s">
        <v>96</v>
      </c>
      <c r="E70" s="2" t="s">
        <v>97</v>
      </c>
      <c r="F70" s="2" t="str">
        <f>'Source Table'!$D$6</f>
        <v>Felony Crimes</v>
      </c>
      <c r="G70" t="str">
        <f>'Source Table'!$D$5</f>
        <v>الجرائم الجنائية</v>
      </c>
      <c r="H70" s="3" t="str">
        <f>'Source Table'!$B$27</f>
        <v>Ma'an</v>
      </c>
      <c r="I70" s="3" t="str">
        <f>'Source Table'!$E$27</f>
        <v>معان</v>
      </c>
      <c r="J70" s="22">
        <v>131</v>
      </c>
      <c r="K70">
        <v>2022</v>
      </c>
    </row>
    <row r="71" ht="15" spans="1:11">
      <c r="A71" t="s">
        <v>93</v>
      </c>
      <c r="B71" t="s">
        <v>94</v>
      </c>
      <c r="C71" s="1" t="s">
        <v>95</v>
      </c>
      <c r="D71" s="53" t="s">
        <v>96</v>
      </c>
      <c r="E71" s="2" t="s">
        <v>97</v>
      </c>
      <c r="F71" s="2" t="str">
        <f>'Source Table'!$D$6</f>
        <v>Felony Crimes</v>
      </c>
      <c r="G71" t="str">
        <f>'Source Table'!$D$5</f>
        <v>الجرائم الجنائية</v>
      </c>
      <c r="H71" s="3" t="str">
        <f>'Source Table'!$B$28</f>
        <v>West ofMa'an</v>
      </c>
      <c r="I71" s="3" t="str">
        <f>'Source Table'!$E$28</f>
        <v>غرب معان</v>
      </c>
      <c r="J71" s="22">
        <v>198</v>
      </c>
      <c r="K71">
        <v>2022</v>
      </c>
    </row>
    <row r="72" ht="15" spans="1:11">
      <c r="A72" t="s">
        <v>93</v>
      </c>
      <c r="B72" t="s">
        <v>94</v>
      </c>
      <c r="C72" s="1" t="s">
        <v>95</v>
      </c>
      <c r="D72" s="53" t="s">
        <v>96</v>
      </c>
      <c r="E72" s="2" t="s">
        <v>97</v>
      </c>
      <c r="F72" s="2" t="str">
        <f>'Source Table'!$D$6</f>
        <v>Felony Crimes</v>
      </c>
      <c r="G72" t="str">
        <f>'Source Table'!$D$5</f>
        <v>الجرائم الجنائية</v>
      </c>
      <c r="H72" s="3" t="str">
        <f>'Source Table'!$B$29</f>
        <v>Aqaba</v>
      </c>
      <c r="I72" s="3" t="str">
        <f>'Source Table'!$E$29</f>
        <v>العقبة</v>
      </c>
      <c r="J72" s="22">
        <v>16</v>
      </c>
      <c r="K72">
        <v>2022</v>
      </c>
    </row>
    <row r="73" ht="15" spans="1:11">
      <c r="A73" t="s">
        <v>93</v>
      </c>
      <c r="B73" t="s">
        <v>94</v>
      </c>
      <c r="C73" s="1" t="s">
        <v>95</v>
      </c>
      <c r="D73" s="53" t="s">
        <v>96</v>
      </c>
      <c r="E73" s="2" t="s">
        <v>97</v>
      </c>
      <c r="F73" s="3" t="str">
        <f>'Source Table'!$C$6</f>
        <v>Misdemeanor Crimes</v>
      </c>
      <c r="G73" s="3" t="str">
        <f>'Source Table'!$C$5</f>
        <v>الجرائم الجنحوية</v>
      </c>
      <c r="H73" t="str">
        <f>'Source Table'!$B$7</f>
        <v>Middle Amman</v>
      </c>
      <c r="I73" t="str">
        <f>'Source Table'!$E$7</f>
        <v>وسط عمان</v>
      </c>
      <c r="J73" s="23">
        <v>2035</v>
      </c>
      <c r="K73">
        <v>2022</v>
      </c>
    </row>
    <row r="74" ht="15" spans="1:11">
      <c r="A74" t="s">
        <v>93</v>
      </c>
      <c r="B74" t="s">
        <v>94</v>
      </c>
      <c r="C74" s="1" t="s">
        <v>95</v>
      </c>
      <c r="D74" s="53" t="s">
        <v>96</v>
      </c>
      <c r="E74" s="2" t="s">
        <v>97</v>
      </c>
      <c r="F74" s="3" t="str">
        <f>'Source Table'!$C$6</f>
        <v>Misdemeanor Crimes</v>
      </c>
      <c r="G74" s="3" t="str">
        <f>'Source Table'!$C$5</f>
        <v>الجرائم الجنحوية</v>
      </c>
      <c r="H74" t="str">
        <f>'Source Table'!$B$8</f>
        <v>South Amman</v>
      </c>
      <c r="I74" t="str">
        <f>'Source Table'!$E$8</f>
        <v>جنوب عمان</v>
      </c>
      <c r="J74" s="23">
        <v>1912</v>
      </c>
      <c r="K74">
        <v>2022</v>
      </c>
    </row>
    <row r="75" ht="15" spans="1:11">
      <c r="A75" t="s">
        <v>93</v>
      </c>
      <c r="B75" t="s">
        <v>94</v>
      </c>
      <c r="C75" s="1" t="s">
        <v>95</v>
      </c>
      <c r="D75" s="53" t="s">
        <v>96</v>
      </c>
      <c r="E75" s="2" t="s">
        <v>97</v>
      </c>
      <c r="F75" s="3" t="str">
        <f>'Source Table'!$C$6</f>
        <v>Misdemeanor Crimes</v>
      </c>
      <c r="G75" s="3" t="str">
        <f>'Source Table'!$C$5</f>
        <v>الجرائم الجنحوية</v>
      </c>
      <c r="H75" t="str">
        <f>'Source Table'!$B$9</f>
        <v>North Amman</v>
      </c>
      <c r="I75" t="str">
        <f>'Source Table'!$E$9</f>
        <v>شمال عمان </v>
      </c>
      <c r="J75" s="23">
        <v>1805</v>
      </c>
      <c r="K75">
        <v>2022</v>
      </c>
    </row>
    <row r="76" ht="15" spans="1:11">
      <c r="A76" t="s">
        <v>93</v>
      </c>
      <c r="B76" t="s">
        <v>94</v>
      </c>
      <c r="C76" s="1" t="s">
        <v>95</v>
      </c>
      <c r="D76" s="53" t="s">
        <v>96</v>
      </c>
      <c r="E76" s="2" t="s">
        <v>97</v>
      </c>
      <c r="F76" s="3" t="str">
        <f>'Source Table'!$C$6</f>
        <v>Misdemeanor Crimes</v>
      </c>
      <c r="G76" s="3" t="str">
        <f>'Source Table'!$C$5</f>
        <v>الجرائم الجنحوية</v>
      </c>
      <c r="H76" t="str">
        <f>'Source Table'!$B$10</f>
        <v>East Amman</v>
      </c>
      <c r="I76" t="str">
        <f>'Source Table'!$E$10</f>
        <v>شرق عمان</v>
      </c>
      <c r="J76" s="23">
        <v>1664</v>
      </c>
      <c r="K76">
        <v>2022</v>
      </c>
    </row>
    <row r="77" ht="15" spans="1:11">
      <c r="A77" t="s">
        <v>93</v>
      </c>
      <c r="B77" t="s">
        <v>94</v>
      </c>
      <c r="C77" s="1" t="s">
        <v>95</v>
      </c>
      <c r="D77" s="53" t="s">
        <v>96</v>
      </c>
      <c r="E77" s="2" t="s">
        <v>97</v>
      </c>
      <c r="F77" s="3" t="str">
        <f>'Source Table'!$C$6</f>
        <v>Misdemeanor Crimes</v>
      </c>
      <c r="G77" s="3" t="str">
        <f>'Source Table'!$C$5</f>
        <v>الجرائم الجنحوية</v>
      </c>
      <c r="H77" t="str">
        <f>'Source Table'!$B$11</f>
        <v>Balqa</v>
      </c>
      <c r="I77" t="str">
        <f>'Source Table'!$E$11</f>
        <v>البلقاء</v>
      </c>
      <c r="J77" s="23">
        <v>1206</v>
      </c>
      <c r="K77">
        <v>2022</v>
      </c>
    </row>
    <row r="78" ht="15" spans="1:11">
      <c r="A78" t="s">
        <v>93</v>
      </c>
      <c r="B78" t="s">
        <v>94</v>
      </c>
      <c r="C78" s="1" t="s">
        <v>95</v>
      </c>
      <c r="D78" s="53" t="s">
        <v>96</v>
      </c>
      <c r="E78" s="2" t="s">
        <v>97</v>
      </c>
      <c r="F78" s="3" t="str">
        <f>'Source Table'!$C$6</f>
        <v>Misdemeanor Crimes</v>
      </c>
      <c r="G78" s="3" t="str">
        <f>'Source Table'!$C$5</f>
        <v>الجرائم الجنحوية</v>
      </c>
      <c r="H78" t="str">
        <f>'Source Table'!$B$12</f>
        <v>West Balqa</v>
      </c>
      <c r="I78" t="str">
        <f>'Source Table'!$E$12</f>
        <v>غرب البلقاء </v>
      </c>
      <c r="J78" s="24">
        <v>873</v>
      </c>
      <c r="K78">
        <v>2022</v>
      </c>
    </row>
    <row r="79" ht="15" spans="1:11">
      <c r="A79" t="s">
        <v>93</v>
      </c>
      <c r="B79" t="s">
        <v>94</v>
      </c>
      <c r="C79" s="1" t="s">
        <v>95</v>
      </c>
      <c r="D79" s="53" t="s">
        <v>96</v>
      </c>
      <c r="E79" s="2" t="s">
        <v>97</v>
      </c>
      <c r="F79" s="3" t="str">
        <f>'Source Table'!$C$6</f>
        <v>Misdemeanor Crimes</v>
      </c>
      <c r="G79" s="3" t="str">
        <f>'Source Table'!$C$5</f>
        <v>الجرائم الجنحوية</v>
      </c>
      <c r="H79" t="str">
        <f>'Source Table'!$B$13</f>
        <v>Zarqa</v>
      </c>
      <c r="I79" t="str">
        <f>'Source Table'!$E$13</f>
        <v>الزرقاء</v>
      </c>
      <c r="J79" s="24">
        <v>340</v>
      </c>
      <c r="K79">
        <v>2022</v>
      </c>
    </row>
    <row r="80" ht="15" spans="1:11">
      <c r="A80" t="s">
        <v>93</v>
      </c>
      <c r="B80" t="s">
        <v>94</v>
      </c>
      <c r="C80" s="1" t="s">
        <v>95</v>
      </c>
      <c r="D80" s="53" t="s">
        <v>96</v>
      </c>
      <c r="E80" s="2" t="s">
        <v>97</v>
      </c>
      <c r="F80" s="3" t="str">
        <f>'Source Table'!$C$6</f>
        <v>Misdemeanor Crimes</v>
      </c>
      <c r="G80" s="3" t="str">
        <f>'Source Table'!$C$5</f>
        <v>الجرائم الجنحوية</v>
      </c>
      <c r="H80" t="str">
        <f>'Source Table'!$B$14</f>
        <v>Al-Russaifa</v>
      </c>
      <c r="I80" t="str">
        <f>'Source Table'!$E$14</f>
        <v>الرصيفة</v>
      </c>
      <c r="J80" s="24">
        <v>544</v>
      </c>
      <c r="K80">
        <v>2022</v>
      </c>
    </row>
    <row r="81" ht="15" spans="1:11">
      <c r="A81" t="s">
        <v>93</v>
      </c>
      <c r="B81" t="s">
        <v>94</v>
      </c>
      <c r="C81" s="1" t="s">
        <v>95</v>
      </c>
      <c r="D81" s="53" t="s">
        <v>96</v>
      </c>
      <c r="E81" s="2" t="s">
        <v>97</v>
      </c>
      <c r="F81" s="3" t="str">
        <f>'Source Table'!$C$6</f>
        <v>Misdemeanor Crimes</v>
      </c>
      <c r="G81" s="3" t="str">
        <f>'Source Table'!$C$5</f>
        <v>الجرائم الجنحوية</v>
      </c>
      <c r="H81" t="str">
        <f>'Source Table'!$B$15</f>
        <v>Madaba</v>
      </c>
      <c r="I81" t="str">
        <f>'Source Table'!$E$15</f>
        <v>مادبا</v>
      </c>
      <c r="J81" s="24">
        <v>305</v>
      </c>
      <c r="K81">
        <v>2022</v>
      </c>
    </row>
    <row r="82" ht="15" spans="1:11">
      <c r="A82" t="s">
        <v>93</v>
      </c>
      <c r="B82" t="s">
        <v>94</v>
      </c>
      <c r="C82" s="1" t="s">
        <v>95</v>
      </c>
      <c r="D82" s="53" t="s">
        <v>96</v>
      </c>
      <c r="E82" s="2" t="s">
        <v>97</v>
      </c>
      <c r="F82" s="3" t="str">
        <f>'Source Table'!$C$6</f>
        <v>Misdemeanor Crimes</v>
      </c>
      <c r="G82" s="3" t="str">
        <f>'Source Table'!$C$5</f>
        <v>الجرائم الجنحوية</v>
      </c>
      <c r="H82" t="str">
        <f>'Source Table'!$B$16</f>
        <v>Irbid</v>
      </c>
      <c r="I82" t="str">
        <f>'Source Table'!$E$16</f>
        <v>إربد</v>
      </c>
      <c r="J82" s="23">
        <v>2332</v>
      </c>
      <c r="K82">
        <v>2022</v>
      </c>
    </row>
    <row r="83" ht="15" spans="1:11">
      <c r="A83" t="s">
        <v>93</v>
      </c>
      <c r="B83" t="s">
        <v>94</v>
      </c>
      <c r="C83" s="1" t="s">
        <v>95</v>
      </c>
      <c r="D83" s="53" t="s">
        <v>96</v>
      </c>
      <c r="E83" s="2" t="s">
        <v>97</v>
      </c>
      <c r="F83" s="3" t="str">
        <f>'Source Table'!$C$6</f>
        <v>Misdemeanor Crimes</v>
      </c>
      <c r="G83" s="3" t="str">
        <f>'Source Table'!$C$5</f>
        <v>الجرائم الجنحوية</v>
      </c>
      <c r="H83" t="str">
        <f>'Source Table'!$B$17</f>
        <v>West Irbid</v>
      </c>
      <c r="I83" t="str">
        <f>'Source Table'!$E$17</f>
        <v>غرب إربد</v>
      </c>
      <c r="J83" s="24">
        <v>364</v>
      </c>
      <c r="K83">
        <v>2022</v>
      </c>
    </row>
    <row r="84" ht="15" spans="1:11">
      <c r="A84" t="s">
        <v>93</v>
      </c>
      <c r="B84" t="s">
        <v>94</v>
      </c>
      <c r="C84" s="1" t="s">
        <v>95</v>
      </c>
      <c r="D84" s="53" t="s">
        <v>96</v>
      </c>
      <c r="E84" s="2" t="s">
        <v>97</v>
      </c>
      <c r="F84" s="3" t="str">
        <f>'Source Table'!$C$6</f>
        <v>Misdemeanor Crimes</v>
      </c>
      <c r="G84" s="3" t="str">
        <f>'Source Table'!$C$5</f>
        <v>الجرائم الجنحوية</v>
      </c>
      <c r="H84" t="str">
        <f>'Source Table'!$B$18</f>
        <v>Al-Ramtha</v>
      </c>
      <c r="I84" t="str">
        <f>'Source Table'!$E$18</f>
        <v>الرمثا</v>
      </c>
      <c r="J84" s="24">
        <v>551</v>
      </c>
      <c r="K84">
        <v>2022</v>
      </c>
    </row>
    <row r="85" ht="15" spans="1:11">
      <c r="A85" t="s">
        <v>93</v>
      </c>
      <c r="B85" t="s">
        <v>94</v>
      </c>
      <c r="C85" s="1" t="s">
        <v>95</v>
      </c>
      <c r="D85" s="53" t="s">
        <v>96</v>
      </c>
      <c r="E85" s="2" t="s">
        <v>97</v>
      </c>
      <c r="F85" s="3" t="str">
        <f>'Source Table'!$C$6</f>
        <v>Misdemeanor Crimes</v>
      </c>
      <c r="G85" s="3" t="str">
        <f>'Source Table'!$C$5</f>
        <v>الجرائم الجنحوية</v>
      </c>
      <c r="H85" t="str">
        <f>'Source Table'!$B$19</f>
        <v>Mafraq</v>
      </c>
      <c r="I85" t="str">
        <f>'Source Table'!$E$19</f>
        <v>المفرق</v>
      </c>
      <c r="J85" s="24">
        <v>557</v>
      </c>
      <c r="K85">
        <v>2022</v>
      </c>
    </row>
    <row r="86" ht="15" spans="1:11">
      <c r="A86" t="s">
        <v>93</v>
      </c>
      <c r="B86" t="s">
        <v>94</v>
      </c>
      <c r="C86" s="1" t="s">
        <v>95</v>
      </c>
      <c r="D86" s="53" t="s">
        <v>96</v>
      </c>
      <c r="E86" s="2" t="s">
        <v>97</v>
      </c>
      <c r="F86" s="3" t="str">
        <f>'Source Table'!$C$6</f>
        <v>Misdemeanor Crimes</v>
      </c>
      <c r="G86" s="3" t="str">
        <f>'Source Table'!$C$5</f>
        <v>الجرائم الجنحوية</v>
      </c>
      <c r="H86" t="str">
        <f>'Source Table'!$B$20</f>
        <v>North Bedouin</v>
      </c>
      <c r="I86" t="str">
        <f>'Source Table'!$E$20</f>
        <v>الباديةالشمالية</v>
      </c>
      <c r="J86" s="24">
        <v>198</v>
      </c>
      <c r="K86">
        <v>2022</v>
      </c>
    </row>
    <row r="87" ht="15" spans="1:11">
      <c r="A87" t="s">
        <v>93</v>
      </c>
      <c r="B87" t="s">
        <v>94</v>
      </c>
      <c r="C87" s="1" t="s">
        <v>95</v>
      </c>
      <c r="D87" s="53" t="s">
        <v>96</v>
      </c>
      <c r="E87" s="2" t="s">
        <v>97</v>
      </c>
      <c r="F87" s="3" t="str">
        <f>'Source Table'!$C$6</f>
        <v>Misdemeanor Crimes</v>
      </c>
      <c r="G87" s="3" t="str">
        <f>'Source Table'!$C$5</f>
        <v>الجرائم الجنحوية</v>
      </c>
      <c r="H87" s="3" t="str">
        <f>'Source Table'!$B$21</f>
        <v>Middle Bedouin</v>
      </c>
      <c r="I87" s="3" t="str">
        <f>'Source Table'!$E$21</f>
        <v>البادية الوسطى</v>
      </c>
      <c r="J87" s="24">
        <v>357</v>
      </c>
      <c r="K87">
        <v>2022</v>
      </c>
    </row>
    <row r="88" ht="15" spans="1:11">
      <c r="A88" t="s">
        <v>93</v>
      </c>
      <c r="B88" t="s">
        <v>94</v>
      </c>
      <c r="C88" s="1" t="s">
        <v>95</v>
      </c>
      <c r="D88" s="53" t="s">
        <v>96</v>
      </c>
      <c r="E88" s="2" t="s">
        <v>97</v>
      </c>
      <c r="F88" s="3" t="str">
        <f>'Source Table'!$C$6</f>
        <v>Misdemeanor Crimes</v>
      </c>
      <c r="G88" s="3" t="str">
        <f>'Source Table'!$C$5</f>
        <v>الجرائم الجنحوية</v>
      </c>
      <c r="H88" s="3" t="str">
        <f>'Source Table'!$B$22</f>
        <v>South Bedouin</v>
      </c>
      <c r="I88" s="3" t="str">
        <f>'Source Table'!$E$22</f>
        <v>البادية الجنوبية </v>
      </c>
      <c r="J88" s="24">
        <v>433</v>
      </c>
      <c r="K88">
        <v>2022</v>
      </c>
    </row>
    <row r="89" ht="15" spans="1:11">
      <c r="A89" t="s">
        <v>93</v>
      </c>
      <c r="B89" t="s">
        <v>94</v>
      </c>
      <c r="C89" s="1" t="s">
        <v>95</v>
      </c>
      <c r="D89" s="53" t="s">
        <v>96</v>
      </c>
      <c r="E89" s="2" t="s">
        <v>97</v>
      </c>
      <c r="F89" s="3" t="str">
        <f>'Source Table'!$C$6</f>
        <v>Misdemeanor Crimes</v>
      </c>
      <c r="G89" s="3" t="str">
        <f>'Source Table'!$C$5</f>
        <v>الجرائم الجنحوية</v>
      </c>
      <c r="H89" s="3" t="str">
        <f>'Source Table'!$B$23</f>
        <v>Jarash</v>
      </c>
      <c r="I89" s="3" t="str">
        <f>'Source Table'!$E$23</f>
        <v>جرش</v>
      </c>
      <c r="J89" s="24">
        <v>144</v>
      </c>
      <c r="K89">
        <v>2022</v>
      </c>
    </row>
    <row r="90" ht="15" spans="1:11">
      <c r="A90" t="s">
        <v>93</v>
      </c>
      <c r="B90" t="s">
        <v>94</v>
      </c>
      <c r="C90" s="1" t="s">
        <v>95</v>
      </c>
      <c r="D90" s="53" t="s">
        <v>96</v>
      </c>
      <c r="E90" s="2" t="s">
        <v>97</v>
      </c>
      <c r="F90" s="3" t="str">
        <f>'Source Table'!$C$6</f>
        <v>Misdemeanor Crimes</v>
      </c>
      <c r="G90" s="3" t="str">
        <f>'Source Table'!$C$5</f>
        <v>الجرائم الجنحوية</v>
      </c>
      <c r="H90" s="3" t="str">
        <f>'Source Table'!$B$24</f>
        <v>Ajloun</v>
      </c>
      <c r="I90" s="3" t="str">
        <f>'Source Table'!$E$24</f>
        <v>عجلون</v>
      </c>
      <c r="J90" s="24">
        <v>180</v>
      </c>
      <c r="K90">
        <v>2022</v>
      </c>
    </row>
    <row r="91" ht="15" spans="1:11">
      <c r="A91" t="s">
        <v>93</v>
      </c>
      <c r="B91" t="s">
        <v>94</v>
      </c>
      <c r="C91" s="1" t="s">
        <v>95</v>
      </c>
      <c r="D91" s="53" t="s">
        <v>96</v>
      </c>
      <c r="E91" s="2" t="s">
        <v>97</v>
      </c>
      <c r="F91" s="3" t="str">
        <f>'Source Table'!$C$6</f>
        <v>Misdemeanor Crimes</v>
      </c>
      <c r="G91" s="3" t="str">
        <f>'Source Table'!$C$5</f>
        <v>الجرائم الجنحوية</v>
      </c>
      <c r="H91" s="3" t="str">
        <f>'Source Table'!$B$25</f>
        <v>Karak</v>
      </c>
      <c r="I91" s="3" t="str">
        <f>'Source Table'!$E$25</f>
        <v>الكرك</v>
      </c>
      <c r="J91" s="24">
        <v>84</v>
      </c>
      <c r="K91">
        <v>2022</v>
      </c>
    </row>
    <row r="92" ht="15" spans="1:11">
      <c r="A92" t="s">
        <v>93</v>
      </c>
      <c r="B92" t="s">
        <v>94</v>
      </c>
      <c r="C92" s="1" t="s">
        <v>95</v>
      </c>
      <c r="D92" s="53" t="s">
        <v>96</v>
      </c>
      <c r="E92" s="2" t="s">
        <v>97</v>
      </c>
      <c r="F92" s="3" t="str">
        <f>'Source Table'!$C$6</f>
        <v>Misdemeanor Crimes</v>
      </c>
      <c r="G92" s="3" t="str">
        <f>'Source Table'!$C$5</f>
        <v>الجرائم الجنحوية</v>
      </c>
      <c r="H92" s="3" t="str">
        <f>'Source Table'!$B$26</f>
        <v>Tafiela</v>
      </c>
      <c r="I92" s="3" t="str">
        <f>'Source Table'!$E$26</f>
        <v>الطفيلة</v>
      </c>
      <c r="J92" s="24">
        <v>466</v>
      </c>
      <c r="K92">
        <v>2022</v>
      </c>
    </row>
    <row r="93" ht="15" spans="1:11">
      <c r="A93" t="s">
        <v>93</v>
      </c>
      <c r="B93" t="s">
        <v>94</v>
      </c>
      <c r="C93" s="1" t="s">
        <v>95</v>
      </c>
      <c r="D93" s="53" t="s">
        <v>96</v>
      </c>
      <c r="E93" s="2" t="s">
        <v>97</v>
      </c>
      <c r="F93" s="3" t="str">
        <f>'Source Table'!$C$6</f>
        <v>Misdemeanor Crimes</v>
      </c>
      <c r="G93" s="3" t="str">
        <f>'Source Table'!$C$5</f>
        <v>الجرائم الجنحوية</v>
      </c>
      <c r="H93" s="3" t="str">
        <f>'Source Table'!$B$27</f>
        <v>Ma'an</v>
      </c>
      <c r="I93" s="3" t="str">
        <f>'Source Table'!$E$27</f>
        <v>معان</v>
      </c>
      <c r="J93" s="24">
        <v>374</v>
      </c>
      <c r="K93">
        <v>2022</v>
      </c>
    </row>
    <row r="94" ht="15" spans="1:11">
      <c r="A94" t="s">
        <v>93</v>
      </c>
      <c r="B94" t="s">
        <v>94</v>
      </c>
      <c r="C94" s="1" t="s">
        <v>95</v>
      </c>
      <c r="D94" s="53" t="s">
        <v>96</v>
      </c>
      <c r="E94" s="2" t="s">
        <v>97</v>
      </c>
      <c r="F94" s="3" t="str">
        <f>'Source Table'!$C$6</f>
        <v>Misdemeanor Crimes</v>
      </c>
      <c r="G94" s="3" t="str">
        <f>'Source Table'!$C$5</f>
        <v>الجرائم الجنحوية</v>
      </c>
      <c r="H94" s="3" t="str">
        <f>'Source Table'!$B$28</f>
        <v>West ofMa'an</v>
      </c>
      <c r="I94" s="3" t="str">
        <f>'Source Table'!$E$28</f>
        <v>غرب معان</v>
      </c>
      <c r="J94" s="24">
        <v>516</v>
      </c>
      <c r="K94">
        <v>2022</v>
      </c>
    </row>
    <row r="95" ht="15" spans="1:11">
      <c r="A95" t="s">
        <v>93</v>
      </c>
      <c r="B95" t="s">
        <v>94</v>
      </c>
      <c r="C95" s="1" t="s">
        <v>95</v>
      </c>
      <c r="D95" s="53" t="s">
        <v>96</v>
      </c>
      <c r="E95" s="2" t="s">
        <v>97</v>
      </c>
      <c r="F95" s="3" t="str">
        <f>'Source Table'!$C$6</f>
        <v>Misdemeanor Crimes</v>
      </c>
      <c r="G95" s="3" t="str">
        <f>'Source Table'!$C$5</f>
        <v>الجرائم الجنحوية</v>
      </c>
      <c r="H95" s="3" t="str">
        <f>'Source Table'!$B$29</f>
        <v>Aqaba</v>
      </c>
      <c r="I95" s="3" t="str">
        <f>'Source Table'!$E$29</f>
        <v>العقبة</v>
      </c>
      <c r="J95" s="24">
        <v>42</v>
      </c>
      <c r="K95">
        <v>2022</v>
      </c>
    </row>
    <row r="96" ht="15" spans="1:11">
      <c r="A96" t="s">
        <v>93</v>
      </c>
      <c r="B96" t="s">
        <v>94</v>
      </c>
      <c r="C96" s="1" t="s">
        <v>95</v>
      </c>
      <c r="D96" s="53" t="s">
        <v>96</v>
      </c>
      <c r="E96" s="2" t="s">
        <v>97</v>
      </c>
      <c r="F96" s="2" t="str">
        <f>'Source Table'!$D$6</f>
        <v>Felony Crimes</v>
      </c>
      <c r="G96" t="str">
        <f>'Source Table'!$D$5</f>
        <v>الجرائم الجنائية</v>
      </c>
      <c r="H96" t="str">
        <f>'Source Table'!$B$7</f>
        <v>Middle Amman</v>
      </c>
      <c r="I96" t="str">
        <f>'Source Table'!$E$7</f>
        <v>وسط عمان</v>
      </c>
      <c r="J96" s="25">
        <v>400</v>
      </c>
      <c r="K96">
        <v>2021</v>
      </c>
    </row>
    <row r="97" ht="15" spans="1:11">
      <c r="A97" t="s">
        <v>93</v>
      </c>
      <c r="B97" t="s">
        <v>94</v>
      </c>
      <c r="C97" s="1" t="s">
        <v>95</v>
      </c>
      <c r="D97" s="53" t="s">
        <v>96</v>
      </c>
      <c r="E97" s="2" t="s">
        <v>97</v>
      </c>
      <c r="F97" s="2" t="str">
        <f>'Source Table'!$D$6</f>
        <v>Felony Crimes</v>
      </c>
      <c r="G97" t="str">
        <f>'Source Table'!$D$5</f>
        <v>الجرائم الجنائية</v>
      </c>
      <c r="H97" t="str">
        <f>'Source Table'!$B$8</f>
        <v>South Amman</v>
      </c>
      <c r="I97" t="str">
        <f>'Source Table'!$E$8</f>
        <v>جنوب عمان</v>
      </c>
      <c r="J97" s="25">
        <v>510</v>
      </c>
      <c r="K97">
        <v>2021</v>
      </c>
    </row>
    <row r="98" ht="15" spans="1:11">
      <c r="A98" t="s">
        <v>93</v>
      </c>
      <c r="B98" t="s">
        <v>94</v>
      </c>
      <c r="C98" s="1" t="s">
        <v>95</v>
      </c>
      <c r="D98" s="53" t="s">
        <v>96</v>
      </c>
      <c r="E98" s="2" t="s">
        <v>97</v>
      </c>
      <c r="F98" s="2" t="str">
        <f>'Source Table'!$D$6</f>
        <v>Felony Crimes</v>
      </c>
      <c r="G98" t="str">
        <f>'Source Table'!$D$5</f>
        <v>الجرائم الجنائية</v>
      </c>
      <c r="H98" t="str">
        <f>'Source Table'!$B$9</f>
        <v>North Amman</v>
      </c>
      <c r="I98" t="str">
        <f>'Source Table'!$E$9</f>
        <v>شمال عمان </v>
      </c>
      <c r="J98" s="25">
        <v>383</v>
      </c>
      <c r="K98">
        <v>2021</v>
      </c>
    </row>
    <row r="99" ht="15" spans="1:11">
      <c r="A99" t="s">
        <v>93</v>
      </c>
      <c r="B99" t="s">
        <v>94</v>
      </c>
      <c r="C99" s="1" t="s">
        <v>95</v>
      </c>
      <c r="D99" s="53" t="s">
        <v>96</v>
      </c>
      <c r="E99" s="2" t="s">
        <v>97</v>
      </c>
      <c r="F99" s="2" t="str">
        <f>'Source Table'!$D$6</f>
        <v>Felony Crimes</v>
      </c>
      <c r="G99" t="str">
        <f>'Source Table'!$D$5</f>
        <v>الجرائم الجنائية</v>
      </c>
      <c r="H99" t="str">
        <f>'Source Table'!$B$10</f>
        <v>East Amman</v>
      </c>
      <c r="I99" t="str">
        <f>'Source Table'!$E$10</f>
        <v>شرق عمان</v>
      </c>
      <c r="J99" s="25">
        <v>663</v>
      </c>
      <c r="K99">
        <v>2021</v>
      </c>
    </row>
    <row r="100" ht="15" spans="1:11">
      <c r="A100" t="s">
        <v>93</v>
      </c>
      <c r="B100" t="s">
        <v>94</v>
      </c>
      <c r="C100" s="1" t="s">
        <v>95</v>
      </c>
      <c r="D100" s="53" t="s">
        <v>96</v>
      </c>
      <c r="E100" s="2" t="s">
        <v>97</v>
      </c>
      <c r="F100" s="2" t="str">
        <f>'Source Table'!$D$6</f>
        <v>Felony Crimes</v>
      </c>
      <c r="G100" t="str">
        <f>'Source Table'!$D$5</f>
        <v>الجرائم الجنائية</v>
      </c>
      <c r="H100" t="str">
        <f>'Source Table'!$B$11</f>
        <v>Balqa</v>
      </c>
      <c r="I100" t="str">
        <f>'Source Table'!$E$11</f>
        <v>البلقاء</v>
      </c>
      <c r="J100" s="25">
        <v>468</v>
      </c>
      <c r="K100">
        <v>2021</v>
      </c>
    </row>
    <row r="101" ht="15" spans="1:11">
      <c r="A101" t="s">
        <v>93</v>
      </c>
      <c r="B101" t="s">
        <v>94</v>
      </c>
      <c r="C101" s="1" t="s">
        <v>95</v>
      </c>
      <c r="D101" s="53" t="s">
        <v>96</v>
      </c>
      <c r="E101" s="2" t="s">
        <v>97</v>
      </c>
      <c r="F101" s="2" t="str">
        <f>'Source Table'!$D$6</f>
        <v>Felony Crimes</v>
      </c>
      <c r="G101" t="str">
        <f>'Source Table'!$D$5</f>
        <v>الجرائم الجنائية</v>
      </c>
      <c r="H101" t="str">
        <f>'Source Table'!$B$12</f>
        <v>West Balqa</v>
      </c>
      <c r="I101" t="str">
        <f>'Source Table'!$E$12</f>
        <v>غرب البلقاء </v>
      </c>
      <c r="J101" s="25">
        <v>288</v>
      </c>
      <c r="K101">
        <v>2021</v>
      </c>
    </row>
    <row r="102" ht="15" spans="1:11">
      <c r="A102" t="s">
        <v>93</v>
      </c>
      <c r="B102" t="s">
        <v>94</v>
      </c>
      <c r="C102" s="1" t="s">
        <v>95</v>
      </c>
      <c r="D102" s="53" t="s">
        <v>96</v>
      </c>
      <c r="E102" s="2" t="s">
        <v>97</v>
      </c>
      <c r="F102" s="2" t="str">
        <f>'Source Table'!$D$6</f>
        <v>Felony Crimes</v>
      </c>
      <c r="G102" t="str">
        <f>'Source Table'!$D$5</f>
        <v>الجرائم الجنائية</v>
      </c>
      <c r="H102" t="str">
        <f>'Source Table'!$B$13</f>
        <v>Zarqa</v>
      </c>
      <c r="I102" t="str">
        <f>'Source Table'!$E$13</f>
        <v>الزرقاء</v>
      </c>
      <c r="J102" s="25">
        <v>116</v>
      </c>
      <c r="K102">
        <v>2021</v>
      </c>
    </row>
    <row r="103" ht="15" spans="1:11">
      <c r="A103" t="s">
        <v>93</v>
      </c>
      <c r="B103" t="s">
        <v>94</v>
      </c>
      <c r="C103" s="1" t="s">
        <v>95</v>
      </c>
      <c r="D103" s="53" t="s">
        <v>96</v>
      </c>
      <c r="E103" s="2" t="s">
        <v>97</v>
      </c>
      <c r="F103" s="2" t="str">
        <f>'Source Table'!$D$6</f>
        <v>Felony Crimes</v>
      </c>
      <c r="G103" t="str">
        <f>'Source Table'!$D$5</f>
        <v>الجرائم الجنائية</v>
      </c>
      <c r="H103" t="str">
        <f>'Source Table'!$B$14</f>
        <v>Al-Russaifa</v>
      </c>
      <c r="I103" t="str">
        <f>'Source Table'!$E$14</f>
        <v>الرصيفة</v>
      </c>
      <c r="J103" s="25">
        <v>214</v>
      </c>
      <c r="K103">
        <v>2021</v>
      </c>
    </row>
    <row r="104" ht="15" spans="1:11">
      <c r="A104" t="s">
        <v>93</v>
      </c>
      <c r="B104" t="s">
        <v>94</v>
      </c>
      <c r="C104" s="1" t="s">
        <v>95</v>
      </c>
      <c r="D104" s="53" t="s">
        <v>96</v>
      </c>
      <c r="E104" s="2" t="s">
        <v>97</v>
      </c>
      <c r="F104" s="2" t="str">
        <f>'Source Table'!$D$6</f>
        <v>Felony Crimes</v>
      </c>
      <c r="G104" t="str">
        <f>'Source Table'!$D$5</f>
        <v>الجرائم الجنائية</v>
      </c>
      <c r="H104" t="str">
        <f>'Source Table'!$B$15</f>
        <v>Madaba</v>
      </c>
      <c r="I104" t="str">
        <f>'Source Table'!$E$15</f>
        <v>مادبا</v>
      </c>
      <c r="J104" s="25">
        <v>135</v>
      </c>
      <c r="K104">
        <v>2021</v>
      </c>
    </row>
    <row r="105" ht="15" spans="1:11">
      <c r="A105" t="s">
        <v>93</v>
      </c>
      <c r="B105" t="s">
        <v>94</v>
      </c>
      <c r="C105" s="1" t="s">
        <v>95</v>
      </c>
      <c r="D105" s="53" t="s">
        <v>96</v>
      </c>
      <c r="E105" s="2" t="s">
        <v>97</v>
      </c>
      <c r="F105" s="2" t="str">
        <f>'Source Table'!$D$6</f>
        <v>Felony Crimes</v>
      </c>
      <c r="G105" t="str">
        <f>'Source Table'!$D$5</f>
        <v>الجرائم الجنائية</v>
      </c>
      <c r="H105" t="str">
        <f>'Source Table'!$B$16</f>
        <v>Irbid</v>
      </c>
      <c r="I105" t="str">
        <f>'Source Table'!$E$16</f>
        <v>إربد</v>
      </c>
      <c r="J105" s="25">
        <v>722</v>
      </c>
      <c r="K105">
        <v>2021</v>
      </c>
    </row>
    <row r="106" ht="15" spans="1:11">
      <c r="A106" t="s">
        <v>93</v>
      </c>
      <c r="B106" t="s">
        <v>94</v>
      </c>
      <c r="C106" s="1" t="s">
        <v>95</v>
      </c>
      <c r="D106" s="53" t="s">
        <v>96</v>
      </c>
      <c r="E106" s="2" t="s">
        <v>97</v>
      </c>
      <c r="F106" s="2" t="str">
        <f>'Source Table'!$D$6</f>
        <v>Felony Crimes</v>
      </c>
      <c r="G106" t="str">
        <f>'Source Table'!$D$5</f>
        <v>الجرائم الجنائية</v>
      </c>
      <c r="H106" t="str">
        <f>'Source Table'!$B$17</f>
        <v>West Irbid</v>
      </c>
      <c r="I106" t="str">
        <f>'Source Table'!$E$17</f>
        <v>غرب إربد</v>
      </c>
      <c r="J106" s="25">
        <v>147</v>
      </c>
      <c r="K106">
        <v>2021</v>
      </c>
    </row>
    <row r="107" ht="15" spans="1:11">
      <c r="A107" t="s">
        <v>93</v>
      </c>
      <c r="B107" t="s">
        <v>94</v>
      </c>
      <c r="C107" s="1" t="s">
        <v>95</v>
      </c>
      <c r="D107" s="53" t="s">
        <v>96</v>
      </c>
      <c r="E107" s="2" t="s">
        <v>97</v>
      </c>
      <c r="F107" s="2" t="str">
        <f>'Source Table'!$D$6</f>
        <v>Felony Crimes</v>
      </c>
      <c r="G107" t="str">
        <f>'Source Table'!$D$5</f>
        <v>الجرائم الجنائية</v>
      </c>
      <c r="H107" t="str">
        <f>'Source Table'!$B$18</f>
        <v>Al-Ramtha</v>
      </c>
      <c r="I107" t="str">
        <f>'Source Table'!$E$18</f>
        <v>الرمثا</v>
      </c>
      <c r="J107" s="25">
        <v>223</v>
      </c>
      <c r="K107">
        <v>2021</v>
      </c>
    </row>
    <row r="108" ht="15" spans="1:11">
      <c r="A108" t="s">
        <v>93</v>
      </c>
      <c r="B108" t="s">
        <v>94</v>
      </c>
      <c r="C108" s="1" t="s">
        <v>95</v>
      </c>
      <c r="D108" s="53" t="s">
        <v>96</v>
      </c>
      <c r="E108" s="2" t="s">
        <v>97</v>
      </c>
      <c r="F108" s="2" t="str">
        <f>'Source Table'!$D$6</f>
        <v>Felony Crimes</v>
      </c>
      <c r="G108" t="str">
        <f>'Source Table'!$D$5</f>
        <v>الجرائم الجنائية</v>
      </c>
      <c r="H108" t="str">
        <f>'Source Table'!$B$19</f>
        <v>Mafraq</v>
      </c>
      <c r="I108" t="str">
        <f>'Source Table'!$E$19</f>
        <v>المفرق</v>
      </c>
      <c r="J108" s="25">
        <v>149</v>
      </c>
      <c r="K108">
        <v>2021</v>
      </c>
    </row>
    <row r="109" ht="15" spans="1:11">
      <c r="A109" t="s">
        <v>93</v>
      </c>
      <c r="B109" t="s">
        <v>94</v>
      </c>
      <c r="C109" s="1" t="s">
        <v>95</v>
      </c>
      <c r="D109" s="53" t="s">
        <v>96</v>
      </c>
      <c r="E109" s="2" t="s">
        <v>97</v>
      </c>
      <c r="F109" s="2" t="str">
        <f>'Source Table'!$D$6</f>
        <v>Felony Crimes</v>
      </c>
      <c r="G109" t="str">
        <f>'Source Table'!$D$5</f>
        <v>الجرائم الجنائية</v>
      </c>
      <c r="H109" t="str">
        <f>'Source Table'!$B$20</f>
        <v>North Bedouin</v>
      </c>
      <c r="I109" t="str">
        <f>'Source Table'!$E$20</f>
        <v>الباديةالشمالية</v>
      </c>
      <c r="J109" s="25">
        <v>88</v>
      </c>
      <c r="K109">
        <v>2021</v>
      </c>
    </row>
    <row r="110" ht="15" spans="1:11">
      <c r="A110" t="s">
        <v>93</v>
      </c>
      <c r="B110" t="s">
        <v>94</v>
      </c>
      <c r="C110" s="1" t="s">
        <v>95</v>
      </c>
      <c r="D110" s="53" t="s">
        <v>96</v>
      </c>
      <c r="E110" s="2" t="s">
        <v>97</v>
      </c>
      <c r="F110" s="2" t="str">
        <f>'Source Table'!$D$6</f>
        <v>Felony Crimes</v>
      </c>
      <c r="G110" t="str">
        <f>'Source Table'!$D$5</f>
        <v>الجرائم الجنائية</v>
      </c>
      <c r="H110" s="3" t="str">
        <f>'Source Table'!$B$21</f>
        <v>Middle Bedouin</v>
      </c>
      <c r="I110" s="3" t="str">
        <f>'Source Table'!$E$21</f>
        <v>البادية الوسطى</v>
      </c>
      <c r="J110" s="25">
        <v>122</v>
      </c>
      <c r="K110">
        <v>2021</v>
      </c>
    </row>
    <row r="111" ht="15" spans="1:11">
      <c r="A111" t="s">
        <v>93</v>
      </c>
      <c r="B111" t="s">
        <v>94</v>
      </c>
      <c r="C111" s="1" t="s">
        <v>95</v>
      </c>
      <c r="D111" s="53" t="s">
        <v>96</v>
      </c>
      <c r="E111" s="2" t="s">
        <v>97</v>
      </c>
      <c r="F111" s="2" t="str">
        <f>'Source Table'!$D$6</f>
        <v>Felony Crimes</v>
      </c>
      <c r="G111" t="str">
        <f>'Source Table'!$D$5</f>
        <v>الجرائم الجنائية</v>
      </c>
      <c r="H111" s="3" t="str">
        <f>'Source Table'!$B$22</f>
        <v>South Bedouin</v>
      </c>
      <c r="I111" s="3" t="str">
        <f>'Source Table'!$E$22</f>
        <v>البادية الجنوبية </v>
      </c>
      <c r="J111" s="25">
        <v>208</v>
      </c>
      <c r="K111">
        <v>2021</v>
      </c>
    </row>
    <row r="112" ht="15" spans="1:11">
      <c r="A112" t="s">
        <v>93</v>
      </c>
      <c r="B112" t="s">
        <v>94</v>
      </c>
      <c r="C112" s="1" t="s">
        <v>95</v>
      </c>
      <c r="D112" s="53" t="s">
        <v>96</v>
      </c>
      <c r="E112" s="2" t="s">
        <v>97</v>
      </c>
      <c r="F112" s="2" t="str">
        <f>'Source Table'!$D$6</f>
        <v>Felony Crimes</v>
      </c>
      <c r="G112" t="str">
        <f>'Source Table'!$D$5</f>
        <v>الجرائم الجنائية</v>
      </c>
      <c r="H112" s="3" t="str">
        <f>'Source Table'!$B$23</f>
        <v>Jarash</v>
      </c>
      <c r="I112" s="3" t="str">
        <f>'Source Table'!$E$23</f>
        <v>جرش</v>
      </c>
      <c r="J112" s="25">
        <v>49</v>
      </c>
      <c r="K112">
        <v>2021</v>
      </c>
    </row>
    <row r="113" ht="15" spans="1:11">
      <c r="A113" t="s">
        <v>93</v>
      </c>
      <c r="B113" t="s">
        <v>94</v>
      </c>
      <c r="C113" s="1" t="s">
        <v>95</v>
      </c>
      <c r="D113" s="53" t="s">
        <v>96</v>
      </c>
      <c r="E113" s="2" t="s">
        <v>97</v>
      </c>
      <c r="F113" s="2" t="str">
        <f>'Source Table'!$D$6</f>
        <v>Felony Crimes</v>
      </c>
      <c r="G113" t="str">
        <f>'Source Table'!$D$5</f>
        <v>الجرائم الجنائية</v>
      </c>
      <c r="H113" s="3" t="str">
        <f>'Source Table'!$B$24</f>
        <v>Ajloun</v>
      </c>
      <c r="I113" s="3" t="str">
        <f>'Source Table'!$E$24</f>
        <v>عجلون</v>
      </c>
      <c r="J113" s="25">
        <v>68</v>
      </c>
      <c r="K113">
        <v>2021</v>
      </c>
    </row>
    <row r="114" ht="15" spans="1:11">
      <c r="A114" t="s">
        <v>93</v>
      </c>
      <c r="B114" t="s">
        <v>94</v>
      </c>
      <c r="C114" s="1" t="s">
        <v>95</v>
      </c>
      <c r="D114" s="53" t="s">
        <v>96</v>
      </c>
      <c r="E114" s="2" t="s">
        <v>97</v>
      </c>
      <c r="F114" s="2" t="str">
        <f>'Source Table'!$D$6</f>
        <v>Felony Crimes</v>
      </c>
      <c r="G114" t="str">
        <f>'Source Table'!$D$5</f>
        <v>الجرائم الجنائية</v>
      </c>
      <c r="H114" s="3" t="str">
        <f>'Source Table'!$B$25</f>
        <v>Karak</v>
      </c>
      <c r="I114" s="3" t="str">
        <f>'Source Table'!$E$25</f>
        <v>الكرك</v>
      </c>
      <c r="J114" s="25">
        <v>22</v>
      </c>
      <c r="K114">
        <v>2021</v>
      </c>
    </row>
    <row r="115" ht="15" spans="1:11">
      <c r="A115" t="s">
        <v>93</v>
      </c>
      <c r="B115" t="s">
        <v>94</v>
      </c>
      <c r="C115" s="1" t="s">
        <v>95</v>
      </c>
      <c r="D115" s="53" t="s">
        <v>96</v>
      </c>
      <c r="E115" s="2" t="s">
        <v>97</v>
      </c>
      <c r="F115" s="2" t="str">
        <f>'Source Table'!$D$6</f>
        <v>Felony Crimes</v>
      </c>
      <c r="G115" t="str">
        <f>'Source Table'!$D$5</f>
        <v>الجرائم الجنائية</v>
      </c>
      <c r="H115" s="3" t="str">
        <f>'Source Table'!$B$26</f>
        <v>Tafiela</v>
      </c>
      <c r="I115" s="3" t="str">
        <f>'Source Table'!$E$26</f>
        <v>الطفيلة</v>
      </c>
      <c r="J115" s="25">
        <v>141</v>
      </c>
      <c r="K115">
        <v>2021</v>
      </c>
    </row>
    <row r="116" ht="15" spans="1:11">
      <c r="A116" t="s">
        <v>93</v>
      </c>
      <c r="B116" t="s">
        <v>94</v>
      </c>
      <c r="C116" s="1" t="s">
        <v>95</v>
      </c>
      <c r="D116" s="53" t="s">
        <v>96</v>
      </c>
      <c r="E116" s="2" t="s">
        <v>97</v>
      </c>
      <c r="F116" s="2" t="str">
        <f>'Source Table'!$D$6</f>
        <v>Felony Crimes</v>
      </c>
      <c r="G116" t="str">
        <f>'Source Table'!$D$5</f>
        <v>الجرائم الجنائية</v>
      </c>
      <c r="H116" s="3" t="str">
        <f>'Source Table'!$B$27</f>
        <v>Ma'an</v>
      </c>
      <c r="I116" s="3" t="str">
        <f>'Source Table'!$E$27</f>
        <v>معان</v>
      </c>
      <c r="J116" s="25">
        <v>134</v>
      </c>
      <c r="K116">
        <v>2021</v>
      </c>
    </row>
    <row r="117" ht="15" spans="1:11">
      <c r="A117" t="s">
        <v>93</v>
      </c>
      <c r="B117" t="s">
        <v>94</v>
      </c>
      <c r="C117" s="1" t="s">
        <v>95</v>
      </c>
      <c r="D117" s="53" t="s">
        <v>96</v>
      </c>
      <c r="E117" s="2" t="s">
        <v>97</v>
      </c>
      <c r="F117" s="2" t="str">
        <f>'Source Table'!$D$6</f>
        <v>Felony Crimes</v>
      </c>
      <c r="G117" t="str">
        <f>'Source Table'!$D$5</f>
        <v>الجرائم الجنائية</v>
      </c>
      <c r="H117" s="3" t="str">
        <f>'Source Table'!$B$28</f>
        <v>West ofMa'an</v>
      </c>
      <c r="I117" s="3" t="str">
        <f>'Source Table'!$E$28</f>
        <v>غرب معان</v>
      </c>
      <c r="J117" s="25">
        <v>145</v>
      </c>
      <c r="K117">
        <v>2021</v>
      </c>
    </row>
    <row r="118" ht="15" spans="1:11">
      <c r="A118" t="s">
        <v>93</v>
      </c>
      <c r="B118" t="s">
        <v>94</v>
      </c>
      <c r="C118" s="1" t="s">
        <v>95</v>
      </c>
      <c r="D118" s="53" t="s">
        <v>96</v>
      </c>
      <c r="E118" s="2" t="s">
        <v>97</v>
      </c>
      <c r="F118" s="2" t="str">
        <f>'Source Table'!$D$6</f>
        <v>Felony Crimes</v>
      </c>
      <c r="G118" t="str">
        <f>'Source Table'!$D$5</f>
        <v>الجرائم الجنائية</v>
      </c>
      <c r="H118" s="3" t="str">
        <f>'Source Table'!$B$29</f>
        <v>Aqaba</v>
      </c>
      <c r="I118" s="3" t="str">
        <f>'Source Table'!$E$29</f>
        <v>العقبة</v>
      </c>
      <c r="J118" s="25">
        <v>23</v>
      </c>
      <c r="K118">
        <v>2021</v>
      </c>
    </row>
    <row r="119" ht="15" spans="1:11">
      <c r="A119" t="s">
        <v>93</v>
      </c>
      <c r="B119" t="s">
        <v>94</v>
      </c>
      <c r="C119" s="1" t="s">
        <v>95</v>
      </c>
      <c r="D119" s="53" t="s">
        <v>96</v>
      </c>
      <c r="E119" s="2" t="s">
        <v>97</v>
      </c>
      <c r="F119" s="3" t="str">
        <f>'Source Table'!$C$6</f>
        <v>Misdemeanor Crimes</v>
      </c>
      <c r="G119" s="3" t="str">
        <f>'Source Table'!$C$5</f>
        <v>الجرائم الجنحوية</v>
      </c>
      <c r="H119" t="str">
        <f>'Source Table'!$B$7</f>
        <v>Middle Amman</v>
      </c>
      <c r="I119" t="str">
        <f>'Source Table'!$E$7</f>
        <v>وسط عمان</v>
      </c>
      <c r="J119" s="26">
        <v>1860</v>
      </c>
      <c r="K119">
        <v>2021</v>
      </c>
    </row>
    <row r="120" ht="15" spans="1:11">
      <c r="A120" t="s">
        <v>93</v>
      </c>
      <c r="B120" t="s">
        <v>94</v>
      </c>
      <c r="C120" s="1" t="s">
        <v>95</v>
      </c>
      <c r="D120" s="53" t="s">
        <v>96</v>
      </c>
      <c r="E120" s="2" t="s">
        <v>97</v>
      </c>
      <c r="F120" s="3" t="str">
        <f>'Source Table'!$C$6</f>
        <v>Misdemeanor Crimes</v>
      </c>
      <c r="G120" s="3" t="str">
        <f>'Source Table'!$C$5</f>
        <v>الجرائم الجنحوية</v>
      </c>
      <c r="H120" t="str">
        <f>'Source Table'!$B$8</f>
        <v>South Amman</v>
      </c>
      <c r="I120" t="str">
        <f>'Source Table'!$E$8</f>
        <v>جنوب عمان</v>
      </c>
      <c r="J120" s="26">
        <v>1784</v>
      </c>
      <c r="K120">
        <v>2021</v>
      </c>
    </row>
    <row r="121" ht="15" spans="1:11">
      <c r="A121" t="s">
        <v>93</v>
      </c>
      <c r="B121" t="s">
        <v>94</v>
      </c>
      <c r="C121" s="1" t="s">
        <v>95</v>
      </c>
      <c r="D121" s="53" t="s">
        <v>96</v>
      </c>
      <c r="E121" s="2" t="s">
        <v>97</v>
      </c>
      <c r="F121" s="3" t="str">
        <f>'Source Table'!$C$6</f>
        <v>Misdemeanor Crimes</v>
      </c>
      <c r="G121" s="3" t="str">
        <f>'Source Table'!$C$5</f>
        <v>الجرائم الجنحوية</v>
      </c>
      <c r="H121" t="str">
        <f>'Source Table'!$B$9</f>
        <v>North Amman</v>
      </c>
      <c r="I121" t="str">
        <f>'Source Table'!$E$9</f>
        <v>شمال عمان </v>
      </c>
      <c r="J121" s="26">
        <v>1792</v>
      </c>
      <c r="K121">
        <v>2021</v>
      </c>
    </row>
    <row r="122" ht="15" spans="1:11">
      <c r="A122" t="s">
        <v>93</v>
      </c>
      <c r="B122" t="s">
        <v>94</v>
      </c>
      <c r="C122" s="1" t="s">
        <v>95</v>
      </c>
      <c r="D122" s="53" t="s">
        <v>96</v>
      </c>
      <c r="E122" s="2" t="s">
        <v>97</v>
      </c>
      <c r="F122" s="3" t="str">
        <f>'Source Table'!$C$6</f>
        <v>Misdemeanor Crimes</v>
      </c>
      <c r="G122" s="3" t="str">
        <f>'Source Table'!$C$5</f>
        <v>الجرائم الجنحوية</v>
      </c>
      <c r="H122" t="str">
        <f>'Source Table'!$B$10</f>
        <v>East Amman</v>
      </c>
      <c r="I122" t="str">
        <f>'Source Table'!$E$10</f>
        <v>شرق عمان</v>
      </c>
      <c r="J122" s="26">
        <v>1544</v>
      </c>
      <c r="K122">
        <v>2021</v>
      </c>
    </row>
    <row r="123" ht="15" spans="1:11">
      <c r="A123" t="s">
        <v>93</v>
      </c>
      <c r="B123" t="s">
        <v>94</v>
      </c>
      <c r="C123" s="1" t="s">
        <v>95</v>
      </c>
      <c r="D123" s="53" t="s">
        <v>96</v>
      </c>
      <c r="E123" s="2" t="s">
        <v>97</v>
      </c>
      <c r="F123" s="3" t="str">
        <f>'Source Table'!$C$6</f>
        <v>Misdemeanor Crimes</v>
      </c>
      <c r="G123" s="3" t="str">
        <f>'Source Table'!$C$5</f>
        <v>الجرائم الجنحوية</v>
      </c>
      <c r="H123" t="str">
        <f>'Source Table'!$B$11</f>
        <v>Balqa</v>
      </c>
      <c r="I123" t="str">
        <f>'Source Table'!$E$11</f>
        <v>البلقاء</v>
      </c>
      <c r="J123" s="26">
        <v>1356</v>
      </c>
      <c r="K123">
        <v>2021</v>
      </c>
    </row>
    <row r="124" ht="15" spans="1:11">
      <c r="A124" t="s">
        <v>93</v>
      </c>
      <c r="B124" t="s">
        <v>94</v>
      </c>
      <c r="C124" s="1" t="s">
        <v>95</v>
      </c>
      <c r="D124" s="53" t="s">
        <v>96</v>
      </c>
      <c r="E124" s="2" t="s">
        <v>97</v>
      </c>
      <c r="F124" s="3" t="str">
        <f>'Source Table'!$C$6</f>
        <v>Misdemeanor Crimes</v>
      </c>
      <c r="G124" s="3" t="str">
        <f>'Source Table'!$C$5</f>
        <v>الجرائم الجنحوية</v>
      </c>
      <c r="H124" t="str">
        <f>'Source Table'!$B$12</f>
        <v>West Balqa</v>
      </c>
      <c r="I124" t="str">
        <f>'Source Table'!$E$12</f>
        <v>غرب البلقاء </v>
      </c>
      <c r="J124" s="26">
        <v>769</v>
      </c>
      <c r="K124">
        <v>2021</v>
      </c>
    </row>
    <row r="125" ht="15" spans="1:11">
      <c r="A125" t="s">
        <v>93</v>
      </c>
      <c r="B125" t="s">
        <v>94</v>
      </c>
      <c r="C125" s="1" t="s">
        <v>95</v>
      </c>
      <c r="D125" s="53" t="s">
        <v>96</v>
      </c>
      <c r="E125" s="2" t="s">
        <v>97</v>
      </c>
      <c r="F125" s="3" t="str">
        <f>'Source Table'!$C$6</f>
        <v>Misdemeanor Crimes</v>
      </c>
      <c r="G125" s="3" t="str">
        <f>'Source Table'!$C$5</f>
        <v>الجرائم الجنحوية</v>
      </c>
      <c r="H125" t="str">
        <f>'Source Table'!$B$13</f>
        <v>Zarqa</v>
      </c>
      <c r="I125" t="str">
        <f>'Source Table'!$E$13</f>
        <v>الزرقاء</v>
      </c>
      <c r="J125" s="26">
        <v>363</v>
      </c>
      <c r="K125">
        <v>2021</v>
      </c>
    </row>
    <row r="126" ht="15" spans="1:11">
      <c r="A126" t="s">
        <v>93</v>
      </c>
      <c r="B126" t="s">
        <v>94</v>
      </c>
      <c r="C126" s="1" t="s">
        <v>95</v>
      </c>
      <c r="D126" s="53" t="s">
        <v>96</v>
      </c>
      <c r="E126" s="2" t="s">
        <v>97</v>
      </c>
      <c r="F126" s="3" t="str">
        <f>'Source Table'!$C$6</f>
        <v>Misdemeanor Crimes</v>
      </c>
      <c r="G126" s="3" t="str">
        <f>'Source Table'!$C$5</f>
        <v>الجرائم الجنحوية</v>
      </c>
      <c r="H126" t="str">
        <f>'Source Table'!$B$14</f>
        <v>Al-Russaifa</v>
      </c>
      <c r="I126" t="str">
        <f>'Source Table'!$E$14</f>
        <v>الرصيفة</v>
      </c>
      <c r="J126" s="26">
        <v>587</v>
      </c>
      <c r="K126">
        <v>2021</v>
      </c>
    </row>
    <row r="127" ht="15" spans="1:11">
      <c r="A127" t="s">
        <v>93</v>
      </c>
      <c r="B127" t="s">
        <v>94</v>
      </c>
      <c r="C127" s="1" t="s">
        <v>95</v>
      </c>
      <c r="D127" s="53" t="s">
        <v>96</v>
      </c>
      <c r="E127" s="2" t="s">
        <v>97</v>
      </c>
      <c r="F127" s="3" t="str">
        <f>'Source Table'!$C$6</f>
        <v>Misdemeanor Crimes</v>
      </c>
      <c r="G127" s="3" t="str">
        <f>'Source Table'!$C$5</f>
        <v>الجرائم الجنحوية</v>
      </c>
      <c r="H127" t="str">
        <f>'Source Table'!$B$15</f>
        <v>Madaba</v>
      </c>
      <c r="I127" t="str">
        <f>'Source Table'!$E$15</f>
        <v>مادبا</v>
      </c>
      <c r="J127" s="26">
        <v>241</v>
      </c>
      <c r="K127">
        <v>2021</v>
      </c>
    </row>
    <row r="128" ht="15" spans="1:11">
      <c r="A128" t="s">
        <v>93</v>
      </c>
      <c r="B128" t="s">
        <v>94</v>
      </c>
      <c r="C128" s="1" t="s">
        <v>95</v>
      </c>
      <c r="D128" s="53" t="s">
        <v>96</v>
      </c>
      <c r="E128" s="2" t="s">
        <v>97</v>
      </c>
      <c r="F128" s="3" t="str">
        <f>'Source Table'!$C$6</f>
        <v>Misdemeanor Crimes</v>
      </c>
      <c r="G128" s="3" t="str">
        <f>'Source Table'!$C$5</f>
        <v>الجرائم الجنحوية</v>
      </c>
      <c r="H128" t="str">
        <f>'Source Table'!$B$16</f>
        <v>Irbid</v>
      </c>
      <c r="I128" t="str">
        <f>'Source Table'!$E$16</f>
        <v>إربد</v>
      </c>
      <c r="J128" s="26">
        <v>2002</v>
      </c>
      <c r="K128">
        <v>2021</v>
      </c>
    </row>
    <row r="129" ht="15" spans="1:11">
      <c r="A129" t="s">
        <v>93</v>
      </c>
      <c r="B129" t="s">
        <v>94</v>
      </c>
      <c r="C129" s="1" t="s">
        <v>95</v>
      </c>
      <c r="D129" s="53" t="s">
        <v>96</v>
      </c>
      <c r="E129" s="2" t="s">
        <v>97</v>
      </c>
      <c r="F129" s="3" t="str">
        <f>'Source Table'!$C$6</f>
        <v>Misdemeanor Crimes</v>
      </c>
      <c r="G129" s="3" t="str">
        <f>'Source Table'!$C$5</f>
        <v>الجرائم الجنحوية</v>
      </c>
      <c r="H129" t="str">
        <f>'Source Table'!$B$17</f>
        <v>West Irbid</v>
      </c>
      <c r="I129" t="str">
        <f>'Source Table'!$E$17</f>
        <v>غرب إربد</v>
      </c>
      <c r="J129" s="26">
        <v>350</v>
      </c>
      <c r="K129">
        <v>2021</v>
      </c>
    </row>
    <row r="130" ht="15" spans="1:11">
      <c r="A130" t="s">
        <v>93</v>
      </c>
      <c r="B130" t="s">
        <v>94</v>
      </c>
      <c r="C130" s="1" t="s">
        <v>95</v>
      </c>
      <c r="D130" s="53" t="s">
        <v>96</v>
      </c>
      <c r="E130" s="2" t="s">
        <v>97</v>
      </c>
      <c r="F130" s="3" t="str">
        <f>'Source Table'!$C$6</f>
        <v>Misdemeanor Crimes</v>
      </c>
      <c r="G130" s="3" t="str">
        <f>'Source Table'!$C$5</f>
        <v>الجرائم الجنحوية</v>
      </c>
      <c r="H130" t="str">
        <f>'Source Table'!$B$18</f>
        <v>Al-Ramtha</v>
      </c>
      <c r="I130" t="str">
        <f>'Source Table'!$E$18</f>
        <v>الرمثا</v>
      </c>
      <c r="J130" s="26">
        <v>460</v>
      </c>
      <c r="K130">
        <v>2021</v>
      </c>
    </row>
    <row r="131" ht="15" spans="1:11">
      <c r="A131" t="s">
        <v>93</v>
      </c>
      <c r="B131" t="s">
        <v>94</v>
      </c>
      <c r="C131" s="1" t="s">
        <v>95</v>
      </c>
      <c r="D131" s="53" t="s">
        <v>96</v>
      </c>
      <c r="E131" s="2" t="s">
        <v>97</v>
      </c>
      <c r="F131" s="3" t="str">
        <f>'Source Table'!$C$6</f>
        <v>Misdemeanor Crimes</v>
      </c>
      <c r="G131" s="3" t="str">
        <f>'Source Table'!$C$5</f>
        <v>الجرائم الجنحوية</v>
      </c>
      <c r="H131" t="str">
        <f>'Source Table'!$B$19</f>
        <v>Mafraq</v>
      </c>
      <c r="I131" t="str">
        <f>'Source Table'!$E$19</f>
        <v>المفرق</v>
      </c>
      <c r="J131" s="26">
        <v>383</v>
      </c>
      <c r="K131">
        <v>2021</v>
      </c>
    </row>
    <row r="132" ht="15" spans="1:11">
      <c r="A132" t="s">
        <v>93</v>
      </c>
      <c r="B132" t="s">
        <v>94</v>
      </c>
      <c r="C132" s="1" t="s">
        <v>95</v>
      </c>
      <c r="D132" s="53" t="s">
        <v>96</v>
      </c>
      <c r="E132" s="2" t="s">
        <v>97</v>
      </c>
      <c r="F132" s="3" t="str">
        <f>'Source Table'!$C$6</f>
        <v>Misdemeanor Crimes</v>
      </c>
      <c r="G132" s="3" t="str">
        <f>'Source Table'!$C$5</f>
        <v>الجرائم الجنحوية</v>
      </c>
      <c r="H132" t="str">
        <f>'Source Table'!$B$20</f>
        <v>North Bedouin</v>
      </c>
      <c r="I132" t="str">
        <f>'Source Table'!$E$20</f>
        <v>الباديةالشمالية</v>
      </c>
      <c r="J132" s="26">
        <v>178</v>
      </c>
      <c r="K132">
        <v>2021</v>
      </c>
    </row>
    <row r="133" ht="15" spans="1:11">
      <c r="A133" t="s">
        <v>93</v>
      </c>
      <c r="B133" t="s">
        <v>94</v>
      </c>
      <c r="C133" s="1" t="s">
        <v>95</v>
      </c>
      <c r="D133" s="53" t="s">
        <v>96</v>
      </c>
      <c r="E133" s="2" t="s">
        <v>97</v>
      </c>
      <c r="F133" s="3" t="str">
        <f>'Source Table'!$C$6</f>
        <v>Misdemeanor Crimes</v>
      </c>
      <c r="G133" s="3" t="str">
        <f>'Source Table'!$C$5</f>
        <v>الجرائم الجنحوية</v>
      </c>
      <c r="H133" s="3" t="str">
        <f>'Source Table'!$B$21</f>
        <v>Middle Bedouin</v>
      </c>
      <c r="I133" s="3" t="str">
        <f>'Source Table'!$E$21</f>
        <v>البادية الوسطى</v>
      </c>
      <c r="J133" s="26">
        <v>405</v>
      </c>
      <c r="K133">
        <v>2021</v>
      </c>
    </row>
    <row r="134" ht="15" spans="1:11">
      <c r="A134" t="s">
        <v>93</v>
      </c>
      <c r="B134" t="s">
        <v>94</v>
      </c>
      <c r="C134" s="1" t="s">
        <v>95</v>
      </c>
      <c r="D134" s="53" t="s">
        <v>96</v>
      </c>
      <c r="E134" s="2" t="s">
        <v>97</v>
      </c>
      <c r="F134" s="3" t="str">
        <f>'Source Table'!$C$6</f>
        <v>Misdemeanor Crimes</v>
      </c>
      <c r="G134" s="3" t="str">
        <f>'Source Table'!$C$5</f>
        <v>الجرائم الجنحوية</v>
      </c>
      <c r="H134" s="3" t="str">
        <f>'Source Table'!$B$22</f>
        <v>South Bedouin</v>
      </c>
      <c r="I134" s="3" t="str">
        <f>'Source Table'!$E$22</f>
        <v>البادية الجنوبية </v>
      </c>
      <c r="J134" s="26">
        <v>404</v>
      </c>
      <c r="K134">
        <v>2021</v>
      </c>
    </row>
    <row r="135" ht="15" spans="1:11">
      <c r="A135" t="s">
        <v>93</v>
      </c>
      <c r="B135" t="s">
        <v>94</v>
      </c>
      <c r="C135" s="1" t="s">
        <v>95</v>
      </c>
      <c r="D135" s="53" t="s">
        <v>96</v>
      </c>
      <c r="E135" s="2" t="s">
        <v>97</v>
      </c>
      <c r="F135" s="3" t="str">
        <f>'Source Table'!$C$6</f>
        <v>Misdemeanor Crimes</v>
      </c>
      <c r="G135" s="3" t="str">
        <f>'Source Table'!$C$5</f>
        <v>الجرائم الجنحوية</v>
      </c>
      <c r="H135" s="3" t="str">
        <f>'Source Table'!$B$23</f>
        <v>Jarash</v>
      </c>
      <c r="I135" s="3" t="str">
        <f>'Source Table'!$E$23</f>
        <v>جرش</v>
      </c>
      <c r="J135" s="26">
        <v>170</v>
      </c>
      <c r="K135">
        <v>2021</v>
      </c>
    </row>
    <row r="136" ht="15" spans="1:11">
      <c r="A136" t="s">
        <v>93</v>
      </c>
      <c r="B136" t="s">
        <v>94</v>
      </c>
      <c r="C136" s="1" t="s">
        <v>95</v>
      </c>
      <c r="D136" s="53" t="s">
        <v>96</v>
      </c>
      <c r="E136" s="2" t="s">
        <v>97</v>
      </c>
      <c r="F136" s="3" t="str">
        <f>'Source Table'!$C$6</f>
        <v>Misdemeanor Crimes</v>
      </c>
      <c r="G136" s="3" t="str">
        <f>'Source Table'!$C$5</f>
        <v>الجرائم الجنحوية</v>
      </c>
      <c r="H136" s="3" t="str">
        <f>'Source Table'!$B$24</f>
        <v>Ajloun</v>
      </c>
      <c r="I136" s="3" t="str">
        <f>'Source Table'!$E$24</f>
        <v>عجلون</v>
      </c>
      <c r="J136" s="26">
        <v>159</v>
      </c>
      <c r="K136">
        <v>2021</v>
      </c>
    </row>
    <row r="137" ht="15" spans="1:11">
      <c r="A137" t="s">
        <v>93</v>
      </c>
      <c r="B137" t="s">
        <v>94</v>
      </c>
      <c r="C137" s="1" t="s">
        <v>95</v>
      </c>
      <c r="D137" s="53" t="s">
        <v>96</v>
      </c>
      <c r="E137" s="2" t="s">
        <v>97</v>
      </c>
      <c r="F137" s="3" t="str">
        <f>'Source Table'!$C$6</f>
        <v>Misdemeanor Crimes</v>
      </c>
      <c r="G137" s="3" t="str">
        <f>'Source Table'!$C$5</f>
        <v>الجرائم الجنحوية</v>
      </c>
      <c r="H137" s="3" t="str">
        <f>'Source Table'!$B$25</f>
        <v>Karak</v>
      </c>
      <c r="I137" s="3" t="str">
        <f>'Source Table'!$E$25</f>
        <v>الكرك</v>
      </c>
      <c r="J137" s="26">
        <v>57</v>
      </c>
      <c r="K137">
        <v>2021</v>
      </c>
    </row>
    <row r="138" ht="15" spans="1:11">
      <c r="A138" t="s">
        <v>93</v>
      </c>
      <c r="B138" t="s">
        <v>94</v>
      </c>
      <c r="C138" s="1" t="s">
        <v>95</v>
      </c>
      <c r="D138" s="53" t="s">
        <v>96</v>
      </c>
      <c r="E138" s="2" t="s">
        <v>97</v>
      </c>
      <c r="F138" s="3" t="str">
        <f>'Source Table'!$C$6</f>
        <v>Misdemeanor Crimes</v>
      </c>
      <c r="G138" s="3" t="str">
        <f>'Source Table'!$C$5</f>
        <v>الجرائم الجنحوية</v>
      </c>
      <c r="H138" s="3" t="str">
        <f>'Source Table'!$B$26</f>
        <v>Tafiela</v>
      </c>
      <c r="I138" s="3" t="str">
        <f>'Source Table'!$E$26</f>
        <v>الطفيلة</v>
      </c>
      <c r="J138" s="26">
        <v>471</v>
      </c>
      <c r="K138">
        <v>2021</v>
      </c>
    </row>
    <row r="139" ht="15" spans="1:11">
      <c r="A139" t="s">
        <v>93</v>
      </c>
      <c r="B139" t="s">
        <v>94</v>
      </c>
      <c r="C139" s="1" t="s">
        <v>95</v>
      </c>
      <c r="D139" s="53" t="s">
        <v>96</v>
      </c>
      <c r="E139" s="2" t="s">
        <v>97</v>
      </c>
      <c r="F139" s="3" t="str">
        <f>'Source Table'!$C$6</f>
        <v>Misdemeanor Crimes</v>
      </c>
      <c r="G139" s="3" t="str">
        <f>'Source Table'!$C$5</f>
        <v>الجرائم الجنحوية</v>
      </c>
      <c r="H139" s="3" t="str">
        <f>'Source Table'!$B$27</f>
        <v>Ma'an</v>
      </c>
      <c r="I139" s="3" t="str">
        <f>'Source Table'!$E$27</f>
        <v>معان</v>
      </c>
      <c r="J139" s="26">
        <v>270</v>
      </c>
      <c r="K139">
        <v>2021</v>
      </c>
    </row>
    <row r="140" ht="15" spans="1:11">
      <c r="A140" t="s">
        <v>93</v>
      </c>
      <c r="B140" t="s">
        <v>94</v>
      </c>
      <c r="C140" s="1" t="s">
        <v>95</v>
      </c>
      <c r="D140" s="53" t="s">
        <v>96</v>
      </c>
      <c r="E140" s="2" t="s">
        <v>97</v>
      </c>
      <c r="F140" s="3" t="str">
        <f>'Source Table'!$C$6</f>
        <v>Misdemeanor Crimes</v>
      </c>
      <c r="G140" s="3" t="str">
        <f>'Source Table'!$C$5</f>
        <v>الجرائم الجنحوية</v>
      </c>
      <c r="H140" s="3" t="str">
        <f>'Source Table'!$B$28</f>
        <v>West ofMa'an</v>
      </c>
      <c r="I140" s="3" t="str">
        <f>'Source Table'!$E$28</f>
        <v>غرب معان</v>
      </c>
      <c r="J140" s="26">
        <v>290</v>
      </c>
      <c r="K140">
        <v>2021</v>
      </c>
    </row>
    <row r="141" ht="15" spans="1:11">
      <c r="A141" t="s">
        <v>93</v>
      </c>
      <c r="B141" t="s">
        <v>94</v>
      </c>
      <c r="C141" s="1" t="s">
        <v>95</v>
      </c>
      <c r="D141" s="53" t="s">
        <v>96</v>
      </c>
      <c r="E141" s="2" t="s">
        <v>97</v>
      </c>
      <c r="F141" s="3" t="str">
        <f>'Source Table'!$C$6</f>
        <v>Misdemeanor Crimes</v>
      </c>
      <c r="G141" s="3" t="str">
        <f>'Source Table'!$C$5</f>
        <v>الجرائم الجنحوية</v>
      </c>
      <c r="H141" s="3" t="str">
        <f>'Source Table'!$B$29</f>
        <v>Aqaba</v>
      </c>
      <c r="I141" s="3" t="str">
        <f>'Source Table'!$E$29</f>
        <v>العقبة</v>
      </c>
      <c r="J141" s="26">
        <v>45</v>
      </c>
      <c r="K141">
        <v>2021</v>
      </c>
    </row>
    <row r="142" ht="15" spans="1:11">
      <c r="A142" t="s">
        <v>93</v>
      </c>
      <c r="B142" t="s">
        <v>94</v>
      </c>
      <c r="C142" s="1" t="s">
        <v>95</v>
      </c>
      <c r="D142" s="53" t="s">
        <v>96</v>
      </c>
      <c r="E142" s="2" t="s">
        <v>97</v>
      </c>
      <c r="F142" s="2" t="str">
        <f>'Source Table'!$D$6</f>
        <v>Felony Crimes</v>
      </c>
      <c r="G142" t="str">
        <f>'Source Table'!$D$5</f>
        <v>الجرائم الجنائية</v>
      </c>
      <c r="H142" t="str">
        <f>'Source Table'!$B$7</f>
        <v>Middle Amman</v>
      </c>
      <c r="I142" t="str">
        <f>'Source Table'!$E$7</f>
        <v>وسط عمان</v>
      </c>
      <c r="J142" s="27">
        <v>531</v>
      </c>
      <c r="K142">
        <v>2020</v>
      </c>
    </row>
    <row r="143" ht="15" spans="1:11">
      <c r="A143" t="s">
        <v>93</v>
      </c>
      <c r="B143" t="s">
        <v>94</v>
      </c>
      <c r="C143" s="1" t="s">
        <v>95</v>
      </c>
      <c r="D143" s="53" t="s">
        <v>96</v>
      </c>
      <c r="E143" s="2" t="s">
        <v>97</v>
      </c>
      <c r="F143" s="2" t="str">
        <f>'Source Table'!$D$6</f>
        <v>Felony Crimes</v>
      </c>
      <c r="G143" t="str">
        <f>'Source Table'!$D$5</f>
        <v>الجرائم الجنائية</v>
      </c>
      <c r="H143" t="str">
        <f>'Source Table'!$B$8</f>
        <v>South Amman</v>
      </c>
      <c r="I143" t="str">
        <f>'Source Table'!$E$8</f>
        <v>جنوب عمان</v>
      </c>
      <c r="J143" s="27">
        <v>727</v>
      </c>
      <c r="K143">
        <v>2020</v>
      </c>
    </row>
    <row r="144" ht="15" spans="1:11">
      <c r="A144" t="s">
        <v>93</v>
      </c>
      <c r="B144" t="s">
        <v>94</v>
      </c>
      <c r="C144" s="1" t="s">
        <v>95</v>
      </c>
      <c r="D144" s="53" t="s">
        <v>96</v>
      </c>
      <c r="E144" s="2" t="s">
        <v>97</v>
      </c>
      <c r="F144" s="2" t="str">
        <f>'Source Table'!$D$6</f>
        <v>Felony Crimes</v>
      </c>
      <c r="G144" t="str">
        <f>'Source Table'!$D$5</f>
        <v>الجرائم الجنائية</v>
      </c>
      <c r="H144" t="str">
        <f>'Source Table'!$B$9</f>
        <v>North Amman</v>
      </c>
      <c r="I144" t="str">
        <f>'Source Table'!$E$9</f>
        <v>شمال عمان </v>
      </c>
      <c r="J144" s="27">
        <v>391</v>
      </c>
      <c r="K144">
        <v>2020</v>
      </c>
    </row>
    <row r="145" ht="15" spans="1:11">
      <c r="A145" t="s">
        <v>93</v>
      </c>
      <c r="B145" t="s">
        <v>94</v>
      </c>
      <c r="C145" s="1" t="s">
        <v>95</v>
      </c>
      <c r="D145" s="53" t="s">
        <v>96</v>
      </c>
      <c r="E145" s="2" t="s">
        <v>97</v>
      </c>
      <c r="F145" s="2" t="str">
        <f>'Source Table'!$D$6</f>
        <v>Felony Crimes</v>
      </c>
      <c r="G145" t="str">
        <f>'Source Table'!$D$5</f>
        <v>الجرائم الجنائية</v>
      </c>
      <c r="H145" t="str">
        <f>'Source Table'!$B$10</f>
        <v>East Amman</v>
      </c>
      <c r="I145" t="str">
        <f>'Source Table'!$E$10</f>
        <v>شرق عمان</v>
      </c>
      <c r="J145" s="27">
        <v>766</v>
      </c>
      <c r="K145">
        <v>2020</v>
      </c>
    </row>
    <row r="146" ht="15" spans="1:11">
      <c r="A146" t="s">
        <v>93</v>
      </c>
      <c r="B146" t="s">
        <v>94</v>
      </c>
      <c r="C146" s="1" t="s">
        <v>95</v>
      </c>
      <c r="D146" s="53" t="s">
        <v>96</v>
      </c>
      <c r="E146" s="2" t="s">
        <v>97</v>
      </c>
      <c r="F146" s="2" t="str">
        <f>'Source Table'!$D$6</f>
        <v>Felony Crimes</v>
      </c>
      <c r="G146" t="str">
        <f>'Source Table'!$D$5</f>
        <v>الجرائم الجنائية</v>
      </c>
      <c r="H146" t="str">
        <f>'Source Table'!$B$11</f>
        <v>Balqa</v>
      </c>
      <c r="I146" t="str">
        <f>'Source Table'!$E$11</f>
        <v>البلقاء</v>
      </c>
      <c r="J146" s="27">
        <v>269</v>
      </c>
      <c r="K146">
        <v>2020</v>
      </c>
    </row>
    <row r="147" ht="15" spans="1:11">
      <c r="A147" t="s">
        <v>93</v>
      </c>
      <c r="B147" t="s">
        <v>94</v>
      </c>
      <c r="C147" s="1" t="s">
        <v>95</v>
      </c>
      <c r="D147" s="53" t="s">
        <v>96</v>
      </c>
      <c r="E147" s="2" t="s">
        <v>97</v>
      </c>
      <c r="F147" s="2" t="str">
        <f>'Source Table'!$D$6</f>
        <v>Felony Crimes</v>
      </c>
      <c r="G147" t="str">
        <f>'Source Table'!$D$5</f>
        <v>الجرائم الجنائية</v>
      </c>
      <c r="H147" t="str">
        <f>'Source Table'!$B$12</f>
        <v>West Balqa</v>
      </c>
      <c r="I147" t="str">
        <f>'Source Table'!$E$12</f>
        <v>غرب البلقاء </v>
      </c>
      <c r="J147" s="27">
        <v>138</v>
      </c>
      <c r="K147">
        <v>2020</v>
      </c>
    </row>
    <row r="148" ht="15" spans="1:11">
      <c r="A148" t="s">
        <v>93</v>
      </c>
      <c r="B148" t="s">
        <v>94</v>
      </c>
      <c r="C148" s="1" t="s">
        <v>95</v>
      </c>
      <c r="D148" s="53" t="s">
        <v>96</v>
      </c>
      <c r="E148" s="2" t="s">
        <v>97</v>
      </c>
      <c r="F148" s="2" t="str">
        <f>'Source Table'!$D$6</f>
        <v>Felony Crimes</v>
      </c>
      <c r="G148" t="str">
        <f>'Source Table'!$D$5</f>
        <v>الجرائم الجنائية</v>
      </c>
      <c r="H148" t="str">
        <f>'Source Table'!$B$13</f>
        <v>Zarqa</v>
      </c>
      <c r="I148" t="str">
        <f>'Source Table'!$E$13</f>
        <v>الزرقاء</v>
      </c>
      <c r="J148" s="27">
        <v>551</v>
      </c>
      <c r="K148">
        <v>2020</v>
      </c>
    </row>
    <row r="149" ht="15" spans="1:11">
      <c r="A149" t="s">
        <v>93</v>
      </c>
      <c r="B149" t="s">
        <v>94</v>
      </c>
      <c r="C149" s="1" t="s">
        <v>95</v>
      </c>
      <c r="D149" s="53" t="s">
        <v>96</v>
      </c>
      <c r="E149" s="2" t="s">
        <v>97</v>
      </c>
      <c r="F149" s="2" t="str">
        <f>'Source Table'!$D$6</f>
        <v>Felony Crimes</v>
      </c>
      <c r="G149" t="str">
        <f>'Source Table'!$D$5</f>
        <v>الجرائم الجنائية</v>
      </c>
      <c r="H149" t="str">
        <f>'Source Table'!$B$14</f>
        <v>Al-Russaifa</v>
      </c>
      <c r="I149" t="str">
        <f>'Source Table'!$E$14</f>
        <v>الرصيفة</v>
      </c>
      <c r="J149" s="27">
        <v>225</v>
      </c>
      <c r="K149">
        <v>2020</v>
      </c>
    </row>
    <row r="150" ht="15" spans="1:11">
      <c r="A150" t="s">
        <v>93</v>
      </c>
      <c r="B150" t="s">
        <v>94</v>
      </c>
      <c r="C150" s="1" t="s">
        <v>95</v>
      </c>
      <c r="D150" s="53" t="s">
        <v>96</v>
      </c>
      <c r="E150" s="2" t="s">
        <v>97</v>
      </c>
      <c r="F150" s="2" t="str">
        <f>'Source Table'!$D$6</f>
        <v>Felony Crimes</v>
      </c>
      <c r="G150" t="str">
        <f>'Source Table'!$D$5</f>
        <v>الجرائم الجنائية</v>
      </c>
      <c r="H150" t="str">
        <f>'Source Table'!$B$15</f>
        <v>Madaba</v>
      </c>
      <c r="I150" t="str">
        <f>'Source Table'!$E$15</f>
        <v>مادبا</v>
      </c>
      <c r="J150" s="27">
        <v>144</v>
      </c>
      <c r="K150">
        <v>2020</v>
      </c>
    </row>
    <row r="151" ht="15" spans="1:11">
      <c r="A151" t="s">
        <v>93</v>
      </c>
      <c r="B151" t="s">
        <v>94</v>
      </c>
      <c r="C151" s="1" t="s">
        <v>95</v>
      </c>
      <c r="D151" s="53" t="s">
        <v>96</v>
      </c>
      <c r="E151" s="2" t="s">
        <v>97</v>
      </c>
      <c r="F151" s="2" t="str">
        <f>'Source Table'!$D$6</f>
        <v>Felony Crimes</v>
      </c>
      <c r="G151" t="str">
        <f>'Source Table'!$D$5</f>
        <v>الجرائم الجنائية</v>
      </c>
      <c r="H151" t="str">
        <f>'Source Table'!$B$16</f>
        <v>Irbid</v>
      </c>
      <c r="I151" t="str">
        <f>'Source Table'!$E$16</f>
        <v>إربد</v>
      </c>
      <c r="J151" s="27">
        <v>831</v>
      </c>
      <c r="K151">
        <v>2020</v>
      </c>
    </row>
    <row r="152" ht="15" spans="1:11">
      <c r="A152" t="s">
        <v>93</v>
      </c>
      <c r="B152" t="s">
        <v>94</v>
      </c>
      <c r="C152" s="1" t="s">
        <v>95</v>
      </c>
      <c r="D152" s="53" t="s">
        <v>96</v>
      </c>
      <c r="E152" s="2" t="s">
        <v>97</v>
      </c>
      <c r="F152" s="2" t="str">
        <f>'Source Table'!$D$6</f>
        <v>Felony Crimes</v>
      </c>
      <c r="G152" t="str">
        <f>'Source Table'!$D$5</f>
        <v>الجرائم الجنائية</v>
      </c>
      <c r="H152" t="str">
        <f>'Source Table'!$B$17</f>
        <v>West Irbid</v>
      </c>
      <c r="I152" t="str">
        <f>'Source Table'!$E$17</f>
        <v>غرب إربد</v>
      </c>
      <c r="J152" s="27">
        <v>248</v>
      </c>
      <c r="K152">
        <v>2020</v>
      </c>
    </row>
    <row r="153" ht="15" spans="1:11">
      <c r="A153" t="s">
        <v>93</v>
      </c>
      <c r="B153" t="s">
        <v>94</v>
      </c>
      <c r="C153" s="1" t="s">
        <v>95</v>
      </c>
      <c r="D153" s="53" t="s">
        <v>96</v>
      </c>
      <c r="E153" s="2" t="s">
        <v>97</v>
      </c>
      <c r="F153" s="2" t="str">
        <f>'Source Table'!$D$6</f>
        <v>Felony Crimes</v>
      </c>
      <c r="G153" t="str">
        <f>'Source Table'!$D$5</f>
        <v>الجرائم الجنائية</v>
      </c>
      <c r="H153" t="str">
        <f>'Source Table'!$B$18</f>
        <v>Al-Ramtha</v>
      </c>
      <c r="I153" t="str">
        <f>'Source Table'!$E$18</f>
        <v>الرمثا</v>
      </c>
      <c r="J153" s="27">
        <v>145</v>
      </c>
      <c r="K153">
        <v>2020</v>
      </c>
    </row>
    <row r="154" ht="15" spans="1:11">
      <c r="A154" t="s">
        <v>93</v>
      </c>
      <c r="B154" t="s">
        <v>94</v>
      </c>
      <c r="C154" s="1" t="s">
        <v>95</v>
      </c>
      <c r="D154" s="53" t="s">
        <v>96</v>
      </c>
      <c r="E154" s="2" t="s">
        <v>97</v>
      </c>
      <c r="F154" s="2" t="str">
        <f>'Source Table'!$D$6</f>
        <v>Felony Crimes</v>
      </c>
      <c r="G154" t="str">
        <f>'Source Table'!$D$5</f>
        <v>الجرائم الجنائية</v>
      </c>
      <c r="H154" t="str">
        <f>'Source Table'!$B$19</f>
        <v>Mafraq</v>
      </c>
      <c r="I154" t="str">
        <f>'Source Table'!$E$19</f>
        <v>المفرق</v>
      </c>
      <c r="J154" s="27">
        <v>238</v>
      </c>
      <c r="K154">
        <v>2020</v>
      </c>
    </row>
    <row r="155" ht="15" spans="1:11">
      <c r="A155" t="s">
        <v>93</v>
      </c>
      <c r="B155" t="s">
        <v>94</v>
      </c>
      <c r="C155" s="1" t="s">
        <v>95</v>
      </c>
      <c r="D155" s="53" t="s">
        <v>96</v>
      </c>
      <c r="E155" s="2" t="s">
        <v>97</v>
      </c>
      <c r="F155" s="2" t="str">
        <f>'Source Table'!$D$6</f>
        <v>Felony Crimes</v>
      </c>
      <c r="G155" t="str">
        <f>'Source Table'!$D$5</f>
        <v>الجرائم الجنائية</v>
      </c>
      <c r="H155" t="str">
        <f>'Source Table'!$B$20</f>
        <v>North Bedouin</v>
      </c>
      <c r="I155" t="str">
        <f>'Source Table'!$E$20</f>
        <v>الباديةالشمالية</v>
      </c>
      <c r="J155" s="27">
        <v>148</v>
      </c>
      <c r="K155">
        <v>2020</v>
      </c>
    </row>
    <row r="156" ht="15" spans="1:11">
      <c r="A156" t="s">
        <v>93</v>
      </c>
      <c r="B156" t="s">
        <v>94</v>
      </c>
      <c r="C156" s="1" t="s">
        <v>95</v>
      </c>
      <c r="D156" s="53" t="s">
        <v>96</v>
      </c>
      <c r="E156" s="2" t="s">
        <v>97</v>
      </c>
      <c r="F156" s="2" t="str">
        <f>'Source Table'!$D$6</f>
        <v>Felony Crimes</v>
      </c>
      <c r="G156" t="str">
        <f>'Source Table'!$D$5</f>
        <v>الجرائم الجنائية</v>
      </c>
      <c r="H156" s="3" t="str">
        <f>'Source Table'!$B$21</f>
        <v>Middle Bedouin</v>
      </c>
      <c r="I156" s="3" t="str">
        <f>'Source Table'!$E$21</f>
        <v>البادية الوسطى</v>
      </c>
      <c r="J156" s="27">
        <v>137</v>
      </c>
      <c r="K156">
        <v>2020</v>
      </c>
    </row>
    <row r="157" ht="15" spans="1:11">
      <c r="A157" t="s">
        <v>93</v>
      </c>
      <c r="B157" t="s">
        <v>94</v>
      </c>
      <c r="C157" s="1" t="s">
        <v>95</v>
      </c>
      <c r="D157" s="53" t="s">
        <v>96</v>
      </c>
      <c r="E157" s="2" t="s">
        <v>97</v>
      </c>
      <c r="F157" s="2" t="str">
        <f>'Source Table'!$D$6</f>
        <v>Felony Crimes</v>
      </c>
      <c r="G157" t="str">
        <f>'Source Table'!$D$5</f>
        <v>الجرائم الجنائية</v>
      </c>
      <c r="H157" s="3" t="str">
        <f>'Source Table'!$B$22</f>
        <v>South Bedouin</v>
      </c>
      <c r="I157" s="3" t="str">
        <f>'Source Table'!$E$22</f>
        <v>البادية الجنوبية </v>
      </c>
      <c r="J157" s="27">
        <v>27</v>
      </c>
      <c r="K157">
        <v>2020</v>
      </c>
    </row>
    <row r="158" ht="15" spans="1:11">
      <c r="A158" t="s">
        <v>93</v>
      </c>
      <c r="B158" t="s">
        <v>94</v>
      </c>
      <c r="C158" s="1" t="s">
        <v>95</v>
      </c>
      <c r="D158" s="53" t="s">
        <v>96</v>
      </c>
      <c r="E158" s="2" t="s">
        <v>97</v>
      </c>
      <c r="F158" s="2" t="str">
        <f>'Source Table'!$D$6</f>
        <v>Felony Crimes</v>
      </c>
      <c r="G158" t="str">
        <f>'Source Table'!$D$5</f>
        <v>الجرائم الجنائية</v>
      </c>
      <c r="H158" s="3" t="str">
        <f>'Source Table'!$B$23</f>
        <v>Jarash</v>
      </c>
      <c r="I158" s="3" t="str">
        <f>'Source Table'!$E$23</f>
        <v>جرش</v>
      </c>
      <c r="J158" s="27">
        <v>186</v>
      </c>
      <c r="K158">
        <v>2020</v>
      </c>
    </row>
    <row r="159" ht="15" spans="1:11">
      <c r="A159" t="s">
        <v>93</v>
      </c>
      <c r="B159" t="s">
        <v>94</v>
      </c>
      <c r="C159" s="1" t="s">
        <v>95</v>
      </c>
      <c r="D159" s="53" t="s">
        <v>96</v>
      </c>
      <c r="E159" s="2" t="s">
        <v>97</v>
      </c>
      <c r="F159" s="2" t="str">
        <f>'Source Table'!$D$6</f>
        <v>Felony Crimes</v>
      </c>
      <c r="G159" t="str">
        <f>'Source Table'!$D$5</f>
        <v>الجرائم الجنائية</v>
      </c>
      <c r="H159" s="3" t="str">
        <f>'Source Table'!$B$24</f>
        <v>Ajloun</v>
      </c>
      <c r="I159" s="3" t="str">
        <f>'Source Table'!$E$24</f>
        <v>عجلون</v>
      </c>
      <c r="J159" s="27">
        <v>112</v>
      </c>
      <c r="K159">
        <v>2020</v>
      </c>
    </row>
    <row r="160" ht="15" spans="1:11">
      <c r="A160" t="s">
        <v>93</v>
      </c>
      <c r="B160" t="s">
        <v>94</v>
      </c>
      <c r="C160" s="1" t="s">
        <v>95</v>
      </c>
      <c r="D160" s="53" t="s">
        <v>96</v>
      </c>
      <c r="E160" s="2" t="s">
        <v>97</v>
      </c>
      <c r="F160" s="2" t="str">
        <f>'Source Table'!$D$6</f>
        <v>Felony Crimes</v>
      </c>
      <c r="G160" t="str">
        <f>'Source Table'!$D$5</f>
        <v>الجرائم الجنائية</v>
      </c>
      <c r="H160" s="3" t="str">
        <f>'Source Table'!$B$25</f>
        <v>Karak</v>
      </c>
      <c r="I160" s="3" t="str">
        <f>'Source Table'!$E$25</f>
        <v>الكرك</v>
      </c>
      <c r="J160" s="27">
        <v>273</v>
      </c>
      <c r="K160">
        <v>2020</v>
      </c>
    </row>
    <row r="161" ht="15" spans="1:11">
      <c r="A161" t="s">
        <v>93</v>
      </c>
      <c r="B161" t="s">
        <v>94</v>
      </c>
      <c r="C161" s="1" t="s">
        <v>95</v>
      </c>
      <c r="D161" s="53" t="s">
        <v>96</v>
      </c>
      <c r="E161" s="2" t="s">
        <v>97</v>
      </c>
      <c r="F161" s="2" t="str">
        <f>'Source Table'!$D$6</f>
        <v>Felony Crimes</v>
      </c>
      <c r="G161" t="str">
        <f>'Source Table'!$D$5</f>
        <v>الجرائم الجنائية</v>
      </c>
      <c r="H161" s="3" t="str">
        <f>'Source Table'!$B$26</f>
        <v>Tafiela</v>
      </c>
      <c r="I161" s="3" t="str">
        <f>'Source Table'!$E$26</f>
        <v>الطفيلة</v>
      </c>
      <c r="J161" s="27">
        <v>62</v>
      </c>
      <c r="K161">
        <v>2020</v>
      </c>
    </row>
    <row r="162" ht="15" spans="1:11">
      <c r="A162" t="s">
        <v>93</v>
      </c>
      <c r="B162" t="s">
        <v>94</v>
      </c>
      <c r="C162" s="1" t="s">
        <v>95</v>
      </c>
      <c r="D162" s="53" t="s">
        <v>96</v>
      </c>
      <c r="E162" s="2" t="s">
        <v>97</v>
      </c>
      <c r="F162" s="2" t="str">
        <f>'Source Table'!$D$6</f>
        <v>Felony Crimes</v>
      </c>
      <c r="G162" t="str">
        <f>'Source Table'!$D$5</f>
        <v>الجرائم الجنائية</v>
      </c>
      <c r="H162" s="3" t="str">
        <f>'Source Table'!$B$27</f>
        <v>Ma'an</v>
      </c>
      <c r="I162" s="3" t="str">
        <f>'Source Table'!$E$27</f>
        <v>معان</v>
      </c>
      <c r="J162" s="27">
        <v>54</v>
      </c>
      <c r="K162">
        <v>2020</v>
      </c>
    </row>
    <row r="163" ht="15" spans="1:11">
      <c r="A163" t="s">
        <v>93</v>
      </c>
      <c r="B163" t="s">
        <v>94</v>
      </c>
      <c r="C163" s="1" t="s">
        <v>95</v>
      </c>
      <c r="D163" s="53" t="s">
        <v>96</v>
      </c>
      <c r="E163" s="2" t="s">
        <v>97</v>
      </c>
      <c r="F163" s="2" t="str">
        <f>'Source Table'!$D$6</f>
        <v>Felony Crimes</v>
      </c>
      <c r="G163" t="str">
        <f>'Source Table'!$D$5</f>
        <v>الجرائم الجنائية</v>
      </c>
      <c r="H163" s="3" t="str">
        <f>'Source Table'!$B$28</f>
        <v>West ofMa'an</v>
      </c>
      <c r="I163" s="3" t="str">
        <f>'Source Table'!$E$28</f>
        <v>غرب معان</v>
      </c>
      <c r="J163" s="27">
        <v>9</v>
      </c>
      <c r="K163">
        <v>2020</v>
      </c>
    </row>
    <row r="164" ht="15" spans="1:11">
      <c r="A164" t="s">
        <v>93</v>
      </c>
      <c r="B164" t="s">
        <v>94</v>
      </c>
      <c r="C164" s="1" t="s">
        <v>95</v>
      </c>
      <c r="D164" s="53" t="s">
        <v>96</v>
      </c>
      <c r="E164" s="2" t="s">
        <v>97</v>
      </c>
      <c r="F164" s="2" t="str">
        <f>'Source Table'!$D$6</f>
        <v>Felony Crimes</v>
      </c>
      <c r="G164" t="str">
        <f>'Source Table'!$D$5</f>
        <v>الجرائم الجنائية</v>
      </c>
      <c r="H164" s="3" t="str">
        <f>'Source Table'!$B$29</f>
        <v>Aqaba</v>
      </c>
      <c r="I164" s="3" t="str">
        <f>'Source Table'!$E$29</f>
        <v>العقبة</v>
      </c>
      <c r="J164" s="27">
        <v>157</v>
      </c>
      <c r="K164">
        <v>2020</v>
      </c>
    </row>
    <row r="165" ht="15" spans="1:11">
      <c r="A165" t="s">
        <v>93</v>
      </c>
      <c r="B165" t="s">
        <v>94</v>
      </c>
      <c r="C165" s="1" t="s">
        <v>95</v>
      </c>
      <c r="D165" s="53" t="s">
        <v>96</v>
      </c>
      <c r="E165" s="2" t="s">
        <v>97</v>
      </c>
      <c r="F165" s="3" t="str">
        <f>'Source Table'!$C$6</f>
        <v>Misdemeanor Crimes</v>
      </c>
      <c r="G165" s="3" t="str">
        <f>'Source Table'!$C$5</f>
        <v>الجرائم الجنحوية</v>
      </c>
      <c r="H165" t="str">
        <f>'Source Table'!$B$7</f>
        <v>Middle Amman</v>
      </c>
      <c r="I165" t="str">
        <f>'Source Table'!$E$7</f>
        <v>وسط عمان</v>
      </c>
      <c r="J165" s="28">
        <v>1690</v>
      </c>
      <c r="K165">
        <v>2020</v>
      </c>
    </row>
    <row r="166" ht="15" spans="1:11">
      <c r="A166" t="s">
        <v>93</v>
      </c>
      <c r="B166" t="s">
        <v>94</v>
      </c>
      <c r="C166" s="1" t="s">
        <v>95</v>
      </c>
      <c r="D166" s="53" t="s">
        <v>96</v>
      </c>
      <c r="E166" s="2" t="s">
        <v>97</v>
      </c>
      <c r="F166" s="3" t="str">
        <f>'Source Table'!$C$6</f>
        <v>Misdemeanor Crimes</v>
      </c>
      <c r="G166" s="3" t="str">
        <f>'Source Table'!$C$5</f>
        <v>الجرائم الجنحوية</v>
      </c>
      <c r="H166" t="str">
        <f>'Source Table'!$B$8</f>
        <v>South Amman</v>
      </c>
      <c r="I166" t="str">
        <f>'Source Table'!$E$8</f>
        <v>جنوب عمان</v>
      </c>
      <c r="J166" s="28">
        <v>2068</v>
      </c>
      <c r="K166">
        <v>2020</v>
      </c>
    </row>
    <row r="167" ht="15" spans="1:11">
      <c r="A167" t="s">
        <v>93</v>
      </c>
      <c r="B167" t="s">
        <v>94</v>
      </c>
      <c r="C167" s="1" t="s">
        <v>95</v>
      </c>
      <c r="D167" s="53" t="s">
        <v>96</v>
      </c>
      <c r="E167" s="2" t="s">
        <v>97</v>
      </c>
      <c r="F167" s="3" t="str">
        <f>'Source Table'!$C$6</f>
        <v>Misdemeanor Crimes</v>
      </c>
      <c r="G167" s="3" t="str">
        <f>'Source Table'!$C$5</f>
        <v>الجرائم الجنحوية</v>
      </c>
      <c r="H167" t="str">
        <f>'Source Table'!$B$9</f>
        <v>North Amman</v>
      </c>
      <c r="I167" t="str">
        <f>'Source Table'!$E$9</f>
        <v>شمال عمان </v>
      </c>
      <c r="J167" s="28">
        <v>1796</v>
      </c>
      <c r="K167">
        <v>2020</v>
      </c>
    </row>
    <row r="168" ht="15" spans="1:11">
      <c r="A168" t="s">
        <v>93</v>
      </c>
      <c r="B168" t="s">
        <v>94</v>
      </c>
      <c r="C168" s="1" t="s">
        <v>95</v>
      </c>
      <c r="D168" s="53" t="s">
        <v>96</v>
      </c>
      <c r="E168" s="2" t="s">
        <v>97</v>
      </c>
      <c r="F168" s="3" t="str">
        <f>'Source Table'!$C$6</f>
        <v>Misdemeanor Crimes</v>
      </c>
      <c r="G168" s="3" t="str">
        <f>'Source Table'!$C$5</f>
        <v>الجرائم الجنحوية</v>
      </c>
      <c r="H168" t="str">
        <f>'Source Table'!$B$10</f>
        <v>East Amman</v>
      </c>
      <c r="I168" t="str">
        <f>'Source Table'!$E$10</f>
        <v>شرق عمان</v>
      </c>
      <c r="J168" s="28">
        <v>1662</v>
      </c>
      <c r="K168">
        <v>2020</v>
      </c>
    </row>
    <row r="169" ht="15" spans="1:11">
      <c r="A169" t="s">
        <v>93</v>
      </c>
      <c r="B169" t="s">
        <v>94</v>
      </c>
      <c r="C169" s="1" t="s">
        <v>95</v>
      </c>
      <c r="D169" s="53" t="s">
        <v>96</v>
      </c>
      <c r="E169" s="2" t="s">
        <v>97</v>
      </c>
      <c r="F169" s="3" t="str">
        <f>'Source Table'!$C$6</f>
        <v>Misdemeanor Crimes</v>
      </c>
      <c r="G169" s="3" t="str">
        <f>'Source Table'!$C$5</f>
        <v>الجرائم الجنحوية</v>
      </c>
      <c r="H169" t="str">
        <f>'Source Table'!$B$11</f>
        <v>Balqa</v>
      </c>
      <c r="I169" t="str">
        <f>'Source Table'!$E$11</f>
        <v>البلقاء</v>
      </c>
      <c r="J169" s="28">
        <v>748</v>
      </c>
      <c r="K169">
        <v>2020</v>
      </c>
    </row>
    <row r="170" ht="15" spans="1:11">
      <c r="A170" t="s">
        <v>93</v>
      </c>
      <c r="B170" t="s">
        <v>94</v>
      </c>
      <c r="C170" s="1" t="s">
        <v>95</v>
      </c>
      <c r="D170" s="53" t="s">
        <v>96</v>
      </c>
      <c r="E170" s="2" t="s">
        <v>97</v>
      </c>
      <c r="F170" s="3" t="str">
        <f>'Source Table'!$C$6</f>
        <v>Misdemeanor Crimes</v>
      </c>
      <c r="G170" s="3" t="str">
        <f>'Source Table'!$C$5</f>
        <v>الجرائم الجنحوية</v>
      </c>
      <c r="H170" t="str">
        <f>'Source Table'!$B$12</f>
        <v>West Balqa</v>
      </c>
      <c r="I170" t="str">
        <f>'Source Table'!$E$12</f>
        <v>غرب البلقاء </v>
      </c>
      <c r="J170" s="28">
        <v>255</v>
      </c>
      <c r="K170">
        <v>2020</v>
      </c>
    </row>
    <row r="171" ht="15" spans="1:11">
      <c r="A171" t="s">
        <v>93</v>
      </c>
      <c r="B171" t="s">
        <v>94</v>
      </c>
      <c r="C171" s="1" t="s">
        <v>95</v>
      </c>
      <c r="D171" s="53" t="s">
        <v>96</v>
      </c>
      <c r="E171" s="2" t="s">
        <v>97</v>
      </c>
      <c r="F171" s="3" t="str">
        <f>'Source Table'!$C$6</f>
        <v>Misdemeanor Crimes</v>
      </c>
      <c r="G171" s="3" t="str">
        <f>'Source Table'!$C$5</f>
        <v>الجرائم الجنحوية</v>
      </c>
      <c r="H171" t="str">
        <f>'Source Table'!$B$13</f>
        <v>Zarqa</v>
      </c>
      <c r="I171" t="str">
        <f>'Source Table'!$E$13</f>
        <v>الزرقاء</v>
      </c>
      <c r="J171" s="28">
        <v>1266</v>
      </c>
      <c r="K171">
        <v>2020</v>
      </c>
    </row>
    <row r="172" ht="15" spans="1:11">
      <c r="A172" t="s">
        <v>93</v>
      </c>
      <c r="B172" t="s">
        <v>94</v>
      </c>
      <c r="C172" s="1" t="s">
        <v>95</v>
      </c>
      <c r="D172" s="53" t="s">
        <v>96</v>
      </c>
      <c r="E172" s="2" t="s">
        <v>97</v>
      </c>
      <c r="F172" s="3" t="str">
        <f>'Source Table'!$C$6</f>
        <v>Misdemeanor Crimes</v>
      </c>
      <c r="G172" s="3" t="str">
        <f>'Source Table'!$C$5</f>
        <v>الجرائم الجنحوية</v>
      </c>
      <c r="H172" t="str">
        <f>'Source Table'!$B$14</f>
        <v>Al-Russaifa</v>
      </c>
      <c r="I172" t="str">
        <f>'Source Table'!$E$14</f>
        <v>الرصيفة</v>
      </c>
      <c r="J172" s="28">
        <v>523</v>
      </c>
      <c r="K172">
        <v>2020</v>
      </c>
    </row>
    <row r="173" ht="15" spans="1:11">
      <c r="A173" t="s">
        <v>93</v>
      </c>
      <c r="B173" t="s">
        <v>94</v>
      </c>
      <c r="C173" s="1" t="s">
        <v>95</v>
      </c>
      <c r="D173" s="53" t="s">
        <v>96</v>
      </c>
      <c r="E173" s="2" t="s">
        <v>97</v>
      </c>
      <c r="F173" s="3" t="str">
        <f>'Source Table'!$C$6</f>
        <v>Misdemeanor Crimes</v>
      </c>
      <c r="G173" s="3" t="str">
        <f>'Source Table'!$C$5</f>
        <v>الجرائم الجنحوية</v>
      </c>
      <c r="H173" t="str">
        <f>'Source Table'!$B$15</f>
        <v>Madaba</v>
      </c>
      <c r="I173" t="str">
        <f>'Source Table'!$E$15</f>
        <v>مادبا</v>
      </c>
      <c r="J173" s="28">
        <v>438</v>
      </c>
      <c r="K173">
        <v>2020</v>
      </c>
    </row>
    <row r="174" ht="15" spans="1:11">
      <c r="A174" t="s">
        <v>93</v>
      </c>
      <c r="B174" t="s">
        <v>94</v>
      </c>
      <c r="C174" s="1" t="s">
        <v>95</v>
      </c>
      <c r="D174" s="53" t="s">
        <v>96</v>
      </c>
      <c r="E174" s="2" t="s">
        <v>97</v>
      </c>
      <c r="F174" s="3" t="str">
        <f>'Source Table'!$C$6</f>
        <v>Misdemeanor Crimes</v>
      </c>
      <c r="G174" s="3" t="str">
        <f>'Source Table'!$C$5</f>
        <v>الجرائم الجنحوية</v>
      </c>
      <c r="H174" t="str">
        <f>'Source Table'!$B$16</f>
        <v>Irbid</v>
      </c>
      <c r="I174" t="str">
        <f>'Source Table'!$E$16</f>
        <v>إربد</v>
      </c>
      <c r="J174" s="28">
        <v>2110</v>
      </c>
      <c r="K174">
        <v>2020</v>
      </c>
    </row>
    <row r="175" ht="15" spans="1:11">
      <c r="A175" t="s">
        <v>93</v>
      </c>
      <c r="B175" t="s">
        <v>94</v>
      </c>
      <c r="C175" s="1" t="s">
        <v>95</v>
      </c>
      <c r="D175" s="53" t="s">
        <v>96</v>
      </c>
      <c r="E175" s="2" t="s">
        <v>97</v>
      </c>
      <c r="F175" s="3" t="str">
        <f>'Source Table'!$C$6</f>
        <v>Misdemeanor Crimes</v>
      </c>
      <c r="G175" s="3" t="str">
        <f>'Source Table'!$C$5</f>
        <v>الجرائم الجنحوية</v>
      </c>
      <c r="H175" t="str">
        <f>'Source Table'!$B$17</f>
        <v>West Irbid</v>
      </c>
      <c r="I175" t="str">
        <f>'Source Table'!$E$17</f>
        <v>غرب إربد</v>
      </c>
      <c r="J175" s="28">
        <v>365</v>
      </c>
      <c r="K175">
        <v>2020</v>
      </c>
    </row>
    <row r="176" ht="15" spans="1:11">
      <c r="A176" t="s">
        <v>93</v>
      </c>
      <c r="B176" t="s">
        <v>94</v>
      </c>
      <c r="C176" s="1" t="s">
        <v>95</v>
      </c>
      <c r="D176" s="53" t="s">
        <v>96</v>
      </c>
      <c r="E176" s="2" t="s">
        <v>97</v>
      </c>
      <c r="F176" s="3" t="str">
        <f>'Source Table'!$C$6</f>
        <v>Misdemeanor Crimes</v>
      </c>
      <c r="G176" s="3" t="str">
        <f>'Source Table'!$C$5</f>
        <v>الجرائم الجنحوية</v>
      </c>
      <c r="H176" t="str">
        <f>'Source Table'!$B$18</f>
        <v>Al-Ramtha</v>
      </c>
      <c r="I176" t="str">
        <f>'Source Table'!$E$18</f>
        <v>الرمثا</v>
      </c>
      <c r="J176" s="28">
        <v>399</v>
      </c>
      <c r="K176">
        <v>2020</v>
      </c>
    </row>
    <row r="177" ht="15" spans="1:11">
      <c r="A177" t="s">
        <v>93</v>
      </c>
      <c r="B177" t="s">
        <v>94</v>
      </c>
      <c r="C177" s="1" t="s">
        <v>95</v>
      </c>
      <c r="D177" s="53" t="s">
        <v>96</v>
      </c>
      <c r="E177" s="2" t="s">
        <v>97</v>
      </c>
      <c r="F177" s="3" t="str">
        <f>'Source Table'!$C$6</f>
        <v>Misdemeanor Crimes</v>
      </c>
      <c r="G177" s="3" t="str">
        <f>'Source Table'!$C$5</f>
        <v>الجرائم الجنحوية</v>
      </c>
      <c r="H177" t="str">
        <f>'Source Table'!$B$19</f>
        <v>Mafraq</v>
      </c>
      <c r="I177" t="str">
        <f>'Source Table'!$E$19</f>
        <v>المفرق</v>
      </c>
      <c r="J177" s="28">
        <v>475</v>
      </c>
      <c r="K177">
        <v>2020</v>
      </c>
    </row>
    <row r="178" ht="15" spans="1:11">
      <c r="A178" t="s">
        <v>93</v>
      </c>
      <c r="B178" t="s">
        <v>94</v>
      </c>
      <c r="C178" s="1" t="s">
        <v>95</v>
      </c>
      <c r="D178" s="53" t="s">
        <v>96</v>
      </c>
      <c r="E178" s="2" t="s">
        <v>97</v>
      </c>
      <c r="F178" s="3" t="str">
        <f>'Source Table'!$C$6</f>
        <v>Misdemeanor Crimes</v>
      </c>
      <c r="G178" s="3" t="str">
        <f>'Source Table'!$C$5</f>
        <v>الجرائم الجنحوية</v>
      </c>
      <c r="H178" t="str">
        <f>'Source Table'!$B$20</f>
        <v>North Bedouin</v>
      </c>
      <c r="I178" t="str">
        <f>'Source Table'!$E$20</f>
        <v>الباديةالشمالية</v>
      </c>
      <c r="J178" s="28">
        <v>262</v>
      </c>
      <c r="K178">
        <v>2020</v>
      </c>
    </row>
    <row r="179" ht="15" spans="1:11">
      <c r="A179" t="s">
        <v>93</v>
      </c>
      <c r="B179" t="s">
        <v>94</v>
      </c>
      <c r="C179" s="1" t="s">
        <v>95</v>
      </c>
      <c r="D179" s="53" t="s">
        <v>96</v>
      </c>
      <c r="E179" s="2" t="s">
        <v>97</v>
      </c>
      <c r="F179" s="3" t="str">
        <f>'Source Table'!$C$6</f>
        <v>Misdemeanor Crimes</v>
      </c>
      <c r="G179" s="3" t="str">
        <f>'Source Table'!$C$5</f>
        <v>الجرائم الجنحوية</v>
      </c>
      <c r="H179" s="3" t="str">
        <f>'Source Table'!$B$21</f>
        <v>Middle Bedouin</v>
      </c>
      <c r="I179" s="3" t="str">
        <f>'Source Table'!$E$21</f>
        <v>البادية الوسطى</v>
      </c>
      <c r="J179" s="28">
        <v>286</v>
      </c>
      <c r="K179">
        <v>2020</v>
      </c>
    </row>
    <row r="180" ht="15" spans="1:11">
      <c r="A180" t="s">
        <v>93</v>
      </c>
      <c r="B180" t="s">
        <v>94</v>
      </c>
      <c r="C180" s="1" t="s">
        <v>95</v>
      </c>
      <c r="D180" s="53" t="s">
        <v>96</v>
      </c>
      <c r="E180" s="2" t="s">
        <v>97</v>
      </c>
      <c r="F180" s="3" t="str">
        <f>'Source Table'!$C$6</f>
        <v>Misdemeanor Crimes</v>
      </c>
      <c r="G180" s="3" t="str">
        <f>'Source Table'!$C$5</f>
        <v>الجرائم الجنحوية</v>
      </c>
      <c r="H180" s="3" t="str">
        <f>'Source Table'!$B$22</f>
        <v>South Bedouin</v>
      </c>
      <c r="I180" s="3" t="str">
        <f>'Source Table'!$E$22</f>
        <v>البادية الجنوبية </v>
      </c>
      <c r="J180" s="28">
        <v>28</v>
      </c>
      <c r="K180">
        <v>2020</v>
      </c>
    </row>
    <row r="181" ht="15" spans="1:11">
      <c r="A181" t="s">
        <v>93</v>
      </c>
      <c r="B181" t="s">
        <v>94</v>
      </c>
      <c r="C181" s="1" t="s">
        <v>95</v>
      </c>
      <c r="D181" s="53" t="s">
        <v>96</v>
      </c>
      <c r="E181" s="2" t="s">
        <v>97</v>
      </c>
      <c r="F181" s="3" t="str">
        <f>'Source Table'!$C$6</f>
        <v>Misdemeanor Crimes</v>
      </c>
      <c r="G181" s="3" t="str">
        <f>'Source Table'!$C$5</f>
        <v>الجرائم الجنحوية</v>
      </c>
      <c r="H181" s="3" t="str">
        <f>'Source Table'!$B$23</f>
        <v>Jarash</v>
      </c>
      <c r="I181" s="3" t="str">
        <f>'Source Table'!$E$23</f>
        <v>جرش</v>
      </c>
      <c r="J181" s="28">
        <v>316</v>
      </c>
      <c r="K181">
        <v>2020</v>
      </c>
    </row>
    <row r="182" ht="15" spans="1:11">
      <c r="A182" t="s">
        <v>93</v>
      </c>
      <c r="B182" t="s">
        <v>94</v>
      </c>
      <c r="C182" s="1" t="s">
        <v>95</v>
      </c>
      <c r="D182" s="53" t="s">
        <v>96</v>
      </c>
      <c r="E182" s="2" t="s">
        <v>97</v>
      </c>
      <c r="F182" s="3" t="str">
        <f>'Source Table'!$C$6</f>
        <v>Misdemeanor Crimes</v>
      </c>
      <c r="G182" s="3" t="str">
        <f>'Source Table'!$C$5</f>
        <v>الجرائم الجنحوية</v>
      </c>
      <c r="H182" s="3" t="str">
        <f>'Source Table'!$B$24</f>
        <v>Ajloun</v>
      </c>
      <c r="I182" s="3" t="str">
        <f>'Source Table'!$E$24</f>
        <v>عجلون</v>
      </c>
      <c r="J182" s="28">
        <v>203</v>
      </c>
      <c r="K182">
        <v>2020</v>
      </c>
    </row>
    <row r="183" ht="15" spans="1:11">
      <c r="A183" t="s">
        <v>93</v>
      </c>
      <c r="B183" t="s">
        <v>94</v>
      </c>
      <c r="C183" s="1" t="s">
        <v>95</v>
      </c>
      <c r="D183" s="53" t="s">
        <v>96</v>
      </c>
      <c r="E183" s="2" t="s">
        <v>97</v>
      </c>
      <c r="F183" s="3" t="str">
        <f>'Source Table'!$C$6</f>
        <v>Misdemeanor Crimes</v>
      </c>
      <c r="G183" s="3" t="str">
        <f>'Source Table'!$C$5</f>
        <v>الجرائم الجنحوية</v>
      </c>
      <c r="H183" s="3" t="str">
        <f>'Source Table'!$B$25</f>
        <v>Karak</v>
      </c>
      <c r="I183" s="3" t="str">
        <f>'Source Table'!$E$25</f>
        <v>الكرك</v>
      </c>
      <c r="J183" s="28">
        <v>483</v>
      </c>
      <c r="K183">
        <v>2020</v>
      </c>
    </row>
    <row r="184" ht="15" spans="1:11">
      <c r="A184" t="s">
        <v>93</v>
      </c>
      <c r="B184" t="s">
        <v>94</v>
      </c>
      <c r="C184" s="1" t="s">
        <v>95</v>
      </c>
      <c r="D184" s="53" t="s">
        <v>96</v>
      </c>
      <c r="E184" s="2" t="s">
        <v>97</v>
      </c>
      <c r="F184" s="3" t="str">
        <f>'Source Table'!$C$6</f>
        <v>Misdemeanor Crimes</v>
      </c>
      <c r="G184" s="3" t="str">
        <f>'Source Table'!$C$5</f>
        <v>الجرائم الجنحوية</v>
      </c>
      <c r="H184" s="3" t="str">
        <f>'Source Table'!$B$26</f>
        <v>Tafiela</v>
      </c>
      <c r="I184" s="3" t="str">
        <f>'Source Table'!$E$26</f>
        <v>الطفيلة</v>
      </c>
      <c r="J184" s="28">
        <v>138</v>
      </c>
      <c r="K184">
        <v>2020</v>
      </c>
    </row>
    <row r="185" ht="15" spans="1:11">
      <c r="A185" t="s">
        <v>93</v>
      </c>
      <c r="B185" t="s">
        <v>94</v>
      </c>
      <c r="C185" s="1" t="s">
        <v>95</v>
      </c>
      <c r="D185" s="53" t="s">
        <v>96</v>
      </c>
      <c r="E185" s="2" t="s">
        <v>97</v>
      </c>
      <c r="F185" s="3" t="str">
        <f>'Source Table'!$C$6</f>
        <v>Misdemeanor Crimes</v>
      </c>
      <c r="G185" s="3" t="str">
        <f>'Source Table'!$C$5</f>
        <v>الجرائم الجنحوية</v>
      </c>
      <c r="H185" s="3" t="str">
        <f>'Source Table'!$B$27</f>
        <v>Ma'an</v>
      </c>
      <c r="I185" s="3" t="str">
        <f>'Source Table'!$E$27</f>
        <v>معان</v>
      </c>
      <c r="J185" s="28">
        <v>122</v>
      </c>
      <c r="K185">
        <v>2020</v>
      </c>
    </row>
    <row r="186" ht="15" spans="1:11">
      <c r="A186" t="s">
        <v>93</v>
      </c>
      <c r="B186" t="s">
        <v>94</v>
      </c>
      <c r="C186" s="1" t="s">
        <v>95</v>
      </c>
      <c r="D186" s="53" t="s">
        <v>96</v>
      </c>
      <c r="E186" s="2" t="s">
        <v>97</v>
      </c>
      <c r="F186" s="3" t="str">
        <f>'Source Table'!$C$6</f>
        <v>Misdemeanor Crimes</v>
      </c>
      <c r="G186" s="3" t="str">
        <f>'Source Table'!$C$5</f>
        <v>الجرائم الجنحوية</v>
      </c>
      <c r="H186" s="3" t="str">
        <f>'Source Table'!$B$28</f>
        <v>West ofMa'an</v>
      </c>
      <c r="I186" s="3" t="str">
        <f>'Source Table'!$E$28</f>
        <v>غرب معان</v>
      </c>
      <c r="J186" s="28">
        <v>55</v>
      </c>
      <c r="K186">
        <v>2020</v>
      </c>
    </row>
    <row r="187" ht="15" spans="1:11">
      <c r="A187" t="s">
        <v>93</v>
      </c>
      <c r="B187" t="s">
        <v>94</v>
      </c>
      <c r="C187" s="1" t="s">
        <v>95</v>
      </c>
      <c r="D187" s="53" t="s">
        <v>96</v>
      </c>
      <c r="E187" s="2" t="s">
        <v>97</v>
      </c>
      <c r="F187" s="3" t="str">
        <f>'Source Table'!$C$6</f>
        <v>Misdemeanor Crimes</v>
      </c>
      <c r="G187" s="3" t="str">
        <f>'Source Table'!$C$5</f>
        <v>الجرائم الجنحوية</v>
      </c>
      <c r="H187" s="3" t="str">
        <f>'Source Table'!$B$29</f>
        <v>Aqaba</v>
      </c>
      <c r="I187" s="3" t="str">
        <f>'Source Table'!$E$29</f>
        <v>العقبة</v>
      </c>
      <c r="J187" s="28">
        <v>499</v>
      </c>
      <c r="K187">
        <v>2020</v>
      </c>
    </row>
    <row r="188" ht="15" spans="1:11">
      <c r="A188" t="s">
        <v>93</v>
      </c>
      <c r="B188" t="s">
        <v>94</v>
      </c>
      <c r="C188" s="1" t="s">
        <v>95</v>
      </c>
      <c r="D188" s="53" t="s">
        <v>96</v>
      </c>
      <c r="E188" s="2" t="s">
        <v>97</v>
      </c>
      <c r="F188" s="2" t="str">
        <f>'Source Table'!$D$6</f>
        <v>Felony Crimes</v>
      </c>
      <c r="G188" t="str">
        <f>'Source Table'!$D$5</f>
        <v>الجرائم الجنائية</v>
      </c>
      <c r="H188" t="str">
        <f>'Source Table'!$B$7</f>
        <v>Middle Amman</v>
      </c>
      <c r="I188" t="str">
        <f>'Source Table'!$E$7</f>
        <v>وسط عمان</v>
      </c>
      <c r="J188" s="29">
        <v>849</v>
      </c>
      <c r="K188">
        <v>2019</v>
      </c>
    </row>
    <row r="189" ht="15" spans="1:11">
      <c r="A189" t="s">
        <v>93</v>
      </c>
      <c r="B189" t="s">
        <v>94</v>
      </c>
      <c r="C189" s="1" t="s">
        <v>95</v>
      </c>
      <c r="D189" s="53" t="s">
        <v>96</v>
      </c>
      <c r="E189" s="2" t="s">
        <v>97</v>
      </c>
      <c r="F189" s="2" t="str">
        <f>'Source Table'!$D$6</f>
        <v>Felony Crimes</v>
      </c>
      <c r="G189" t="str">
        <f>'Source Table'!$D$5</f>
        <v>الجرائم الجنائية</v>
      </c>
      <c r="H189" t="str">
        <f>'Source Table'!$B$8</f>
        <v>South Amman</v>
      </c>
      <c r="I189" t="str">
        <f>'Source Table'!$E$8</f>
        <v>جنوب عمان</v>
      </c>
      <c r="J189" s="29">
        <v>852</v>
      </c>
      <c r="K189">
        <v>2019</v>
      </c>
    </row>
    <row r="190" ht="15" spans="1:11">
      <c r="A190" t="s">
        <v>93</v>
      </c>
      <c r="B190" t="s">
        <v>94</v>
      </c>
      <c r="C190" s="1" t="s">
        <v>95</v>
      </c>
      <c r="D190" s="53" t="s">
        <v>96</v>
      </c>
      <c r="E190" s="2" t="s">
        <v>97</v>
      </c>
      <c r="F190" s="2" t="str">
        <f>'Source Table'!$D$6</f>
        <v>Felony Crimes</v>
      </c>
      <c r="G190" t="str">
        <f>'Source Table'!$D$5</f>
        <v>الجرائم الجنائية</v>
      </c>
      <c r="H190" t="str">
        <f>'Source Table'!$B$9</f>
        <v>North Amman</v>
      </c>
      <c r="I190" t="str">
        <f>'Source Table'!$E$9</f>
        <v>شمال عمان </v>
      </c>
      <c r="J190" s="29">
        <v>634</v>
      </c>
      <c r="K190">
        <v>2019</v>
      </c>
    </row>
    <row r="191" ht="15" spans="1:11">
      <c r="A191" t="s">
        <v>93</v>
      </c>
      <c r="B191" t="s">
        <v>94</v>
      </c>
      <c r="C191" s="1" t="s">
        <v>95</v>
      </c>
      <c r="D191" s="53" t="s">
        <v>96</v>
      </c>
      <c r="E191" s="2" t="s">
        <v>97</v>
      </c>
      <c r="F191" s="2" t="str">
        <f>'Source Table'!$D$6</f>
        <v>Felony Crimes</v>
      </c>
      <c r="G191" t="str">
        <f>'Source Table'!$D$5</f>
        <v>الجرائم الجنائية</v>
      </c>
      <c r="H191" t="str">
        <f>'Source Table'!$B$10</f>
        <v>East Amman</v>
      </c>
      <c r="I191" t="str">
        <f>'Source Table'!$E$10</f>
        <v>شرق عمان</v>
      </c>
      <c r="J191" s="29">
        <v>864</v>
      </c>
      <c r="K191">
        <v>2019</v>
      </c>
    </row>
    <row r="192" ht="15" spans="1:11">
      <c r="A192" t="s">
        <v>93</v>
      </c>
      <c r="B192" t="s">
        <v>94</v>
      </c>
      <c r="C192" s="1" t="s">
        <v>95</v>
      </c>
      <c r="D192" s="53" t="s">
        <v>96</v>
      </c>
      <c r="E192" s="2" t="s">
        <v>97</v>
      </c>
      <c r="F192" s="2" t="str">
        <f>'Source Table'!$D$6</f>
        <v>Felony Crimes</v>
      </c>
      <c r="G192" t="str">
        <f>'Source Table'!$D$5</f>
        <v>الجرائم الجنائية</v>
      </c>
      <c r="H192" t="str">
        <f>'Source Table'!$B$11</f>
        <v>Balqa</v>
      </c>
      <c r="I192" t="str">
        <f>'Source Table'!$E$11</f>
        <v>البلقاء</v>
      </c>
      <c r="J192" s="29">
        <v>367</v>
      </c>
      <c r="K192">
        <v>2019</v>
      </c>
    </row>
    <row r="193" ht="15" spans="1:11">
      <c r="A193" t="s">
        <v>93</v>
      </c>
      <c r="B193" t="s">
        <v>94</v>
      </c>
      <c r="C193" s="1" t="s">
        <v>95</v>
      </c>
      <c r="D193" s="53" t="s">
        <v>96</v>
      </c>
      <c r="E193" s="2" t="s">
        <v>97</v>
      </c>
      <c r="F193" s="2" t="str">
        <f>'Source Table'!$D$6</f>
        <v>Felony Crimes</v>
      </c>
      <c r="G193" t="str">
        <f>'Source Table'!$D$5</f>
        <v>الجرائم الجنائية</v>
      </c>
      <c r="H193" t="str">
        <f>'Source Table'!$B$12</f>
        <v>West Balqa</v>
      </c>
      <c r="I193" t="str">
        <f>'Source Table'!$E$12</f>
        <v>غرب البلقاء </v>
      </c>
      <c r="J193" s="29">
        <v>185</v>
      </c>
      <c r="K193">
        <v>2019</v>
      </c>
    </row>
    <row r="194" ht="15" spans="1:11">
      <c r="A194" t="s">
        <v>93</v>
      </c>
      <c r="B194" t="s">
        <v>94</v>
      </c>
      <c r="C194" s="1" t="s">
        <v>95</v>
      </c>
      <c r="D194" s="53" t="s">
        <v>96</v>
      </c>
      <c r="E194" s="2" t="s">
        <v>97</v>
      </c>
      <c r="F194" s="2" t="str">
        <f>'Source Table'!$D$6</f>
        <v>Felony Crimes</v>
      </c>
      <c r="G194" t="str">
        <f>'Source Table'!$D$5</f>
        <v>الجرائم الجنائية</v>
      </c>
      <c r="H194" t="str">
        <f>'Source Table'!$B$13</f>
        <v>Zarqa</v>
      </c>
      <c r="I194" t="str">
        <f>'Source Table'!$E$13</f>
        <v>الزرقاء</v>
      </c>
      <c r="J194" s="30">
        <v>568</v>
      </c>
      <c r="K194">
        <v>2019</v>
      </c>
    </row>
    <row r="195" ht="15" spans="1:11">
      <c r="A195" t="s">
        <v>93</v>
      </c>
      <c r="B195" t="s">
        <v>94</v>
      </c>
      <c r="C195" s="1" t="s">
        <v>95</v>
      </c>
      <c r="D195" s="53" t="s">
        <v>96</v>
      </c>
      <c r="E195" s="2" t="s">
        <v>97</v>
      </c>
      <c r="F195" s="2" t="str">
        <f>'Source Table'!$D$6</f>
        <v>Felony Crimes</v>
      </c>
      <c r="G195" t="str">
        <f>'Source Table'!$D$5</f>
        <v>الجرائم الجنائية</v>
      </c>
      <c r="H195" t="str">
        <f>'Source Table'!$B$14</f>
        <v>Al-Russaifa</v>
      </c>
      <c r="I195" t="str">
        <f>'Source Table'!$E$14</f>
        <v>الرصيفة</v>
      </c>
      <c r="J195" s="29">
        <v>254</v>
      </c>
      <c r="K195">
        <v>2019</v>
      </c>
    </row>
    <row r="196" ht="15" spans="1:11">
      <c r="A196" t="s">
        <v>93</v>
      </c>
      <c r="B196" t="s">
        <v>94</v>
      </c>
      <c r="C196" s="1" t="s">
        <v>95</v>
      </c>
      <c r="D196" s="53" t="s">
        <v>96</v>
      </c>
      <c r="E196" s="2" t="s">
        <v>97</v>
      </c>
      <c r="F196" s="2" t="str">
        <f>'Source Table'!$D$6</f>
        <v>Felony Crimes</v>
      </c>
      <c r="G196" t="str">
        <f>'Source Table'!$D$5</f>
        <v>الجرائم الجنائية</v>
      </c>
      <c r="H196" t="str">
        <f>'Source Table'!$B$15</f>
        <v>Madaba</v>
      </c>
      <c r="I196" t="str">
        <f>'Source Table'!$E$15</f>
        <v>مادبا</v>
      </c>
      <c r="J196" s="29">
        <v>144</v>
      </c>
      <c r="K196">
        <v>2019</v>
      </c>
    </row>
    <row r="197" ht="15" spans="1:11">
      <c r="A197" t="s">
        <v>93</v>
      </c>
      <c r="B197" t="s">
        <v>94</v>
      </c>
      <c r="C197" s="1" t="s">
        <v>95</v>
      </c>
      <c r="D197" s="53" t="s">
        <v>96</v>
      </c>
      <c r="E197" s="2" t="s">
        <v>97</v>
      </c>
      <c r="F197" s="2" t="str">
        <f>'Source Table'!$D$6</f>
        <v>Felony Crimes</v>
      </c>
      <c r="G197" t="str">
        <f>'Source Table'!$D$5</f>
        <v>الجرائم الجنائية</v>
      </c>
      <c r="H197" t="str">
        <f>'Source Table'!$B$16</f>
        <v>Irbid</v>
      </c>
      <c r="I197" t="str">
        <f>'Source Table'!$E$16</f>
        <v>إربد</v>
      </c>
      <c r="J197" s="29">
        <v>794</v>
      </c>
      <c r="K197">
        <v>2019</v>
      </c>
    </row>
    <row r="198" ht="15" spans="1:11">
      <c r="A198" t="s">
        <v>93</v>
      </c>
      <c r="B198" t="s">
        <v>94</v>
      </c>
      <c r="C198" s="1" t="s">
        <v>95</v>
      </c>
      <c r="D198" s="53" t="s">
        <v>96</v>
      </c>
      <c r="E198" s="2" t="s">
        <v>97</v>
      </c>
      <c r="F198" s="2" t="str">
        <f>'Source Table'!$D$6</f>
        <v>Felony Crimes</v>
      </c>
      <c r="G198" t="str">
        <f>'Source Table'!$D$5</f>
        <v>الجرائم الجنائية</v>
      </c>
      <c r="H198" t="str">
        <f>'Source Table'!$B$17</f>
        <v>West Irbid</v>
      </c>
      <c r="I198" t="str">
        <f>'Source Table'!$E$17</f>
        <v>غرب إربد</v>
      </c>
      <c r="J198" s="29">
        <v>198</v>
      </c>
      <c r="K198">
        <v>2019</v>
      </c>
    </row>
    <row r="199" ht="15" spans="1:11">
      <c r="A199" t="s">
        <v>93</v>
      </c>
      <c r="B199" t="s">
        <v>94</v>
      </c>
      <c r="C199" s="1" t="s">
        <v>95</v>
      </c>
      <c r="D199" s="53" t="s">
        <v>96</v>
      </c>
      <c r="E199" s="2" t="s">
        <v>97</v>
      </c>
      <c r="F199" s="2" t="str">
        <f>'Source Table'!$D$6</f>
        <v>Felony Crimes</v>
      </c>
      <c r="G199" t="str">
        <f>'Source Table'!$D$5</f>
        <v>الجرائم الجنائية</v>
      </c>
      <c r="H199" t="str">
        <f>'Source Table'!$B$18</f>
        <v>Al-Ramtha</v>
      </c>
      <c r="I199" t="str">
        <f>'Source Table'!$E$18</f>
        <v>الرمثا</v>
      </c>
      <c r="J199" s="29">
        <v>110</v>
      </c>
      <c r="K199">
        <v>2019</v>
      </c>
    </row>
    <row r="200" ht="15" spans="1:11">
      <c r="A200" t="s">
        <v>93</v>
      </c>
      <c r="B200" t="s">
        <v>94</v>
      </c>
      <c r="C200" s="1" t="s">
        <v>95</v>
      </c>
      <c r="D200" s="53" t="s">
        <v>96</v>
      </c>
      <c r="E200" s="2" t="s">
        <v>97</v>
      </c>
      <c r="F200" s="2" t="str">
        <f>'Source Table'!$D$6</f>
        <v>Felony Crimes</v>
      </c>
      <c r="G200" t="str">
        <f>'Source Table'!$D$5</f>
        <v>الجرائم الجنائية</v>
      </c>
      <c r="H200" t="str">
        <f>'Source Table'!$B$19</f>
        <v>Mafraq</v>
      </c>
      <c r="I200" t="str">
        <f>'Source Table'!$E$19</f>
        <v>المفرق</v>
      </c>
      <c r="J200" s="29">
        <v>232</v>
      </c>
      <c r="K200">
        <v>2019</v>
      </c>
    </row>
    <row r="201" ht="15" spans="1:11">
      <c r="A201" t="s">
        <v>93</v>
      </c>
      <c r="B201" t="s">
        <v>94</v>
      </c>
      <c r="C201" s="1" t="s">
        <v>95</v>
      </c>
      <c r="D201" s="53" t="s">
        <v>96</v>
      </c>
      <c r="E201" s="2" t="s">
        <v>97</v>
      </c>
      <c r="F201" s="2" t="str">
        <f>'Source Table'!$D$6</f>
        <v>Felony Crimes</v>
      </c>
      <c r="G201" t="str">
        <f>'Source Table'!$D$5</f>
        <v>الجرائم الجنائية</v>
      </c>
      <c r="H201" t="str">
        <f>'Source Table'!$B$20</f>
        <v>North Bedouin</v>
      </c>
      <c r="I201" t="str">
        <f>'Source Table'!$E$20</f>
        <v>الباديةالشمالية</v>
      </c>
      <c r="J201" s="29">
        <v>198</v>
      </c>
      <c r="K201">
        <v>2019</v>
      </c>
    </row>
    <row r="202" ht="15" spans="1:11">
      <c r="A202" t="s">
        <v>93</v>
      </c>
      <c r="B202" t="s">
        <v>94</v>
      </c>
      <c r="C202" s="1" t="s">
        <v>95</v>
      </c>
      <c r="D202" s="53" t="s">
        <v>96</v>
      </c>
      <c r="E202" s="2" t="s">
        <v>97</v>
      </c>
      <c r="F202" s="2" t="str">
        <f>'Source Table'!$D$6</f>
        <v>Felony Crimes</v>
      </c>
      <c r="G202" t="str">
        <f>'Source Table'!$D$5</f>
        <v>الجرائم الجنائية</v>
      </c>
      <c r="H202" s="3" t="str">
        <f>'Source Table'!$B$21</f>
        <v>Middle Bedouin</v>
      </c>
      <c r="I202" s="3" t="str">
        <f>'Source Table'!$E$21</f>
        <v>البادية الوسطى</v>
      </c>
      <c r="J202" s="29">
        <v>109</v>
      </c>
      <c r="K202">
        <v>2019</v>
      </c>
    </row>
    <row r="203" ht="15" spans="1:11">
      <c r="A203" t="s">
        <v>93</v>
      </c>
      <c r="B203" t="s">
        <v>94</v>
      </c>
      <c r="C203" s="1" t="s">
        <v>95</v>
      </c>
      <c r="D203" s="53" t="s">
        <v>96</v>
      </c>
      <c r="E203" s="2" t="s">
        <v>97</v>
      </c>
      <c r="F203" s="2" t="str">
        <f>'Source Table'!$D$6</f>
        <v>Felony Crimes</v>
      </c>
      <c r="G203" t="str">
        <f>'Source Table'!$D$5</f>
        <v>الجرائم الجنائية</v>
      </c>
      <c r="H203" s="3" t="str">
        <f>'Source Table'!$B$22</f>
        <v>South Bedouin</v>
      </c>
      <c r="I203" s="3" t="str">
        <f>'Source Table'!$E$22</f>
        <v>البادية الجنوبية </v>
      </c>
      <c r="J203" s="29">
        <v>15</v>
      </c>
      <c r="K203">
        <v>2019</v>
      </c>
    </row>
    <row r="204" ht="15" spans="1:11">
      <c r="A204" t="s">
        <v>93</v>
      </c>
      <c r="B204" t="s">
        <v>94</v>
      </c>
      <c r="C204" s="1" t="s">
        <v>95</v>
      </c>
      <c r="D204" s="53" t="s">
        <v>96</v>
      </c>
      <c r="E204" s="2" t="s">
        <v>97</v>
      </c>
      <c r="F204" s="2" t="str">
        <f>'Source Table'!$D$6</f>
        <v>Felony Crimes</v>
      </c>
      <c r="G204" t="str">
        <f>'Source Table'!$D$5</f>
        <v>الجرائم الجنائية</v>
      </c>
      <c r="H204" s="3" t="str">
        <f>'Source Table'!$B$23</f>
        <v>Jarash</v>
      </c>
      <c r="I204" s="3" t="str">
        <f>'Source Table'!$E$23</f>
        <v>جرش</v>
      </c>
      <c r="J204" s="29">
        <v>202</v>
      </c>
      <c r="K204">
        <v>2019</v>
      </c>
    </row>
    <row r="205" ht="15" spans="1:11">
      <c r="A205" t="s">
        <v>93</v>
      </c>
      <c r="B205" t="s">
        <v>94</v>
      </c>
      <c r="C205" s="1" t="s">
        <v>95</v>
      </c>
      <c r="D205" s="53" t="s">
        <v>96</v>
      </c>
      <c r="E205" s="2" t="s">
        <v>97</v>
      </c>
      <c r="F205" s="2" t="str">
        <f>'Source Table'!$D$6</f>
        <v>Felony Crimes</v>
      </c>
      <c r="G205" t="str">
        <f>'Source Table'!$D$5</f>
        <v>الجرائم الجنائية</v>
      </c>
      <c r="H205" s="3" t="str">
        <f>'Source Table'!$B$24</f>
        <v>Ajloun</v>
      </c>
      <c r="I205" s="3" t="str">
        <f>'Source Table'!$E$24</f>
        <v>عجلون</v>
      </c>
      <c r="J205" s="29">
        <v>131</v>
      </c>
      <c r="K205">
        <v>2019</v>
      </c>
    </row>
    <row r="206" ht="15" spans="1:11">
      <c r="A206" t="s">
        <v>93</v>
      </c>
      <c r="B206" t="s">
        <v>94</v>
      </c>
      <c r="C206" s="1" t="s">
        <v>95</v>
      </c>
      <c r="D206" s="53" t="s">
        <v>96</v>
      </c>
      <c r="E206" s="2" t="s">
        <v>97</v>
      </c>
      <c r="F206" s="2" t="str">
        <f>'Source Table'!$D$6</f>
        <v>Felony Crimes</v>
      </c>
      <c r="G206" t="str">
        <f>'Source Table'!$D$5</f>
        <v>الجرائم الجنائية</v>
      </c>
      <c r="H206" s="3" t="str">
        <f>'Source Table'!$B$25</f>
        <v>Karak</v>
      </c>
      <c r="I206" s="3" t="str">
        <f>'Source Table'!$E$25</f>
        <v>الكرك</v>
      </c>
      <c r="J206" s="29">
        <v>282</v>
      </c>
      <c r="K206">
        <v>2019</v>
      </c>
    </row>
    <row r="207" ht="15" spans="1:11">
      <c r="A207" t="s">
        <v>93</v>
      </c>
      <c r="B207" t="s">
        <v>94</v>
      </c>
      <c r="C207" s="1" t="s">
        <v>95</v>
      </c>
      <c r="D207" s="53" t="s">
        <v>96</v>
      </c>
      <c r="E207" s="2" t="s">
        <v>97</v>
      </c>
      <c r="F207" s="2" t="str">
        <f>'Source Table'!$D$6</f>
        <v>Felony Crimes</v>
      </c>
      <c r="G207" t="str">
        <f>'Source Table'!$D$5</f>
        <v>الجرائم الجنائية</v>
      </c>
      <c r="H207" s="3" t="str">
        <f>'Source Table'!$B$26</f>
        <v>Tafiela</v>
      </c>
      <c r="I207" s="3" t="str">
        <f>'Source Table'!$E$26</f>
        <v>الطفيلة</v>
      </c>
      <c r="J207" s="29">
        <v>53</v>
      </c>
      <c r="K207">
        <v>2019</v>
      </c>
    </row>
    <row r="208" ht="15" spans="1:11">
      <c r="A208" t="s">
        <v>93</v>
      </c>
      <c r="B208" t="s">
        <v>94</v>
      </c>
      <c r="C208" s="1" t="s">
        <v>95</v>
      </c>
      <c r="D208" s="53" t="s">
        <v>96</v>
      </c>
      <c r="E208" s="2" t="s">
        <v>97</v>
      </c>
      <c r="F208" s="2" t="str">
        <f>'Source Table'!$D$6</f>
        <v>Felony Crimes</v>
      </c>
      <c r="G208" t="str">
        <f>'Source Table'!$D$5</f>
        <v>الجرائم الجنائية</v>
      </c>
      <c r="H208" s="3" t="str">
        <f>'Source Table'!$B$27</f>
        <v>Ma'an</v>
      </c>
      <c r="I208" s="3" t="str">
        <f>'Source Table'!$E$27</f>
        <v>معان</v>
      </c>
      <c r="J208" s="29">
        <v>83</v>
      </c>
      <c r="K208">
        <v>2019</v>
      </c>
    </row>
    <row r="209" ht="15" spans="1:11">
      <c r="A209" t="s">
        <v>93</v>
      </c>
      <c r="B209" t="s">
        <v>94</v>
      </c>
      <c r="C209" s="1" t="s">
        <v>95</v>
      </c>
      <c r="D209" s="53" t="s">
        <v>96</v>
      </c>
      <c r="E209" s="2" t="s">
        <v>97</v>
      </c>
      <c r="F209" s="2" t="str">
        <f>'Source Table'!$D$6</f>
        <v>Felony Crimes</v>
      </c>
      <c r="G209" t="str">
        <f>'Source Table'!$D$5</f>
        <v>الجرائم الجنائية</v>
      </c>
      <c r="H209" s="3" t="str">
        <f>'Source Table'!$B$28</f>
        <v>West ofMa'an</v>
      </c>
      <c r="I209" s="3" t="str">
        <f>'Source Table'!$E$28</f>
        <v>غرب معان</v>
      </c>
      <c r="J209" s="29">
        <v>13</v>
      </c>
      <c r="K209">
        <v>2019</v>
      </c>
    </row>
    <row r="210" ht="15" spans="1:11">
      <c r="A210" t="s">
        <v>93</v>
      </c>
      <c r="B210" t="s">
        <v>94</v>
      </c>
      <c r="C210" s="1" t="s">
        <v>95</v>
      </c>
      <c r="D210" s="53" t="s">
        <v>96</v>
      </c>
      <c r="E210" s="2" t="s">
        <v>97</v>
      </c>
      <c r="F210" s="2" t="str">
        <f>'Source Table'!$D$6</f>
        <v>Felony Crimes</v>
      </c>
      <c r="G210" t="str">
        <f>'Source Table'!$D$5</f>
        <v>الجرائم الجنائية</v>
      </c>
      <c r="H210" s="3" t="str">
        <f>'Source Table'!$B$29</f>
        <v>Aqaba</v>
      </c>
      <c r="I210" s="3" t="str">
        <f>'Source Table'!$E$29</f>
        <v>العقبة</v>
      </c>
      <c r="J210" s="29">
        <v>169</v>
      </c>
      <c r="K210">
        <v>2019</v>
      </c>
    </row>
    <row r="211" ht="15" spans="1:11">
      <c r="A211" t="s">
        <v>93</v>
      </c>
      <c r="B211" t="s">
        <v>94</v>
      </c>
      <c r="C211" s="1" t="s">
        <v>95</v>
      </c>
      <c r="D211" s="53" t="s">
        <v>96</v>
      </c>
      <c r="E211" s="2" t="s">
        <v>97</v>
      </c>
      <c r="F211" s="3" t="str">
        <f>'Source Table'!$C$6</f>
        <v>Misdemeanor Crimes</v>
      </c>
      <c r="G211" s="3" t="str">
        <f>'Source Table'!$C$5</f>
        <v>الجرائم الجنحوية</v>
      </c>
      <c r="H211" t="str">
        <f>'Source Table'!$B$7</f>
        <v>Middle Amman</v>
      </c>
      <c r="I211" t="str">
        <f>'Source Table'!$E$7</f>
        <v>وسط عمان</v>
      </c>
      <c r="J211" s="31">
        <v>2397</v>
      </c>
      <c r="K211">
        <v>2019</v>
      </c>
    </row>
    <row r="212" ht="15" spans="1:11">
      <c r="A212" t="s">
        <v>93</v>
      </c>
      <c r="B212" t="s">
        <v>94</v>
      </c>
      <c r="C212" s="1" t="s">
        <v>95</v>
      </c>
      <c r="D212" s="53" t="s">
        <v>96</v>
      </c>
      <c r="E212" s="2" t="s">
        <v>97</v>
      </c>
      <c r="F212" s="3" t="str">
        <f>'Source Table'!$C$6</f>
        <v>Misdemeanor Crimes</v>
      </c>
      <c r="G212" s="3" t="str">
        <f>'Source Table'!$C$5</f>
        <v>الجرائم الجنحوية</v>
      </c>
      <c r="H212" t="str">
        <f>'Source Table'!$B$8</f>
        <v>South Amman</v>
      </c>
      <c r="I212" t="str">
        <f>'Source Table'!$E$8</f>
        <v>جنوب عمان</v>
      </c>
      <c r="J212" s="31">
        <v>2992</v>
      </c>
      <c r="K212">
        <v>2019</v>
      </c>
    </row>
    <row r="213" ht="15" spans="1:11">
      <c r="A213" t="s">
        <v>93</v>
      </c>
      <c r="B213" t="s">
        <v>94</v>
      </c>
      <c r="C213" s="1" t="s">
        <v>95</v>
      </c>
      <c r="D213" s="53" t="s">
        <v>96</v>
      </c>
      <c r="E213" s="2" t="s">
        <v>97</v>
      </c>
      <c r="F213" s="3" t="str">
        <f>'Source Table'!$C$6</f>
        <v>Misdemeanor Crimes</v>
      </c>
      <c r="G213" s="3" t="str">
        <f>'Source Table'!$C$5</f>
        <v>الجرائم الجنحوية</v>
      </c>
      <c r="H213" t="str">
        <f>'Source Table'!$B$9</f>
        <v>North Amman</v>
      </c>
      <c r="I213" t="str">
        <f>'Source Table'!$E$9</f>
        <v>شمال عمان </v>
      </c>
      <c r="J213" s="31">
        <v>2345</v>
      </c>
      <c r="K213">
        <v>2019</v>
      </c>
    </row>
    <row r="214" ht="15" spans="1:11">
      <c r="A214" t="s">
        <v>93</v>
      </c>
      <c r="B214" t="s">
        <v>94</v>
      </c>
      <c r="C214" s="1" t="s">
        <v>95</v>
      </c>
      <c r="D214" s="53" t="s">
        <v>96</v>
      </c>
      <c r="E214" s="2" t="s">
        <v>97</v>
      </c>
      <c r="F214" s="3" t="str">
        <f>'Source Table'!$C$6</f>
        <v>Misdemeanor Crimes</v>
      </c>
      <c r="G214" s="3" t="str">
        <f>'Source Table'!$C$5</f>
        <v>الجرائم الجنحوية</v>
      </c>
      <c r="H214" t="str">
        <f>'Source Table'!$B$10</f>
        <v>East Amman</v>
      </c>
      <c r="I214" t="str">
        <f>'Source Table'!$E$10</f>
        <v>شرق عمان</v>
      </c>
      <c r="J214" s="31">
        <v>2181</v>
      </c>
      <c r="K214">
        <v>2019</v>
      </c>
    </row>
    <row r="215" ht="15" spans="1:11">
      <c r="A215" t="s">
        <v>93</v>
      </c>
      <c r="B215" t="s">
        <v>94</v>
      </c>
      <c r="C215" s="1" t="s">
        <v>95</v>
      </c>
      <c r="D215" s="53" t="s">
        <v>96</v>
      </c>
      <c r="E215" s="2" t="s">
        <v>97</v>
      </c>
      <c r="F215" s="3" t="str">
        <f>'Source Table'!$C$6</f>
        <v>Misdemeanor Crimes</v>
      </c>
      <c r="G215" s="3" t="str">
        <f>'Source Table'!$C$5</f>
        <v>الجرائم الجنحوية</v>
      </c>
      <c r="H215" t="str">
        <f>'Source Table'!$B$11</f>
        <v>Balqa</v>
      </c>
      <c r="I215" t="str">
        <f>'Source Table'!$E$11</f>
        <v>البلقاء</v>
      </c>
      <c r="J215" s="31">
        <v>797</v>
      </c>
      <c r="K215">
        <v>2019</v>
      </c>
    </row>
    <row r="216" ht="15" spans="1:11">
      <c r="A216" t="s">
        <v>93</v>
      </c>
      <c r="B216" t="s">
        <v>94</v>
      </c>
      <c r="C216" s="1" t="s">
        <v>95</v>
      </c>
      <c r="D216" s="53" t="s">
        <v>96</v>
      </c>
      <c r="E216" s="2" t="s">
        <v>97</v>
      </c>
      <c r="F216" s="3" t="str">
        <f>'Source Table'!$C$6</f>
        <v>Misdemeanor Crimes</v>
      </c>
      <c r="G216" s="3" t="str">
        <f>'Source Table'!$C$5</f>
        <v>الجرائم الجنحوية</v>
      </c>
      <c r="H216" t="str">
        <f>'Source Table'!$B$12</f>
        <v>West Balqa</v>
      </c>
      <c r="I216" t="str">
        <f>'Source Table'!$E$12</f>
        <v>غرب البلقاء </v>
      </c>
      <c r="J216" s="31">
        <v>261</v>
      </c>
      <c r="K216">
        <v>2019</v>
      </c>
    </row>
    <row r="217" ht="15" spans="1:11">
      <c r="A217" t="s">
        <v>93</v>
      </c>
      <c r="B217" t="s">
        <v>94</v>
      </c>
      <c r="C217" s="1" t="s">
        <v>95</v>
      </c>
      <c r="D217" s="53" t="s">
        <v>96</v>
      </c>
      <c r="E217" s="2" t="s">
        <v>97</v>
      </c>
      <c r="F217" s="3" t="str">
        <f>'Source Table'!$C$6</f>
        <v>Misdemeanor Crimes</v>
      </c>
      <c r="G217" s="3" t="str">
        <f>'Source Table'!$C$5</f>
        <v>الجرائم الجنحوية</v>
      </c>
      <c r="H217" t="str">
        <f>'Source Table'!$B$13</f>
        <v>Zarqa</v>
      </c>
      <c r="I217" t="str">
        <f>'Source Table'!$E$13</f>
        <v>الزرقاء</v>
      </c>
      <c r="J217" s="32">
        <v>1214</v>
      </c>
      <c r="K217">
        <v>2019</v>
      </c>
    </row>
    <row r="218" ht="15" spans="1:11">
      <c r="A218" t="s">
        <v>93</v>
      </c>
      <c r="B218" t="s">
        <v>94</v>
      </c>
      <c r="C218" s="1" t="s">
        <v>95</v>
      </c>
      <c r="D218" s="53" t="s">
        <v>96</v>
      </c>
      <c r="E218" s="2" t="s">
        <v>97</v>
      </c>
      <c r="F218" s="3" t="str">
        <f>'Source Table'!$C$6</f>
        <v>Misdemeanor Crimes</v>
      </c>
      <c r="G218" s="3" t="str">
        <f>'Source Table'!$C$5</f>
        <v>الجرائم الجنحوية</v>
      </c>
      <c r="H218" t="str">
        <f>'Source Table'!$B$14</f>
        <v>Al-Russaifa</v>
      </c>
      <c r="I218" t="str">
        <f>'Source Table'!$E$14</f>
        <v>الرصيفة</v>
      </c>
      <c r="J218" s="31">
        <v>508</v>
      </c>
      <c r="K218">
        <v>2019</v>
      </c>
    </row>
    <row r="219" ht="15" spans="1:11">
      <c r="A219" t="s">
        <v>93</v>
      </c>
      <c r="B219" t="s">
        <v>94</v>
      </c>
      <c r="C219" s="1" t="s">
        <v>95</v>
      </c>
      <c r="D219" s="53" t="s">
        <v>96</v>
      </c>
      <c r="E219" s="2" t="s">
        <v>97</v>
      </c>
      <c r="F219" s="3" t="str">
        <f>'Source Table'!$C$6</f>
        <v>Misdemeanor Crimes</v>
      </c>
      <c r="G219" s="3" t="str">
        <f>'Source Table'!$C$5</f>
        <v>الجرائم الجنحوية</v>
      </c>
      <c r="H219" t="str">
        <f>'Source Table'!$B$15</f>
        <v>Madaba</v>
      </c>
      <c r="I219" t="str">
        <f>'Source Table'!$E$15</f>
        <v>مادبا</v>
      </c>
      <c r="J219" s="31">
        <v>412</v>
      </c>
      <c r="K219">
        <v>2019</v>
      </c>
    </row>
    <row r="220" ht="15" spans="1:11">
      <c r="A220" t="s">
        <v>93</v>
      </c>
      <c r="B220" t="s">
        <v>94</v>
      </c>
      <c r="C220" s="1" t="s">
        <v>95</v>
      </c>
      <c r="D220" s="53" t="s">
        <v>96</v>
      </c>
      <c r="E220" s="2" t="s">
        <v>97</v>
      </c>
      <c r="F220" s="3" t="str">
        <f>'Source Table'!$C$6</f>
        <v>Misdemeanor Crimes</v>
      </c>
      <c r="G220" s="3" t="str">
        <f>'Source Table'!$C$5</f>
        <v>الجرائم الجنحوية</v>
      </c>
      <c r="H220" t="str">
        <f>'Source Table'!$B$16</f>
        <v>Irbid</v>
      </c>
      <c r="I220" t="str">
        <f>'Source Table'!$E$16</f>
        <v>إربد</v>
      </c>
      <c r="J220" s="31">
        <v>2228</v>
      </c>
      <c r="K220">
        <v>2019</v>
      </c>
    </row>
    <row r="221" ht="15" spans="1:11">
      <c r="A221" t="s">
        <v>93</v>
      </c>
      <c r="B221" t="s">
        <v>94</v>
      </c>
      <c r="C221" s="1" t="s">
        <v>95</v>
      </c>
      <c r="D221" s="53" t="s">
        <v>96</v>
      </c>
      <c r="E221" s="2" t="s">
        <v>97</v>
      </c>
      <c r="F221" s="3" t="str">
        <f>'Source Table'!$C$6</f>
        <v>Misdemeanor Crimes</v>
      </c>
      <c r="G221" s="3" t="str">
        <f>'Source Table'!$C$5</f>
        <v>الجرائم الجنحوية</v>
      </c>
      <c r="H221" t="str">
        <f>'Source Table'!$B$17</f>
        <v>West Irbid</v>
      </c>
      <c r="I221" t="str">
        <f>'Source Table'!$E$17</f>
        <v>غرب إربد</v>
      </c>
      <c r="J221" s="31">
        <v>392</v>
      </c>
      <c r="K221">
        <v>2019</v>
      </c>
    </row>
    <row r="222" ht="15" spans="1:11">
      <c r="A222" t="s">
        <v>93</v>
      </c>
      <c r="B222" t="s">
        <v>94</v>
      </c>
      <c r="C222" s="1" t="s">
        <v>95</v>
      </c>
      <c r="D222" s="53" t="s">
        <v>96</v>
      </c>
      <c r="E222" s="2" t="s">
        <v>97</v>
      </c>
      <c r="F222" s="3" t="str">
        <f>'Source Table'!$C$6</f>
        <v>Misdemeanor Crimes</v>
      </c>
      <c r="G222" s="3" t="str">
        <f>'Source Table'!$C$5</f>
        <v>الجرائم الجنحوية</v>
      </c>
      <c r="H222" t="str">
        <f>'Source Table'!$B$18</f>
        <v>Al-Ramtha</v>
      </c>
      <c r="I222" t="str">
        <f>'Source Table'!$E$18</f>
        <v>الرمثا</v>
      </c>
      <c r="J222" s="31">
        <v>411</v>
      </c>
      <c r="K222">
        <v>2019</v>
      </c>
    </row>
    <row r="223" ht="15" spans="1:11">
      <c r="A223" t="s">
        <v>93</v>
      </c>
      <c r="B223" t="s">
        <v>94</v>
      </c>
      <c r="C223" s="1" t="s">
        <v>95</v>
      </c>
      <c r="D223" s="53" t="s">
        <v>96</v>
      </c>
      <c r="E223" s="2" t="s">
        <v>97</v>
      </c>
      <c r="F223" s="3" t="str">
        <f>'Source Table'!$C$6</f>
        <v>Misdemeanor Crimes</v>
      </c>
      <c r="G223" s="3" t="str">
        <f>'Source Table'!$C$5</f>
        <v>الجرائم الجنحوية</v>
      </c>
      <c r="H223" t="str">
        <f>'Source Table'!$B$19</f>
        <v>Mafraq</v>
      </c>
      <c r="I223" t="str">
        <f>'Source Table'!$E$19</f>
        <v>المفرق</v>
      </c>
      <c r="J223" s="31">
        <v>477</v>
      </c>
      <c r="K223">
        <v>2019</v>
      </c>
    </row>
    <row r="224" ht="15" spans="1:11">
      <c r="A224" t="s">
        <v>93</v>
      </c>
      <c r="B224" t="s">
        <v>94</v>
      </c>
      <c r="C224" s="1" t="s">
        <v>95</v>
      </c>
      <c r="D224" s="53" t="s">
        <v>96</v>
      </c>
      <c r="E224" s="2" t="s">
        <v>97</v>
      </c>
      <c r="F224" s="3" t="str">
        <f>'Source Table'!$C$6</f>
        <v>Misdemeanor Crimes</v>
      </c>
      <c r="G224" s="3" t="str">
        <f>'Source Table'!$C$5</f>
        <v>الجرائم الجنحوية</v>
      </c>
      <c r="H224" t="str">
        <f>'Source Table'!$B$20</f>
        <v>North Bedouin</v>
      </c>
      <c r="I224" t="str">
        <f>'Source Table'!$E$20</f>
        <v>الباديةالشمالية</v>
      </c>
      <c r="J224" s="31">
        <v>292</v>
      </c>
      <c r="K224">
        <v>2019</v>
      </c>
    </row>
    <row r="225" ht="15" spans="1:11">
      <c r="A225" t="s">
        <v>93</v>
      </c>
      <c r="B225" t="s">
        <v>94</v>
      </c>
      <c r="C225" s="1" t="s">
        <v>95</v>
      </c>
      <c r="D225" s="53" t="s">
        <v>96</v>
      </c>
      <c r="E225" s="2" t="s">
        <v>97</v>
      </c>
      <c r="F225" s="3" t="str">
        <f>'Source Table'!$C$6</f>
        <v>Misdemeanor Crimes</v>
      </c>
      <c r="G225" s="3" t="str">
        <f>'Source Table'!$C$5</f>
        <v>الجرائم الجنحوية</v>
      </c>
      <c r="H225" s="3" t="str">
        <f>'Source Table'!$B$21</f>
        <v>Middle Bedouin</v>
      </c>
      <c r="I225" s="3" t="str">
        <f>'Source Table'!$E$21</f>
        <v>البادية الوسطى</v>
      </c>
      <c r="J225" s="31">
        <v>350</v>
      </c>
      <c r="K225">
        <v>2019</v>
      </c>
    </row>
    <row r="226" ht="15" spans="1:11">
      <c r="A226" t="s">
        <v>93</v>
      </c>
      <c r="B226" t="s">
        <v>94</v>
      </c>
      <c r="C226" s="1" t="s">
        <v>95</v>
      </c>
      <c r="D226" s="53" t="s">
        <v>96</v>
      </c>
      <c r="E226" s="2" t="s">
        <v>97</v>
      </c>
      <c r="F226" s="3" t="str">
        <f>'Source Table'!$C$6</f>
        <v>Misdemeanor Crimes</v>
      </c>
      <c r="G226" s="3" t="str">
        <f>'Source Table'!$C$5</f>
        <v>الجرائم الجنحوية</v>
      </c>
      <c r="H226" s="3" t="str">
        <f>'Source Table'!$B$22</f>
        <v>South Bedouin</v>
      </c>
      <c r="I226" s="3" t="str">
        <f>'Source Table'!$E$22</f>
        <v>البادية الجنوبية </v>
      </c>
      <c r="J226" s="31">
        <v>38</v>
      </c>
      <c r="K226">
        <v>2019</v>
      </c>
    </row>
    <row r="227" ht="15" spans="1:11">
      <c r="A227" t="s">
        <v>93</v>
      </c>
      <c r="B227" t="s">
        <v>94</v>
      </c>
      <c r="C227" s="1" t="s">
        <v>95</v>
      </c>
      <c r="D227" s="53" t="s">
        <v>96</v>
      </c>
      <c r="E227" s="2" t="s">
        <v>97</v>
      </c>
      <c r="F227" s="3" t="str">
        <f>'Source Table'!$C$6</f>
        <v>Misdemeanor Crimes</v>
      </c>
      <c r="G227" s="3" t="str">
        <f>'Source Table'!$C$5</f>
        <v>الجرائم الجنحوية</v>
      </c>
      <c r="H227" s="3" t="str">
        <f>'Source Table'!$B$23</f>
        <v>Jarash</v>
      </c>
      <c r="I227" s="3" t="str">
        <f>'Source Table'!$E$23</f>
        <v>جرش</v>
      </c>
      <c r="J227" s="31">
        <v>282</v>
      </c>
      <c r="K227">
        <v>2019</v>
      </c>
    </row>
    <row r="228" ht="15" spans="1:11">
      <c r="A228" t="s">
        <v>93</v>
      </c>
      <c r="B228" t="s">
        <v>94</v>
      </c>
      <c r="C228" s="1" t="s">
        <v>95</v>
      </c>
      <c r="D228" s="53" t="s">
        <v>96</v>
      </c>
      <c r="E228" s="2" t="s">
        <v>97</v>
      </c>
      <c r="F228" s="3" t="str">
        <f>'Source Table'!$C$6</f>
        <v>Misdemeanor Crimes</v>
      </c>
      <c r="G228" s="3" t="str">
        <f>'Source Table'!$C$5</f>
        <v>الجرائم الجنحوية</v>
      </c>
      <c r="H228" s="3" t="str">
        <f>'Source Table'!$B$24</f>
        <v>Ajloun</v>
      </c>
      <c r="I228" s="3" t="str">
        <f>'Source Table'!$E$24</f>
        <v>عجلون</v>
      </c>
      <c r="J228" s="31">
        <v>237</v>
      </c>
      <c r="K228">
        <v>2019</v>
      </c>
    </row>
    <row r="229" ht="15" spans="1:11">
      <c r="A229" t="s">
        <v>93</v>
      </c>
      <c r="B229" t="s">
        <v>94</v>
      </c>
      <c r="C229" s="1" t="s">
        <v>95</v>
      </c>
      <c r="D229" s="53" t="s">
        <v>96</v>
      </c>
      <c r="E229" s="2" t="s">
        <v>97</v>
      </c>
      <c r="F229" s="3" t="str">
        <f>'Source Table'!$C$6</f>
        <v>Misdemeanor Crimes</v>
      </c>
      <c r="G229" s="3" t="str">
        <f>'Source Table'!$C$5</f>
        <v>الجرائم الجنحوية</v>
      </c>
      <c r="H229" s="3" t="str">
        <f>'Source Table'!$B$25</f>
        <v>Karak</v>
      </c>
      <c r="I229" s="3" t="str">
        <f>'Source Table'!$E$25</f>
        <v>الكرك</v>
      </c>
      <c r="J229" s="31">
        <v>531</v>
      </c>
      <c r="K229">
        <v>2019</v>
      </c>
    </row>
    <row r="230" ht="15" spans="1:11">
      <c r="A230" t="s">
        <v>93</v>
      </c>
      <c r="B230" t="s">
        <v>94</v>
      </c>
      <c r="C230" s="1" t="s">
        <v>95</v>
      </c>
      <c r="D230" s="53" t="s">
        <v>96</v>
      </c>
      <c r="E230" s="2" t="s">
        <v>97</v>
      </c>
      <c r="F230" s="3" t="str">
        <f>'Source Table'!$C$6</f>
        <v>Misdemeanor Crimes</v>
      </c>
      <c r="G230" s="3" t="str">
        <f>'Source Table'!$C$5</f>
        <v>الجرائم الجنحوية</v>
      </c>
      <c r="H230" s="3" t="str">
        <f>'Source Table'!$B$26</f>
        <v>Tafiela</v>
      </c>
      <c r="I230" s="3" t="str">
        <f>'Source Table'!$E$26</f>
        <v>الطفيلة</v>
      </c>
      <c r="J230" s="31">
        <v>179</v>
      </c>
      <c r="K230">
        <v>2019</v>
      </c>
    </row>
    <row r="231" ht="15" spans="1:11">
      <c r="A231" t="s">
        <v>93</v>
      </c>
      <c r="B231" t="s">
        <v>94</v>
      </c>
      <c r="C231" s="1" t="s">
        <v>95</v>
      </c>
      <c r="D231" s="53" t="s">
        <v>96</v>
      </c>
      <c r="E231" s="2" t="s">
        <v>97</v>
      </c>
      <c r="F231" s="3" t="str">
        <f>'Source Table'!$C$6</f>
        <v>Misdemeanor Crimes</v>
      </c>
      <c r="G231" s="3" t="str">
        <f>'Source Table'!$C$5</f>
        <v>الجرائم الجنحوية</v>
      </c>
      <c r="H231" s="3" t="str">
        <f>'Source Table'!$B$27</f>
        <v>Ma'an</v>
      </c>
      <c r="I231" s="3" t="str">
        <f>'Source Table'!$E$27</f>
        <v>معان</v>
      </c>
      <c r="J231" s="31">
        <v>119</v>
      </c>
      <c r="K231">
        <v>2019</v>
      </c>
    </row>
    <row r="232" ht="15" spans="1:11">
      <c r="A232" t="s">
        <v>93</v>
      </c>
      <c r="B232" t="s">
        <v>94</v>
      </c>
      <c r="C232" s="1" t="s">
        <v>95</v>
      </c>
      <c r="D232" s="53" t="s">
        <v>96</v>
      </c>
      <c r="E232" s="2" t="s">
        <v>97</v>
      </c>
      <c r="F232" s="3" t="str">
        <f>'Source Table'!$C$6</f>
        <v>Misdemeanor Crimes</v>
      </c>
      <c r="G232" s="3" t="str">
        <f>'Source Table'!$C$5</f>
        <v>الجرائم الجنحوية</v>
      </c>
      <c r="H232" s="3" t="str">
        <f>'Source Table'!$B$28</f>
        <v>West ofMa'an</v>
      </c>
      <c r="I232" s="3" t="str">
        <f>'Source Table'!$E$28</f>
        <v>غرب معان</v>
      </c>
      <c r="J232" s="31">
        <v>92</v>
      </c>
      <c r="K232">
        <v>2019</v>
      </c>
    </row>
    <row r="233" ht="15" spans="1:11">
      <c r="A233" t="s">
        <v>93</v>
      </c>
      <c r="B233" t="s">
        <v>94</v>
      </c>
      <c r="C233" s="1" t="s">
        <v>95</v>
      </c>
      <c r="D233" s="53" t="s">
        <v>96</v>
      </c>
      <c r="E233" s="2" t="s">
        <v>97</v>
      </c>
      <c r="F233" s="3" t="str">
        <f>'Source Table'!$C$6</f>
        <v>Misdemeanor Crimes</v>
      </c>
      <c r="G233" s="3" t="str">
        <f>'Source Table'!$C$5</f>
        <v>الجرائم الجنحوية</v>
      </c>
      <c r="H233" s="3" t="str">
        <f>'Source Table'!$B$29</f>
        <v>Aqaba</v>
      </c>
      <c r="I233" s="3" t="str">
        <f>'Source Table'!$E$29</f>
        <v>العقبة</v>
      </c>
      <c r="J233" s="31">
        <v>480</v>
      </c>
      <c r="K233">
        <v>2019</v>
      </c>
    </row>
    <row r="234" ht="15" spans="1:11">
      <c r="A234" t="s">
        <v>93</v>
      </c>
      <c r="B234" t="s">
        <v>94</v>
      </c>
      <c r="C234" s="1" t="s">
        <v>95</v>
      </c>
      <c r="D234" s="53" t="s">
        <v>96</v>
      </c>
      <c r="E234" s="2" t="s">
        <v>97</v>
      </c>
      <c r="F234" s="2" t="str">
        <f>'Source Table'!$D$6</f>
        <v>Felony Crimes</v>
      </c>
      <c r="G234" t="str">
        <f>'Source Table'!$D$5</f>
        <v>الجرائم الجنائية</v>
      </c>
      <c r="H234" t="str">
        <f>'Source Table'!$B$7</f>
        <v>Middle Amman</v>
      </c>
      <c r="I234" t="str">
        <f>'Source Table'!$E$7</f>
        <v>وسط عمان</v>
      </c>
      <c r="J234" s="29">
        <v>848</v>
      </c>
      <c r="K234">
        <v>2018</v>
      </c>
    </row>
    <row r="235" ht="15" spans="1:11">
      <c r="A235" t="s">
        <v>93</v>
      </c>
      <c r="B235" t="s">
        <v>94</v>
      </c>
      <c r="C235" s="1" t="s">
        <v>95</v>
      </c>
      <c r="D235" s="53" t="s">
        <v>96</v>
      </c>
      <c r="E235" s="2" t="s">
        <v>97</v>
      </c>
      <c r="F235" s="2" t="str">
        <f>'Source Table'!$D$6</f>
        <v>Felony Crimes</v>
      </c>
      <c r="G235" t="str">
        <f>'Source Table'!$D$5</f>
        <v>الجرائم الجنائية</v>
      </c>
      <c r="H235" t="str">
        <f>'Source Table'!$B$8</f>
        <v>South Amman</v>
      </c>
      <c r="I235" t="str">
        <f>'Source Table'!$E$8</f>
        <v>جنوب عمان</v>
      </c>
      <c r="J235" s="29">
        <v>770</v>
      </c>
      <c r="K235">
        <v>2018</v>
      </c>
    </row>
    <row r="236" ht="15" spans="1:11">
      <c r="A236" t="s">
        <v>93</v>
      </c>
      <c r="B236" t="s">
        <v>94</v>
      </c>
      <c r="C236" s="1" t="s">
        <v>95</v>
      </c>
      <c r="D236" s="53" t="s">
        <v>96</v>
      </c>
      <c r="E236" s="2" t="s">
        <v>97</v>
      </c>
      <c r="F236" s="2" t="str">
        <f>'Source Table'!$D$6</f>
        <v>Felony Crimes</v>
      </c>
      <c r="G236" t="str">
        <f>'Source Table'!$D$5</f>
        <v>الجرائم الجنائية</v>
      </c>
      <c r="H236" t="str">
        <f>'Source Table'!$B$9</f>
        <v>North Amman</v>
      </c>
      <c r="I236" t="str">
        <f>'Source Table'!$E$9</f>
        <v>شمال عمان </v>
      </c>
      <c r="J236" s="29">
        <v>592</v>
      </c>
      <c r="K236">
        <v>2018</v>
      </c>
    </row>
    <row r="237" ht="15" spans="1:11">
      <c r="A237" t="s">
        <v>93</v>
      </c>
      <c r="B237" t="s">
        <v>94</v>
      </c>
      <c r="C237" s="1" t="s">
        <v>95</v>
      </c>
      <c r="D237" s="53" t="s">
        <v>96</v>
      </c>
      <c r="E237" s="2" t="s">
        <v>97</v>
      </c>
      <c r="F237" s="2" t="str">
        <f>'Source Table'!$D$6</f>
        <v>Felony Crimes</v>
      </c>
      <c r="G237" t="str">
        <f>'Source Table'!$D$5</f>
        <v>الجرائم الجنائية</v>
      </c>
      <c r="H237" t="str">
        <f>'Source Table'!$B$10</f>
        <v>East Amman</v>
      </c>
      <c r="I237" t="str">
        <f>'Source Table'!$E$10</f>
        <v>شرق عمان</v>
      </c>
      <c r="J237" s="29">
        <v>750</v>
      </c>
      <c r="K237">
        <v>2018</v>
      </c>
    </row>
    <row r="238" ht="15" spans="1:11">
      <c r="A238" t="s">
        <v>93</v>
      </c>
      <c r="B238" t="s">
        <v>94</v>
      </c>
      <c r="C238" s="1" t="s">
        <v>95</v>
      </c>
      <c r="D238" s="53" t="s">
        <v>96</v>
      </c>
      <c r="E238" s="2" t="s">
        <v>97</v>
      </c>
      <c r="F238" s="2" t="str">
        <f>'Source Table'!$D$6</f>
        <v>Felony Crimes</v>
      </c>
      <c r="G238" t="str">
        <f>'Source Table'!$D$5</f>
        <v>الجرائم الجنائية</v>
      </c>
      <c r="H238" t="str">
        <f>'Source Table'!$B$11</f>
        <v>Balqa</v>
      </c>
      <c r="I238" t="str">
        <f>'Source Table'!$E$11</f>
        <v>البلقاء</v>
      </c>
      <c r="J238" s="29">
        <v>373</v>
      </c>
      <c r="K238">
        <v>2018</v>
      </c>
    </row>
    <row r="239" ht="15" spans="1:11">
      <c r="A239" t="s">
        <v>93</v>
      </c>
      <c r="B239" t="s">
        <v>94</v>
      </c>
      <c r="C239" s="1" t="s">
        <v>95</v>
      </c>
      <c r="D239" s="53" t="s">
        <v>96</v>
      </c>
      <c r="E239" s="2" t="s">
        <v>97</v>
      </c>
      <c r="F239" s="2" t="str">
        <f>'Source Table'!$D$6</f>
        <v>Felony Crimes</v>
      </c>
      <c r="G239" t="str">
        <f>'Source Table'!$D$5</f>
        <v>الجرائم الجنائية</v>
      </c>
      <c r="H239" t="str">
        <f>'Source Table'!$B$12</f>
        <v>West Balqa</v>
      </c>
      <c r="I239" t="str">
        <f>'Source Table'!$E$12</f>
        <v>غرب البلقاء </v>
      </c>
      <c r="J239" s="29">
        <v>131</v>
      </c>
      <c r="K239">
        <v>2018</v>
      </c>
    </row>
    <row r="240" ht="15" spans="1:11">
      <c r="A240" t="s">
        <v>93</v>
      </c>
      <c r="B240" t="s">
        <v>94</v>
      </c>
      <c r="C240" s="1" t="s">
        <v>95</v>
      </c>
      <c r="D240" s="53" t="s">
        <v>96</v>
      </c>
      <c r="E240" s="2" t="s">
        <v>97</v>
      </c>
      <c r="F240" s="2" t="str">
        <f>'Source Table'!$D$6</f>
        <v>Felony Crimes</v>
      </c>
      <c r="G240" t="str">
        <f>'Source Table'!$D$5</f>
        <v>الجرائم الجنائية</v>
      </c>
      <c r="H240" t="str">
        <f>'Source Table'!$B$13</f>
        <v>Zarqa</v>
      </c>
      <c r="I240" t="str">
        <f>'Source Table'!$E$13</f>
        <v>الزرقاء</v>
      </c>
      <c r="J240" s="29">
        <v>568</v>
      </c>
      <c r="K240">
        <v>2018</v>
      </c>
    </row>
    <row r="241" ht="15" spans="1:11">
      <c r="A241" t="s">
        <v>93</v>
      </c>
      <c r="B241" t="s">
        <v>94</v>
      </c>
      <c r="C241" s="1" t="s">
        <v>95</v>
      </c>
      <c r="D241" s="53" t="s">
        <v>96</v>
      </c>
      <c r="E241" s="2" t="s">
        <v>97</v>
      </c>
      <c r="F241" s="2" t="str">
        <f>'Source Table'!$D$6</f>
        <v>Felony Crimes</v>
      </c>
      <c r="G241" t="str">
        <f>'Source Table'!$D$5</f>
        <v>الجرائم الجنائية</v>
      </c>
      <c r="H241" t="str">
        <f>'Source Table'!$B$14</f>
        <v>Al-Russaifa</v>
      </c>
      <c r="I241" t="str">
        <f>'Source Table'!$E$14</f>
        <v>الرصيفة</v>
      </c>
      <c r="J241" s="29">
        <v>273</v>
      </c>
      <c r="K241">
        <v>2018</v>
      </c>
    </row>
    <row r="242" ht="15" spans="1:11">
      <c r="A242" t="s">
        <v>93</v>
      </c>
      <c r="B242" t="s">
        <v>94</v>
      </c>
      <c r="C242" s="1" t="s">
        <v>95</v>
      </c>
      <c r="D242" s="53" t="s">
        <v>96</v>
      </c>
      <c r="E242" s="2" t="s">
        <v>97</v>
      </c>
      <c r="F242" s="2" t="str">
        <f>'Source Table'!$D$6</f>
        <v>Felony Crimes</v>
      </c>
      <c r="G242" t="str">
        <f>'Source Table'!$D$5</f>
        <v>الجرائم الجنائية</v>
      </c>
      <c r="H242" t="str">
        <f>'Source Table'!$B$15</f>
        <v>Madaba</v>
      </c>
      <c r="I242" t="str">
        <f>'Source Table'!$E$15</f>
        <v>مادبا</v>
      </c>
      <c r="J242" s="29">
        <v>178</v>
      </c>
      <c r="K242">
        <v>2018</v>
      </c>
    </row>
    <row r="243" ht="15" spans="1:11">
      <c r="A243" t="s">
        <v>93</v>
      </c>
      <c r="B243" t="s">
        <v>94</v>
      </c>
      <c r="C243" s="1" t="s">
        <v>95</v>
      </c>
      <c r="D243" s="53" t="s">
        <v>96</v>
      </c>
      <c r="E243" s="2" t="s">
        <v>97</v>
      </c>
      <c r="F243" s="2" t="str">
        <f>'Source Table'!$D$6</f>
        <v>Felony Crimes</v>
      </c>
      <c r="G243" t="str">
        <f>'Source Table'!$D$5</f>
        <v>الجرائم الجنائية</v>
      </c>
      <c r="H243" t="str">
        <f>'Source Table'!$B$16</f>
        <v>Irbid</v>
      </c>
      <c r="I243" t="str">
        <f>'Source Table'!$E$16</f>
        <v>إربد</v>
      </c>
      <c r="J243" s="29">
        <v>858</v>
      </c>
      <c r="K243">
        <v>2018</v>
      </c>
    </row>
    <row r="244" ht="15" spans="1:11">
      <c r="A244" t="s">
        <v>93</v>
      </c>
      <c r="B244" t="s">
        <v>94</v>
      </c>
      <c r="C244" s="1" t="s">
        <v>95</v>
      </c>
      <c r="D244" s="53" t="s">
        <v>96</v>
      </c>
      <c r="E244" s="2" t="s">
        <v>97</v>
      </c>
      <c r="F244" s="2" t="str">
        <f>'Source Table'!$D$6</f>
        <v>Felony Crimes</v>
      </c>
      <c r="G244" t="str">
        <f>'Source Table'!$D$5</f>
        <v>الجرائم الجنائية</v>
      </c>
      <c r="H244" t="str">
        <f>'Source Table'!$B$17</f>
        <v>West Irbid</v>
      </c>
      <c r="I244" t="str">
        <f>'Source Table'!$E$17</f>
        <v>غرب إربد</v>
      </c>
      <c r="J244" s="29">
        <v>255</v>
      </c>
      <c r="K244">
        <v>2018</v>
      </c>
    </row>
    <row r="245" ht="15" spans="1:11">
      <c r="A245" t="s">
        <v>93</v>
      </c>
      <c r="B245" t="s">
        <v>94</v>
      </c>
      <c r="C245" s="1" t="s">
        <v>95</v>
      </c>
      <c r="D245" s="53" t="s">
        <v>96</v>
      </c>
      <c r="E245" s="2" t="s">
        <v>97</v>
      </c>
      <c r="F245" s="2" t="str">
        <f>'Source Table'!$D$6</f>
        <v>Felony Crimes</v>
      </c>
      <c r="G245" t="str">
        <f>'Source Table'!$D$5</f>
        <v>الجرائم الجنائية</v>
      </c>
      <c r="H245" t="str">
        <f>'Source Table'!$B$18</f>
        <v>Al-Ramtha</v>
      </c>
      <c r="I245" t="str">
        <f>'Source Table'!$E$18</f>
        <v>الرمثا</v>
      </c>
      <c r="J245" s="29">
        <v>116</v>
      </c>
      <c r="K245">
        <v>2018</v>
      </c>
    </row>
    <row r="246" ht="15" spans="1:11">
      <c r="A246" t="s">
        <v>93</v>
      </c>
      <c r="B246" t="s">
        <v>94</v>
      </c>
      <c r="C246" s="1" t="s">
        <v>95</v>
      </c>
      <c r="D246" s="53" t="s">
        <v>96</v>
      </c>
      <c r="E246" s="2" t="s">
        <v>97</v>
      </c>
      <c r="F246" s="2" t="str">
        <f>'Source Table'!$D$6</f>
        <v>Felony Crimes</v>
      </c>
      <c r="G246" t="str">
        <f>'Source Table'!$D$5</f>
        <v>الجرائم الجنائية</v>
      </c>
      <c r="H246" t="str">
        <f>'Source Table'!$B$19</f>
        <v>Mafraq</v>
      </c>
      <c r="I246" t="str">
        <f>'Source Table'!$E$19</f>
        <v>المفرق</v>
      </c>
      <c r="J246" s="29">
        <v>226</v>
      </c>
      <c r="K246">
        <v>2018</v>
      </c>
    </row>
    <row r="247" ht="15" spans="1:11">
      <c r="A247" t="s">
        <v>93</v>
      </c>
      <c r="B247" t="s">
        <v>94</v>
      </c>
      <c r="C247" s="1" t="s">
        <v>95</v>
      </c>
      <c r="D247" s="53" t="s">
        <v>96</v>
      </c>
      <c r="E247" s="2" t="s">
        <v>97</v>
      </c>
      <c r="F247" s="2" t="str">
        <f>'Source Table'!$D$6</f>
        <v>Felony Crimes</v>
      </c>
      <c r="G247" t="str">
        <f>'Source Table'!$D$5</f>
        <v>الجرائم الجنائية</v>
      </c>
      <c r="H247" t="str">
        <f>'Source Table'!$B$20</f>
        <v>North Bedouin</v>
      </c>
      <c r="I247" t="str">
        <f>'Source Table'!$E$20</f>
        <v>الباديةالشمالية</v>
      </c>
      <c r="J247" s="29">
        <v>136</v>
      </c>
      <c r="K247">
        <v>2018</v>
      </c>
    </row>
    <row r="248" ht="15" spans="1:11">
      <c r="A248" t="s">
        <v>93</v>
      </c>
      <c r="B248" t="s">
        <v>94</v>
      </c>
      <c r="C248" s="1" t="s">
        <v>95</v>
      </c>
      <c r="D248" s="53" t="s">
        <v>96</v>
      </c>
      <c r="E248" s="2" t="s">
        <v>97</v>
      </c>
      <c r="F248" s="2" t="str">
        <f>'Source Table'!$D$6</f>
        <v>Felony Crimes</v>
      </c>
      <c r="G248" t="str">
        <f>'Source Table'!$D$5</f>
        <v>الجرائم الجنائية</v>
      </c>
      <c r="H248" s="3" t="str">
        <f>'Source Table'!$B$21</f>
        <v>Middle Bedouin</v>
      </c>
      <c r="I248" s="3" t="str">
        <f>'Source Table'!$E$21</f>
        <v>البادية الوسطى</v>
      </c>
      <c r="J248" s="29">
        <v>118</v>
      </c>
      <c r="K248">
        <v>2018</v>
      </c>
    </row>
    <row r="249" ht="15" spans="1:11">
      <c r="A249" t="s">
        <v>93</v>
      </c>
      <c r="B249" t="s">
        <v>94</v>
      </c>
      <c r="C249" s="1" t="s">
        <v>95</v>
      </c>
      <c r="D249" s="53" t="s">
        <v>96</v>
      </c>
      <c r="E249" s="2" t="s">
        <v>97</v>
      </c>
      <c r="F249" s="2" t="str">
        <f>'Source Table'!$D$6</f>
        <v>Felony Crimes</v>
      </c>
      <c r="G249" t="str">
        <f>'Source Table'!$D$5</f>
        <v>الجرائم الجنائية</v>
      </c>
      <c r="H249" s="3" t="str">
        <f>'Source Table'!$B$22</f>
        <v>South Bedouin</v>
      </c>
      <c r="I249" s="3" t="str">
        <f>'Source Table'!$E$22</f>
        <v>البادية الجنوبية </v>
      </c>
      <c r="J249" s="29">
        <v>20</v>
      </c>
      <c r="K249">
        <v>2018</v>
      </c>
    </row>
    <row r="250" ht="15" spans="1:11">
      <c r="A250" t="s">
        <v>93</v>
      </c>
      <c r="B250" t="s">
        <v>94</v>
      </c>
      <c r="C250" s="1" t="s">
        <v>95</v>
      </c>
      <c r="D250" s="53" t="s">
        <v>96</v>
      </c>
      <c r="E250" s="2" t="s">
        <v>97</v>
      </c>
      <c r="F250" s="2" t="str">
        <f>'Source Table'!$D$6</f>
        <v>Felony Crimes</v>
      </c>
      <c r="G250" t="str">
        <f>'Source Table'!$D$5</f>
        <v>الجرائم الجنائية</v>
      </c>
      <c r="H250" s="3" t="str">
        <f>'Source Table'!$B$23</f>
        <v>Jarash</v>
      </c>
      <c r="I250" s="3" t="str">
        <f>'Source Table'!$E$23</f>
        <v>جرش</v>
      </c>
      <c r="J250" s="29">
        <v>178</v>
      </c>
      <c r="K250">
        <v>2018</v>
      </c>
    </row>
    <row r="251" ht="15" spans="1:11">
      <c r="A251" t="s">
        <v>93</v>
      </c>
      <c r="B251" t="s">
        <v>94</v>
      </c>
      <c r="C251" s="1" t="s">
        <v>95</v>
      </c>
      <c r="D251" s="53" t="s">
        <v>96</v>
      </c>
      <c r="E251" s="2" t="s">
        <v>97</v>
      </c>
      <c r="F251" s="2" t="str">
        <f>'Source Table'!$D$6</f>
        <v>Felony Crimes</v>
      </c>
      <c r="G251" t="str">
        <f>'Source Table'!$D$5</f>
        <v>الجرائم الجنائية</v>
      </c>
      <c r="H251" s="3" t="str">
        <f>'Source Table'!$B$24</f>
        <v>Ajloun</v>
      </c>
      <c r="I251" s="3" t="str">
        <f>'Source Table'!$E$24</f>
        <v>عجلون</v>
      </c>
      <c r="J251" s="29">
        <v>159</v>
      </c>
      <c r="K251">
        <v>2018</v>
      </c>
    </row>
    <row r="252" ht="15" spans="1:11">
      <c r="A252" t="s">
        <v>93</v>
      </c>
      <c r="B252" t="s">
        <v>94</v>
      </c>
      <c r="C252" s="1" t="s">
        <v>95</v>
      </c>
      <c r="D252" s="53" t="s">
        <v>96</v>
      </c>
      <c r="E252" s="2" t="s">
        <v>97</v>
      </c>
      <c r="F252" s="2" t="str">
        <f>'Source Table'!$D$6</f>
        <v>Felony Crimes</v>
      </c>
      <c r="G252" t="str">
        <f>'Source Table'!$D$5</f>
        <v>الجرائم الجنائية</v>
      </c>
      <c r="H252" s="3" t="str">
        <f>'Source Table'!$B$25</f>
        <v>Karak</v>
      </c>
      <c r="I252" s="3" t="str">
        <f>'Source Table'!$E$25</f>
        <v>الكرك</v>
      </c>
      <c r="J252" s="29">
        <v>288</v>
      </c>
      <c r="K252">
        <v>2018</v>
      </c>
    </row>
    <row r="253" ht="15" spans="1:11">
      <c r="A253" t="s">
        <v>93</v>
      </c>
      <c r="B253" t="s">
        <v>94</v>
      </c>
      <c r="C253" s="1" t="s">
        <v>95</v>
      </c>
      <c r="D253" s="53" t="s">
        <v>96</v>
      </c>
      <c r="E253" s="2" t="s">
        <v>97</v>
      </c>
      <c r="F253" s="2" t="str">
        <f>'Source Table'!$D$6</f>
        <v>Felony Crimes</v>
      </c>
      <c r="G253" t="str">
        <f>'Source Table'!$D$5</f>
        <v>الجرائم الجنائية</v>
      </c>
      <c r="H253" s="3" t="str">
        <f>'Source Table'!$B$26</f>
        <v>Tafiela</v>
      </c>
      <c r="I253" s="3" t="str">
        <f>'Source Table'!$E$26</f>
        <v>الطفيلة</v>
      </c>
      <c r="J253" s="29">
        <v>58</v>
      </c>
      <c r="K253">
        <v>2018</v>
      </c>
    </row>
    <row r="254" ht="15" spans="1:11">
      <c r="A254" t="s">
        <v>93</v>
      </c>
      <c r="B254" t="s">
        <v>94</v>
      </c>
      <c r="C254" s="1" t="s">
        <v>95</v>
      </c>
      <c r="D254" s="53" t="s">
        <v>96</v>
      </c>
      <c r="E254" s="2" t="s">
        <v>97</v>
      </c>
      <c r="F254" s="2" t="str">
        <f>'Source Table'!$D$6</f>
        <v>Felony Crimes</v>
      </c>
      <c r="G254" t="str">
        <f>'Source Table'!$D$5</f>
        <v>الجرائم الجنائية</v>
      </c>
      <c r="H254" s="3" t="str">
        <f>'Source Table'!$B$27</f>
        <v>Ma'an</v>
      </c>
      <c r="I254" s="3" t="str">
        <f>'Source Table'!$E$27</f>
        <v>معان</v>
      </c>
      <c r="J254" s="29">
        <v>80</v>
      </c>
      <c r="K254">
        <v>2018</v>
      </c>
    </row>
    <row r="255" ht="15" spans="1:11">
      <c r="A255" t="s">
        <v>93</v>
      </c>
      <c r="B255" t="s">
        <v>94</v>
      </c>
      <c r="C255" s="1" t="s">
        <v>95</v>
      </c>
      <c r="D255" s="53" t="s">
        <v>96</v>
      </c>
      <c r="E255" s="2" t="s">
        <v>97</v>
      </c>
      <c r="F255" s="2" t="str">
        <f>'Source Table'!$D$6</f>
        <v>Felony Crimes</v>
      </c>
      <c r="G255" t="str">
        <f>'Source Table'!$D$5</f>
        <v>الجرائم الجنائية</v>
      </c>
      <c r="H255" s="3" t="str">
        <f>'Source Table'!$B$28</f>
        <v>West ofMa'an</v>
      </c>
      <c r="I255" s="3" t="str">
        <f>'Source Table'!$E$28</f>
        <v>غرب معان</v>
      </c>
      <c r="J255" s="29">
        <v>23</v>
      </c>
      <c r="K255">
        <v>2018</v>
      </c>
    </row>
    <row r="256" ht="15" spans="1:11">
      <c r="A256" t="s">
        <v>93</v>
      </c>
      <c r="B256" t="s">
        <v>94</v>
      </c>
      <c r="C256" s="1" t="s">
        <v>95</v>
      </c>
      <c r="D256" s="53" t="s">
        <v>96</v>
      </c>
      <c r="E256" s="2" t="s">
        <v>97</v>
      </c>
      <c r="F256" s="2" t="str">
        <f>'Source Table'!$D$6</f>
        <v>Felony Crimes</v>
      </c>
      <c r="G256" t="str">
        <f>'Source Table'!$D$5</f>
        <v>الجرائم الجنائية</v>
      </c>
      <c r="H256" s="3" t="str">
        <f>'Source Table'!$B$29</f>
        <v>Aqaba</v>
      </c>
      <c r="I256" s="3" t="str">
        <f>'Source Table'!$E$29</f>
        <v>العقبة</v>
      </c>
      <c r="J256" s="29">
        <v>156</v>
      </c>
      <c r="K256">
        <v>2018</v>
      </c>
    </row>
    <row r="257" ht="15" spans="1:11">
      <c r="A257" t="s">
        <v>93</v>
      </c>
      <c r="B257" t="s">
        <v>94</v>
      </c>
      <c r="C257" s="1" t="s">
        <v>95</v>
      </c>
      <c r="D257" s="53" t="s">
        <v>96</v>
      </c>
      <c r="E257" s="2" t="s">
        <v>97</v>
      </c>
      <c r="F257" s="3" t="str">
        <f>'Source Table'!$C$6</f>
        <v>Misdemeanor Crimes</v>
      </c>
      <c r="G257" s="3" t="str">
        <f>'Source Table'!$C$5</f>
        <v>الجرائم الجنحوية</v>
      </c>
      <c r="H257" t="str">
        <f>'Source Table'!$B$7</f>
        <v>Middle Amman</v>
      </c>
      <c r="I257" t="str">
        <f>'Source Table'!$E$7</f>
        <v>وسط عمان</v>
      </c>
      <c r="J257" s="31">
        <v>2203</v>
      </c>
      <c r="K257">
        <v>2018</v>
      </c>
    </row>
    <row r="258" ht="15" spans="1:11">
      <c r="A258" t="s">
        <v>93</v>
      </c>
      <c r="B258" t="s">
        <v>94</v>
      </c>
      <c r="C258" s="1" t="s">
        <v>95</v>
      </c>
      <c r="D258" s="53" t="s">
        <v>96</v>
      </c>
      <c r="E258" s="2" t="s">
        <v>97</v>
      </c>
      <c r="F258" s="3" t="str">
        <f>'Source Table'!$C$6</f>
        <v>Misdemeanor Crimes</v>
      </c>
      <c r="G258" s="3" t="str">
        <f>'Source Table'!$C$5</f>
        <v>الجرائم الجنحوية</v>
      </c>
      <c r="H258" t="str">
        <f>'Source Table'!$B$8</f>
        <v>South Amman</v>
      </c>
      <c r="I258" t="str">
        <f>'Source Table'!$E$8</f>
        <v>جنوب عمان</v>
      </c>
      <c r="J258" s="31">
        <v>2281</v>
      </c>
      <c r="K258">
        <v>2018</v>
      </c>
    </row>
    <row r="259" ht="15" spans="1:11">
      <c r="A259" t="s">
        <v>93</v>
      </c>
      <c r="B259" t="s">
        <v>94</v>
      </c>
      <c r="C259" s="1" t="s">
        <v>95</v>
      </c>
      <c r="D259" s="53" t="s">
        <v>96</v>
      </c>
      <c r="E259" s="2" t="s">
        <v>97</v>
      </c>
      <c r="F259" s="3" t="str">
        <f>'Source Table'!$C$6</f>
        <v>Misdemeanor Crimes</v>
      </c>
      <c r="G259" s="3" t="str">
        <f>'Source Table'!$C$5</f>
        <v>الجرائم الجنحوية</v>
      </c>
      <c r="H259" t="str">
        <f>'Source Table'!$B$9</f>
        <v>North Amman</v>
      </c>
      <c r="I259" t="str">
        <f>'Source Table'!$E$9</f>
        <v>شمال عمان </v>
      </c>
      <c r="J259" s="31">
        <v>2240</v>
      </c>
      <c r="K259">
        <v>2018</v>
      </c>
    </row>
    <row r="260" ht="15" spans="1:11">
      <c r="A260" t="s">
        <v>93</v>
      </c>
      <c r="B260" t="s">
        <v>94</v>
      </c>
      <c r="C260" s="1" t="s">
        <v>95</v>
      </c>
      <c r="D260" s="53" t="s">
        <v>96</v>
      </c>
      <c r="E260" s="2" t="s">
        <v>97</v>
      </c>
      <c r="F260" s="3" t="str">
        <f>'Source Table'!$C$6</f>
        <v>Misdemeanor Crimes</v>
      </c>
      <c r="G260" s="3" t="str">
        <f>'Source Table'!$C$5</f>
        <v>الجرائم الجنحوية</v>
      </c>
      <c r="H260" t="str">
        <f>'Source Table'!$B$10</f>
        <v>East Amman</v>
      </c>
      <c r="I260" t="str">
        <f>'Source Table'!$E$10</f>
        <v>شرق عمان</v>
      </c>
      <c r="J260" s="31">
        <v>2110</v>
      </c>
      <c r="K260">
        <v>2018</v>
      </c>
    </row>
    <row r="261" ht="15" spans="1:11">
      <c r="A261" t="s">
        <v>93</v>
      </c>
      <c r="B261" t="s">
        <v>94</v>
      </c>
      <c r="C261" s="1" t="s">
        <v>95</v>
      </c>
      <c r="D261" s="53" t="s">
        <v>96</v>
      </c>
      <c r="E261" s="2" t="s">
        <v>97</v>
      </c>
      <c r="F261" s="3" t="str">
        <f>'Source Table'!$C$6</f>
        <v>Misdemeanor Crimes</v>
      </c>
      <c r="G261" s="3" t="str">
        <f>'Source Table'!$C$5</f>
        <v>الجرائم الجنحوية</v>
      </c>
      <c r="H261" t="str">
        <f>'Source Table'!$B$11</f>
        <v>Balqa</v>
      </c>
      <c r="I261" t="str">
        <f>'Source Table'!$E$11</f>
        <v>البلقاء</v>
      </c>
      <c r="J261" s="31">
        <v>567</v>
      </c>
      <c r="K261">
        <v>2018</v>
      </c>
    </row>
    <row r="262" ht="15" spans="1:11">
      <c r="A262" t="s">
        <v>93</v>
      </c>
      <c r="B262" t="s">
        <v>94</v>
      </c>
      <c r="C262" s="1" t="s">
        <v>95</v>
      </c>
      <c r="D262" s="53" t="s">
        <v>96</v>
      </c>
      <c r="E262" s="2" t="s">
        <v>97</v>
      </c>
      <c r="F262" s="3" t="str">
        <f>'Source Table'!$C$6</f>
        <v>Misdemeanor Crimes</v>
      </c>
      <c r="G262" s="3" t="str">
        <f>'Source Table'!$C$5</f>
        <v>الجرائم الجنحوية</v>
      </c>
      <c r="H262" t="str">
        <f>'Source Table'!$B$12</f>
        <v>West Balqa</v>
      </c>
      <c r="I262" t="str">
        <f>'Source Table'!$E$12</f>
        <v>غرب البلقاء </v>
      </c>
      <c r="J262" s="31">
        <v>221</v>
      </c>
      <c r="K262">
        <v>2018</v>
      </c>
    </row>
    <row r="263" ht="15" spans="1:11">
      <c r="A263" t="s">
        <v>93</v>
      </c>
      <c r="B263" t="s">
        <v>94</v>
      </c>
      <c r="C263" s="1" t="s">
        <v>95</v>
      </c>
      <c r="D263" s="53" t="s">
        <v>96</v>
      </c>
      <c r="E263" s="2" t="s">
        <v>97</v>
      </c>
      <c r="F263" s="3" t="str">
        <f>'Source Table'!$C$6</f>
        <v>Misdemeanor Crimes</v>
      </c>
      <c r="G263" s="3" t="str">
        <f>'Source Table'!$C$5</f>
        <v>الجرائم الجنحوية</v>
      </c>
      <c r="H263" t="str">
        <f>'Source Table'!$B$13</f>
        <v>Zarqa</v>
      </c>
      <c r="I263" t="str">
        <f>'Source Table'!$E$13</f>
        <v>الزرقاء</v>
      </c>
      <c r="J263" s="31">
        <v>1215</v>
      </c>
      <c r="K263">
        <v>2018</v>
      </c>
    </row>
    <row r="264" ht="15" spans="1:11">
      <c r="A264" t="s">
        <v>93</v>
      </c>
      <c r="B264" t="s">
        <v>94</v>
      </c>
      <c r="C264" s="1" t="s">
        <v>95</v>
      </c>
      <c r="D264" s="53" t="s">
        <v>96</v>
      </c>
      <c r="E264" s="2" t="s">
        <v>97</v>
      </c>
      <c r="F264" s="3" t="str">
        <f>'Source Table'!$C$6</f>
        <v>Misdemeanor Crimes</v>
      </c>
      <c r="G264" s="3" t="str">
        <f>'Source Table'!$C$5</f>
        <v>الجرائم الجنحوية</v>
      </c>
      <c r="H264" t="str">
        <f>'Source Table'!$B$14</f>
        <v>Al-Russaifa</v>
      </c>
      <c r="I264" t="str">
        <f>'Source Table'!$E$14</f>
        <v>الرصيفة</v>
      </c>
      <c r="J264" s="31">
        <v>478</v>
      </c>
      <c r="K264">
        <v>2018</v>
      </c>
    </row>
    <row r="265" ht="15" spans="1:11">
      <c r="A265" t="s">
        <v>93</v>
      </c>
      <c r="B265" t="s">
        <v>94</v>
      </c>
      <c r="C265" s="1" t="s">
        <v>95</v>
      </c>
      <c r="D265" s="53" t="s">
        <v>96</v>
      </c>
      <c r="E265" s="2" t="s">
        <v>97</v>
      </c>
      <c r="F265" s="3" t="str">
        <f>'Source Table'!$C$6</f>
        <v>Misdemeanor Crimes</v>
      </c>
      <c r="G265" s="3" t="str">
        <f>'Source Table'!$C$5</f>
        <v>الجرائم الجنحوية</v>
      </c>
      <c r="H265" t="str">
        <f>'Source Table'!$B$15</f>
        <v>Madaba</v>
      </c>
      <c r="I265" t="str">
        <f>'Source Table'!$E$15</f>
        <v>مادبا</v>
      </c>
      <c r="J265" s="31">
        <v>519</v>
      </c>
      <c r="K265">
        <v>2018</v>
      </c>
    </row>
    <row r="266" ht="15" spans="1:11">
      <c r="A266" t="s">
        <v>93</v>
      </c>
      <c r="B266" t="s">
        <v>94</v>
      </c>
      <c r="C266" s="1" t="s">
        <v>95</v>
      </c>
      <c r="D266" s="53" t="s">
        <v>96</v>
      </c>
      <c r="E266" s="2" t="s">
        <v>97</v>
      </c>
      <c r="F266" s="3" t="str">
        <f>'Source Table'!$C$6</f>
        <v>Misdemeanor Crimes</v>
      </c>
      <c r="G266" s="3" t="str">
        <f>'Source Table'!$C$5</f>
        <v>الجرائم الجنحوية</v>
      </c>
      <c r="H266" t="str">
        <f>'Source Table'!$B$16</f>
        <v>Irbid</v>
      </c>
      <c r="I266" t="str">
        <f>'Source Table'!$E$16</f>
        <v>إربد</v>
      </c>
      <c r="J266" s="31">
        <v>1878</v>
      </c>
      <c r="K266">
        <v>2018</v>
      </c>
    </row>
    <row r="267" ht="15" spans="1:11">
      <c r="A267" t="s">
        <v>93</v>
      </c>
      <c r="B267" t="s">
        <v>94</v>
      </c>
      <c r="C267" s="1" t="s">
        <v>95</v>
      </c>
      <c r="D267" s="53" t="s">
        <v>96</v>
      </c>
      <c r="E267" s="2" t="s">
        <v>97</v>
      </c>
      <c r="F267" s="3" t="str">
        <f>'Source Table'!$C$6</f>
        <v>Misdemeanor Crimes</v>
      </c>
      <c r="G267" s="3" t="str">
        <f>'Source Table'!$C$5</f>
        <v>الجرائم الجنحوية</v>
      </c>
      <c r="H267" t="str">
        <f>'Source Table'!$B$17</f>
        <v>West Irbid</v>
      </c>
      <c r="I267" t="str">
        <f>'Source Table'!$E$17</f>
        <v>غرب إربد</v>
      </c>
      <c r="J267" s="31">
        <v>445</v>
      </c>
      <c r="K267">
        <v>2018</v>
      </c>
    </row>
    <row r="268" ht="15" spans="1:11">
      <c r="A268" t="s">
        <v>93</v>
      </c>
      <c r="B268" t="s">
        <v>94</v>
      </c>
      <c r="C268" s="1" t="s">
        <v>95</v>
      </c>
      <c r="D268" s="53" t="s">
        <v>96</v>
      </c>
      <c r="E268" s="2" t="s">
        <v>97</v>
      </c>
      <c r="F268" s="3" t="str">
        <f>'Source Table'!$C$6</f>
        <v>Misdemeanor Crimes</v>
      </c>
      <c r="G268" s="3" t="str">
        <f>'Source Table'!$C$5</f>
        <v>الجرائم الجنحوية</v>
      </c>
      <c r="H268" t="str">
        <f>'Source Table'!$B$18</f>
        <v>Al-Ramtha</v>
      </c>
      <c r="I268" t="str">
        <f>'Source Table'!$E$18</f>
        <v>الرمثا</v>
      </c>
      <c r="J268" s="31">
        <v>459</v>
      </c>
      <c r="K268">
        <v>2018</v>
      </c>
    </row>
    <row r="269" ht="15" spans="1:11">
      <c r="A269" t="s">
        <v>93</v>
      </c>
      <c r="B269" t="s">
        <v>94</v>
      </c>
      <c r="C269" s="1" t="s">
        <v>95</v>
      </c>
      <c r="D269" s="53" t="s">
        <v>96</v>
      </c>
      <c r="E269" s="2" t="s">
        <v>97</v>
      </c>
      <c r="F269" s="3" t="str">
        <f>'Source Table'!$C$6</f>
        <v>Misdemeanor Crimes</v>
      </c>
      <c r="G269" s="3" t="str">
        <f>'Source Table'!$C$5</f>
        <v>الجرائم الجنحوية</v>
      </c>
      <c r="H269" t="str">
        <f>'Source Table'!$B$19</f>
        <v>Mafraq</v>
      </c>
      <c r="I269" t="str">
        <f>'Source Table'!$E$19</f>
        <v>المفرق</v>
      </c>
      <c r="J269" s="31">
        <v>441</v>
      </c>
      <c r="K269">
        <v>2018</v>
      </c>
    </row>
    <row r="270" ht="15" spans="1:11">
      <c r="A270" t="s">
        <v>93</v>
      </c>
      <c r="B270" t="s">
        <v>94</v>
      </c>
      <c r="C270" s="1" t="s">
        <v>95</v>
      </c>
      <c r="D270" s="53" t="s">
        <v>96</v>
      </c>
      <c r="E270" s="2" t="s">
        <v>97</v>
      </c>
      <c r="F270" s="3" t="str">
        <f>'Source Table'!$C$6</f>
        <v>Misdemeanor Crimes</v>
      </c>
      <c r="G270" s="3" t="str">
        <f>'Source Table'!$C$5</f>
        <v>الجرائم الجنحوية</v>
      </c>
      <c r="H270" t="str">
        <f>'Source Table'!$B$20</f>
        <v>North Bedouin</v>
      </c>
      <c r="I270" t="str">
        <f>'Source Table'!$E$20</f>
        <v>الباديةالشمالية</v>
      </c>
      <c r="J270" s="31">
        <v>275</v>
      </c>
      <c r="K270">
        <v>2018</v>
      </c>
    </row>
    <row r="271" ht="15" spans="1:11">
      <c r="A271" t="s">
        <v>93</v>
      </c>
      <c r="B271" t="s">
        <v>94</v>
      </c>
      <c r="C271" s="1" t="s">
        <v>95</v>
      </c>
      <c r="D271" s="53" t="s">
        <v>96</v>
      </c>
      <c r="E271" s="2" t="s">
        <v>97</v>
      </c>
      <c r="F271" s="3" t="str">
        <f>'Source Table'!$C$6</f>
        <v>Misdemeanor Crimes</v>
      </c>
      <c r="G271" s="3" t="str">
        <f>'Source Table'!$C$5</f>
        <v>الجرائم الجنحوية</v>
      </c>
      <c r="H271" s="3" t="str">
        <f>'Source Table'!$B$21</f>
        <v>Middle Bedouin</v>
      </c>
      <c r="I271" s="3" t="str">
        <f>'Source Table'!$E$21</f>
        <v>البادية الوسطى</v>
      </c>
      <c r="J271" s="31">
        <v>305</v>
      </c>
      <c r="K271">
        <v>2018</v>
      </c>
    </row>
    <row r="272" ht="15" spans="1:11">
      <c r="A272" t="s">
        <v>93</v>
      </c>
      <c r="B272" t="s">
        <v>94</v>
      </c>
      <c r="C272" s="1" t="s">
        <v>95</v>
      </c>
      <c r="D272" s="53" t="s">
        <v>96</v>
      </c>
      <c r="E272" s="2" t="s">
        <v>97</v>
      </c>
      <c r="F272" s="3" t="str">
        <f>'Source Table'!$C$6</f>
        <v>Misdemeanor Crimes</v>
      </c>
      <c r="G272" s="3" t="str">
        <f>'Source Table'!$C$5</f>
        <v>الجرائم الجنحوية</v>
      </c>
      <c r="H272" s="3" t="str">
        <f>'Source Table'!$B$22</f>
        <v>South Bedouin</v>
      </c>
      <c r="I272" s="3" t="str">
        <f>'Source Table'!$E$22</f>
        <v>البادية الجنوبية </v>
      </c>
      <c r="J272" s="31">
        <v>64</v>
      </c>
      <c r="K272">
        <v>2018</v>
      </c>
    </row>
    <row r="273" ht="15" spans="1:11">
      <c r="A273" t="s">
        <v>93</v>
      </c>
      <c r="B273" t="s">
        <v>94</v>
      </c>
      <c r="C273" s="1" t="s">
        <v>95</v>
      </c>
      <c r="D273" s="53" t="s">
        <v>96</v>
      </c>
      <c r="E273" s="2" t="s">
        <v>97</v>
      </c>
      <c r="F273" s="3" t="str">
        <f>'Source Table'!$C$6</f>
        <v>Misdemeanor Crimes</v>
      </c>
      <c r="G273" s="3" t="str">
        <f>'Source Table'!$C$5</f>
        <v>الجرائم الجنحوية</v>
      </c>
      <c r="H273" s="3" t="str">
        <f>'Source Table'!$B$23</f>
        <v>Jarash</v>
      </c>
      <c r="I273" s="3" t="str">
        <f>'Source Table'!$E$23</f>
        <v>جرش</v>
      </c>
      <c r="J273" s="31">
        <v>364</v>
      </c>
      <c r="K273">
        <v>2018</v>
      </c>
    </row>
    <row r="274" ht="15" spans="1:11">
      <c r="A274" t="s">
        <v>93</v>
      </c>
      <c r="B274" t="s">
        <v>94</v>
      </c>
      <c r="C274" s="1" t="s">
        <v>95</v>
      </c>
      <c r="D274" s="53" t="s">
        <v>96</v>
      </c>
      <c r="E274" s="2" t="s">
        <v>97</v>
      </c>
      <c r="F274" s="3" t="str">
        <f>'Source Table'!$C$6</f>
        <v>Misdemeanor Crimes</v>
      </c>
      <c r="G274" s="3" t="str">
        <f>'Source Table'!$C$5</f>
        <v>الجرائم الجنحوية</v>
      </c>
      <c r="H274" s="3" t="str">
        <f>'Source Table'!$B$24</f>
        <v>Ajloun</v>
      </c>
      <c r="I274" s="3" t="str">
        <f>'Source Table'!$E$24</f>
        <v>عجلون</v>
      </c>
      <c r="J274" s="31">
        <v>255</v>
      </c>
      <c r="K274">
        <v>2018</v>
      </c>
    </row>
    <row r="275" ht="15" spans="1:11">
      <c r="A275" t="s">
        <v>93</v>
      </c>
      <c r="B275" t="s">
        <v>94</v>
      </c>
      <c r="C275" s="1" t="s">
        <v>95</v>
      </c>
      <c r="D275" s="53" t="s">
        <v>96</v>
      </c>
      <c r="E275" s="2" t="s">
        <v>97</v>
      </c>
      <c r="F275" s="3" t="str">
        <f>'Source Table'!$C$6</f>
        <v>Misdemeanor Crimes</v>
      </c>
      <c r="G275" s="3" t="str">
        <f>'Source Table'!$C$5</f>
        <v>الجرائم الجنحوية</v>
      </c>
      <c r="H275" s="3" t="str">
        <f>'Source Table'!$B$25</f>
        <v>Karak</v>
      </c>
      <c r="I275" s="3" t="str">
        <f>'Source Table'!$E$25</f>
        <v>الكرك</v>
      </c>
      <c r="J275" s="31">
        <v>424</v>
      </c>
      <c r="K275">
        <v>2018</v>
      </c>
    </row>
    <row r="276" ht="15" spans="1:11">
      <c r="A276" t="s">
        <v>93</v>
      </c>
      <c r="B276" t="s">
        <v>94</v>
      </c>
      <c r="C276" s="1" t="s">
        <v>95</v>
      </c>
      <c r="D276" s="53" t="s">
        <v>96</v>
      </c>
      <c r="E276" s="2" t="s">
        <v>97</v>
      </c>
      <c r="F276" s="3" t="str">
        <f>'Source Table'!$C$6</f>
        <v>Misdemeanor Crimes</v>
      </c>
      <c r="G276" s="3" t="str">
        <f>'Source Table'!$C$5</f>
        <v>الجرائم الجنحوية</v>
      </c>
      <c r="H276" s="3" t="str">
        <f>'Source Table'!$B$26</f>
        <v>Tafiela</v>
      </c>
      <c r="I276" s="3" t="str">
        <f>'Source Table'!$E$26</f>
        <v>الطفيلة</v>
      </c>
      <c r="J276" s="31">
        <v>152</v>
      </c>
      <c r="K276">
        <v>2018</v>
      </c>
    </row>
    <row r="277" ht="15" spans="1:11">
      <c r="A277" t="s">
        <v>93</v>
      </c>
      <c r="B277" t="s">
        <v>94</v>
      </c>
      <c r="C277" s="1" t="s">
        <v>95</v>
      </c>
      <c r="D277" s="53" t="s">
        <v>96</v>
      </c>
      <c r="E277" s="2" t="s">
        <v>97</v>
      </c>
      <c r="F277" s="3" t="str">
        <f>'Source Table'!$C$6</f>
        <v>Misdemeanor Crimes</v>
      </c>
      <c r="G277" s="3" t="str">
        <f>'Source Table'!$C$5</f>
        <v>الجرائم الجنحوية</v>
      </c>
      <c r="H277" s="3" t="str">
        <f>'Source Table'!$B$27</f>
        <v>Ma'an</v>
      </c>
      <c r="I277" s="3" t="str">
        <f>'Source Table'!$E$27</f>
        <v>معان</v>
      </c>
      <c r="J277" s="31">
        <v>109</v>
      </c>
      <c r="K277">
        <v>2018</v>
      </c>
    </row>
    <row r="278" ht="15" spans="1:11">
      <c r="A278" t="s">
        <v>93</v>
      </c>
      <c r="B278" t="s">
        <v>94</v>
      </c>
      <c r="C278" s="1" t="s">
        <v>95</v>
      </c>
      <c r="D278" s="53" t="s">
        <v>96</v>
      </c>
      <c r="E278" s="2" t="s">
        <v>97</v>
      </c>
      <c r="F278" s="3" t="str">
        <f>'Source Table'!$C$6</f>
        <v>Misdemeanor Crimes</v>
      </c>
      <c r="G278" s="3" t="str">
        <f>'Source Table'!$C$5</f>
        <v>الجرائم الجنحوية</v>
      </c>
      <c r="H278" s="3" t="str">
        <f>'Source Table'!$B$28</f>
        <v>West ofMa'an</v>
      </c>
      <c r="I278" s="3" t="str">
        <f>'Source Table'!$E$28</f>
        <v>غرب معان</v>
      </c>
      <c r="J278" s="31">
        <v>81</v>
      </c>
      <c r="K278">
        <v>2018</v>
      </c>
    </row>
    <row r="279" ht="15" spans="1:11">
      <c r="A279" t="s">
        <v>93</v>
      </c>
      <c r="B279" t="s">
        <v>94</v>
      </c>
      <c r="C279" s="1" t="s">
        <v>95</v>
      </c>
      <c r="D279" s="53" t="s">
        <v>96</v>
      </c>
      <c r="E279" s="2" t="s">
        <v>97</v>
      </c>
      <c r="F279" s="3" t="str">
        <f>'Source Table'!$C$6</f>
        <v>Misdemeanor Crimes</v>
      </c>
      <c r="G279" s="3" t="str">
        <f>'Source Table'!$C$5</f>
        <v>الجرائم الجنحوية</v>
      </c>
      <c r="H279" s="3" t="str">
        <f>'Source Table'!$B$29</f>
        <v>Aqaba</v>
      </c>
      <c r="I279" s="3" t="str">
        <f>'Source Table'!$E$29</f>
        <v>العقبة</v>
      </c>
      <c r="J279" s="31">
        <v>414</v>
      </c>
      <c r="K279">
        <v>2018</v>
      </c>
    </row>
    <row r="280" ht="15" spans="1:11">
      <c r="A280" t="s">
        <v>93</v>
      </c>
      <c r="B280" t="s">
        <v>94</v>
      </c>
      <c r="C280" s="1" t="s">
        <v>95</v>
      </c>
      <c r="D280" s="53" t="s">
        <v>96</v>
      </c>
      <c r="E280" s="2" t="s">
        <v>97</v>
      </c>
      <c r="F280" s="2" t="str">
        <f>'Source Table'!$D$6</f>
        <v>Felony Crimes</v>
      </c>
      <c r="G280" t="str">
        <f>'Source Table'!$D$5</f>
        <v>الجرائم الجنائية</v>
      </c>
      <c r="H280" t="str">
        <f>'Source Table'!$B$7</f>
        <v>Middle Amman</v>
      </c>
      <c r="I280" t="str">
        <f>'Source Table'!$E$7</f>
        <v>وسط عمان</v>
      </c>
      <c r="J280" s="29">
        <v>927</v>
      </c>
      <c r="K280">
        <v>2017</v>
      </c>
    </row>
    <row r="281" ht="15" spans="1:11">
      <c r="A281" t="s">
        <v>93</v>
      </c>
      <c r="B281" t="s">
        <v>94</v>
      </c>
      <c r="C281" s="1" t="s">
        <v>95</v>
      </c>
      <c r="D281" s="53" t="s">
        <v>96</v>
      </c>
      <c r="E281" s="2" t="s">
        <v>97</v>
      </c>
      <c r="F281" s="2" t="str">
        <f>'Source Table'!$D$6</f>
        <v>Felony Crimes</v>
      </c>
      <c r="G281" t="str">
        <f>'Source Table'!$D$5</f>
        <v>الجرائم الجنائية</v>
      </c>
      <c r="H281" t="str">
        <f>'Source Table'!$B$8</f>
        <v>South Amman</v>
      </c>
      <c r="I281" t="str">
        <f>'Source Table'!$E$8</f>
        <v>جنوب عمان</v>
      </c>
      <c r="J281" s="29">
        <v>777</v>
      </c>
      <c r="K281">
        <v>2017</v>
      </c>
    </row>
    <row r="282" ht="15" spans="1:11">
      <c r="A282" t="s">
        <v>93</v>
      </c>
      <c r="B282" t="s">
        <v>94</v>
      </c>
      <c r="C282" s="1" t="s">
        <v>95</v>
      </c>
      <c r="D282" s="53" t="s">
        <v>96</v>
      </c>
      <c r="E282" s="2" t="s">
        <v>97</v>
      </c>
      <c r="F282" s="2" t="str">
        <f>'Source Table'!$D$6</f>
        <v>Felony Crimes</v>
      </c>
      <c r="G282" t="str">
        <f>'Source Table'!$D$5</f>
        <v>الجرائم الجنائية</v>
      </c>
      <c r="H282" t="str">
        <f>'Source Table'!$B$9</f>
        <v>North Amman</v>
      </c>
      <c r="I282" t="str">
        <f>'Source Table'!$E$9</f>
        <v>شمال عمان </v>
      </c>
      <c r="J282" s="29">
        <v>426</v>
      </c>
      <c r="K282">
        <v>2017</v>
      </c>
    </row>
    <row r="283" ht="15" spans="1:11">
      <c r="A283" t="s">
        <v>93</v>
      </c>
      <c r="B283" t="s">
        <v>94</v>
      </c>
      <c r="C283" s="1" t="s">
        <v>95</v>
      </c>
      <c r="D283" s="53" t="s">
        <v>96</v>
      </c>
      <c r="E283" s="2" t="s">
        <v>97</v>
      </c>
      <c r="F283" s="2" t="str">
        <f>'Source Table'!$D$6</f>
        <v>Felony Crimes</v>
      </c>
      <c r="G283" t="str">
        <f>'Source Table'!$D$5</f>
        <v>الجرائم الجنائية</v>
      </c>
      <c r="H283" t="str">
        <f>'Source Table'!$B$10</f>
        <v>East Amman</v>
      </c>
      <c r="I283" t="str">
        <f>'Source Table'!$E$10</f>
        <v>شرق عمان</v>
      </c>
      <c r="J283" s="29">
        <v>665</v>
      </c>
      <c r="K283">
        <v>2017</v>
      </c>
    </row>
    <row r="284" ht="15" spans="1:11">
      <c r="A284" t="s">
        <v>93</v>
      </c>
      <c r="B284" t="s">
        <v>94</v>
      </c>
      <c r="C284" s="1" t="s">
        <v>95</v>
      </c>
      <c r="D284" s="53" t="s">
        <v>96</v>
      </c>
      <c r="E284" s="2" t="s">
        <v>97</v>
      </c>
      <c r="F284" s="2" t="str">
        <f>'Source Table'!$D$6</f>
        <v>Felony Crimes</v>
      </c>
      <c r="G284" t="str">
        <f>'Source Table'!$D$5</f>
        <v>الجرائم الجنائية</v>
      </c>
      <c r="H284" t="str">
        <f>'Source Table'!$B$11</f>
        <v>Balqa</v>
      </c>
      <c r="I284" t="str">
        <f>'Source Table'!$E$11</f>
        <v>البلقاء</v>
      </c>
      <c r="J284" s="29">
        <v>292</v>
      </c>
      <c r="K284">
        <v>2017</v>
      </c>
    </row>
    <row r="285" ht="15" spans="1:11">
      <c r="A285" t="s">
        <v>93</v>
      </c>
      <c r="B285" t="s">
        <v>94</v>
      </c>
      <c r="C285" s="1" t="s">
        <v>95</v>
      </c>
      <c r="D285" s="53" t="s">
        <v>96</v>
      </c>
      <c r="E285" s="2" t="s">
        <v>97</v>
      </c>
      <c r="F285" s="2" t="str">
        <f>'Source Table'!$D$6</f>
        <v>Felony Crimes</v>
      </c>
      <c r="G285" t="str">
        <f>'Source Table'!$D$5</f>
        <v>الجرائم الجنائية</v>
      </c>
      <c r="H285" t="str">
        <f>'Source Table'!$B$12</f>
        <v>West Balqa</v>
      </c>
      <c r="I285" t="str">
        <f>'Source Table'!$E$12</f>
        <v>غرب البلقاء </v>
      </c>
      <c r="J285" s="29">
        <v>152</v>
      </c>
      <c r="K285">
        <v>2017</v>
      </c>
    </row>
    <row r="286" ht="15" spans="1:11">
      <c r="A286" t="s">
        <v>93</v>
      </c>
      <c r="B286" t="s">
        <v>94</v>
      </c>
      <c r="C286" s="1" t="s">
        <v>95</v>
      </c>
      <c r="D286" s="53" t="s">
        <v>96</v>
      </c>
      <c r="E286" s="2" t="s">
        <v>97</v>
      </c>
      <c r="F286" s="2" t="str">
        <f>'Source Table'!$D$6</f>
        <v>Felony Crimes</v>
      </c>
      <c r="G286" t="str">
        <f>'Source Table'!$D$5</f>
        <v>الجرائم الجنائية</v>
      </c>
      <c r="H286" t="str">
        <f>'Source Table'!$B$13</f>
        <v>Zarqa</v>
      </c>
      <c r="I286" t="str">
        <f>'Source Table'!$E$13</f>
        <v>الزرقاء</v>
      </c>
      <c r="J286" s="29">
        <v>609</v>
      </c>
      <c r="K286">
        <v>2017</v>
      </c>
    </row>
    <row r="287" ht="15" spans="1:11">
      <c r="A287" t="s">
        <v>93</v>
      </c>
      <c r="B287" t="s">
        <v>94</v>
      </c>
      <c r="C287" s="1" t="s">
        <v>95</v>
      </c>
      <c r="D287" s="53" t="s">
        <v>96</v>
      </c>
      <c r="E287" s="2" t="s">
        <v>97</v>
      </c>
      <c r="F287" s="2" t="str">
        <f>'Source Table'!$D$6</f>
        <v>Felony Crimes</v>
      </c>
      <c r="G287" t="str">
        <f>'Source Table'!$D$5</f>
        <v>الجرائم الجنائية</v>
      </c>
      <c r="H287" t="str">
        <f>'Source Table'!$B$14</f>
        <v>Al-Russaifa</v>
      </c>
      <c r="I287" t="str">
        <f>'Source Table'!$E$14</f>
        <v>الرصيفة</v>
      </c>
      <c r="J287" s="29">
        <v>316</v>
      </c>
      <c r="K287">
        <v>2017</v>
      </c>
    </row>
    <row r="288" ht="15" spans="1:11">
      <c r="A288" t="s">
        <v>93</v>
      </c>
      <c r="B288" t="s">
        <v>94</v>
      </c>
      <c r="C288" s="1" t="s">
        <v>95</v>
      </c>
      <c r="D288" s="53" t="s">
        <v>96</v>
      </c>
      <c r="E288" s="2" t="s">
        <v>97</v>
      </c>
      <c r="F288" s="2" t="str">
        <f>'Source Table'!$D$6</f>
        <v>Felony Crimes</v>
      </c>
      <c r="G288" t="str">
        <f>'Source Table'!$D$5</f>
        <v>الجرائم الجنائية</v>
      </c>
      <c r="H288" t="str">
        <f>'Source Table'!$B$15</f>
        <v>Madaba</v>
      </c>
      <c r="I288" t="str">
        <f>'Source Table'!$E$15</f>
        <v>مادبا</v>
      </c>
      <c r="J288" s="29">
        <v>157</v>
      </c>
      <c r="K288">
        <v>2017</v>
      </c>
    </row>
    <row r="289" ht="15" spans="1:11">
      <c r="A289" t="s">
        <v>93</v>
      </c>
      <c r="B289" t="s">
        <v>94</v>
      </c>
      <c r="C289" s="1" t="s">
        <v>95</v>
      </c>
      <c r="D289" s="53" t="s">
        <v>96</v>
      </c>
      <c r="E289" s="2" t="s">
        <v>97</v>
      </c>
      <c r="F289" s="2" t="str">
        <f>'Source Table'!$D$6</f>
        <v>Felony Crimes</v>
      </c>
      <c r="G289" t="str">
        <f>'Source Table'!$D$5</f>
        <v>الجرائم الجنائية</v>
      </c>
      <c r="H289" t="str">
        <f>'Source Table'!$B$16</f>
        <v>Irbid</v>
      </c>
      <c r="I289" t="str">
        <f>'Source Table'!$E$16</f>
        <v>إربد</v>
      </c>
      <c r="J289" s="29">
        <v>862</v>
      </c>
      <c r="K289">
        <v>2017</v>
      </c>
    </row>
    <row r="290" ht="15" spans="1:11">
      <c r="A290" t="s">
        <v>93</v>
      </c>
      <c r="B290" t="s">
        <v>94</v>
      </c>
      <c r="C290" s="1" t="s">
        <v>95</v>
      </c>
      <c r="D290" s="53" t="s">
        <v>96</v>
      </c>
      <c r="E290" s="2" t="s">
        <v>97</v>
      </c>
      <c r="F290" s="2" t="str">
        <f>'Source Table'!$D$6</f>
        <v>Felony Crimes</v>
      </c>
      <c r="G290" t="str">
        <f>'Source Table'!$D$5</f>
        <v>الجرائم الجنائية</v>
      </c>
      <c r="H290" t="str">
        <f>'Source Table'!$B$17</f>
        <v>West Irbid</v>
      </c>
      <c r="I290" t="str">
        <f>'Source Table'!$E$17</f>
        <v>غرب إربد</v>
      </c>
      <c r="J290" s="29">
        <v>238</v>
      </c>
      <c r="K290">
        <v>2017</v>
      </c>
    </row>
    <row r="291" ht="15" spans="1:11">
      <c r="A291" t="s">
        <v>93</v>
      </c>
      <c r="B291" t="s">
        <v>94</v>
      </c>
      <c r="C291" s="1" t="s">
        <v>95</v>
      </c>
      <c r="D291" s="53" t="s">
        <v>96</v>
      </c>
      <c r="E291" s="2" t="s">
        <v>97</v>
      </c>
      <c r="F291" s="2" t="str">
        <f>'Source Table'!$D$6</f>
        <v>Felony Crimes</v>
      </c>
      <c r="G291" t="str">
        <f>'Source Table'!$D$5</f>
        <v>الجرائم الجنائية</v>
      </c>
      <c r="H291" t="str">
        <f>'Source Table'!$B$18</f>
        <v>Al-Ramtha</v>
      </c>
      <c r="I291" t="str">
        <f>'Source Table'!$E$18</f>
        <v>الرمثا</v>
      </c>
      <c r="J291" s="29">
        <v>111</v>
      </c>
      <c r="K291">
        <v>2017</v>
      </c>
    </row>
    <row r="292" ht="15" spans="1:11">
      <c r="A292" t="s">
        <v>93</v>
      </c>
      <c r="B292" t="s">
        <v>94</v>
      </c>
      <c r="C292" s="1" t="s">
        <v>95</v>
      </c>
      <c r="D292" s="53" t="s">
        <v>96</v>
      </c>
      <c r="E292" s="2" t="s">
        <v>97</v>
      </c>
      <c r="F292" s="2" t="str">
        <f>'Source Table'!$D$6</f>
        <v>Felony Crimes</v>
      </c>
      <c r="G292" t="str">
        <f>'Source Table'!$D$5</f>
        <v>الجرائم الجنائية</v>
      </c>
      <c r="H292" t="str">
        <f>'Source Table'!$B$19</f>
        <v>Mafraq</v>
      </c>
      <c r="I292" t="str">
        <f>'Source Table'!$E$19</f>
        <v>المفرق</v>
      </c>
      <c r="J292" s="29">
        <v>250</v>
      </c>
      <c r="K292">
        <v>2017</v>
      </c>
    </row>
    <row r="293" ht="15" spans="1:11">
      <c r="A293" t="s">
        <v>93</v>
      </c>
      <c r="B293" t="s">
        <v>94</v>
      </c>
      <c r="C293" s="1" t="s">
        <v>95</v>
      </c>
      <c r="D293" s="53" t="s">
        <v>96</v>
      </c>
      <c r="E293" s="2" t="s">
        <v>97</v>
      </c>
      <c r="F293" s="2" t="str">
        <f>'Source Table'!$D$6</f>
        <v>Felony Crimes</v>
      </c>
      <c r="G293" t="str">
        <f>'Source Table'!$D$5</f>
        <v>الجرائم الجنائية</v>
      </c>
      <c r="H293" t="str">
        <f>'Source Table'!$B$20</f>
        <v>North Bedouin</v>
      </c>
      <c r="I293" t="str">
        <f>'Source Table'!$E$20</f>
        <v>الباديةالشمالية</v>
      </c>
      <c r="J293" s="29">
        <v>84</v>
      </c>
      <c r="K293">
        <v>2017</v>
      </c>
    </row>
    <row r="294" ht="15" spans="1:11">
      <c r="A294" t="s">
        <v>93</v>
      </c>
      <c r="B294" t="s">
        <v>94</v>
      </c>
      <c r="C294" s="1" t="s">
        <v>95</v>
      </c>
      <c r="D294" s="53" t="s">
        <v>96</v>
      </c>
      <c r="E294" s="2" t="s">
        <v>97</v>
      </c>
      <c r="F294" s="2" t="str">
        <f>'Source Table'!$D$6</f>
        <v>Felony Crimes</v>
      </c>
      <c r="G294" t="str">
        <f>'Source Table'!$D$5</f>
        <v>الجرائم الجنائية</v>
      </c>
      <c r="H294" s="3" t="str">
        <f>'Source Table'!$B$21</f>
        <v>Middle Bedouin</v>
      </c>
      <c r="I294" s="3" t="str">
        <f>'Source Table'!$E$21</f>
        <v>البادية الوسطى</v>
      </c>
      <c r="J294" s="29">
        <v>100</v>
      </c>
      <c r="K294">
        <v>2017</v>
      </c>
    </row>
    <row r="295" ht="15" spans="1:11">
      <c r="A295" t="s">
        <v>93</v>
      </c>
      <c r="B295" t="s">
        <v>94</v>
      </c>
      <c r="C295" s="1" t="s">
        <v>95</v>
      </c>
      <c r="D295" s="53" t="s">
        <v>96</v>
      </c>
      <c r="E295" s="2" t="s">
        <v>97</v>
      </c>
      <c r="F295" s="2" t="str">
        <f>'Source Table'!$D$6</f>
        <v>Felony Crimes</v>
      </c>
      <c r="G295" t="str">
        <f>'Source Table'!$D$5</f>
        <v>الجرائم الجنائية</v>
      </c>
      <c r="H295" s="3" t="str">
        <f>'Source Table'!$B$22</f>
        <v>South Bedouin</v>
      </c>
      <c r="I295" s="3" t="str">
        <f>'Source Table'!$E$22</f>
        <v>البادية الجنوبية </v>
      </c>
      <c r="J295" s="29">
        <v>12</v>
      </c>
      <c r="K295">
        <v>2017</v>
      </c>
    </row>
    <row r="296" ht="15" spans="1:11">
      <c r="A296" t="s">
        <v>93</v>
      </c>
      <c r="B296" t="s">
        <v>94</v>
      </c>
      <c r="C296" s="1" t="s">
        <v>95</v>
      </c>
      <c r="D296" s="53" t="s">
        <v>96</v>
      </c>
      <c r="E296" s="2" t="s">
        <v>97</v>
      </c>
      <c r="F296" s="2" t="str">
        <f>'Source Table'!$D$6</f>
        <v>Felony Crimes</v>
      </c>
      <c r="G296" t="str">
        <f>'Source Table'!$D$5</f>
        <v>الجرائم الجنائية</v>
      </c>
      <c r="H296" s="3" t="str">
        <f>'Source Table'!$B$23</f>
        <v>Jarash</v>
      </c>
      <c r="I296" s="3" t="str">
        <f>'Source Table'!$E$23</f>
        <v>جرش</v>
      </c>
      <c r="J296" s="29">
        <v>151</v>
      </c>
      <c r="K296">
        <v>2017</v>
      </c>
    </row>
    <row r="297" ht="15" spans="1:11">
      <c r="A297" t="s">
        <v>93</v>
      </c>
      <c r="B297" t="s">
        <v>94</v>
      </c>
      <c r="C297" s="1" t="s">
        <v>95</v>
      </c>
      <c r="D297" s="53" t="s">
        <v>96</v>
      </c>
      <c r="E297" s="2" t="s">
        <v>97</v>
      </c>
      <c r="F297" s="2" t="str">
        <f>'Source Table'!$D$6</f>
        <v>Felony Crimes</v>
      </c>
      <c r="G297" t="str">
        <f>'Source Table'!$D$5</f>
        <v>الجرائم الجنائية</v>
      </c>
      <c r="H297" s="3" t="str">
        <f>'Source Table'!$B$24</f>
        <v>Ajloun</v>
      </c>
      <c r="I297" s="3" t="str">
        <f>'Source Table'!$E$24</f>
        <v>عجلون</v>
      </c>
      <c r="J297" s="29">
        <v>100</v>
      </c>
      <c r="K297">
        <v>2017</v>
      </c>
    </row>
    <row r="298" ht="15" spans="1:11">
      <c r="A298" t="s">
        <v>93</v>
      </c>
      <c r="B298" t="s">
        <v>94</v>
      </c>
      <c r="C298" s="1" t="s">
        <v>95</v>
      </c>
      <c r="D298" s="53" t="s">
        <v>96</v>
      </c>
      <c r="E298" s="2" t="s">
        <v>97</v>
      </c>
      <c r="F298" s="2" t="str">
        <f>'Source Table'!$D$6</f>
        <v>Felony Crimes</v>
      </c>
      <c r="G298" t="str">
        <f>'Source Table'!$D$5</f>
        <v>الجرائم الجنائية</v>
      </c>
      <c r="H298" s="3" t="str">
        <f>'Source Table'!$B$25</f>
        <v>Karak</v>
      </c>
      <c r="I298" s="3" t="str">
        <f>'Source Table'!$E$25</f>
        <v>الكرك</v>
      </c>
      <c r="J298" s="29">
        <v>224</v>
      </c>
      <c r="K298">
        <v>2017</v>
      </c>
    </row>
    <row r="299" ht="15" spans="1:11">
      <c r="A299" t="s">
        <v>93</v>
      </c>
      <c r="B299" t="s">
        <v>94</v>
      </c>
      <c r="C299" s="1" t="s">
        <v>95</v>
      </c>
      <c r="D299" s="53" t="s">
        <v>96</v>
      </c>
      <c r="E299" s="2" t="s">
        <v>97</v>
      </c>
      <c r="F299" s="2" t="str">
        <f>'Source Table'!$D$6</f>
        <v>Felony Crimes</v>
      </c>
      <c r="G299" t="str">
        <f>'Source Table'!$D$5</f>
        <v>الجرائم الجنائية</v>
      </c>
      <c r="H299" s="3" t="str">
        <f>'Source Table'!$B$26</f>
        <v>Tafiela</v>
      </c>
      <c r="I299" s="3" t="str">
        <f>'Source Table'!$E$26</f>
        <v>الطفيلة</v>
      </c>
      <c r="J299" s="29">
        <v>57</v>
      </c>
      <c r="K299">
        <v>2017</v>
      </c>
    </row>
    <row r="300" ht="15" spans="1:11">
      <c r="A300" t="s">
        <v>93</v>
      </c>
      <c r="B300" t="s">
        <v>94</v>
      </c>
      <c r="C300" s="1" t="s">
        <v>95</v>
      </c>
      <c r="D300" s="53" t="s">
        <v>96</v>
      </c>
      <c r="E300" s="2" t="s">
        <v>97</v>
      </c>
      <c r="F300" s="2" t="str">
        <f>'Source Table'!$D$6</f>
        <v>Felony Crimes</v>
      </c>
      <c r="G300" t="str">
        <f>'Source Table'!$D$5</f>
        <v>الجرائم الجنائية</v>
      </c>
      <c r="H300" s="3" t="str">
        <f>'Source Table'!$B$27</f>
        <v>Ma'an</v>
      </c>
      <c r="I300" s="3" t="str">
        <f>'Source Table'!$E$27</f>
        <v>معان</v>
      </c>
      <c r="J300" s="29">
        <v>76</v>
      </c>
      <c r="K300">
        <v>2017</v>
      </c>
    </row>
    <row r="301" ht="15" spans="1:11">
      <c r="A301" t="s">
        <v>93</v>
      </c>
      <c r="B301" t="s">
        <v>94</v>
      </c>
      <c r="C301" s="1" t="s">
        <v>95</v>
      </c>
      <c r="D301" s="53" t="s">
        <v>96</v>
      </c>
      <c r="E301" s="2" t="s">
        <v>97</v>
      </c>
      <c r="F301" s="2" t="str">
        <f>'Source Table'!$D$6</f>
        <v>Felony Crimes</v>
      </c>
      <c r="G301" t="str">
        <f>'Source Table'!$D$5</f>
        <v>الجرائم الجنائية</v>
      </c>
      <c r="H301" s="3" t="str">
        <f>'Source Table'!$B$28</f>
        <v>West ofMa'an</v>
      </c>
      <c r="I301" s="3" t="str">
        <f>'Source Table'!$E$28</f>
        <v>غرب معان</v>
      </c>
      <c r="J301" s="29">
        <v>10</v>
      </c>
      <c r="K301">
        <v>2017</v>
      </c>
    </row>
    <row r="302" ht="15" spans="1:11">
      <c r="A302" t="s">
        <v>93</v>
      </c>
      <c r="B302" t="s">
        <v>94</v>
      </c>
      <c r="C302" s="1" t="s">
        <v>95</v>
      </c>
      <c r="D302" s="53" t="s">
        <v>96</v>
      </c>
      <c r="E302" s="2" t="s">
        <v>97</v>
      </c>
      <c r="F302" s="2" t="str">
        <f>'Source Table'!$D$6</f>
        <v>Felony Crimes</v>
      </c>
      <c r="G302" t="str">
        <f>'Source Table'!$D$5</f>
        <v>الجرائم الجنائية</v>
      </c>
      <c r="H302" s="3" t="str">
        <f>'Source Table'!$B$29</f>
        <v>Aqaba</v>
      </c>
      <c r="I302" s="3" t="str">
        <f>'Source Table'!$E$29</f>
        <v>العقبة</v>
      </c>
      <c r="J302" s="29">
        <v>211</v>
      </c>
      <c r="K302">
        <v>2017</v>
      </c>
    </row>
    <row r="303" ht="15" spans="1:11">
      <c r="A303" t="s">
        <v>93</v>
      </c>
      <c r="B303" t="s">
        <v>94</v>
      </c>
      <c r="C303" s="1" t="s">
        <v>95</v>
      </c>
      <c r="D303" s="53" t="s">
        <v>96</v>
      </c>
      <c r="E303" s="2" t="s">
        <v>97</v>
      </c>
      <c r="F303" s="3" t="str">
        <f>'Source Table'!$C$6</f>
        <v>Misdemeanor Crimes</v>
      </c>
      <c r="G303" s="3" t="str">
        <f>'Source Table'!$C$5</f>
        <v>الجرائم الجنحوية</v>
      </c>
      <c r="H303" t="str">
        <f>'Source Table'!$B$7</f>
        <v>Middle Amman</v>
      </c>
      <c r="I303" t="str">
        <f>'Source Table'!$E$7</f>
        <v>وسط عمان</v>
      </c>
      <c r="J303" s="31">
        <v>2567</v>
      </c>
      <c r="K303">
        <v>2017</v>
      </c>
    </row>
    <row r="304" ht="15" spans="1:11">
      <c r="A304" t="s">
        <v>93</v>
      </c>
      <c r="B304" t="s">
        <v>94</v>
      </c>
      <c r="C304" s="1" t="s">
        <v>95</v>
      </c>
      <c r="D304" s="53" t="s">
        <v>96</v>
      </c>
      <c r="E304" s="2" t="s">
        <v>97</v>
      </c>
      <c r="F304" s="3" t="str">
        <f>'Source Table'!$C$6</f>
        <v>Misdemeanor Crimes</v>
      </c>
      <c r="G304" s="3" t="str">
        <f>'Source Table'!$C$5</f>
        <v>الجرائم الجنحوية</v>
      </c>
      <c r="H304" t="str">
        <f>'Source Table'!$B$8</f>
        <v>South Amman</v>
      </c>
      <c r="I304" t="str">
        <f>'Source Table'!$E$8</f>
        <v>جنوب عمان</v>
      </c>
      <c r="J304" s="31">
        <v>1635</v>
      </c>
      <c r="K304">
        <v>2017</v>
      </c>
    </row>
    <row r="305" ht="15" spans="1:11">
      <c r="A305" t="s">
        <v>93</v>
      </c>
      <c r="B305" t="s">
        <v>94</v>
      </c>
      <c r="C305" s="1" t="s">
        <v>95</v>
      </c>
      <c r="D305" s="53" t="s">
        <v>96</v>
      </c>
      <c r="E305" s="2" t="s">
        <v>97</v>
      </c>
      <c r="F305" s="3" t="str">
        <f>'Source Table'!$C$6</f>
        <v>Misdemeanor Crimes</v>
      </c>
      <c r="G305" s="3" t="str">
        <f>'Source Table'!$C$5</f>
        <v>الجرائم الجنحوية</v>
      </c>
      <c r="H305" t="str">
        <f>'Source Table'!$B$9</f>
        <v>North Amman</v>
      </c>
      <c r="I305" t="str">
        <f>'Source Table'!$E$9</f>
        <v>شمال عمان </v>
      </c>
      <c r="J305" s="31">
        <v>1541</v>
      </c>
      <c r="K305">
        <v>2017</v>
      </c>
    </row>
    <row r="306" ht="15" spans="1:11">
      <c r="A306" t="s">
        <v>93</v>
      </c>
      <c r="B306" t="s">
        <v>94</v>
      </c>
      <c r="C306" s="1" t="s">
        <v>95</v>
      </c>
      <c r="D306" s="53" t="s">
        <v>96</v>
      </c>
      <c r="E306" s="2" t="s">
        <v>97</v>
      </c>
      <c r="F306" s="3" t="str">
        <f>'Source Table'!$C$6</f>
        <v>Misdemeanor Crimes</v>
      </c>
      <c r="G306" s="3" t="str">
        <f>'Source Table'!$C$5</f>
        <v>الجرائم الجنحوية</v>
      </c>
      <c r="H306" t="str">
        <f>'Source Table'!$B$10</f>
        <v>East Amman</v>
      </c>
      <c r="I306" t="str">
        <f>'Source Table'!$E$10</f>
        <v>شرق عمان</v>
      </c>
      <c r="J306" s="31">
        <v>1317</v>
      </c>
      <c r="K306">
        <v>2017</v>
      </c>
    </row>
    <row r="307" ht="15" spans="1:11">
      <c r="A307" t="s">
        <v>93</v>
      </c>
      <c r="B307" t="s">
        <v>94</v>
      </c>
      <c r="C307" s="1" t="s">
        <v>95</v>
      </c>
      <c r="D307" s="53" t="s">
        <v>96</v>
      </c>
      <c r="E307" s="2" t="s">
        <v>97</v>
      </c>
      <c r="F307" s="3" t="str">
        <f>'Source Table'!$C$6</f>
        <v>Misdemeanor Crimes</v>
      </c>
      <c r="G307" s="3" t="str">
        <f>'Source Table'!$C$5</f>
        <v>الجرائم الجنحوية</v>
      </c>
      <c r="H307" t="str">
        <f>'Source Table'!$B$11</f>
        <v>Balqa</v>
      </c>
      <c r="I307" t="str">
        <f>'Source Table'!$E$11</f>
        <v>البلقاء</v>
      </c>
      <c r="J307" s="31">
        <v>682</v>
      </c>
      <c r="K307">
        <v>2017</v>
      </c>
    </row>
    <row r="308" ht="15" spans="1:11">
      <c r="A308" t="s">
        <v>93</v>
      </c>
      <c r="B308" t="s">
        <v>94</v>
      </c>
      <c r="C308" s="1" t="s">
        <v>95</v>
      </c>
      <c r="D308" s="53" t="s">
        <v>96</v>
      </c>
      <c r="E308" s="2" t="s">
        <v>97</v>
      </c>
      <c r="F308" s="3" t="str">
        <f>'Source Table'!$C$6</f>
        <v>Misdemeanor Crimes</v>
      </c>
      <c r="G308" s="3" t="str">
        <f>'Source Table'!$C$5</f>
        <v>الجرائم الجنحوية</v>
      </c>
      <c r="H308" t="str">
        <f>'Source Table'!$B$12</f>
        <v>West Balqa</v>
      </c>
      <c r="I308" t="str">
        <f>'Source Table'!$E$12</f>
        <v>غرب البلقاء </v>
      </c>
      <c r="J308" s="31">
        <v>272</v>
      </c>
      <c r="K308">
        <v>2017</v>
      </c>
    </row>
    <row r="309" ht="15" spans="1:11">
      <c r="A309" t="s">
        <v>93</v>
      </c>
      <c r="B309" t="s">
        <v>94</v>
      </c>
      <c r="C309" s="1" t="s">
        <v>95</v>
      </c>
      <c r="D309" s="53" t="s">
        <v>96</v>
      </c>
      <c r="E309" s="2" t="s">
        <v>97</v>
      </c>
      <c r="F309" s="3" t="str">
        <f>'Source Table'!$C$6</f>
        <v>Misdemeanor Crimes</v>
      </c>
      <c r="G309" s="3" t="str">
        <f>'Source Table'!$C$5</f>
        <v>الجرائم الجنحوية</v>
      </c>
      <c r="H309" t="str">
        <f>'Source Table'!$B$13</f>
        <v>Zarqa</v>
      </c>
      <c r="I309" t="str">
        <f>'Source Table'!$E$13</f>
        <v>الزرقاء</v>
      </c>
      <c r="J309" s="31">
        <v>1405</v>
      </c>
      <c r="K309">
        <v>2017</v>
      </c>
    </row>
    <row r="310" ht="15" spans="1:11">
      <c r="A310" t="s">
        <v>93</v>
      </c>
      <c r="B310" t="s">
        <v>94</v>
      </c>
      <c r="C310" s="1" t="s">
        <v>95</v>
      </c>
      <c r="D310" s="53" t="s">
        <v>96</v>
      </c>
      <c r="E310" s="2" t="s">
        <v>97</v>
      </c>
      <c r="F310" s="3" t="str">
        <f>'Source Table'!$C$6</f>
        <v>Misdemeanor Crimes</v>
      </c>
      <c r="G310" s="3" t="str">
        <f>'Source Table'!$C$5</f>
        <v>الجرائم الجنحوية</v>
      </c>
      <c r="H310" t="str">
        <f>'Source Table'!$B$14</f>
        <v>Al-Russaifa</v>
      </c>
      <c r="I310" t="str">
        <f>'Source Table'!$E$14</f>
        <v>الرصيفة</v>
      </c>
      <c r="J310" s="31">
        <v>548</v>
      </c>
      <c r="K310">
        <v>2017</v>
      </c>
    </row>
    <row r="311" ht="15" spans="1:11">
      <c r="A311" t="s">
        <v>93</v>
      </c>
      <c r="B311" t="s">
        <v>94</v>
      </c>
      <c r="C311" s="1" t="s">
        <v>95</v>
      </c>
      <c r="D311" s="53" t="s">
        <v>96</v>
      </c>
      <c r="E311" s="2" t="s">
        <v>97</v>
      </c>
      <c r="F311" s="3" t="str">
        <f>'Source Table'!$C$6</f>
        <v>Misdemeanor Crimes</v>
      </c>
      <c r="G311" s="3" t="str">
        <f>'Source Table'!$C$5</f>
        <v>الجرائم الجنحوية</v>
      </c>
      <c r="H311" t="str">
        <f>'Source Table'!$B$15</f>
        <v>Madaba</v>
      </c>
      <c r="I311" t="str">
        <f>'Source Table'!$E$15</f>
        <v>مادبا</v>
      </c>
      <c r="J311" s="31">
        <v>370</v>
      </c>
      <c r="K311">
        <v>2017</v>
      </c>
    </row>
    <row r="312" ht="15" spans="1:11">
      <c r="A312" t="s">
        <v>93</v>
      </c>
      <c r="B312" t="s">
        <v>94</v>
      </c>
      <c r="C312" s="1" t="s">
        <v>95</v>
      </c>
      <c r="D312" s="53" t="s">
        <v>96</v>
      </c>
      <c r="E312" s="2" t="s">
        <v>97</v>
      </c>
      <c r="F312" s="3" t="str">
        <f>'Source Table'!$C$6</f>
        <v>Misdemeanor Crimes</v>
      </c>
      <c r="G312" s="3" t="str">
        <f>'Source Table'!$C$5</f>
        <v>الجرائم الجنحوية</v>
      </c>
      <c r="H312" t="str">
        <f>'Source Table'!$B$16</f>
        <v>Irbid</v>
      </c>
      <c r="I312" t="str">
        <f>'Source Table'!$E$16</f>
        <v>إربد</v>
      </c>
      <c r="J312" s="31">
        <v>2024</v>
      </c>
      <c r="K312">
        <v>2017</v>
      </c>
    </row>
    <row r="313" ht="15" spans="1:11">
      <c r="A313" t="s">
        <v>93</v>
      </c>
      <c r="B313" t="s">
        <v>94</v>
      </c>
      <c r="C313" s="1" t="s">
        <v>95</v>
      </c>
      <c r="D313" s="53" t="s">
        <v>96</v>
      </c>
      <c r="E313" s="2" t="s">
        <v>97</v>
      </c>
      <c r="F313" s="3" t="str">
        <f>'Source Table'!$C$6</f>
        <v>Misdemeanor Crimes</v>
      </c>
      <c r="G313" s="3" t="str">
        <f>'Source Table'!$C$5</f>
        <v>الجرائم الجنحوية</v>
      </c>
      <c r="H313" t="str">
        <f>'Source Table'!$B$17</f>
        <v>West Irbid</v>
      </c>
      <c r="I313" t="str">
        <f>'Source Table'!$E$17</f>
        <v>غرب إربد</v>
      </c>
      <c r="J313" s="31">
        <v>409</v>
      </c>
      <c r="K313">
        <v>2017</v>
      </c>
    </row>
    <row r="314" ht="15" spans="1:11">
      <c r="A314" t="s">
        <v>93</v>
      </c>
      <c r="B314" t="s">
        <v>94</v>
      </c>
      <c r="C314" s="1" t="s">
        <v>95</v>
      </c>
      <c r="D314" s="53" t="s">
        <v>96</v>
      </c>
      <c r="E314" s="2" t="s">
        <v>97</v>
      </c>
      <c r="F314" s="3" t="str">
        <f>'Source Table'!$C$6</f>
        <v>Misdemeanor Crimes</v>
      </c>
      <c r="G314" s="3" t="str">
        <f>'Source Table'!$C$5</f>
        <v>الجرائم الجنحوية</v>
      </c>
      <c r="H314" t="str">
        <f>'Source Table'!$B$18</f>
        <v>Al-Ramtha</v>
      </c>
      <c r="I314" t="str">
        <f>'Source Table'!$E$18</f>
        <v>الرمثا</v>
      </c>
      <c r="J314" s="31">
        <v>377</v>
      </c>
      <c r="K314">
        <v>2017</v>
      </c>
    </row>
    <row r="315" ht="15" spans="1:11">
      <c r="A315" t="s">
        <v>93</v>
      </c>
      <c r="B315" t="s">
        <v>94</v>
      </c>
      <c r="C315" s="1" t="s">
        <v>95</v>
      </c>
      <c r="D315" s="53" t="s">
        <v>96</v>
      </c>
      <c r="E315" s="2" t="s">
        <v>97</v>
      </c>
      <c r="F315" s="3" t="str">
        <f>'Source Table'!$C$6</f>
        <v>Misdemeanor Crimes</v>
      </c>
      <c r="G315" s="3" t="str">
        <f>'Source Table'!$C$5</f>
        <v>الجرائم الجنحوية</v>
      </c>
      <c r="H315" t="str">
        <f>'Source Table'!$B$19</f>
        <v>Mafraq</v>
      </c>
      <c r="I315" t="str">
        <f>'Source Table'!$E$19</f>
        <v>المفرق</v>
      </c>
      <c r="J315" s="31">
        <v>452</v>
      </c>
      <c r="K315">
        <v>2017</v>
      </c>
    </row>
    <row r="316" ht="15" spans="1:11">
      <c r="A316" t="s">
        <v>93</v>
      </c>
      <c r="B316" t="s">
        <v>94</v>
      </c>
      <c r="C316" s="1" t="s">
        <v>95</v>
      </c>
      <c r="D316" s="53" t="s">
        <v>96</v>
      </c>
      <c r="E316" s="2" t="s">
        <v>97</v>
      </c>
      <c r="F316" s="3" t="str">
        <f>'Source Table'!$C$6</f>
        <v>Misdemeanor Crimes</v>
      </c>
      <c r="G316" s="3" t="str">
        <f>'Source Table'!$C$5</f>
        <v>الجرائم الجنحوية</v>
      </c>
      <c r="H316" t="str">
        <f>'Source Table'!$B$20</f>
        <v>North Bedouin</v>
      </c>
      <c r="I316" t="str">
        <f>'Source Table'!$E$20</f>
        <v>الباديةالشمالية</v>
      </c>
      <c r="J316" s="31">
        <v>165</v>
      </c>
      <c r="K316">
        <v>2017</v>
      </c>
    </row>
    <row r="317" ht="15" spans="1:11">
      <c r="A317" t="s">
        <v>93</v>
      </c>
      <c r="B317" t="s">
        <v>94</v>
      </c>
      <c r="C317" s="1" t="s">
        <v>95</v>
      </c>
      <c r="D317" s="53" t="s">
        <v>96</v>
      </c>
      <c r="E317" s="2" t="s">
        <v>97</v>
      </c>
      <c r="F317" s="3" t="str">
        <f>'Source Table'!$C$6</f>
        <v>Misdemeanor Crimes</v>
      </c>
      <c r="G317" s="3" t="str">
        <f>'Source Table'!$C$5</f>
        <v>الجرائم الجنحوية</v>
      </c>
      <c r="H317" s="3" t="str">
        <f>'Source Table'!$B$21</f>
        <v>Middle Bedouin</v>
      </c>
      <c r="I317" s="3" t="str">
        <f>'Source Table'!$E$21</f>
        <v>البادية الوسطى</v>
      </c>
      <c r="J317" s="31">
        <v>284</v>
      </c>
      <c r="K317">
        <v>2017</v>
      </c>
    </row>
    <row r="318" ht="15" spans="1:11">
      <c r="A318" t="s">
        <v>93</v>
      </c>
      <c r="B318" t="s">
        <v>94</v>
      </c>
      <c r="C318" s="1" t="s">
        <v>95</v>
      </c>
      <c r="D318" s="53" t="s">
        <v>96</v>
      </c>
      <c r="E318" s="2" t="s">
        <v>97</v>
      </c>
      <c r="F318" s="3" t="str">
        <f>'Source Table'!$C$6</f>
        <v>Misdemeanor Crimes</v>
      </c>
      <c r="G318" s="3" t="str">
        <f>'Source Table'!$C$5</f>
        <v>الجرائم الجنحوية</v>
      </c>
      <c r="H318" s="3" t="str">
        <f>'Source Table'!$B$22</f>
        <v>South Bedouin</v>
      </c>
      <c r="I318" s="3" t="str">
        <f>'Source Table'!$E$22</f>
        <v>البادية الجنوبية </v>
      </c>
      <c r="J318" s="31">
        <v>43</v>
      </c>
      <c r="K318">
        <v>2017</v>
      </c>
    </row>
    <row r="319" ht="15" spans="1:11">
      <c r="A319" t="s">
        <v>93</v>
      </c>
      <c r="B319" t="s">
        <v>94</v>
      </c>
      <c r="C319" s="1" t="s">
        <v>95</v>
      </c>
      <c r="D319" s="53" t="s">
        <v>96</v>
      </c>
      <c r="E319" s="2" t="s">
        <v>97</v>
      </c>
      <c r="F319" s="3" t="str">
        <f>'Source Table'!$C$6</f>
        <v>Misdemeanor Crimes</v>
      </c>
      <c r="G319" s="3" t="str">
        <f>'Source Table'!$C$5</f>
        <v>الجرائم الجنحوية</v>
      </c>
      <c r="H319" s="3" t="str">
        <f>'Source Table'!$B$23</f>
        <v>Jarash</v>
      </c>
      <c r="I319" s="3" t="str">
        <f>'Source Table'!$E$23</f>
        <v>جرش</v>
      </c>
      <c r="J319" s="31">
        <v>351</v>
      </c>
      <c r="K319">
        <v>2017</v>
      </c>
    </row>
    <row r="320" ht="15" spans="1:11">
      <c r="A320" t="s">
        <v>93</v>
      </c>
      <c r="B320" t="s">
        <v>94</v>
      </c>
      <c r="C320" s="1" t="s">
        <v>95</v>
      </c>
      <c r="D320" s="53" t="s">
        <v>96</v>
      </c>
      <c r="E320" s="2" t="s">
        <v>97</v>
      </c>
      <c r="F320" s="3" t="str">
        <f>'Source Table'!$C$6</f>
        <v>Misdemeanor Crimes</v>
      </c>
      <c r="G320" s="3" t="str">
        <f>'Source Table'!$C$5</f>
        <v>الجرائم الجنحوية</v>
      </c>
      <c r="H320" s="3" t="str">
        <f>'Source Table'!$B$24</f>
        <v>Ajloun</v>
      </c>
      <c r="I320" s="3" t="str">
        <f>'Source Table'!$E$24</f>
        <v>عجلون</v>
      </c>
      <c r="J320" s="31">
        <v>180</v>
      </c>
      <c r="K320">
        <v>2017</v>
      </c>
    </row>
    <row r="321" ht="15" spans="1:11">
      <c r="A321" t="s">
        <v>93</v>
      </c>
      <c r="B321" t="s">
        <v>94</v>
      </c>
      <c r="C321" s="1" t="s">
        <v>95</v>
      </c>
      <c r="D321" s="53" t="s">
        <v>96</v>
      </c>
      <c r="E321" s="2" t="s">
        <v>97</v>
      </c>
      <c r="F321" s="3" t="str">
        <f>'Source Table'!$C$6</f>
        <v>Misdemeanor Crimes</v>
      </c>
      <c r="G321" s="3" t="str">
        <f>'Source Table'!$C$5</f>
        <v>الجرائم الجنحوية</v>
      </c>
      <c r="H321" s="3" t="str">
        <f>'Source Table'!$B$25</f>
        <v>Karak</v>
      </c>
      <c r="I321" s="3" t="str">
        <f>'Source Table'!$E$25</f>
        <v>الكرك</v>
      </c>
      <c r="J321" s="31">
        <v>368</v>
      </c>
      <c r="K321">
        <v>2017</v>
      </c>
    </row>
    <row r="322" ht="15" spans="1:11">
      <c r="A322" t="s">
        <v>93</v>
      </c>
      <c r="B322" t="s">
        <v>94</v>
      </c>
      <c r="C322" s="1" t="s">
        <v>95</v>
      </c>
      <c r="D322" s="53" t="s">
        <v>96</v>
      </c>
      <c r="E322" s="2" t="s">
        <v>97</v>
      </c>
      <c r="F322" s="3" t="str">
        <f>'Source Table'!$C$6</f>
        <v>Misdemeanor Crimes</v>
      </c>
      <c r="G322" s="3" t="str">
        <f>'Source Table'!$C$5</f>
        <v>الجرائم الجنحوية</v>
      </c>
      <c r="H322" s="3" t="str">
        <f>'Source Table'!$B$26</f>
        <v>Tafiela</v>
      </c>
      <c r="I322" s="3" t="str">
        <f>'Source Table'!$E$26</f>
        <v>الطفيلة</v>
      </c>
      <c r="J322" s="31">
        <v>120</v>
      </c>
      <c r="K322">
        <v>2017</v>
      </c>
    </row>
    <row r="323" ht="15" spans="1:11">
      <c r="A323" t="s">
        <v>93</v>
      </c>
      <c r="B323" t="s">
        <v>94</v>
      </c>
      <c r="C323" s="1" t="s">
        <v>95</v>
      </c>
      <c r="D323" s="53" t="s">
        <v>96</v>
      </c>
      <c r="E323" s="2" t="s">
        <v>97</v>
      </c>
      <c r="F323" s="3" t="str">
        <f>'Source Table'!$C$6</f>
        <v>Misdemeanor Crimes</v>
      </c>
      <c r="G323" s="3" t="str">
        <f>'Source Table'!$C$5</f>
        <v>الجرائم الجنحوية</v>
      </c>
      <c r="H323" s="3" t="str">
        <f>'Source Table'!$B$27</f>
        <v>Ma'an</v>
      </c>
      <c r="I323" s="3" t="str">
        <f>'Source Table'!$E$27</f>
        <v>معان</v>
      </c>
      <c r="J323" s="31">
        <v>132</v>
      </c>
      <c r="K323">
        <v>2017</v>
      </c>
    </row>
    <row r="324" ht="15" spans="1:11">
      <c r="A324" t="s">
        <v>93</v>
      </c>
      <c r="B324" t="s">
        <v>94</v>
      </c>
      <c r="C324" s="1" t="s">
        <v>95</v>
      </c>
      <c r="D324" s="53" t="s">
        <v>96</v>
      </c>
      <c r="E324" s="2" t="s">
        <v>97</v>
      </c>
      <c r="F324" s="3" t="str">
        <f>'Source Table'!$C$6</f>
        <v>Misdemeanor Crimes</v>
      </c>
      <c r="G324" s="3" t="str">
        <f>'Source Table'!$C$5</f>
        <v>الجرائم الجنحوية</v>
      </c>
      <c r="H324" s="3" t="str">
        <f>'Source Table'!$B$28</f>
        <v>West ofMa'an</v>
      </c>
      <c r="I324" s="3" t="str">
        <f>'Source Table'!$E$28</f>
        <v>غرب معان</v>
      </c>
      <c r="J324" s="31">
        <v>52</v>
      </c>
      <c r="K324">
        <v>2017</v>
      </c>
    </row>
    <row r="325" ht="15" spans="1:11">
      <c r="A325" t="s">
        <v>93</v>
      </c>
      <c r="B325" t="s">
        <v>94</v>
      </c>
      <c r="C325" s="1" t="s">
        <v>95</v>
      </c>
      <c r="D325" s="53" t="s">
        <v>96</v>
      </c>
      <c r="E325" s="2" t="s">
        <v>97</v>
      </c>
      <c r="F325" s="3" t="str">
        <f>'Source Table'!$C$6</f>
        <v>Misdemeanor Crimes</v>
      </c>
      <c r="G325" s="3" t="str">
        <f>'Source Table'!$C$5</f>
        <v>الجرائم الجنحوية</v>
      </c>
      <c r="H325" s="3" t="str">
        <f>'Source Table'!$B$29</f>
        <v>Aqaba</v>
      </c>
      <c r="I325" s="3" t="str">
        <f>'Source Table'!$E$29</f>
        <v>العقبة</v>
      </c>
      <c r="J325" s="31">
        <v>449</v>
      </c>
      <c r="K325">
        <v>2017</v>
      </c>
    </row>
    <row r="326" ht="15" spans="3:6">
      <c r="C326" s="1"/>
      <c r="D326" s="1"/>
      <c r="E326" s="2"/>
      <c r="F326" s="2"/>
    </row>
    <row r="327" ht="15" spans="3:6">
      <c r="C327" s="1"/>
      <c r="D327" s="1"/>
      <c r="E327" s="2"/>
      <c r="F327" s="2"/>
    </row>
    <row r="328" ht="15" spans="3:6">
      <c r="C328" s="1"/>
      <c r="D328" s="1"/>
      <c r="E328" s="2"/>
      <c r="F328" s="2"/>
    </row>
    <row r="329" ht="15" spans="3:6">
      <c r="C329" s="1"/>
      <c r="D329" s="1"/>
      <c r="E329" s="2"/>
      <c r="F329" s="2"/>
    </row>
    <row r="330" ht="15" spans="3:6">
      <c r="C330" s="1"/>
      <c r="D330" s="1"/>
      <c r="E330" s="2"/>
      <c r="F330" s="2"/>
    </row>
    <row r="331" ht="15" spans="3:6">
      <c r="C331" s="1"/>
      <c r="D331" s="1"/>
      <c r="E331" s="2"/>
      <c r="F331" s="2"/>
    </row>
    <row r="332" ht="15" spans="3:6">
      <c r="C332" s="1"/>
      <c r="D332" s="1"/>
      <c r="E332" s="2"/>
      <c r="F332" s="2"/>
    </row>
    <row r="333" ht="15" spans="3:6">
      <c r="C333" s="1"/>
      <c r="D333" s="1"/>
      <c r="E333" s="2"/>
      <c r="F333" s="2"/>
    </row>
    <row r="334" ht="15" spans="3:6">
      <c r="C334" s="1"/>
      <c r="D334" s="1"/>
      <c r="E334" s="2"/>
      <c r="F334" s="2"/>
    </row>
    <row r="335" ht="15" spans="3:6">
      <c r="C335" s="1"/>
      <c r="D335" s="1"/>
      <c r="E335" s="2"/>
      <c r="F335" s="2"/>
    </row>
    <row r="336" ht="15" spans="3:6">
      <c r="C336" s="1"/>
      <c r="D336" s="1"/>
      <c r="E336" s="2"/>
      <c r="F336" s="2"/>
    </row>
    <row r="337" ht="15" spans="3:6">
      <c r="C337" s="1"/>
      <c r="D337" s="1"/>
      <c r="E337" s="2"/>
      <c r="F337" s="2"/>
    </row>
    <row r="338" ht="15" spans="3:6">
      <c r="C338" s="1"/>
      <c r="D338" s="1"/>
      <c r="E338" s="2"/>
      <c r="F338" s="2"/>
    </row>
    <row r="339" ht="15" spans="3:6">
      <c r="C339" s="1"/>
      <c r="D339" s="1"/>
      <c r="E339" s="2"/>
      <c r="F339" s="2"/>
    </row>
    <row r="340" ht="15" spans="3:9">
      <c r="C340" s="1"/>
      <c r="D340" s="1"/>
      <c r="E340" s="2"/>
      <c r="F340" s="2"/>
      <c r="G340"/>
      <c r="H340" s="3"/>
      <c r="I340" s="3"/>
    </row>
    <row r="341" ht="15" spans="3:9">
      <c r="C341" s="1"/>
      <c r="D341" s="1"/>
      <c r="E341" s="2"/>
      <c r="F341" s="2"/>
      <c r="G341"/>
      <c r="H341" s="3"/>
      <c r="I341" s="3"/>
    </row>
    <row r="342" ht="15" spans="3:9">
      <c r="C342" s="1"/>
      <c r="D342" s="1"/>
      <c r="E342" s="2"/>
      <c r="F342" s="2"/>
      <c r="G342"/>
      <c r="H342" s="3"/>
      <c r="I342" s="3"/>
    </row>
    <row r="343" ht="15" spans="3:9">
      <c r="C343" s="1"/>
      <c r="D343" s="1"/>
      <c r="E343" s="2"/>
      <c r="F343" s="2"/>
      <c r="G343"/>
      <c r="H343" s="3"/>
      <c r="I343" s="3"/>
    </row>
    <row r="344" ht="15" spans="3:9">
      <c r="C344" s="1"/>
      <c r="D344" s="1"/>
      <c r="E344" s="2"/>
      <c r="F344" s="2"/>
      <c r="G344"/>
      <c r="H344" s="3"/>
      <c r="I344" s="3"/>
    </row>
    <row r="345" ht="15" spans="3:9">
      <c r="C345" s="1"/>
      <c r="D345" s="1"/>
      <c r="E345" s="2"/>
      <c r="F345" s="2"/>
      <c r="G345"/>
      <c r="H345" s="3"/>
      <c r="I345" s="3"/>
    </row>
    <row r="346" ht="15" spans="3:9">
      <c r="C346" s="1"/>
      <c r="D346" s="1"/>
      <c r="E346" s="2"/>
      <c r="F346" s="2"/>
      <c r="G346"/>
      <c r="H346" s="3"/>
      <c r="I346" s="3"/>
    </row>
    <row r="347" ht="15" spans="3:9">
      <c r="C347" s="1"/>
      <c r="D347" s="1"/>
      <c r="E347" s="2"/>
      <c r="F347" s="2"/>
      <c r="G347"/>
      <c r="H347" s="3"/>
      <c r="I347" s="3"/>
    </row>
    <row r="348" ht="15" spans="3:9">
      <c r="C348" s="1"/>
      <c r="D348" s="1"/>
      <c r="E348" s="2"/>
      <c r="F348" s="2"/>
      <c r="G348"/>
      <c r="H348" s="3"/>
      <c r="I348" s="3"/>
    </row>
    <row r="349" ht="15" spans="3:7">
      <c r="C349" s="1"/>
      <c r="D349" s="1"/>
      <c r="E349" s="2"/>
      <c r="F349" s="3"/>
      <c r="G349" s="3"/>
    </row>
    <row r="350" ht="15" spans="3:7">
      <c r="C350" s="1"/>
      <c r="D350" s="1"/>
      <c r="E350" s="2"/>
      <c r="F350" s="3"/>
      <c r="G350" s="3"/>
    </row>
    <row r="351" ht="15" spans="3:7">
      <c r="C351" s="1"/>
      <c r="D351" s="1"/>
      <c r="E351" s="2"/>
      <c r="F351" s="3"/>
      <c r="G351" s="3"/>
    </row>
    <row r="352" ht="15" spans="3:7">
      <c r="C352" s="1"/>
      <c r="D352" s="1"/>
      <c r="E352" s="2"/>
      <c r="F352" s="3"/>
      <c r="G352" s="3"/>
    </row>
    <row r="353" ht="15" spans="3:7">
      <c r="C353" s="1"/>
      <c r="D353" s="1"/>
      <c r="E353" s="2"/>
      <c r="F353" s="3"/>
      <c r="G353" s="3"/>
    </row>
    <row r="354" ht="15" spans="3:7">
      <c r="C354" s="1"/>
      <c r="D354" s="1"/>
      <c r="E354" s="2"/>
      <c r="F354" s="3"/>
      <c r="G354" s="3"/>
    </row>
    <row r="355" ht="15" spans="3:7">
      <c r="C355" s="1"/>
      <c r="D355" s="1"/>
      <c r="E355" s="2"/>
      <c r="F355" s="3"/>
      <c r="G355" s="3"/>
    </row>
    <row r="356" ht="15" spans="3:7">
      <c r="C356" s="1"/>
      <c r="D356" s="1"/>
      <c r="E356" s="2"/>
      <c r="F356" s="3"/>
      <c r="G356" s="3"/>
    </row>
    <row r="357" ht="15" spans="3:7">
      <c r="C357" s="1"/>
      <c r="D357" s="1"/>
      <c r="E357" s="2"/>
      <c r="F357" s="3"/>
      <c r="G357" s="3"/>
    </row>
    <row r="358" ht="15" spans="3:7">
      <c r="C358" s="1"/>
      <c r="D358" s="1"/>
      <c r="E358" s="2"/>
      <c r="F358" s="3"/>
      <c r="G358" s="3"/>
    </row>
    <row r="359" ht="15" spans="3:7">
      <c r="C359" s="1"/>
      <c r="D359" s="1"/>
      <c r="E359" s="2"/>
      <c r="F359" s="3"/>
      <c r="G359" s="3"/>
    </row>
    <row r="360" ht="15" spans="3:7">
      <c r="C360" s="1"/>
      <c r="D360" s="1"/>
      <c r="E360" s="2"/>
      <c r="F360" s="3"/>
      <c r="G360" s="3"/>
    </row>
    <row r="361" ht="15" spans="3:7">
      <c r="C361" s="1"/>
      <c r="D361" s="1"/>
      <c r="E361" s="2"/>
      <c r="F361" s="3"/>
      <c r="G361" s="3"/>
    </row>
    <row r="362" ht="15" spans="3:7">
      <c r="C362" s="1"/>
      <c r="D362" s="1"/>
      <c r="E362" s="2"/>
      <c r="F362" s="3"/>
      <c r="G362" s="3"/>
    </row>
    <row r="363" ht="15" spans="3:9">
      <c r="C363" s="1"/>
      <c r="D363" s="1"/>
      <c r="E363" s="2"/>
      <c r="F363" s="3"/>
      <c r="G363" s="3"/>
      <c r="H363" s="3"/>
      <c r="I363" s="3"/>
    </row>
    <row r="364" ht="15" spans="3:9">
      <c r="C364" s="1"/>
      <c r="D364" s="1"/>
      <c r="E364" s="2"/>
      <c r="F364" s="3"/>
      <c r="G364" s="3"/>
      <c r="H364" s="3"/>
      <c r="I364" s="3"/>
    </row>
    <row r="365" ht="15" spans="3:9">
      <c r="C365" s="1"/>
      <c r="D365" s="1"/>
      <c r="E365" s="2"/>
      <c r="F365" s="3"/>
      <c r="G365" s="3"/>
      <c r="H365" s="3"/>
      <c r="I365" s="3"/>
    </row>
    <row r="366" ht="15" spans="3:9">
      <c r="C366" s="1"/>
      <c r="D366" s="1"/>
      <c r="E366" s="2"/>
      <c r="F366" s="3"/>
      <c r="G366" s="3"/>
      <c r="H366" s="3"/>
      <c r="I366" s="3"/>
    </row>
    <row r="367" ht="15" spans="3:9">
      <c r="C367" s="1"/>
      <c r="D367" s="1"/>
      <c r="E367" s="2"/>
      <c r="F367" s="3"/>
      <c r="G367" s="3"/>
      <c r="H367" s="3"/>
      <c r="I367" s="3"/>
    </row>
    <row r="368" ht="15" spans="3:9">
      <c r="C368" s="1"/>
      <c r="D368" s="1"/>
      <c r="E368" s="2"/>
      <c r="F368" s="3"/>
      <c r="G368" s="3"/>
      <c r="H368" s="3"/>
      <c r="I368" s="3"/>
    </row>
    <row r="369" ht="15" spans="3:9">
      <c r="C369" s="1"/>
      <c r="D369" s="1"/>
      <c r="E369" s="2"/>
      <c r="F369" s="3"/>
      <c r="G369" s="3"/>
      <c r="H369" s="3"/>
      <c r="I369" s="3"/>
    </row>
    <row r="370" ht="15" spans="3:9">
      <c r="C370" s="1"/>
      <c r="D370" s="1"/>
      <c r="E370" s="2"/>
      <c r="F370" s="3"/>
      <c r="G370" s="3"/>
      <c r="H370" s="3"/>
      <c r="I370" s="3"/>
    </row>
    <row r="371" ht="15" spans="3:9">
      <c r="C371" s="1"/>
      <c r="D371" s="1"/>
      <c r="E371" s="2"/>
      <c r="F371" s="3"/>
      <c r="G371" s="3"/>
      <c r="H371" s="3"/>
      <c r="I371" s="3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topLeftCell="B1" workbookViewId="0">
      <selection activeCell="L4" sqref="L4"/>
    </sheetView>
  </sheetViews>
  <sheetFormatPr defaultColWidth="9" defaultRowHeight="14.25" outlineLevelRow="4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ht="15" spans="1:2">
      <c r="A1" s="14" t="s">
        <v>98</v>
      </c>
      <c r="B1" s="15">
        <f>DATE(B2,B3,1)</f>
        <v>45292</v>
      </c>
    </row>
    <row r="2" ht="15" spans="1:4">
      <c r="A2" s="14" t="s">
        <v>16</v>
      </c>
      <c r="B2">
        <v>2024</v>
      </c>
      <c r="D2" s="15"/>
    </row>
    <row r="3" ht="15" spans="1:2">
      <c r="A3" s="14" t="s">
        <v>99</v>
      </c>
      <c r="B3">
        <v>1</v>
      </c>
    </row>
    <row r="4" s="13" customFormat="1" ht="18" customHeight="1" spans="1:12">
      <c r="A4" s="16" t="s">
        <v>71</v>
      </c>
      <c r="B4" s="16" t="s">
        <v>72</v>
      </c>
      <c r="C4" s="16" t="s">
        <v>73</v>
      </c>
      <c r="D4" s="16" t="s">
        <v>74</v>
      </c>
      <c r="E4" s="16" t="s">
        <v>75</v>
      </c>
      <c r="F4" s="17" t="s">
        <v>76</v>
      </c>
      <c r="G4" s="17" t="s">
        <v>77</v>
      </c>
      <c r="H4" s="17" t="s">
        <v>78</v>
      </c>
      <c r="I4" s="17" t="s">
        <v>79</v>
      </c>
      <c r="J4" s="16" t="s">
        <v>80</v>
      </c>
      <c r="K4" s="16" t="s">
        <v>81</v>
      </c>
      <c r="L4" s="16" t="s">
        <v>82</v>
      </c>
    </row>
    <row r="5" s="13" customFormat="1" ht="18" customHeight="1" spans="1:12">
      <c r="A5" s="16" t="s">
        <v>83</v>
      </c>
      <c r="B5" s="16" t="s">
        <v>84</v>
      </c>
      <c r="C5" s="16" t="s">
        <v>85</v>
      </c>
      <c r="D5" s="16" t="s">
        <v>86</v>
      </c>
      <c r="E5" s="16" t="s">
        <v>87</v>
      </c>
      <c r="F5" s="17" t="s">
        <v>88</v>
      </c>
      <c r="G5" s="17" t="s">
        <v>89</v>
      </c>
      <c r="H5" s="17" t="s">
        <v>18</v>
      </c>
      <c r="I5" s="17" t="s">
        <v>21</v>
      </c>
      <c r="J5" s="16" t="s">
        <v>90</v>
      </c>
      <c r="K5" s="16" t="s">
        <v>91</v>
      </c>
      <c r="L5" s="16" t="s">
        <v>92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7" workbookViewId="0">
      <selection activeCell="A20" sqref="A20"/>
    </sheetView>
  </sheetViews>
  <sheetFormatPr defaultColWidth="8.875" defaultRowHeight="14.25" outlineLevelCol="2"/>
  <cols>
    <col min="1" max="1" width="90" style="4" customWidth="1"/>
    <col min="2" max="2" width="2.625" style="5" customWidth="1"/>
    <col min="3" max="3" width="87.25" style="6" customWidth="1"/>
    <col min="4" max="16384" width="8.875" style="7"/>
  </cols>
  <sheetData>
    <row r="2" ht="17.25" spans="1:3">
      <c r="A2" s="8" t="s">
        <v>100</v>
      </c>
      <c r="C2" s="9" t="s">
        <v>101</v>
      </c>
    </row>
    <row r="3" spans="1:1">
      <c r="A3" s="10"/>
    </row>
    <row r="4" ht="28.5" spans="1:3">
      <c r="A4" s="10" t="s">
        <v>102</v>
      </c>
      <c r="C4" s="6" t="s">
        <v>103</v>
      </c>
    </row>
    <row r="6" ht="17.25" spans="1:3">
      <c r="A6" s="8" t="s">
        <v>104</v>
      </c>
      <c r="C6" s="9" t="s">
        <v>105</v>
      </c>
    </row>
    <row r="7" spans="1:1">
      <c r="A7" s="10"/>
    </row>
    <row r="8" ht="30" spans="1:3">
      <c r="A8" s="11" t="s">
        <v>106</v>
      </c>
      <c r="C8" s="6" t="s">
        <v>107</v>
      </c>
    </row>
    <row r="10" ht="17.25" spans="1:3">
      <c r="A10" s="8" t="s">
        <v>108</v>
      </c>
      <c r="C10" s="9" t="s">
        <v>109</v>
      </c>
    </row>
    <row r="11" spans="1:1">
      <c r="A11" s="10"/>
    </row>
    <row r="12" spans="1:3">
      <c r="A12" s="10" t="s">
        <v>110</v>
      </c>
      <c r="C12" s="6" t="s">
        <v>111</v>
      </c>
    </row>
    <row r="13" ht="15" spans="1:3">
      <c r="A13" s="11" t="s">
        <v>112</v>
      </c>
      <c r="C13" s="12" t="s">
        <v>113</v>
      </c>
    </row>
    <row r="14" ht="29.25" spans="1:3">
      <c r="A14" s="11" t="s">
        <v>114</v>
      </c>
      <c r="C14" s="12" t="s">
        <v>115</v>
      </c>
    </row>
    <row r="15" ht="15" spans="1:3">
      <c r="A15" s="11" t="s">
        <v>116</v>
      </c>
      <c r="C15" s="12" t="s">
        <v>117</v>
      </c>
    </row>
    <row r="16" ht="15" spans="1:3">
      <c r="A16" s="11" t="s">
        <v>118</v>
      </c>
      <c r="C16" s="12" t="s">
        <v>119</v>
      </c>
    </row>
    <row r="17" ht="15" spans="1:3">
      <c r="A17" s="11" t="s">
        <v>120</v>
      </c>
      <c r="C17" s="12" t="s">
        <v>121</v>
      </c>
    </row>
    <row r="18" spans="1:3">
      <c r="A18" s="10" t="s">
        <v>122</v>
      </c>
      <c r="C18" s="6" t="s">
        <v>123</v>
      </c>
    </row>
    <row r="19" spans="1:3">
      <c r="A19" s="10" t="s">
        <v>124</v>
      </c>
      <c r="C19" s="6" t="s">
        <v>125</v>
      </c>
    </row>
    <row r="20" ht="29.25" spans="1:3">
      <c r="A20" s="11" t="s">
        <v>126</v>
      </c>
      <c r="C20" s="12" t="s">
        <v>127</v>
      </c>
    </row>
    <row r="22" ht="17.25" spans="1:3">
      <c r="A22" s="8" t="s">
        <v>128</v>
      </c>
      <c r="C22" s="9" t="s">
        <v>129</v>
      </c>
    </row>
    <row r="23" spans="1:1">
      <c r="A23" s="10"/>
    </row>
    <row r="24" ht="29.25" spans="1:3">
      <c r="A24" s="10" t="s">
        <v>130</v>
      </c>
      <c r="C24" s="6" t="s">
        <v>131</v>
      </c>
    </row>
    <row r="25" ht="30" spans="1:3">
      <c r="A25" s="10" t="s">
        <v>132</v>
      </c>
      <c r="C25" s="6" t="s">
        <v>133</v>
      </c>
    </row>
    <row r="27" ht="17.25" spans="1:3">
      <c r="A27" s="8" t="s">
        <v>134</v>
      </c>
      <c r="C27" s="9" t="s">
        <v>135</v>
      </c>
    </row>
    <row r="28" spans="1:1">
      <c r="A28" s="10"/>
    </row>
    <row r="29" ht="15" spans="1:3">
      <c r="A29" s="10" t="s">
        <v>136</v>
      </c>
      <c r="C29" s="6" t="s">
        <v>137</v>
      </c>
    </row>
    <row r="30" spans="1:3">
      <c r="A30" s="10" t="s">
        <v>138</v>
      </c>
      <c r="C30" s="6" t="s">
        <v>139</v>
      </c>
    </row>
    <row r="32" ht="17.25" spans="1:3">
      <c r="A32" s="8" t="s">
        <v>140</v>
      </c>
      <c r="C32" s="9" t="s">
        <v>141</v>
      </c>
    </row>
    <row r="33" spans="1:1">
      <c r="A33" s="10"/>
    </row>
    <row r="34" ht="15" spans="1:3">
      <c r="A34" s="11" t="s">
        <v>142</v>
      </c>
      <c r="C34" s="6" t="s">
        <v>143</v>
      </c>
    </row>
    <row r="36" ht="17.25" spans="1:3">
      <c r="A36" s="8" t="s">
        <v>144</v>
      </c>
      <c r="C36" s="9" t="s">
        <v>145</v>
      </c>
    </row>
    <row r="37" spans="1:1">
      <c r="A37" s="10"/>
    </row>
    <row r="38" spans="1:3">
      <c r="A38" s="10" t="s">
        <v>146</v>
      </c>
      <c r="C38" s="6" t="s">
        <v>147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workbookViewId="0">
      <selection activeCell="J1" sqref="J1"/>
    </sheetView>
  </sheetViews>
  <sheetFormatPr defaultColWidth="9" defaultRowHeight="14.25"/>
  <sheetData>
    <row r="1" ht="15" spans="1:9">
      <c r="A1" t="s">
        <v>93</v>
      </c>
      <c r="B1" t="s">
        <v>94</v>
      </c>
      <c r="C1" s="1" t="s">
        <v>95</v>
      </c>
      <c r="D1" s="53" t="s">
        <v>96</v>
      </c>
      <c r="E1" s="2" t="s">
        <v>97</v>
      </c>
      <c r="F1" s="2" t="str">
        <f>'Source Table'!$D$6</f>
        <v>Felony Crimes</v>
      </c>
      <c r="G1" t="str">
        <f>'Source Table'!$D$5</f>
        <v>الجرائم الجنائية</v>
      </c>
      <c r="H1" t="str">
        <f>'Source Table'!$B$7</f>
        <v>Middle Amman</v>
      </c>
      <c r="I1" t="str">
        <f>'Source Table'!$E$7</f>
        <v>وسط عمان</v>
      </c>
    </row>
    <row r="2" ht="15" spans="1:9">
      <c r="A2" t="s">
        <v>93</v>
      </c>
      <c r="B2" t="s">
        <v>94</v>
      </c>
      <c r="C2" s="1" t="s">
        <v>95</v>
      </c>
      <c r="D2" s="53" t="s">
        <v>96</v>
      </c>
      <c r="E2" s="2" t="s">
        <v>97</v>
      </c>
      <c r="F2" s="2" t="str">
        <f>'Source Table'!$D$6</f>
        <v>Felony Crimes</v>
      </c>
      <c r="G2" t="str">
        <f>'Source Table'!$D$5</f>
        <v>الجرائم الجنائية</v>
      </c>
      <c r="H2" t="str">
        <f>'Source Table'!$B$8</f>
        <v>South Amman</v>
      </c>
      <c r="I2" t="str">
        <f>'Source Table'!$E$8</f>
        <v>جنوب عمان</v>
      </c>
    </row>
    <row r="3" ht="15" spans="1:9">
      <c r="A3" t="s">
        <v>93</v>
      </c>
      <c r="B3" t="s">
        <v>94</v>
      </c>
      <c r="C3" s="1" t="s">
        <v>95</v>
      </c>
      <c r="D3" s="53" t="s">
        <v>96</v>
      </c>
      <c r="E3" s="2" t="s">
        <v>97</v>
      </c>
      <c r="F3" s="2" t="str">
        <f>'Source Table'!$D$6</f>
        <v>Felony Crimes</v>
      </c>
      <c r="G3" t="str">
        <f>'Source Table'!$D$5</f>
        <v>الجرائم الجنائية</v>
      </c>
      <c r="H3" t="str">
        <f>'Source Table'!$B$9</f>
        <v>North Amman</v>
      </c>
      <c r="I3" t="str">
        <f>'Source Table'!$E$9</f>
        <v>شمال عمان </v>
      </c>
    </row>
    <row r="4" ht="15" spans="1:9">
      <c r="A4" t="s">
        <v>93</v>
      </c>
      <c r="B4" t="s">
        <v>94</v>
      </c>
      <c r="C4" s="1" t="s">
        <v>95</v>
      </c>
      <c r="D4" s="53" t="s">
        <v>96</v>
      </c>
      <c r="E4" s="2" t="s">
        <v>97</v>
      </c>
      <c r="F4" s="2" t="str">
        <f>'Source Table'!$D$6</f>
        <v>Felony Crimes</v>
      </c>
      <c r="G4" t="str">
        <f>'Source Table'!$D$5</f>
        <v>الجرائم الجنائية</v>
      </c>
      <c r="H4" t="str">
        <f>'Source Table'!$B$10</f>
        <v>East Amman</v>
      </c>
      <c r="I4" t="str">
        <f>'Source Table'!$E$10</f>
        <v>شرق عمان</v>
      </c>
    </row>
    <row r="5" ht="15" spans="1:9">
      <c r="A5" t="s">
        <v>93</v>
      </c>
      <c r="B5" t="s">
        <v>94</v>
      </c>
      <c r="C5" s="1" t="s">
        <v>95</v>
      </c>
      <c r="D5" s="53" t="s">
        <v>96</v>
      </c>
      <c r="E5" s="2" t="s">
        <v>97</v>
      </c>
      <c r="F5" s="2" t="str">
        <f>'Source Table'!$D$6</f>
        <v>Felony Crimes</v>
      </c>
      <c r="G5" t="str">
        <f>'Source Table'!$D$5</f>
        <v>الجرائم الجنائية</v>
      </c>
      <c r="H5" t="str">
        <f>'Source Table'!$B$11</f>
        <v>Balqa</v>
      </c>
      <c r="I5" t="str">
        <f>'Source Table'!$E$11</f>
        <v>البلقاء</v>
      </c>
    </row>
    <row r="6" ht="15" spans="1:9">
      <c r="A6" t="s">
        <v>93</v>
      </c>
      <c r="B6" t="s">
        <v>94</v>
      </c>
      <c r="C6" s="1" t="s">
        <v>95</v>
      </c>
      <c r="D6" s="53" t="s">
        <v>96</v>
      </c>
      <c r="E6" s="2" t="s">
        <v>97</v>
      </c>
      <c r="F6" s="2" t="str">
        <f>'Source Table'!$D$6</f>
        <v>Felony Crimes</v>
      </c>
      <c r="G6" t="str">
        <f>'Source Table'!$D$5</f>
        <v>الجرائم الجنائية</v>
      </c>
      <c r="H6" t="str">
        <f>'Source Table'!$B$12</f>
        <v>West Balqa</v>
      </c>
      <c r="I6" t="str">
        <f>'Source Table'!$E$12</f>
        <v>غرب البلقاء </v>
      </c>
    </row>
    <row r="7" ht="15" spans="1:9">
      <c r="A7" t="s">
        <v>93</v>
      </c>
      <c r="B7" t="s">
        <v>94</v>
      </c>
      <c r="C7" s="1" t="s">
        <v>95</v>
      </c>
      <c r="D7" s="53" t="s">
        <v>96</v>
      </c>
      <c r="E7" s="2" t="s">
        <v>97</v>
      </c>
      <c r="F7" s="2" t="str">
        <f>'Source Table'!$D$6</f>
        <v>Felony Crimes</v>
      </c>
      <c r="G7" t="str">
        <f>'Source Table'!$D$5</f>
        <v>الجرائم الجنائية</v>
      </c>
      <c r="H7" t="str">
        <f>'Source Table'!$B$13</f>
        <v>Zarqa</v>
      </c>
      <c r="I7" t="str">
        <f>'Source Table'!$E$13</f>
        <v>الزرقاء</v>
      </c>
    </row>
    <row r="8" ht="15" spans="1:9">
      <c r="A8" t="s">
        <v>93</v>
      </c>
      <c r="B8" t="s">
        <v>94</v>
      </c>
      <c r="C8" s="1" t="s">
        <v>95</v>
      </c>
      <c r="D8" s="53" t="s">
        <v>96</v>
      </c>
      <c r="E8" s="2" t="s">
        <v>97</v>
      </c>
      <c r="F8" s="2" t="str">
        <f>'Source Table'!$D$6</f>
        <v>Felony Crimes</v>
      </c>
      <c r="G8" t="str">
        <f>'Source Table'!$D$5</f>
        <v>الجرائم الجنائية</v>
      </c>
      <c r="H8" t="str">
        <f>'Source Table'!$B$14</f>
        <v>Al-Russaifa</v>
      </c>
      <c r="I8" t="str">
        <f>'Source Table'!$E$14</f>
        <v>الرصيفة</v>
      </c>
    </row>
    <row r="9" ht="15" spans="1:9">
      <c r="A9" t="s">
        <v>93</v>
      </c>
      <c r="B9" t="s">
        <v>94</v>
      </c>
      <c r="C9" s="1" t="s">
        <v>95</v>
      </c>
      <c r="D9" s="53" t="s">
        <v>96</v>
      </c>
      <c r="E9" s="2" t="s">
        <v>97</v>
      </c>
      <c r="F9" s="2" t="str">
        <f>'Source Table'!$D$6</f>
        <v>Felony Crimes</v>
      </c>
      <c r="G9" t="str">
        <f>'Source Table'!$D$5</f>
        <v>الجرائم الجنائية</v>
      </c>
      <c r="H9" t="str">
        <f>'Source Table'!$B$15</f>
        <v>Madaba</v>
      </c>
      <c r="I9" t="str">
        <f>'Source Table'!$E$15</f>
        <v>مادبا</v>
      </c>
    </row>
    <row r="10" ht="15" spans="1:9">
      <c r="A10" t="s">
        <v>93</v>
      </c>
      <c r="B10" t="s">
        <v>94</v>
      </c>
      <c r="C10" s="1" t="s">
        <v>95</v>
      </c>
      <c r="D10" s="53" t="s">
        <v>96</v>
      </c>
      <c r="E10" s="2" t="s">
        <v>97</v>
      </c>
      <c r="F10" s="2" t="str">
        <f>'Source Table'!$D$6</f>
        <v>Felony Crimes</v>
      </c>
      <c r="G10" t="str">
        <f>'Source Table'!$D$5</f>
        <v>الجرائم الجنائية</v>
      </c>
      <c r="H10" t="str">
        <f>'Source Table'!$B$16</f>
        <v>Irbid</v>
      </c>
      <c r="I10" t="str">
        <f>'Source Table'!$E$16</f>
        <v>إربد</v>
      </c>
    </row>
    <row r="11" ht="15" spans="1:9">
      <c r="A11" t="s">
        <v>93</v>
      </c>
      <c r="B11" t="s">
        <v>94</v>
      </c>
      <c r="C11" s="1" t="s">
        <v>95</v>
      </c>
      <c r="D11" s="53" t="s">
        <v>96</v>
      </c>
      <c r="E11" s="2" t="s">
        <v>97</v>
      </c>
      <c r="F11" s="2" t="str">
        <f>'Source Table'!$D$6</f>
        <v>Felony Crimes</v>
      </c>
      <c r="G11" t="str">
        <f>'Source Table'!$D$5</f>
        <v>الجرائم الجنائية</v>
      </c>
      <c r="H11" t="str">
        <f>'Source Table'!$B$17</f>
        <v>West Irbid</v>
      </c>
      <c r="I11" t="str">
        <f>'Source Table'!$E$17</f>
        <v>غرب إربد</v>
      </c>
    </row>
    <row r="12" ht="15" spans="1:9">
      <c r="A12" t="s">
        <v>93</v>
      </c>
      <c r="B12" t="s">
        <v>94</v>
      </c>
      <c r="C12" s="1" t="s">
        <v>95</v>
      </c>
      <c r="D12" s="53" t="s">
        <v>96</v>
      </c>
      <c r="E12" s="2" t="s">
        <v>97</v>
      </c>
      <c r="F12" s="2" t="str">
        <f>'Source Table'!$D$6</f>
        <v>Felony Crimes</v>
      </c>
      <c r="G12" t="str">
        <f>'Source Table'!$D$5</f>
        <v>الجرائم الجنائية</v>
      </c>
      <c r="H12" t="str">
        <f>'Source Table'!$B$18</f>
        <v>Al-Ramtha</v>
      </c>
      <c r="I12" t="str">
        <f>'Source Table'!$E$18</f>
        <v>الرمثا</v>
      </c>
    </row>
    <row r="13" ht="15" spans="1:9">
      <c r="A13" t="s">
        <v>93</v>
      </c>
      <c r="B13" t="s">
        <v>94</v>
      </c>
      <c r="C13" s="1" t="s">
        <v>95</v>
      </c>
      <c r="D13" s="53" t="s">
        <v>96</v>
      </c>
      <c r="E13" s="2" t="s">
        <v>97</v>
      </c>
      <c r="F13" s="2" t="str">
        <f>'Source Table'!$D$6</f>
        <v>Felony Crimes</v>
      </c>
      <c r="G13" t="str">
        <f>'Source Table'!$D$5</f>
        <v>الجرائم الجنائية</v>
      </c>
      <c r="H13" t="str">
        <f>'Source Table'!$B$19</f>
        <v>Mafraq</v>
      </c>
      <c r="I13" t="str">
        <f>'Source Table'!$E$19</f>
        <v>المفرق</v>
      </c>
    </row>
    <row r="14" ht="15" spans="1:9">
      <c r="A14" t="s">
        <v>93</v>
      </c>
      <c r="B14" t="s">
        <v>94</v>
      </c>
      <c r="C14" s="1" t="s">
        <v>95</v>
      </c>
      <c r="D14" s="53" t="s">
        <v>96</v>
      </c>
      <c r="E14" s="2" t="s">
        <v>97</v>
      </c>
      <c r="F14" s="2" t="str">
        <f>'Source Table'!$D$6</f>
        <v>Felony Crimes</v>
      </c>
      <c r="G14" t="str">
        <f>'Source Table'!$D$5</f>
        <v>الجرائم الجنائية</v>
      </c>
      <c r="H14" t="str">
        <f>'Source Table'!$B$20</f>
        <v>North Bedouin</v>
      </c>
      <c r="I14" t="str">
        <f>'Source Table'!$E$20</f>
        <v>الباديةالشمالية</v>
      </c>
    </row>
    <row r="15" ht="15" spans="1:9">
      <c r="A15" t="s">
        <v>93</v>
      </c>
      <c r="B15" t="s">
        <v>94</v>
      </c>
      <c r="C15" s="1" t="s">
        <v>95</v>
      </c>
      <c r="D15" s="53" t="s">
        <v>96</v>
      </c>
      <c r="E15" s="2" t="s">
        <v>97</v>
      </c>
      <c r="F15" s="2" t="str">
        <f>'Source Table'!$D$6</f>
        <v>Felony Crimes</v>
      </c>
      <c r="G15" t="str">
        <f>'Source Table'!$D$5</f>
        <v>الجرائم الجنائية</v>
      </c>
      <c r="H15" s="3" t="str">
        <f>'Source Table'!$B$21</f>
        <v>Middle Bedouin</v>
      </c>
      <c r="I15" s="3" t="str">
        <f>'Source Table'!$E$21</f>
        <v>البادية الوسطى</v>
      </c>
    </row>
    <row r="16" ht="15" spans="1:9">
      <c r="A16" t="s">
        <v>93</v>
      </c>
      <c r="B16" t="s">
        <v>94</v>
      </c>
      <c r="C16" s="1" t="s">
        <v>95</v>
      </c>
      <c r="D16" s="53" t="s">
        <v>96</v>
      </c>
      <c r="E16" s="2" t="s">
        <v>97</v>
      </c>
      <c r="F16" s="2" t="str">
        <f>'Source Table'!$D$6</f>
        <v>Felony Crimes</v>
      </c>
      <c r="G16" t="str">
        <f>'Source Table'!$D$5</f>
        <v>الجرائم الجنائية</v>
      </c>
      <c r="H16" s="3" t="str">
        <f>'Source Table'!$B$22</f>
        <v>South Bedouin</v>
      </c>
      <c r="I16" s="3" t="str">
        <f>'Source Table'!$E$22</f>
        <v>البادية الجنوبية </v>
      </c>
    </row>
    <row r="17" ht="15" spans="1:9">
      <c r="A17" t="s">
        <v>93</v>
      </c>
      <c r="B17" t="s">
        <v>94</v>
      </c>
      <c r="C17" s="1" t="s">
        <v>95</v>
      </c>
      <c r="D17" s="53" t="s">
        <v>96</v>
      </c>
      <c r="E17" s="2" t="s">
        <v>97</v>
      </c>
      <c r="F17" s="2" t="str">
        <f>'Source Table'!$D$6</f>
        <v>Felony Crimes</v>
      </c>
      <c r="G17" t="str">
        <f>'Source Table'!$D$5</f>
        <v>الجرائم الجنائية</v>
      </c>
      <c r="H17" s="3" t="str">
        <f>'Source Table'!$B$23</f>
        <v>Jarash</v>
      </c>
      <c r="I17" s="3" t="str">
        <f>'Source Table'!$E$23</f>
        <v>جرش</v>
      </c>
    </row>
    <row r="18" ht="15" spans="1:9">
      <c r="A18" t="s">
        <v>93</v>
      </c>
      <c r="B18" t="s">
        <v>94</v>
      </c>
      <c r="C18" s="1" t="s">
        <v>95</v>
      </c>
      <c r="D18" s="53" t="s">
        <v>96</v>
      </c>
      <c r="E18" s="2" t="s">
        <v>97</v>
      </c>
      <c r="F18" s="2" t="str">
        <f>'Source Table'!$D$6</f>
        <v>Felony Crimes</v>
      </c>
      <c r="G18" t="str">
        <f>'Source Table'!$D$5</f>
        <v>الجرائم الجنائية</v>
      </c>
      <c r="H18" s="3" t="str">
        <f>'Source Table'!$B$24</f>
        <v>Ajloun</v>
      </c>
      <c r="I18" s="3" t="str">
        <f>'Source Table'!$E$24</f>
        <v>عجلون</v>
      </c>
    </row>
    <row r="19" ht="15" spans="1:9">
      <c r="A19" t="s">
        <v>93</v>
      </c>
      <c r="B19" t="s">
        <v>94</v>
      </c>
      <c r="C19" s="1" t="s">
        <v>95</v>
      </c>
      <c r="D19" s="53" t="s">
        <v>96</v>
      </c>
      <c r="E19" s="2" t="s">
        <v>97</v>
      </c>
      <c r="F19" s="2" t="str">
        <f>'Source Table'!$D$6</f>
        <v>Felony Crimes</v>
      </c>
      <c r="G19" t="str">
        <f>'Source Table'!$D$5</f>
        <v>الجرائم الجنائية</v>
      </c>
      <c r="H19" s="3" t="str">
        <f>'Source Table'!$B$25</f>
        <v>Karak</v>
      </c>
      <c r="I19" s="3" t="str">
        <f>'Source Table'!$E$25</f>
        <v>الكرك</v>
      </c>
    </row>
    <row r="20" ht="15" spans="1:9">
      <c r="A20" t="s">
        <v>93</v>
      </c>
      <c r="B20" t="s">
        <v>94</v>
      </c>
      <c r="C20" s="1" t="s">
        <v>95</v>
      </c>
      <c r="D20" s="53" t="s">
        <v>96</v>
      </c>
      <c r="E20" s="2" t="s">
        <v>97</v>
      </c>
      <c r="F20" s="2" t="str">
        <f>'Source Table'!$D$6</f>
        <v>Felony Crimes</v>
      </c>
      <c r="G20" t="str">
        <f>'Source Table'!$D$5</f>
        <v>الجرائم الجنائية</v>
      </c>
      <c r="H20" s="3" t="str">
        <f>'Source Table'!$B$26</f>
        <v>Tafiela</v>
      </c>
      <c r="I20" s="3" t="str">
        <f>'Source Table'!$E$26</f>
        <v>الطفيلة</v>
      </c>
    </row>
    <row r="21" ht="15" spans="1:9">
      <c r="A21" t="s">
        <v>93</v>
      </c>
      <c r="B21" t="s">
        <v>94</v>
      </c>
      <c r="C21" s="1" t="s">
        <v>95</v>
      </c>
      <c r="D21" s="53" t="s">
        <v>96</v>
      </c>
      <c r="E21" s="2" t="s">
        <v>97</v>
      </c>
      <c r="F21" s="2" t="str">
        <f>'Source Table'!$D$6</f>
        <v>Felony Crimes</v>
      </c>
      <c r="G21" t="str">
        <f>'Source Table'!$D$5</f>
        <v>الجرائم الجنائية</v>
      </c>
      <c r="H21" s="3" t="str">
        <f>'Source Table'!$B$27</f>
        <v>Ma'an</v>
      </c>
      <c r="I21" s="3" t="str">
        <f>'Source Table'!$E$27</f>
        <v>معان</v>
      </c>
    </row>
    <row r="22" ht="15" spans="1:9">
      <c r="A22" t="s">
        <v>93</v>
      </c>
      <c r="B22" t="s">
        <v>94</v>
      </c>
      <c r="C22" s="1" t="s">
        <v>95</v>
      </c>
      <c r="D22" s="53" t="s">
        <v>96</v>
      </c>
      <c r="E22" s="2" t="s">
        <v>97</v>
      </c>
      <c r="F22" s="2" t="str">
        <f>'Source Table'!$D$6</f>
        <v>Felony Crimes</v>
      </c>
      <c r="G22" t="str">
        <f>'Source Table'!$D$5</f>
        <v>الجرائم الجنائية</v>
      </c>
      <c r="H22" s="3" t="str">
        <f>'Source Table'!$B$28</f>
        <v>West ofMa'an</v>
      </c>
      <c r="I22" s="3" t="str">
        <f>'Source Table'!$E$28</f>
        <v>غرب معان</v>
      </c>
    </row>
    <row r="23" ht="15" spans="1:9">
      <c r="A23" t="s">
        <v>93</v>
      </c>
      <c r="B23" t="s">
        <v>94</v>
      </c>
      <c r="C23" s="1" t="s">
        <v>95</v>
      </c>
      <c r="D23" s="53" t="s">
        <v>96</v>
      </c>
      <c r="E23" s="2" t="s">
        <v>97</v>
      </c>
      <c r="F23" s="2" t="str">
        <f>'Source Table'!$D$6</f>
        <v>Felony Crimes</v>
      </c>
      <c r="G23" t="str">
        <f>'Source Table'!$D$5</f>
        <v>الجرائم الجنائية</v>
      </c>
      <c r="H23" s="3" t="str">
        <f>'Source Table'!$B$29</f>
        <v>Aqaba</v>
      </c>
      <c r="I23" s="3" t="str">
        <f>'Source Table'!$E$29</f>
        <v>العقبة</v>
      </c>
    </row>
    <row r="24" ht="15" spans="1:9">
      <c r="A24" t="s">
        <v>93</v>
      </c>
      <c r="B24" t="s">
        <v>94</v>
      </c>
      <c r="C24" s="1" t="s">
        <v>95</v>
      </c>
      <c r="D24" s="53" t="s">
        <v>96</v>
      </c>
      <c r="E24" s="2" t="s">
        <v>97</v>
      </c>
      <c r="F24" s="3" t="str">
        <f>'Source Table'!$C$6</f>
        <v>Misdemeanor Crimes</v>
      </c>
      <c r="G24" s="3" t="str">
        <f>'Source Table'!$C$5</f>
        <v>الجرائم الجنحوية</v>
      </c>
      <c r="H24" t="str">
        <f>'Source Table'!$B$7</f>
        <v>Middle Amman</v>
      </c>
      <c r="I24" t="str">
        <f>'Source Table'!$E$7</f>
        <v>وسط عمان</v>
      </c>
    </row>
    <row r="25" ht="15" spans="1:9">
      <c r="A25" t="s">
        <v>93</v>
      </c>
      <c r="B25" t="s">
        <v>94</v>
      </c>
      <c r="C25" s="1" t="s">
        <v>95</v>
      </c>
      <c r="D25" s="53" t="s">
        <v>96</v>
      </c>
      <c r="E25" s="2" t="s">
        <v>97</v>
      </c>
      <c r="F25" s="3" t="str">
        <f>'Source Table'!$C$6</f>
        <v>Misdemeanor Crimes</v>
      </c>
      <c r="G25" s="3" t="str">
        <f>'Source Table'!$C$5</f>
        <v>الجرائم الجنحوية</v>
      </c>
      <c r="H25" t="str">
        <f>'Source Table'!$B$8</f>
        <v>South Amman</v>
      </c>
      <c r="I25" t="str">
        <f>'Source Table'!$E$8</f>
        <v>جنوب عمان</v>
      </c>
    </row>
    <row r="26" ht="15" spans="1:9">
      <c r="A26" t="s">
        <v>93</v>
      </c>
      <c r="B26" t="s">
        <v>94</v>
      </c>
      <c r="C26" s="1" t="s">
        <v>95</v>
      </c>
      <c r="D26" s="53" t="s">
        <v>96</v>
      </c>
      <c r="E26" s="2" t="s">
        <v>97</v>
      </c>
      <c r="F26" s="3" t="str">
        <f>'Source Table'!$C$6</f>
        <v>Misdemeanor Crimes</v>
      </c>
      <c r="G26" s="3" t="str">
        <f>'Source Table'!$C$5</f>
        <v>الجرائم الجنحوية</v>
      </c>
      <c r="H26" t="str">
        <f>'Source Table'!$B$9</f>
        <v>North Amman</v>
      </c>
      <c r="I26" t="str">
        <f>'Source Table'!$E$9</f>
        <v>شمال عمان </v>
      </c>
    </row>
    <row r="27" ht="15" spans="1:9">
      <c r="A27" t="s">
        <v>93</v>
      </c>
      <c r="B27" t="s">
        <v>94</v>
      </c>
      <c r="C27" s="1" t="s">
        <v>95</v>
      </c>
      <c r="D27" s="53" t="s">
        <v>96</v>
      </c>
      <c r="E27" s="2" t="s">
        <v>97</v>
      </c>
      <c r="F27" s="3" t="str">
        <f>'Source Table'!$C$6</f>
        <v>Misdemeanor Crimes</v>
      </c>
      <c r="G27" s="3" t="str">
        <f>'Source Table'!$C$5</f>
        <v>الجرائم الجنحوية</v>
      </c>
      <c r="H27" t="str">
        <f>'Source Table'!$B$10</f>
        <v>East Amman</v>
      </c>
      <c r="I27" t="str">
        <f>'Source Table'!$E$10</f>
        <v>شرق عمان</v>
      </c>
    </row>
    <row r="28" ht="15" spans="1:9">
      <c r="A28" t="s">
        <v>93</v>
      </c>
      <c r="B28" t="s">
        <v>94</v>
      </c>
      <c r="C28" s="1" t="s">
        <v>95</v>
      </c>
      <c r="D28" s="53" t="s">
        <v>96</v>
      </c>
      <c r="E28" s="2" t="s">
        <v>97</v>
      </c>
      <c r="F28" s="3" t="str">
        <f>'Source Table'!$C$6</f>
        <v>Misdemeanor Crimes</v>
      </c>
      <c r="G28" s="3" t="str">
        <f>'Source Table'!$C$5</f>
        <v>الجرائم الجنحوية</v>
      </c>
      <c r="H28" t="str">
        <f>'Source Table'!$B$11</f>
        <v>Balqa</v>
      </c>
      <c r="I28" t="str">
        <f>'Source Table'!$E$11</f>
        <v>البلقاء</v>
      </c>
    </row>
    <row r="29" ht="15" spans="1:9">
      <c r="A29" t="s">
        <v>93</v>
      </c>
      <c r="B29" t="s">
        <v>94</v>
      </c>
      <c r="C29" s="1" t="s">
        <v>95</v>
      </c>
      <c r="D29" s="53" t="s">
        <v>96</v>
      </c>
      <c r="E29" s="2" t="s">
        <v>97</v>
      </c>
      <c r="F29" s="3" t="str">
        <f>'Source Table'!$C$6</f>
        <v>Misdemeanor Crimes</v>
      </c>
      <c r="G29" s="3" t="str">
        <f>'Source Table'!$C$5</f>
        <v>الجرائم الجنحوية</v>
      </c>
      <c r="H29" t="str">
        <f>'Source Table'!$B$12</f>
        <v>West Balqa</v>
      </c>
      <c r="I29" t="str">
        <f>'Source Table'!$E$12</f>
        <v>غرب البلقاء </v>
      </c>
    </row>
    <row r="30" ht="15" spans="1:9">
      <c r="A30" t="s">
        <v>93</v>
      </c>
      <c r="B30" t="s">
        <v>94</v>
      </c>
      <c r="C30" s="1" t="s">
        <v>95</v>
      </c>
      <c r="D30" s="53" t="s">
        <v>96</v>
      </c>
      <c r="E30" s="2" t="s">
        <v>97</v>
      </c>
      <c r="F30" s="3" t="str">
        <f>'Source Table'!$C$6</f>
        <v>Misdemeanor Crimes</v>
      </c>
      <c r="G30" s="3" t="str">
        <f>'Source Table'!$C$5</f>
        <v>الجرائم الجنحوية</v>
      </c>
      <c r="H30" t="str">
        <f>'Source Table'!$B$13</f>
        <v>Zarqa</v>
      </c>
      <c r="I30" t="str">
        <f>'Source Table'!$E$13</f>
        <v>الزرقاء</v>
      </c>
    </row>
    <row r="31" ht="15" spans="1:9">
      <c r="A31" t="s">
        <v>93</v>
      </c>
      <c r="B31" t="s">
        <v>94</v>
      </c>
      <c r="C31" s="1" t="s">
        <v>95</v>
      </c>
      <c r="D31" s="53" t="s">
        <v>96</v>
      </c>
      <c r="E31" s="2" t="s">
        <v>97</v>
      </c>
      <c r="F31" s="3" t="str">
        <f>'Source Table'!$C$6</f>
        <v>Misdemeanor Crimes</v>
      </c>
      <c r="G31" s="3" t="str">
        <f>'Source Table'!$C$5</f>
        <v>الجرائم الجنحوية</v>
      </c>
      <c r="H31" t="str">
        <f>'Source Table'!$B$14</f>
        <v>Al-Russaifa</v>
      </c>
      <c r="I31" t="str">
        <f>'Source Table'!$E$14</f>
        <v>الرصيفة</v>
      </c>
    </row>
    <row r="32" ht="15" spans="1:9">
      <c r="A32" t="s">
        <v>93</v>
      </c>
      <c r="B32" t="s">
        <v>94</v>
      </c>
      <c r="C32" s="1" t="s">
        <v>95</v>
      </c>
      <c r="D32" s="53" t="s">
        <v>96</v>
      </c>
      <c r="E32" s="2" t="s">
        <v>97</v>
      </c>
      <c r="F32" s="3" t="str">
        <f>'Source Table'!$C$6</f>
        <v>Misdemeanor Crimes</v>
      </c>
      <c r="G32" s="3" t="str">
        <f>'Source Table'!$C$5</f>
        <v>الجرائم الجنحوية</v>
      </c>
      <c r="H32" t="str">
        <f>'Source Table'!$B$15</f>
        <v>Madaba</v>
      </c>
      <c r="I32" t="str">
        <f>'Source Table'!$E$15</f>
        <v>مادبا</v>
      </c>
    </row>
    <row r="33" ht="15" spans="1:9">
      <c r="A33" t="s">
        <v>93</v>
      </c>
      <c r="B33" t="s">
        <v>94</v>
      </c>
      <c r="C33" s="1" t="s">
        <v>95</v>
      </c>
      <c r="D33" s="53" t="s">
        <v>96</v>
      </c>
      <c r="E33" s="2" t="s">
        <v>97</v>
      </c>
      <c r="F33" s="3" t="str">
        <f>'Source Table'!$C$6</f>
        <v>Misdemeanor Crimes</v>
      </c>
      <c r="G33" s="3" t="str">
        <f>'Source Table'!$C$5</f>
        <v>الجرائم الجنحوية</v>
      </c>
      <c r="H33" t="str">
        <f>'Source Table'!$B$16</f>
        <v>Irbid</v>
      </c>
      <c r="I33" t="str">
        <f>'Source Table'!$E$16</f>
        <v>إربد</v>
      </c>
    </row>
    <row r="34" ht="15" spans="1:9">
      <c r="A34" t="s">
        <v>93</v>
      </c>
      <c r="B34" t="s">
        <v>94</v>
      </c>
      <c r="C34" s="1" t="s">
        <v>95</v>
      </c>
      <c r="D34" s="53" t="s">
        <v>96</v>
      </c>
      <c r="E34" s="2" t="s">
        <v>97</v>
      </c>
      <c r="F34" s="3" t="str">
        <f>'Source Table'!$C$6</f>
        <v>Misdemeanor Crimes</v>
      </c>
      <c r="G34" s="3" t="str">
        <f>'Source Table'!$C$5</f>
        <v>الجرائم الجنحوية</v>
      </c>
      <c r="H34" t="str">
        <f>'Source Table'!$B$17</f>
        <v>West Irbid</v>
      </c>
      <c r="I34" t="str">
        <f>'Source Table'!$E$17</f>
        <v>غرب إربد</v>
      </c>
    </row>
    <row r="35" ht="15" spans="1:9">
      <c r="A35" t="s">
        <v>93</v>
      </c>
      <c r="B35" t="s">
        <v>94</v>
      </c>
      <c r="C35" s="1" t="s">
        <v>95</v>
      </c>
      <c r="D35" s="53" t="s">
        <v>96</v>
      </c>
      <c r="E35" s="2" t="s">
        <v>97</v>
      </c>
      <c r="F35" s="3" t="str">
        <f>'Source Table'!$C$6</f>
        <v>Misdemeanor Crimes</v>
      </c>
      <c r="G35" s="3" t="str">
        <f>'Source Table'!$C$5</f>
        <v>الجرائم الجنحوية</v>
      </c>
      <c r="H35" t="str">
        <f>'Source Table'!$B$18</f>
        <v>Al-Ramtha</v>
      </c>
      <c r="I35" t="str">
        <f>'Source Table'!$E$18</f>
        <v>الرمثا</v>
      </c>
    </row>
    <row r="36" ht="15" spans="1:9">
      <c r="A36" t="s">
        <v>93</v>
      </c>
      <c r="B36" t="s">
        <v>94</v>
      </c>
      <c r="C36" s="1" t="s">
        <v>95</v>
      </c>
      <c r="D36" s="53" t="s">
        <v>96</v>
      </c>
      <c r="E36" s="2" t="s">
        <v>97</v>
      </c>
      <c r="F36" s="3" t="str">
        <f>'Source Table'!$C$6</f>
        <v>Misdemeanor Crimes</v>
      </c>
      <c r="G36" s="3" t="str">
        <f>'Source Table'!$C$5</f>
        <v>الجرائم الجنحوية</v>
      </c>
      <c r="H36" t="str">
        <f>'Source Table'!$B$19</f>
        <v>Mafraq</v>
      </c>
      <c r="I36" t="str">
        <f>'Source Table'!$E$19</f>
        <v>المفرق</v>
      </c>
    </row>
    <row r="37" ht="15" spans="1:9">
      <c r="A37" t="s">
        <v>93</v>
      </c>
      <c r="B37" t="s">
        <v>94</v>
      </c>
      <c r="C37" s="1" t="s">
        <v>95</v>
      </c>
      <c r="D37" s="53" t="s">
        <v>96</v>
      </c>
      <c r="E37" s="2" t="s">
        <v>97</v>
      </c>
      <c r="F37" s="3" t="str">
        <f>'Source Table'!$C$6</f>
        <v>Misdemeanor Crimes</v>
      </c>
      <c r="G37" s="3" t="str">
        <f>'Source Table'!$C$5</f>
        <v>الجرائم الجنحوية</v>
      </c>
      <c r="H37" t="str">
        <f>'Source Table'!$B$20</f>
        <v>North Bedouin</v>
      </c>
      <c r="I37" t="str">
        <f>'Source Table'!$E$20</f>
        <v>الباديةالشمالية</v>
      </c>
    </row>
    <row r="38" ht="15" spans="1:9">
      <c r="A38" t="s">
        <v>93</v>
      </c>
      <c r="B38" t="s">
        <v>94</v>
      </c>
      <c r="C38" s="1" t="s">
        <v>95</v>
      </c>
      <c r="D38" s="53" t="s">
        <v>96</v>
      </c>
      <c r="E38" s="2" t="s">
        <v>97</v>
      </c>
      <c r="F38" s="3" t="str">
        <f>'Source Table'!$C$6</f>
        <v>Misdemeanor Crimes</v>
      </c>
      <c r="G38" s="3" t="str">
        <f>'Source Table'!$C$5</f>
        <v>الجرائم الجنحوية</v>
      </c>
      <c r="H38" s="3" t="str">
        <f>'Source Table'!$B$21</f>
        <v>Middle Bedouin</v>
      </c>
      <c r="I38" s="3" t="str">
        <f>'Source Table'!$E$21</f>
        <v>البادية الوسطى</v>
      </c>
    </row>
    <row r="39" ht="15" spans="1:9">
      <c r="A39" t="s">
        <v>93</v>
      </c>
      <c r="B39" t="s">
        <v>94</v>
      </c>
      <c r="C39" s="1" t="s">
        <v>95</v>
      </c>
      <c r="D39" s="53" t="s">
        <v>96</v>
      </c>
      <c r="E39" s="2" t="s">
        <v>97</v>
      </c>
      <c r="F39" s="3" t="str">
        <f>'Source Table'!$C$6</f>
        <v>Misdemeanor Crimes</v>
      </c>
      <c r="G39" s="3" t="str">
        <f>'Source Table'!$C$5</f>
        <v>الجرائم الجنحوية</v>
      </c>
      <c r="H39" s="3" t="str">
        <f>'Source Table'!$B$22</f>
        <v>South Bedouin</v>
      </c>
      <c r="I39" s="3" t="str">
        <f>'Source Table'!$E$22</f>
        <v>البادية الجنوبية </v>
      </c>
    </row>
    <row r="40" ht="15" spans="1:9">
      <c r="A40" t="s">
        <v>93</v>
      </c>
      <c r="B40" t="s">
        <v>94</v>
      </c>
      <c r="C40" s="1" t="s">
        <v>95</v>
      </c>
      <c r="D40" s="53" t="s">
        <v>96</v>
      </c>
      <c r="E40" s="2" t="s">
        <v>97</v>
      </c>
      <c r="F40" s="3" t="str">
        <f>'Source Table'!$C$6</f>
        <v>Misdemeanor Crimes</v>
      </c>
      <c r="G40" s="3" t="str">
        <f>'Source Table'!$C$5</f>
        <v>الجرائم الجنحوية</v>
      </c>
      <c r="H40" s="3" t="str">
        <f>'Source Table'!$B$23</f>
        <v>Jarash</v>
      </c>
      <c r="I40" s="3" t="str">
        <f>'Source Table'!$E$23</f>
        <v>جرش</v>
      </c>
    </row>
    <row r="41" ht="15" spans="1:9">
      <c r="A41" t="s">
        <v>93</v>
      </c>
      <c r="B41" t="s">
        <v>94</v>
      </c>
      <c r="C41" s="1" t="s">
        <v>95</v>
      </c>
      <c r="D41" s="53" t="s">
        <v>96</v>
      </c>
      <c r="E41" s="2" t="s">
        <v>97</v>
      </c>
      <c r="F41" s="3" t="str">
        <f>'Source Table'!$C$6</f>
        <v>Misdemeanor Crimes</v>
      </c>
      <c r="G41" s="3" t="str">
        <f>'Source Table'!$C$5</f>
        <v>الجرائم الجنحوية</v>
      </c>
      <c r="H41" s="3" t="str">
        <f>'Source Table'!$B$24</f>
        <v>Ajloun</v>
      </c>
      <c r="I41" s="3" t="str">
        <f>'Source Table'!$E$24</f>
        <v>عجلون</v>
      </c>
    </row>
    <row r="42" ht="15" spans="1:9">
      <c r="A42" t="s">
        <v>93</v>
      </c>
      <c r="B42" t="s">
        <v>94</v>
      </c>
      <c r="C42" s="1" t="s">
        <v>95</v>
      </c>
      <c r="D42" s="53" t="s">
        <v>96</v>
      </c>
      <c r="E42" s="2" t="s">
        <v>97</v>
      </c>
      <c r="F42" s="3" t="str">
        <f>'Source Table'!$C$6</f>
        <v>Misdemeanor Crimes</v>
      </c>
      <c r="G42" s="3" t="str">
        <f>'Source Table'!$C$5</f>
        <v>الجرائم الجنحوية</v>
      </c>
      <c r="H42" s="3" t="str">
        <f>'Source Table'!$B$25</f>
        <v>Karak</v>
      </c>
      <c r="I42" s="3" t="str">
        <f>'Source Table'!$E$25</f>
        <v>الكرك</v>
      </c>
    </row>
    <row r="43" ht="15" spans="1:9">
      <c r="A43" t="s">
        <v>93</v>
      </c>
      <c r="B43" t="s">
        <v>94</v>
      </c>
      <c r="C43" s="1" t="s">
        <v>95</v>
      </c>
      <c r="D43" s="53" t="s">
        <v>96</v>
      </c>
      <c r="E43" s="2" t="s">
        <v>97</v>
      </c>
      <c r="F43" s="3" t="str">
        <f>'Source Table'!$C$6</f>
        <v>Misdemeanor Crimes</v>
      </c>
      <c r="G43" s="3" t="str">
        <f>'Source Table'!$C$5</f>
        <v>الجرائم الجنحوية</v>
      </c>
      <c r="H43" s="3" t="str">
        <f>'Source Table'!$B$26</f>
        <v>Tafiela</v>
      </c>
      <c r="I43" s="3" t="str">
        <f>'Source Table'!$E$26</f>
        <v>الطفيلة</v>
      </c>
    </row>
    <row r="44" ht="15" spans="1:9">
      <c r="A44" t="s">
        <v>93</v>
      </c>
      <c r="B44" t="s">
        <v>94</v>
      </c>
      <c r="C44" s="1" t="s">
        <v>95</v>
      </c>
      <c r="D44" s="53" t="s">
        <v>96</v>
      </c>
      <c r="E44" s="2" t="s">
        <v>97</v>
      </c>
      <c r="F44" s="3" t="str">
        <f>'Source Table'!$C$6</f>
        <v>Misdemeanor Crimes</v>
      </c>
      <c r="G44" s="3" t="str">
        <f>'Source Table'!$C$5</f>
        <v>الجرائم الجنحوية</v>
      </c>
      <c r="H44" s="3" t="str">
        <f>'Source Table'!$B$27</f>
        <v>Ma'an</v>
      </c>
      <c r="I44" s="3" t="str">
        <f>'Source Table'!$E$27</f>
        <v>معان</v>
      </c>
    </row>
    <row r="45" ht="15" spans="1:9">
      <c r="A45" t="s">
        <v>93</v>
      </c>
      <c r="B45" t="s">
        <v>94</v>
      </c>
      <c r="C45" s="1" t="s">
        <v>95</v>
      </c>
      <c r="D45" s="53" t="s">
        <v>96</v>
      </c>
      <c r="E45" s="2" t="s">
        <v>97</v>
      </c>
      <c r="F45" s="3" t="str">
        <f>'Source Table'!$C$6</f>
        <v>Misdemeanor Crimes</v>
      </c>
      <c r="G45" s="3" t="str">
        <f>'Source Table'!$C$5</f>
        <v>الجرائم الجنحوية</v>
      </c>
      <c r="H45" s="3" t="str">
        <f>'Source Table'!$B$28</f>
        <v>West ofMa'an</v>
      </c>
      <c r="I45" s="3" t="str">
        <f>'Source Table'!$E$28</f>
        <v>غرب معان</v>
      </c>
    </row>
    <row r="46" ht="15" spans="1:9">
      <c r="A46" t="s">
        <v>93</v>
      </c>
      <c r="B46" t="s">
        <v>94</v>
      </c>
      <c r="C46" s="1" t="s">
        <v>95</v>
      </c>
      <c r="D46" s="53" t="s">
        <v>96</v>
      </c>
      <c r="E46" s="2" t="s">
        <v>97</v>
      </c>
      <c r="F46" s="3" t="str">
        <f>'Source Table'!$C$6</f>
        <v>Misdemeanor Crimes</v>
      </c>
      <c r="G46" s="3" t="str">
        <f>'Source Table'!$C$5</f>
        <v>الجرائم الجنحوية</v>
      </c>
      <c r="H46" s="3" t="str">
        <f>'Source Table'!$B$29</f>
        <v>Aqaba</v>
      </c>
      <c r="I46" s="3" t="str">
        <f>'Source Table'!$E$29</f>
        <v>العقبة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3" rangeCreator="" othersAccessPermission="edit"/>
    <arrUserId title="Range1" rangeCreator="" othersAccessPermission="edit"/>
    <arrUserId title="Range2" rangeCreator="" othersAccessPermission="edit"/>
  </rangeList>
  <rangeList sheetStid="3" master="" otherUserPermission="visible"/>
  <rangeList sheetStid="4" master="" otherUserPermission="visible"/>
  <rangeList sheetStid="6" master="" otherUserPermission="visible"/>
  <rangeList sheetStid="7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/>
</ds:datastoreItem>
</file>

<file path=customXml/itemProps3.xml><?xml version="1.0" encoding="utf-8"?>
<ds:datastoreItem xmlns:ds="http://schemas.openxmlformats.org/officeDocument/2006/customXml" ds:itemID="{CEFB3727-0098-41DB-9DEB-08A099D40A76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2025-04-21T12:03:58Z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