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8715" activeTab="2"/>
  </bookViews>
  <sheets>
    <sheet name="Cover Page" sheetId="1" r:id="rId1"/>
    <sheet name="Source Table" sheetId="2" r:id="rId2"/>
    <sheet name="Relational DB" sheetId="3" r:id="rId3"/>
    <sheet name="Template Data" sheetId="4" r:id="rId4"/>
    <sheet name="Help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<sst xmlns="http://schemas.openxmlformats.org/spreadsheetml/2006/main" count="826" uniqueCount="156">
  <si>
    <t>Code</t>
  </si>
  <si>
    <t>SYB_17_4</t>
  </si>
  <si>
    <t>Version</t>
  </si>
  <si>
    <t>V1</t>
  </si>
  <si>
    <t>اسم القالب</t>
  </si>
  <si>
    <t>الجرائم العامة حسب نوع الجريمة</t>
  </si>
  <si>
    <t>Template Name</t>
  </si>
  <si>
    <t>General Crimes by Kind of Crime</t>
  </si>
  <si>
    <t>دورية البيانات</t>
  </si>
  <si>
    <t>سنوي</t>
  </si>
  <si>
    <t>Data Frequency</t>
  </si>
  <si>
    <t>Annual</t>
  </si>
  <si>
    <t>الجهة المصدرية</t>
  </si>
  <si>
    <t>مديرية الأمن العام</t>
  </si>
  <si>
    <t>Data Source</t>
  </si>
  <si>
    <t>Public Security Directorate</t>
  </si>
  <si>
    <t>Year</t>
  </si>
  <si>
    <t>السنة</t>
  </si>
  <si>
    <t>Kind of Crime</t>
  </si>
  <si>
    <t>نوع  الجريمة</t>
  </si>
  <si>
    <t>Felony Crimes</t>
  </si>
  <si>
    <t>Attempted Murder</t>
  </si>
  <si>
    <t>الشروع بالقتل</t>
  </si>
  <si>
    <t>الجرائم الجنائية</t>
  </si>
  <si>
    <t>premeditated Murder</t>
  </si>
  <si>
    <t>القتل العمد</t>
  </si>
  <si>
    <t>Murder</t>
  </si>
  <si>
    <t>القتل القصد</t>
  </si>
  <si>
    <t>Beating Leading to Death</t>
  </si>
  <si>
    <t>الضرب المفضي إلى الموت</t>
  </si>
  <si>
    <t>Criminal Theft</t>
  </si>
  <si>
    <t>السرقة الجنائية</t>
  </si>
  <si>
    <t>Kidnapping</t>
  </si>
  <si>
    <t>الخطف</t>
  </si>
  <si>
    <t>Sexual Abuse</t>
  </si>
  <si>
    <t>هـتك العرض</t>
  </si>
  <si>
    <t>Forgery</t>
  </si>
  <si>
    <t>التزوير الجنائي</t>
  </si>
  <si>
    <t>Currency Counterfeit</t>
  </si>
  <si>
    <t>تزييف النقد</t>
  </si>
  <si>
    <t>Aggravated Assault</t>
  </si>
  <si>
    <t>الإيذاء البليغ</t>
  </si>
  <si>
    <t>Bribery</t>
  </si>
  <si>
    <t>الرشوة</t>
  </si>
  <si>
    <t>Criminal Conspiracy</t>
  </si>
  <si>
    <t>الإتفاق الجنائي</t>
  </si>
  <si>
    <t>Abortion</t>
  </si>
  <si>
    <t>الإجهاض</t>
  </si>
  <si>
    <t>Embezzlement</t>
  </si>
  <si>
    <t>الاختلاس</t>
  </si>
  <si>
    <t>Misdemeanor Crimes</t>
  </si>
  <si>
    <t>Manslaughter</t>
  </si>
  <si>
    <t>القتل من غير قصد(القتل الخطأ)</t>
  </si>
  <si>
    <t>الجرائم الجنحوية</t>
  </si>
  <si>
    <t>Misdemeanor Theft</t>
  </si>
  <si>
    <t>السرقة الجنحوية</t>
  </si>
  <si>
    <t>Fraud</t>
  </si>
  <si>
    <t>الاحتيال</t>
  </si>
  <si>
    <t>Attempted Theft</t>
  </si>
  <si>
    <t>الشروع بالسرقة</t>
  </si>
  <si>
    <t>Resisting &amp; Assaulting Public Employees</t>
  </si>
  <si>
    <t>المقاومةو الاعتداء على الموظفين</t>
  </si>
  <si>
    <t>Car Theft /Auto Theft</t>
  </si>
  <si>
    <t>سرقة السيارات</t>
  </si>
  <si>
    <t>Jobbery</t>
  </si>
  <si>
    <t>استثمار الوظيفة</t>
  </si>
  <si>
    <t>Prostitution</t>
  </si>
  <si>
    <t>جرائم البغاء</t>
  </si>
  <si>
    <t>Adultery</t>
  </si>
  <si>
    <t>الزنا</t>
  </si>
  <si>
    <t>Violating The Law of Archaeology</t>
  </si>
  <si>
    <t>مخالفة قانون الآثار</t>
  </si>
  <si>
    <t>Firing Gunshots</t>
  </si>
  <si>
    <t>إطلاق العيارات النارية</t>
  </si>
  <si>
    <t>Gambling</t>
  </si>
  <si>
    <t>المقامرة</t>
  </si>
  <si>
    <t>Relational Sheet</t>
  </si>
  <si>
    <t>Measure_Name_Ar</t>
  </si>
  <si>
    <t>Measure_Name_En</t>
  </si>
  <si>
    <t>Measure_ID</t>
  </si>
  <si>
    <t>Unit_EN</t>
  </si>
  <si>
    <t>Unit_AR</t>
  </si>
  <si>
    <t>CL_KIND_OF_GENERAL_CRIME_EN_V1</t>
  </si>
  <si>
    <t>CL_KIND_OF_GENERAL_CRIME_AR_V1</t>
  </si>
  <si>
    <t>CL_CRIME_DETAILS_EN_V1</t>
  </si>
  <si>
    <t>CL_CRIME_DETAILS_AR_V1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</si>
  <si>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</si>
  <si>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</si>
  <si>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</si>
  <si>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</si>
  <si>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</si>
  <si>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</si>
  <si>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</si>
  <si>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</si>
  <si>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t>Kind of General Crime</t>
  </si>
  <si>
    <t>نوع الجريمة العامة</t>
  </si>
  <si>
    <t xml:space="preserve">Crime details </t>
  </si>
  <si>
    <t>تفاصيل الجريمة</t>
  </si>
  <si>
    <t>قيمة المؤشر</t>
  </si>
  <si>
    <t>سنة فترة القياس</t>
  </si>
  <si>
    <t>شهر فترة القياس</t>
  </si>
  <si>
    <t>الجرائم العامة</t>
  </si>
  <si>
    <t>General Crimes</t>
  </si>
  <si>
    <t>M1</t>
  </si>
  <si>
    <t>Number</t>
  </si>
  <si>
    <t>عدد</t>
  </si>
  <si>
    <t>Date</t>
  </si>
  <si>
    <t>Month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</si>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</sst>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0">
    <font>
      <sz val="11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sz val="16"/>
      <color rgb="FF0776AD"/>
      <name val="Aptos Narrow"/>
      <charset val="134"/>
      <scheme val="minor"/>
    </font>
    <font>
      <sz val="11"/>
      <color rgb="FF000000"/>
      <name val="Calibri"/>
      <charset val="134"/>
    </font>
    <font>
      <sz val="9"/>
      <color theme="1"/>
      <name val="Times New Roman"/>
      <charset val="134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b/>
      <sz val="11"/>
      <color rgb="FF000000"/>
      <name val="Calibri"/>
      <charset val="134"/>
    </font>
    <font>
      <b/>
      <sz val="9"/>
      <color theme="1"/>
      <name val="Times New Roman"/>
      <charset val="134"/>
    </font>
    <font>
      <sz val="16"/>
      <color rgb="FFFFFFFF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Arial"/>
      <charset val="134"/>
    </font>
    <font>
      <b/>
      <sz val="14"/>
      <color indexed="12"/>
      <name val="Arial"/>
      <charset val="134"/>
    </font>
    <font>
      <b/>
      <sz val="12"/>
      <color indexed="12"/>
      <name val="Arial"/>
      <charset val="134"/>
    </font>
    <font>
      <b/>
      <sz val="12"/>
      <name val="Arial"/>
      <charset val="134"/>
    </font>
    <font>
      <b/>
      <sz val="11"/>
      <name val="Arial"/>
      <charset val="134"/>
    </font>
    <font>
      <b/>
      <sz val="8"/>
      <name val="Arial"/>
      <charset val="134"/>
    </font>
    <font>
      <sz val="10"/>
      <color theme="1"/>
      <name val="Arial Unicode MS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899868770409253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</borders>
  <cellStyleXfs count="66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3" fillId="11" borderId="8" applyNumberFormat="0" applyAlignment="0" applyProtection="0">
      <alignment vertical="center"/>
    </xf>
    <xf numFmtId="0" fontId="24" fillId="11" borderId="7" applyNumberFormat="0" applyAlignment="0" applyProtection="0">
      <alignment vertical="center"/>
    </xf>
    <xf numFmtId="0" fontId="25" fillId="12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4" fillId="0" borderId="0">
      <alignment horizontal="centerContinuous" vertical="center"/>
    </xf>
    <xf numFmtId="0" fontId="35" fillId="0" borderId="0">
      <alignment horizontal="centerContinuous" vertical="center"/>
    </xf>
    <xf numFmtId="1" fontId="36" fillId="40" borderId="12">
      <alignment horizontal="center" vertical="center"/>
    </xf>
    <xf numFmtId="0" fontId="37" fillId="40" borderId="12">
      <alignment horizontal="center" vertical="center" wrapText="1"/>
    </xf>
    <xf numFmtId="0" fontId="38" fillId="40" borderId="12">
      <alignment horizontal="center" vertical="center" wrapText="1"/>
    </xf>
    <xf numFmtId="0" fontId="33" fillId="0" borderId="0"/>
    <xf numFmtId="0" fontId="33" fillId="0" borderId="0"/>
    <xf numFmtId="0" fontId="0" fillId="0" borderId="0"/>
    <xf numFmtId="0" fontId="0" fillId="0" borderId="0"/>
    <xf numFmtId="0" fontId="33" fillId="0" borderId="0"/>
    <xf numFmtId="0" fontId="0" fillId="0" borderId="0"/>
    <xf numFmtId="9" fontId="0" fillId="0" borderId="0"/>
    <xf numFmtId="9" fontId="0" fillId="0" borderId="0"/>
    <xf numFmtId="0" fontId="36" fillId="0" borderId="0">
      <alignment horizontal="right" vertical="center"/>
    </xf>
    <xf numFmtId="0" fontId="33" fillId="0" borderId="0">
      <alignment horizontal="left" vertical="center"/>
    </xf>
  </cellStyleXfs>
  <cellXfs count="38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wrapText="1" readingOrder="2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 readingOrder="2"/>
    </xf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5" fillId="3" borderId="0" xfId="0" applyFont="1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readingOrder="2"/>
    </xf>
    <xf numFmtId="0" fontId="8" fillId="0" borderId="0" xfId="0" applyFont="1" applyBorder="1" applyAlignment="1">
      <alignment horizontal="right" vertical="top" readingOrder="2"/>
    </xf>
    <xf numFmtId="3" fontId="8" fillId="0" borderId="0" xfId="0" applyNumberFormat="1" applyFont="1" applyBorder="1" applyAlignment="1">
      <alignment horizontal="right" vertical="top" readingOrder="2"/>
    </xf>
    <xf numFmtId="0" fontId="8" fillId="0" borderId="0" xfId="0" applyFont="1" applyBorder="1" applyAlignment="1">
      <alignment horizontal="right" vertical="top" readingOrder="2"/>
    </xf>
    <xf numFmtId="0" fontId="8" fillId="0" borderId="0" xfId="0" applyFont="1" applyBorder="1" applyAlignment="1">
      <alignment horizontal="right" vertical="top" wrapText="1" readingOrder="2"/>
    </xf>
    <xf numFmtId="3" fontId="8" fillId="0" borderId="0" xfId="0" applyNumberFormat="1" applyFont="1" applyBorder="1" applyAlignment="1">
      <alignment horizontal="right" vertical="top" wrapText="1" readingOrder="2"/>
    </xf>
    <xf numFmtId="0" fontId="8" fillId="0" borderId="0" xfId="0" applyFont="1" applyBorder="1" applyAlignment="1">
      <alignment horizontal="right" vertical="top" wrapText="1" readingOrder="2"/>
    </xf>
    <xf numFmtId="0" fontId="9" fillId="6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1" fillId="8" borderId="1" xfId="56" applyFont="1" applyFill="1" applyBorder="1" applyProtection="1"/>
    <xf numFmtId="0" fontId="12" fillId="0" borderId="1" xfId="0" applyFont="1" applyBorder="1" applyAlignment="1">
      <alignment horizontal="center" vertical="center"/>
    </xf>
    <xf numFmtId="0" fontId="11" fillId="0" borderId="1" xfId="56" applyFont="1" applyFill="1" applyBorder="1" applyProtection="1"/>
    <xf numFmtId="0" fontId="0" fillId="0" borderId="1" xfId="0" applyBorder="1"/>
    <xf numFmtId="0" fontId="13" fillId="3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center" readingOrder="2"/>
    </xf>
    <xf numFmtId="0" fontId="0" fillId="0" borderId="0" xfId="0" applyAlignment="1" quotePrefix="1">
      <alignment horizontal="center"/>
    </xf>
  </cellXfs>
  <cellStyles count="6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‏_x001d_ً'_x000c_ï‏÷_x000c__x001c_" xfId="49"/>
    <cellStyle name="‏_x001d_ً'_x000c_ï‏÷_x000c__x001c_ 2" xfId="50"/>
    <cellStyle name="H1" xfId="51"/>
    <cellStyle name="H2" xfId="52"/>
    <cellStyle name="Had1" xfId="53"/>
    <cellStyle name="Had2" xfId="54"/>
    <cellStyle name="Had3" xfId="55"/>
    <cellStyle name="Normal 2" xfId="56"/>
    <cellStyle name="Normal 3" xfId="57"/>
    <cellStyle name="Normal 4" xfId="58"/>
    <cellStyle name="Normal 4 2" xfId="59"/>
    <cellStyle name="Normal 5" xfId="60"/>
    <cellStyle name="Normal 6" xfId="61"/>
    <cellStyle name="Percent 2" xfId="62"/>
    <cellStyle name="Percent 2 2" xfId="63"/>
    <cellStyle name="T1" xfId="64"/>
    <cellStyle name="T2" xfId="65"/>
  </cellStyles>
  <tableStyles count="0" defaultTableStyle="TableStyleMedium2" defaultPivotStyle="PivotStyleLight16"/>
  <colors>
    <mruColors>
      <color rgb="000776AD"/>
      <color rgb="00BCE7FC"/>
      <color rgb="00098B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4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3" sqref="B3"/>
    </sheetView>
  </sheetViews>
  <sheetFormatPr defaultColWidth="9" defaultRowHeight="14.25" outlineLevelRow="7" outlineLevelCol="1"/>
  <cols>
    <col min="1" max="1" width="32.375" customWidth="1"/>
    <col min="2" max="2" width="115.75" customWidth="1"/>
  </cols>
  <sheetData>
    <row r="1" ht="21" customHeight="1" spans="1:2">
      <c r="A1" s="33" t="s">
        <v>0</v>
      </c>
      <c r="B1" s="34" t="s">
        <v>1</v>
      </c>
    </row>
    <row r="2" ht="21" customHeight="1" spans="1:2">
      <c r="A2" s="33" t="s">
        <v>2</v>
      </c>
      <c r="B2" s="34" t="s">
        <v>3</v>
      </c>
    </row>
    <row r="3" ht="21" customHeight="1" spans="1:2">
      <c r="A3" s="33" t="s">
        <v>4</v>
      </c>
      <c r="B3" s="35" t="s">
        <v>5</v>
      </c>
    </row>
    <row r="4" ht="21" customHeight="1" spans="1:2">
      <c r="A4" s="33" t="s">
        <v>6</v>
      </c>
      <c r="B4" s="36" t="s">
        <v>7</v>
      </c>
    </row>
    <row r="5" ht="21" customHeight="1" spans="1:2">
      <c r="A5" s="33" t="s">
        <v>8</v>
      </c>
      <c r="B5" s="37" t="s">
        <v>9</v>
      </c>
    </row>
    <row r="6" ht="21" customHeight="1" spans="1:2">
      <c r="A6" s="33" t="s">
        <v>10</v>
      </c>
      <c r="B6" s="37" t="s">
        <v>11</v>
      </c>
    </row>
    <row r="7" ht="21" customHeight="1" spans="1:2">
      <c r="A7" s="33" t="s">
        <v>12</v>
      </c>
      <c r="B7" s="34" t="s">
        <v>13</v>
      </c>
    </row>
    <row r="8" ht="21" customHeight="1" spans="1:2">
      <c r="A8" s="33" t="s">
        <v>14</v>
      </c>
      <c r="B8" s="34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31"/>
  <sheetViews>
    <sheetView view="pageBreakPreview" zoomScale="80" zoomScaleNormal="100" topLeftCell="A3" workbookViewId="0">
      <selection activeCell="C6" sqref="C6"/>
    </sheetView>
  </sheetViews>
  <sheetFormatPr defaultColWidth="16.75" defaultRowHeight="14.25" outlineLevelCol="4"/>
  <cols>
    <col min="1" max="1" width="19.5" customWidth="1"/>
    <col min="2" max="2" width="58.125" customWidth="1"/>
    <col min="3" max="3" width="17.25" customWidth="1"/>
    <col min="4" max="4" width="38" customWidth="1"/>
    <col min="5" max="5" width="24" customWidth="1"/>
  </cols>
  <sheetData>
    <row r="2" ht="28.15" customHeight="1" spans="1:5">
      <c r="A2" s="24" t="str">
        <f>'Cover Page'!B4</f>
        <v>General Crimes by Kind of Crime</v>
      </c>
      <c r="B2" s="24"/>
      <c r="C2" s="24"/>
      <c r="D2" s="24"/>
      <c r="E2" s="24"/>
    </row>
    <row r="3" ht="28.15" customHeight="1" spans="1:5">
      <c r="A3" s="24" t="str">
        <f>'Cover Page'!B3</f>
        <v>الجرائم العامة حسب نوع الجريمة</v>
      </c>
      <c r="B3" s="24"/>
      <c r="C3" s="24"/>
      <c r="D3" s="24"/>
      <c r="E3" s="24"/>
    </row>
    <row r="4" ht="28.15" customHeight="1" spans="1:5">
      <c r="A4" s="25" t="s">
        <v>16</v>
      </c>
      <c r="B4" s="25"/>
      <c r="C4" s="26">
        <f>YEAR('Template Data'!B1)</f>
        <v>2024</v>
      </c>
      <c r="D4" s="25" t="s">
        <v>17</v>
      </c>
      <c r="E4" s="25"/>
    </row>
    <row r="5" ht="22.15" customHeight="1" spans="1:5">
      <c r="A5" s="27" t="s">
        <v>18</v>
      </c>
      <c r="B5" s="28"/>
      <c r="C5" s="29"/>
      <c r="D5" s="27" t="s">
        <v>19</v>
      </c>
      <c r="E5" s="28"/>
    </row>
    <row r="6" ht="22.15" customHeight="1" spans="1:5">
      <c r="A6" s="30" t="s">
        <v>20</v>
      </c>
      <c r="B6" s="25" t="s">
        <v>21</v>
      </c>
      <c r="C6" s="31"/>
      <c r="D6" s="25" t="s">
        <v>22</v>
      </c>
      <c r="E6" s="30" t="s">
        <v>23</v>
      </c>
    </row>
    <row r="7" ht="18" spans="1:5">
      <c r="A7" s="30"/>
      <c r="B7" s="25" t="s">
        <v>24</v>
      </c>
      <c r="C7" s="32"/>
      <c r="D7" s="25" t="s">
        <v>25</v>
      </c>
      <c r="E7" s="30"/>
    </row>
    <row r="8" ht="18" spans="1:5">
      <c r="A8" s="30"/>
      <c r="B8" s="25" t="s">
        <v>26</v>
      </c>
      <c r="C8" s="32"/>
      <c r="D8" s="25" t="s">
        <v>27</v>
      </c>
      <c r="E8" s="30"/>
    </row>
    <row r="9" ht="18" spans="1:5">
      <c r="A9" s="30"/>
      <c r="B9" s="25" t="s">
        <v>28</v>
      </c>
      <c r="C9" s="32"/>
      <c r="D9" s="25" t="s">
        <v>29</v>
      </c>
      <c r="E9" s="30"/>
    </row>
    <row r="10" ht="18" spans="1:5">
      <c r="A10" s="30"/>
      <c r="B10" s="25" t="s">
        <v>30</v>
      </c>
      <c r="C10" s="32"/>
      <c r="D10" s="25" t="s">
        <v>31</v>
      </c>
      <c r="E10" s="30"/>
    </row>
    <row r="11" ht="18" spans="1:5">
      <c r="A11" s="30"/>
      <c r="B11" s="25" t="s">
        <v>32</v>
      </c>
      <c r="C11" s="32"/>
      <c r="D11" s="25" t="s">
        <v>33</v>
      </c>
      <c r="E11" s="30"/>
    </row>
    <row r="12" ht="18" spans="1:5">
      <c r="A12" s="30"/>
      <c r="B12" s="25" t="s">
        <v>34</v>
      </c>
      <c r="C12" s="32"/>
      <c r="D12" s="25" t="s">
        <v>35</v>
      </c>
      <c r="E12" s="30"/>
    </row>
    <row r="13" ht="18" spans="1:5">
      <c r="A13" s="30"/>
      <c r="B13" s="25" t="s">
        <v>36</v>
      </c>
      <c r="C13" s="32"/>
      <c r="D13" s="25" t="s">
        <v>37</v>
      </c>
      <c r="E13" s="30"/>
    </row>
    <row r="14" ht="18" spans="1:5">
      <c r="A14" s="30"/>
      <c r="B14" s="25" t="s">
        <v>38</v>
      </c>
      <c r="C14" s="32"/>
      <c r="D14" s="25" t="s">
        <v>39</v>
      </c>
      <c r="E14" s="30"/>
    </row>
    <row r="15" ht="18" spans="1:5">
      <c r="A15" s="30"/>
      <c r="B15" s="25" t="s">
        <v>40</v>
      </c>
      <c r="C15" s="32"/>
      <c r="D15" s="25" t="s">
        <v>41</v>
      </c>
      <c r="E15" s="30"/>
    </row>
    <row r="16" ht="18" spans="1:5">
      <c r="A16" s="30"/>
      <c r="B16" s="25" t="s">
        <v>42</v>
      </c>
      <c r="C16" s="32"/>
      <c r="D16" s="25" t="s">
        <v>43</v>
      </c>
      <c r="E16" s="30"/>
    </row>
    <row r="17" ht="18" spans="1:5">
      <c r="A17" s="30"/>
      <c r="B17" s="25" t="s">
        <v>44</v>
      </c>
      <c r="C17" s="32"/>
      <c r="D17" s="25" t="s">
        <v>45</v>
      </c>
      <c r="E17" s="30"/>
    </row>
    <row r="18" ht="18" spans="1:5">
      <c r="A18" s="30"/>
      <c r="B18" s="25" t="s">
        <v>46</v>
      </c>
      <c r="C18" s="32"/>
      <c r="D18" s="25" t="s">
        <v>47</v>
      </c>
      <c r="E18" s="30"/>
    </row>
    <row r="19" ht="18" spans="1:5">
      <c r="A19" s="30"/>
      <c r="B19" s="25" t="s">
        <v>48</v>
      </c>
      <c r="C19" s="32"/>
      <c r="D19" s="25" t="s">
        <v>49</v>
      </c>
      <c r="E19" s="30"/>
    </row>
    <row r="20" ht="18" spans="1:5">
      <c r="A20" s="30" t="s">
        <v>50</v>
      </c>
      <c r="B20" s="25" t="s">
        <v>51</v>
      </c>
      <c r="C20" s="32"/>
      <c r="D20" s="25" t="s">
        <v>52</v>
      </c>
      <c r="E20" s="30" t="s">
        <v>53</v>
      </c>
    </row>
    <row r="21" ht="18" spans="1:5">
      <c r="A21" s="30"/>
      <c r="B21" s="25" t="s">
        <v>54</v>
      </c>
      <c r="C21" s="32"/>
      <c r="D21" s="25" t="s">
        <v>55</v>
      </c>
      <c r="E21" s="30"/>
    </row>
    <row r="22" ht="18" spans="1:5">
      <c r="A22" s="30"/>
      <c r="B22" s="25" t="s">
        <v>56</v>
      </c>
      <c r="C22" s="32"/>
      <c r="D22" s="25" t="s">
        <v>57</v>
      </c>
      <c r="E22" s="30"/>
    </row>
    <row r="23" ht="18" spans="1:5">
      <c r="A23" s="30"/>
      <c r="B23" s="25" t="s">
        <v>58</v>
      </c>
      <c r="C23" s="32"/>
      <c r="D23" s="25" t="s">
        <v>59</v>
      </c>
      <c r="E23" s="30"/>
    </row>
    <row r="24" ht="18" spans="1:5">
      <c r="A24" s="30"/>
      <c r="B24" s="25" t="s">
        <v>60</v>
      </c>
      <c r="C24" s="32"/>
      <c r="D24" s="25" t="s">
        <v>61</v>
      </c>
      <c r="E24" s="30"/>
    </row>
    <row r="25" ht="18" spans="1:5">
      <c r="A25" s="30"/>
      <c r="B25" s="25" t="s">
        <v>62</v>
      </c>
      <c r="C25" s="32"/>
      <c r="D25" s="25" t="s">
        <v>63</v>
      </c>
      <c r="E25" s="30"/>
    </row>
    <row r="26" ht="18" spans="1:5">
      <c r="A26" s="30"/>
      <c r="B26" s="25" t="s">
        <v>64</v>
      </c>
      <c r="C26" s="32"/>
      <c r="D26" s="25" t="s">
        <v>65</v>
      </c>
      <c r="E26" s="30"/>
    </row>
    <row r="27" ht="18" spans="1:5">
      <c r="A27" s="30"/>
      <c r="B27" s="25" t="s">
        <v>66</v>
      </c>
      <c r="C27" s="32"/>
      <c r="D27" s="25" t="s">
        <v>67</v>
      </c>
      <c r="E27" s="30"/>
    </row>
    <row r="28" ht="18" spans="1:5">
      <c r="A28" s="30"/>
      <c r="B28" s="25" t="s">
        <v>68</v>
      </c>
      <c r="C28" s="32"/>
      <c r="D28" s="25" t="s">
        <v>69</v>
      </c>
      <c r="E28" s="30"/>
    </row>
    <row r="29" ht="18" spans="1:5">
      <c r="A29" s="30"/>
      <c r="B29" s="25" t="s">
        <v>70</v>
      </c>
      <c r="C29" s="32"/>
      <c r="D29" s="25" t="s">
        <v>71</v>
      </c>
      <c r="E29" s="30"/>
    </row>
    <row r="30" ht="18" spans="1:5">
      <c r="A30" s="30"/>
      <c r="B30" s="25" t="s">
        <v>72</v>
      </c>
      <c r="C30" s="32"/>
      <c r="D30" s="25" t="s">
        <v>73</v>
      </c>
      <c r="E30" s="30"/>
    </row>
    <row r="31" ht="18" spans="1:5">
      <c r="A31" s="30"/>
      <c r="B31" s="25" t="s">
        <v>74</v>
      </c>
      <c r="C31" s="32"/>
      <c r="D31" s="25" t="s">
        <v>75</v>
      </c>
      <c r="E31" s="30"/>
    </row>
  </sheetData>
  <sheetProtection password="DEF8" sheet="1" objects="1" scenarios="1"/>
  <protectedRanges>
    <protectedRange sqref="C6:C31" name="Range3"/>
    <protectedRange sqref="C6" name="Range1"/>
    <protectedRange sqref="C6:C31" name="Range2"/>
  </protectedRanges>
  <mergeCells count="10">
    <mergeCell ref="A2:E2"/>
    <mergeCell ref="A3:E3"/>
    <mergeCell ref="A4:B4"/>
    <mergeCell ref="D4:E4"/>
    <mergeCell ref="A5:B5"/>
    <mergeCell ref="D5:E5"/>
    <mergeCell ref="A6:A19"/>
    <mergeCell ref="A20:A31"/>
    <mergeCell ref="E6:E19"/>
    <mergeCell ref="E20:E31"/>
  </mergeCells>
  <pageMargins left="0.7" right="0.7" top="0.75" bottom="0.75" header="0.3" footer="0.3"/>
  <pageSetup paperSize="1" scale="3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9"/>
  <sheetViews>
    <sheetView tabSelected="1" zoomScale="70" zoomScaleNormal="70" topLeftCell="A96" workbookViewId="0">
      <selection activeCell="J110" sqref="J110"/>
    </sheetView>
  </sheetViews>
  <sheetFormatPr defaultColWidth="9" defaultRowHeight="14.25"/>
  <cols>
    <col min="1" max="1" width="24.75" customWidth="1"/>
    <col min="2" max="2" width="51.125" customWidth="1"/>
    <col min="3" max="3" width="9.75" customWidth="1"/>
    <col min="4" max="9" width="18.125" customWidth="1"/>
    <col min="10" max="12" width="15.375" customWidth="1"/>
  </cols>
  <sheetData>
    <row r="1" ht="20.25" spans="1:1">
      <c r="A1" s="15" t="s">
        <v>76</v>
      </c>
    </row>
    <row r="2" s="10" customFormat="1" ht="18" customHeight="1" spans="1:12">
      <c r="A2" s="13" t="s">
        <v>77</v>
      </c>
      <c r="B2" s="13" t="s">
        <v>78</v>
      </c>
      <c r="C2" s="13" t="s">
        <v>79</v>
      </c>
      <c r="D2" s="13" t="s">
        <v>80</v>
      </c>
      <c r="E2" s="13" t="s">
        <v>81</v>
      </c>
      <c r="F2" s="14" t="s">
        <v>82</v>
      </c>
      <c r="G2" s="14" t="s">
        <v>83</v>
      </c>
      <c r="H2" s="14" t="s">
        <v>84</v>
      </c>
      <c r="I2" s="14" t="s">
        <v>85</v>
      </c>
      <c r="J2" s="13" t="s">
        <v>86</v>
      </c>
      <c r="K2" s="13" t="s">
        <v>87</v>
      </c>
      <c r="L2" s="13" t="s">
        <v>88</v>
      </c>
    </row>
    <row r="3" s="10" customFormat="1" ht="18" customHeight="1" spans="1:12">
      <c r="A3" s="13" t="s">
        <v>89</v>
      </c>
      <c r="B3" s="13" t="s">
        <v>90</v>
      </c>
      <c r="C3" s="13" t="s">
        <v>91</v>
      </c>
      <c r="D3" s="13" t="s">
        <v>92</v>
      </c>
      <c r="E3" s="13" t="s">
        <v>93</v>
      </c>
      <c r="F3" s="14" t="s">
        <v>94</v>
      </c>
      <c r="G3" s="14" t="s">
        <v>95</v>
      </c>
      <c r="H3" s="14" t="s">
        <v>96</v>
      </c>
      <c r="I3" s="14" t="s">
        <v>97</v>
      </c>
      <c r="J3" s="13" t="s">
        <v>98</v>
      </c>
      <c r="K3" s="13" t="s">
        <v>99</v>
      </c>
      <c r="L3" s="13" t="s">
        <v>100</v>
      </c>
    </row>
    <row r="4" ht="15" spans="1:11">
      <c r="A4" t="s">
        <v>101</v>
      </c>
      <c r="B4" t="s">
        <v>102</v>
      </c>
      <c r="C4" s="16" t="s">
        <v>103</v>
      </c>
      <c r="D4" s="38" t="s">
        <v>104</v>
      </c>
      <c r="E4" s="17" t="s">
        <v>105</v>
      </c>
      <c r="F4" s="17" t="str">
        <f>'Source Table'!$A$6</f>
        <v>Felony Crimes</v>
      </c>
      <c r="G4" t="str">
        <f>'Source Table'!$E$6</f>
        <v>الجرائم الجنائية</v>
      </c>
      <c r="H4" t="str">
        <f>'Source Table'!$B$6</f>
        <v>Attempted Murder</v>
      </c>
      <c r="I4" t="str">
        <f>'Source Table'!$D$6</f>
        <v>الشروع بالقتل</v>
      </c>
      <c r="J4" s="18">
        <v>314</v>
      </c>
      <c r="K4">
        <v>2023</v>
      </c>
    </row>
    <row r="5" ht="15" spans="1:11">
      <c r="A5" t="s">
        <v>101</v>
      </c>
      <c r="B5" t="s">
        <v>102</v>
      </c>
      <c r="C5" s="16" t="s">
        <v>103</v>
      </c>
      <c r="D5" s="38" t="s">
        <v>104</v>
      </c>
      <c r="E5" s="17" t="s">
        <v>105</v>
      </c>
      <c r="F5" s="17" t="str">
        <f>'Source Table'!$A$6</f>
        <v>Felony Crimes</v>
      </c>
      <c r="G5" t="str">
        <f>'Source Table'!$E$6</f>
        <v>الجرائم الجنائية</v>
      </c>
      <c r="H5" t="str">
        <f>'Source Table'!$B$7</f>
        <v>premeditated Murder</v>
      </c>
      <c r="I5" t="str">
        <f>'Source Table'!$D$7</f>
        <v>القتل العمد</v>
      </c>
      <c r="J5" s="18">
        <v>56</v>
      </c>
      <c r="K5">
        <v>2023</v>
      </c>
    </row>
    <row r="6" ht="15" spans="1:11">
      <c r="A6" t="s">
        <v>101</v>
      </c>
      <c r="B6" t="s">
        <v>102</v>
      </c>
      <c r="C6" s="16" t="s">
        <v>103</v>
      </c>
      <c r="D6" s="38" t="s">
        <v>104</v>
      </c>
      <c r="E6" s="17" t="s">
        <v>105</v>
      </c>
      <c r="F6" s="17" t="str">
        <f>'Source Table'!$A$6</f>
        <v>Felony Crimes</v>
      </c>
      <c r="G6" t="str">
        <f>'Source Table'!$E$6</f>
        <v>الجرائم الجنائية</v>
      </c>
      <c r="H6" t="str">
        <f>'Source Table'!$B$8</f>
        <v>Murder</v>
      </c>
      <c r="I6" t="str">
        <f>'Source Table'!$D$8</f>
        <v>القتل القصد</v>
      </c>
      <c r="J6" s="18">
        <v>47</v>
      </c>
      <c r="K6">
        <v>2023</v>
      </c>
    </row>
    <row r="7" ht="15" spans="1:11">
      <c r="A7" t="s">
        <v>101</v>
      </c>
      <c r="B7" t="s">
        <v>102</v>
      </c>
      <c r="C7" s="16" t="s">
        <v>103</v>
      </c>
      <c r="D7" s="38" t="s">
        <v>104</v>
      </c>
      <c r="E7" s="17" t="s">
        <v>105</v>
      </c>
      <c r="F7" s="17" t="str">
        <f>'Source Table'!$A$6</f>
        <v>Felony Crimes</v>
      </c>
      <c r="G7" t="str">
        <f>'Source Table'!$E$6</f>
        <v>الجرائم الجنائية</v>
      </c>
      <c r="H7" t="str">
        <f>'Source Table'!$B$9</f>
        <v>Beating Leading to Death</v>
      </c>
      <c r="I7" t="str">
        <f>'Source Table'!$D$9</f>
        <v>الضرب المفضي إلى الموت</v>
      </c>
      <c r="J7" s="18">
        <v>2</v>
      </c>
      <c r="K7">
        <v>2023</v>
      </c>
    </row>
    <row r="8" ht="15" spans="1:11">
      <c r="A8" t="s">
        <v>101</v>
      </c>
      <c r="B8" t="s">
        <v>102</v>
      </c>
      <c r="C8" s="16" t="s">
        <v>103</v>
      </c>
      <c r="D8" s="38" t="s">
        <v>104</v>
      </c>
      <c r="E8" s="17" t="s">
        <v>105</v>
      </c>
      <c r="F8" s="17" t="str">
        <f>'Source Table'!$A$6</f>
        <v>Felony Crimes</v>
      </c>
      <c r="G8" t="str">
        <f>'Source Table'!$E$6</f>
        <v>الجرائم الجنائية</v>
      </c>
      <c r="H8" t="str">
        <f>'Source Table'!$B$10</f>
        <v>Criminal Theft</v>
      </c>
      <c r="I8" t="str">
        <f>'Source Table'!$D$10</f>
        <v>السرقة الجنائية</v>
      </c>
      <c r="J8" s="19">
        <v>2848</v>
      </c>
      <c r="K8">
        <v>2023</v>
      </c>
    </row>
    <row r="9" ht="15" spans="1:11">
      <c r="A9" t="s">
        <v>101</v>
      </c>
      <c r="B9" t="s">
        <v>102</v>
      </c>
      <c r="C9" s="16" t="s">
        <v>103</v>
      </c>
      <c r="D9" s="38" t="s">
        <v>104</v>
      </c>
      <c r="E9" s="17" t="s">
        <v>105</v>
      </c>
      <c r="F9" s="17" t="str">
        <f>'Source Table'!$A$6</f>
        <v>Felony Crimes</v>
      </c>
      <c r="G9" t="str">
        <f>'Source Table'!$E$6</f>
        <v>الجرائم الجنائية</v>
      </c>
      <c r="H9" t="str">
        <f>'Source Table'!$B$11</f>
        <v>Kidnapping</v>
      </c>
      <c r="I9" t="str">
        <f>'Source Table'!$D$11</f>
        <v>الخطف</v>
      </c>
      <c r="J9" s="18">
        <v>151</v>
      </c>
      <c r="K9">
        <v>2023</v>
      </c>
    </row>
    <row r="10" ht="15" spans="1:11">
      <c r="A10" t="s">
        <v>101</v>
      </c>
      <c r="B10" t="s">
        <v>102</v>
      </c>
      <c r="C10" s="16" t="s">
        <v>103</v>
      </c>
      <c r="D10" s="38" t="s">
        <v>104</v>
      </c>
      <c r="E10" s="17" t="s">
        <v>105</v>
      </c>
      <c r="F10" s="17" t="str">
        <f>'Source Table'!$A$6</f>
        <v>Felony Crimes</v>
      </c>
      <c r="G10" t="str">
        <f>'Source Table'!$E$6</f>
        <v>الجرائم الجنائية</v>
      </c>
      <c r="H10" t="str">
        <f>'Source Table'!$B$12</f>
        <v>Sexual Abuse</v>
      </c>
      <c r="I10" t="str">
        <f>'Source Table'!$D$12</f>
        <v>هـتك العرض</v>
      </c>
      <c r="J10" s="18">
        <v>931</v>
      </c>
      <c r="K10">
        <v>2023</v>
      </c>
    </row>
    <row r="11" ht="15" spans="1:11">
      <c r="A11" t="s">
        <v>101</v>
      </c>
      <c r="B11" t="s">
        <v>102</v>
      </c>
      <c r="C11" s="16" t="s">
        <v>103</v>
      </c>
      <c r="D11" s="38" t="s">
        <v>104</v>
      </c>
      <c r="E11" s="17" t="s">
        <v>105</v>
      </c>
      <c r="F11" s="17" t="str">
        <f>'Source Table'!$A$6</f>
        <v>Felony Crimes</v>
      </c>
      <c r="G11" t="str">
        <f>'Source Table'!$E$6</f>
        <v>الجرائم الجنائية</v>
      </c>
      <c r="H11" t="str">
        <f>'Source Table'!$B$13</f>
        <v>Forgery</v>
      </c>
      <c r="I11" t="str">
        <f>'Source Table'!$D$13</f>
        <v>التزوير الجنائي</v>
      </c>
      <c r="J11" s="18">
        <v>158</v>
      </c>
      <c r="K11">
        <v>2023</v>
      </c>
    </row>
    <row r="12" ht="15" spans="1:11">
      <c r="A12" t="s">
        <v>101</v>
      </c>
      <c r="B12" t="s">
        <v>102</v>
      </c>
      <c r="C12" s="16" t="s">
        <v>103</v>
      </c>
      <c r="D12" s="38" t="s">
        <v>104</v>
      </c>
      <c r="E12" s="17" t="s">
        <v>105</v>
      </c>
      <c r="F12" s="17" t="str">
        <f>'Source Table'!$A$6</f>
        <v>Felony Crimes</v>
      </c>
      <c r="G12" t="str">
        <f>'Source Table'!$E$6</f>
        <v>الجرائم الجنائية</v>
      </c>
      <c r="H12" t="str">
        <f>'Source Table'!$B$14</f>
        <v>Currency Counterfeit</v>
      </c>
      <c r="I12" t="str">
        <f>'Source Table'!$D$14</f>
        <v>تزييف النقد</v>
      </c>
      <c r="J12" s="18">
        <v>177</v>
      </c>
      <c r="K12">
        <v>2023</v>
      </c>
    </row>
    <row r="13" ht="15" spans="1:11">
      <c r="A13" t="s">
        <v>101</v>
      </c>
      <c r="B13" t="s">
        <v>102</v>
      </c>
      <c r="C13" s="16" t="s">
        <v>103</v>
      </c>
      <c r="D13" s="38" t="s">
        <v>104</v>
      </c>
      <c r="E13" s="17" t="s">
        <v>105</v>
      </c>
      <c r="F13" s="17" t="str">
        <f>'Source Table'!$A$6</f>
        <v>Felony Crimes</v>
      </c>
      <c r="G13" t="str">
        <f>'Source Table'!$E$6</f>
        <v>الجرائم الجنائية</v>
      </c>
      <c r="H13" t="str">
        <f>'Source Table'!$B$15</f>
        <v>Aggravated Assault</v>
      </c>
      <c r="I13" t="str">
        <f>'Source Table'!$D$15</f>
        <v>الإيذاء البليغ</v>
      </c>
      <c r="J13" s="18">
        <v>772</v>
      </c>
      <c r="K13">
        <v>2023</v>
      </c>
    </row>
    <row r="14" ht="15" spans="1:11">
      <c r="A14" t="s">
        <v>101</v>
      </c>
      <c r="B14" t="s">
        <v>102</v>
      </c>
      <c r="C14" s="16" t="s">
        <v>103</v>
      </c>
      <c r="D14" s="38" t="s">
        <v>104</v>
      </c>
      <c r="E14" s="17" t="s">
        <v>105</v>
      </c>
      <c r="F14" s="17" t="str">
        <f>'Source Table'!$A$6</f>
        <v>Felony Crimes</v>
      </c>
      <c r="G14" t="str">
        <f>'Source Table'!$E$6</f>
        <v>الجرائم الجنائية</v>
      </c>
      <c r="H14" t="str">
        <f>'Source Table'!$B$16</f>
        <v>Bribery</v>
      </c>
      <c r="I14" t="str">
        <f>'Source Table'!$D$16</f>
        <v>الرشوة</v>
      </c>
      <c r="J14" s="18">
        <v>90</v>
      </c>
      <c r="K14">
        <v>2023</v>
      </c>
    </row>
    <row r="15" ht="15" spans="1:11">
      <c r="A15" t="s">
        <v>101</v>
      </c>
      <c r="B15" t="s">
        <v>102</v>
      </c>
      <c r="C15" s="16" t="s">
        <v>103</v>
      </c>
      <c r="D15" s="38" t="s">
        <v>104</v>
      </c>
      <c r="E15" s="17" t="s">
        <v>105</v>
      </c>
      <c r="F15" s="17" t="str">
        <f>'Source Table'!$A$6</f>
        <v>Felony Crimes</v>
      </c>
      <c r="G15" t="str">
        <f>'Source Table'!$E$6</f>
        <v>الجرائم الجنائية</v>
      </c>
      <c r="H15" t="str">
        <f>'Source Table'!$B$17</f>
        <v>Criminal Conspiracy</v>
      </c>
      <c r="I15" t="str">
        <f>'Source Table'!$D$17</f>
        <v>الإتفاق الجنائي</v>
      </c>
      <c r="J15" s="18">
        <v>7</v>
      </c>
      <c r="K15">
        <v>2023</v>
      </c>
    </row>
    <row r="16" ht="15" spans="1:11">
      <c r="A16" t="s">
        <v>101</v>
      </c>
      <c r="B16" t="s">
        <v>102</v>
      </c>
      <c r="C16" s="16" t="s">
        <v>103</v>
      </c>
      <c r="D16" s="38" t="s">
        <v>104</v>
      </c>
      <c r="E16" s="17" t="s">
        <v>105</v>
      </c>
      <c r="F16" s="17" t="str">
        <f>'Source Table'!$A$6</f>
        <v>Felony Crimes</v>
      </c>
      <c r="G16" t="str">
        <f>'Source Table'!$E$6</f>
        <v>الجرائم الجنائية</v>
      </c>
      <c r="H16" t="str">
        <f>'Source Table'!$B$18</f>
        <v>Abortion</v>
      </c>
      <c r="I16" t="str">
        <f>'Source Table'!$D$18</f>
        <v>الإجهاض</v>
      </c>
      <c r="J16" s="18">
        <v>22</v>
      </c>
      <c r="K16">
        <v>2023</v>
      </c>
    </row>
    <row r="17" ht="15" spans="1:11">
      <c r="A17" t="s">
        <v>101</v>
      </c>
      <c r="B17" t="s">
        <v>102</v>
      </c>
      <c r="C17" s="16" t="s">
        <v>103</v>
      </c>
      <c r="D17" s="38" t="s">
        <v>104</v>
      </c>
      <c r="E17" s="17" t="s">
        <v>105</v>
      </c>
      <c r="F17" s="17" t="str">
        <f>'Source Table'!$A$6</f>
        <v>Felony Crimes</v>
      </c>
      <c r="G17" t="str">
        <f>'Source Table'!$E$6</f>
        <v>الجرائم الجنائية</v>
      </c>
      <c r="H17" t="str">
        <f>'Source Table'!$B$19</f>
        <v>Embezzlement</v>
      </c>
      <c r="I17" t="str">
        <f>'Source Table'!$D$19</f>
        <v>الاختلاس</v>
      </c>
      <c r="J17" s="18">
        <v>4</v>
      </c>
      <c r="K17">
        <v>2023</v>
      </c>
    </row>
    <row r="18" ht="15" spans="1:11">
      <c r="A18" t="s">
        <v>101</v>
      </c>
      <c r="B18" t="s">
        <v>102</v>
      </c>
      <c r="C18" s="16" t="s">
        <v>103</v>
      </c>
      <c r="D18" s="38" t="s">
        <v>104</v>
      </c>
      <c r="E18" s="17" t="s">
        <v>105</v>
      </c>
      <c r="F18" s="17" t="str">
        <f>'Source Table'!$A$20</f>
        <v>Misdemeanor Crimes</v>
      </c>
      <c r="G18" t="str">
        <f>'Source Table'!$E$20</f>
        <v>الجرائم الجنحوية</v>
      </c>
      <c r="H18" s="17" t="str">
        <f>'Source Table'!$B$20</f>
        <v>Manslaughter</v>
      </c>
      <c r="I18" s="17" t="str">
        <f>'Source Table'!$D$20</f>
        <v>القتل من غير قصد(القتل الخطأ)</v>
      </c>
      <c r="J18" s="18">
        <v>46</v>
      </c>
      <c r="K18">
        <v>2023</v>
      </c>
    </row>
    <row r="19" ht="15" spans="1:11">
      <c r="A19" t="s">
        <v>101</v>
      </c>
      <c r="B19" t="s">
        <v>102</v>
      </c>
      <c r="C19" s="16" t="s">
        <v>103</v>
      </c>
      <c r="D19" s="38" t="s">
        <v>104</v>
      </c>
      <c r="E19" s="17" t="s">
        <v>105</v>
      </c>
      <c r="F19" s="17" t="str">
        <f>'Source Table'!$A$20</f>
        <v>Misdemeanor Crimes</v>
      </c>
      <c r="G19" t="str">
        <f>'Source Table'!$E$20</f>
        <v>الجرائم الجنحوية</v>
      </c>
      <c r="H19" s="17" t="str">
        <f>'Source Table'!$B$21</f>
        <v>Misdemeanor Theft</v>
      </c>
      <c r="I19" s="17" t="str">
        <f>'Source Table'!$D$21</f>
        <v>السرقة الجنحوية</v>
      </c>
      <c r="J19" s="19">
        <v>7873</v>
      </c>
      <c r="K19">
        <v>2023</v>
      </c>
    </row>
    <row r="20" ht="15" spans="1:11">
      <c r="A20" t="s">
        <v>101</v>
      </c>
      <c r="B20" t="s">
        <v>102</v>
      </c>
      <c r="C20" s="16" t="s">
        <v>103</v>
      </c>
      <c r="D20" s="38" t="s">
        <v>104</v>
      </c>
      <c r="E20" s="17" t="s">
        <v>105</v>
      </c>
      <c r="F20" s="17" t="str">
        <f>'Source Table'!$A$20</f>
        <v>Misdemeanor Crimes</v>
      </c>
      <c r="G20" t="str">
        <f>'Source Table'!$E$20</f>
        <v>الجرائم الجنحوية</v>
      </c>
      <c r="H20" s="17" t="str">
        <f>'Source Table'!$B$22</f>
        <v>Fraud</v>
      </c>
      <c r="I20" s="17" t="str">
        <f>'Source Table'!$D$22</f>
        <v>الاحتيال</v>
      </c>
      <c r="J20" s="19">
        <v>3828</v>
      </c>
      <c r="K20">
        <v>2023</v>
      </c>
    </row>
    <row r="21" ht="15" spans="1:11">
      <c r="A21" t="s">
        <v>101</v>
      </c>
      <c r="B21" t="s">
        <v>102</v>
      </c>
      <c r="C21" s="16" t="s">
        <v>103</v>
      </c>
      <c r="D21" s="38" t="s">
        <v>104</v>
      </c>
      <c r="E21" s="17" t="s">
        <v>105</v>
      </c>
      <c r="F21" s="17" t="str">
        <f>'Source Table'!$A$20</f>
        <v>Misdemeanor Crimes</v>
      </c>
      <c r="G21" t="str">
        <f>'Source Table'!$E$20</f>
        <v>الجرائم الجنحوية</v>
      </c>
      <c r="H21" s="17" t="str">
        <f>'Source Table'!$B$23</f>
        <v>Attempted Theft</v>
      </c>
      <c r="I21" s="17" t="str">
        <f>'Source Table'!$D$23</f>
        <v>الشروع بالسرقة</v>
      </c>
      <c r="J21" s="18">
        <v>360</v>
      </c>
      <c r="K21">
        <v>2023</v>
      </c>
    </row>
    <row r="22" ht="15" spans="1:11">
      <c r="A22" t="s">
        <v>101</v>
      </c>
      <c r="B22" t="s">
        <v>102</v>
      </c>
      <c r="C22" s="16" t="s">
        <v>103</v>
      </c>
      <c r="D22" s="38" t="s">
        <v>104</v>
      </c>
      <c r="E22" s="17" t="s">
        <v>105</v>
      </c>
      <c r="F22" s="17" t="str">
        <f>'Source Table'!$A$20</f>
        <v>Misdemeanor Crimes</v>
      </c>
      <c r="G22" t="str">
        <f>'Source Table'!$E$20</f>
        <v>الجرائم الجنحوية</v>
      </c>
      <c r="H22" s="17" t="str">
        <f>'Source Table'!$B$24</f>
        <v>Resisting &amp; Assaulting Public Employees</v>
      </c>
      <c r="I22" s="17" t="str">
        <f>'Source Table'!$D$24</f>
        <v>المقاومةو الاعتداء على الموظفين</v>
      </c>
      <c r="J22" s="19">
        <v>2529</v>
      </c>
      <c r="K22">
        <v>2023</v>
      </c>
    </row>
    <row r="23" ht="15" spans="1:11">
      <c r="A23" t="s">
        <v>101</v>
      </c>
      <c r="B23" t="s">
        <v>102</v>
      </c>
      <c r="C23" s="16" t="s">
        <v>103</v>
      </c>
      <c r="D23" s="38" t="s">
        <v>104</v>
      </c>
      <c r="E23" s="17" t="s">
        <v>105</v>
      </c>
      <c r="F23" s="17" t="str">
        <f>'Source Table'!$A$20</f>
        <v>Misdemeanor Crimes</v>
      </c>
      <c r="G23" t="str">
        <f>'Source Table'!$E$20</f>
        <v>الجرائم الجنحوية</v>
      </c>
      <c r="H23" s="17" t="str">
        <f>'Source Table'!$B$25</f>
        <v>Car Theft /Auto Theft</v>
      </c>
      <c r="I23" s="17" t="str">
        <f>'Source Table'!$D$25</f>
        <v>سرقة السيارات</v>
      </c>
      <c r="J23" s="18">
        <v>367</v>
      </c>
      <c r="K23">
        <v>2023</v>
      </c>
    </row>
    <row r="24" ht="15" spans="1:11">
      <c r="A24" t="s">
        <v>101</v>
      </c>
      <c r="B24" t="s">
        <v>102</v>
      </c>
      <c r="C24" s="16" t="s">
        <v>103</v>
      </c>
      <c r="D24" s="38" t="s">
        <v>104</v>
      </c>
      <c r="E24" s="17" t="s">
        <v>105</v>
      </c>
      <c r="F24" s="17" t="str">
        <f>'Source Table'!$A$20</f>
        <v>Misdemeanor Crimes</v>
      </c>
      <c r="G24" t="str">
        <f>'Source Table'!$E$20</f>
        <v>الجرائم الجنحوية</v>
      </c>
      <c r="H24" s="17" t="str">
        <f>'Source Table'!$B$26</f>
        <v>Jobbery</v>
      </c>
      <c r="I24" s="17" t="str">
        <f>'Source Table'!$D$26</f>
        <v>استثمار الوظيفة</v>
      </c>
      <c r="J24" s="18">
        <v>4</v>
      </c>
      <c r="K24">
        <v>2023</v>
      </c>
    </row>
    <row r="25" ht="15" spans="1:11">
      <c r="A25" t="s">
        <v>101</v>
      </c>
      <c r="B25" t="s">
        <v>102</v>
      </c>
      <c r="C25" s="16" t="s">
        <v>103</v>
      </c>
      <c r="D25" s="38" t="s">
        <v>104</v>
      </c>
      <c r="E25" s="17" t="s">
        <v>105</v>
      </c>
      <c r="F25" s="17" t="str">
        <f>'Source Table'!$A$20</f>
        <v>Misdemeanor Crimes</v>
      </c>
      <c r="G25" t="str">
        <f>'Source Table'!$E$20</f>
        <v>الجرائم الجنحوية</v>
      </c>
      <c r="H25" s="17" t="str">
        <f>'Source Table'!$B$27</f>
        <v>Prostitution</v>
      </c>
      <c r="I25" s="17" t="str">
        <f>'Source Table'!$D$27</f>
        <v>جرائم البغاء</v>
      </c>
      <c r="J25" s="18">
        <v>64</v>
      </c>
      <c r="K25">
        <v>2023</v>
      </c>
    </row>
    <row r="26" ht="15" spans="1:11">
      <c r="A26" t="s">
        <v>101</v>
      </c>
      <c r="B26" t="s">
        <v>102</v>
      </c>
      <c r="C26" s="16" t="s">
        <v>103</v>
      </c>
      <c r="D26" s="38" t="s">
        <v>104</v>
      </c>
      <c r="E26" s="17" t="s">
        <v>105</v>
      </c>
      <c r="F26" s="17" t="str">
        <f>'Source Table'!$A$20</f>
        <v>Misdemeanor Crimes</v>
      </c>
      <c r="G26" t="str">
        <f>'Source Table'!$E$20</f>
        <v>الجرائم الجنحوية</v>
      </c>
      <c r="H26" s="17" t="str">
        <f>'Source Table'!$B$28</f>
        <v>Adultery</v>
      </c>
      <c r="I26" s="17" t="str">
        <f>'Source Table'!$D$28</f>
        <v>الزنا</v>
      </c>
      <c r="J26" s="18">
        <v>144</v>
      </c>
      <c r="K26">
        <v>2023</v>
      </c>
    </row>
    <row r="27" ht="15" spans="1:11">
      <c r="A27" t="s">
        <v>101</v>
      </c>
      <c r="B27" t="s">
        <v>102</v>
      </c>
      <c r="C27" s="16" t="s">
        <v>103</v>
      </c>
      <c r="D27" s="38" t="s">
        <v>104</v>
      </c>
      <c r="E27" s="17" t="s">
        <v>105</v>
      </c>
      <c r="F27" s="17" t="str">
        <f>'Source Table'!$A$20</f>
        <v>Misdemeanor Crimes</v>
      </c>
      <c r="G27" t="str">
        <f>'Source Table'!$E$20</f>
        <v>الجرائم الجنحوية</v>
      </c>
      <c r="H27" s="17" t="str">
        <f>'Source Table'!$B$29</f>
        <v>Violating The Law of Archaeology</v>
      </c>
      <c r="I27" s="17" t="str">
        <f>'Source Table'!$D$29</f>
        <v>مخالفة قانون الآثار</v>
      </c>
      <c r="J27" s="18">
        <v>268</v>
      </c>
      <c r="K27">
        <v>2023</v>
      </c>
    </row>
    <row r="28" ht="15" spans="1:11">
      <c r="A28" t="s">
        <v>101</v>
      </c>
      <c r="B28" t="s">
        <v>102</v>
      </c>
      <c r="C28" s="16" t="s">
        <v>103</v>
      </c>
      <c r="D28" s="38" t="s">
        <v>104</v>
      </c>
      <c r="E28" s="17" t="s">
        <v>105</v>
      </c>
      <c r="F28" s="17" t="str">
        <f>'Source Table'!$A$20</f>
        <v>Misdemeanor Crimes</v>
      </c>
      <c r="G28" t="str">
        <f>'Source Table'!$E$20</f>
        <v>الجرائم الجنحوية</v>
      </c>
      <c r="H28" s="17" t="str">
        <f>'Source Table'!$B$30</f>
        <v>Firing Gunshots</v>
      </c>
      <c r="I28" s="17" t="str">
        <f>'Source Table'!$D$30</f>
        <v>إطلاق العيارات النارية</v>
      </c>
      <c r="J28" s="19">
        <v>1716</v>
      </c>
      <c r="K28">
        <v>2023</v>
      </c>
    </row>
    <row r="29" ht="15.75" spans="1:11">
      <c r="A29" t="s">
        <v>101</v>
      </c>
      <c r="B29" t="s">
        <v>102</v>
      </c>
      <c r="C29" s="16" t="s">
        <v>103</v>
      </c>
      <c r="D29" s="38" t="s">
        <v>104</v>
      </c>
      <c r="E29" s="17" t="s">
        <v>105</v>
      </c>
      <c r="F29" s="17" t="str">
        <f>'Source Table'!$A$20</f>
        <v>Misdemeanor Crimes</v>
      </c>
      <c r="G29" t="str">
        <f>'Source Table'!$E$20</f>
        <v>الجرائم الجنحوية</v>
      </c>
      <c r="H29" s="17" t="str">
        <f>'Source Table'!$B$31</f>
        <v>Gambling</v>
      </c>
      <c r="I29" s="17" t="str">
        <f>'Source Table'!$D$31</f>
        <v>المقامرة</v>
      </c>
      <c r="J29" s="20">
        <v>6</v>
      </c>
      <c r="K29">
        <v>2023</v>
      </c>
    </row>
    <row r="30" ht="15" spans="1:11">
      <c r="A30" t="s">
        <v>101</v>
      </c>
      <c r="B30" t="s">
        <v>102</v>
      </c>
      <c r="C30" s="16" t="s">
        <v>103</v>
      </c>
      <c r="D30" s="38" t="s">
        <v>104</v>
      </c>
      <c r="E30" s="17" t="s">
        <v>105</v>
      </c>
      <c r="F30" s="17" t="str">
        <f>'Source Table'!$A$6</f>
        <v>Felony Crimes</v>
      </c>
      <c r="G30" t="str">
        <f>'Source Table'!$E$6</f>
        <v>الجرائم الجنائية</v>
      </c>
      <c r="H30" t="str">
        <f>'Source Table'!$B$6</f>
        <v>Attempted Murder</v>
      </c>
      <c r="I30" t="str">
        <f>'Source Table'!$D$6</f>
        <v>الشروع بالقتل</v>
      </c>
      <c r="J30" s="21">
        <v>364</v>
      </c>
      <c r="K30">
        <v>2022</v>
      </c>
    </row>
    <row r="31" ht="15" spans="1:11">
      <c r="A31" t="s">
        <v>101</v>
      </c>
      <c r="B31" t="s">
        <v>102</v>
      </c>
      <c r="C31" s="16" t="s">
        <v>103</v>
      </c>
      <c r="D31" s="38" t="s">
        <v>104</v>
      </c>
      <c r="E31" s="17" t="s">
        <v>105</v>
      </c>
      <c r="F31" s="17" t="str">
        <f>'Source Table'!$A$6</f>
        <v>Felony Crimes</v>
      </c>
      <c r="G31" t="str">
        <f>'Source Table'!$E$6</f>
        <v>الجرائم الجنائية</v>
      </c>
      <c r="H31" t="str">
        <f>'Source Table'!$B$7</f>
        <v>premeditated Murder</v>
      </c>
      <c r="I31" t="str">
        <f>'Source Table'!$D$7</f>
        <v>القتل العمد</v>
      </c>
      <c r="J31" s="21">
        <v>49</v>
      </c>
      <c r="K31">
        <v>2022</v>
      </c>
    </row>
    <row r="32" ht="15" spans="1:11">
      <c r="A32" t="s">
        <v>101</v>
      </c>
      <c r="B32" t="s">
        <v>102</v>
      </c>
      <c r="C32" s="16" t="s">
        <v>103</v>
      </c>
      <c r="D32" s="38" t="s">
        <v>104</v>
      </c>
      <c r="E32" s="17" t="s">
        <v>105</v>
      </c>
      <c r="F32" s="17" t="str">
        <f>'Source Table'!$A$6</f>
        <v>Felony Crimes</v>
      </c>
      <c r="G32" t="str">
        <f>'Source Table'!$E$6</f>
        <v>الجرائم الجنائية</v>
      </c>
      <c r="H32" t="str">
        <f>'Source Table'!$B$8</f>
        <v>Murder</v>
      </c>
      <c r="I32" t="str">
        <f>'Source Table'!$D$8</f>
        <v>القتل القصد</v>
      </c>
      <c r="J32" s="21">
        <v>57</v>
      </c>
      <c r="K32">
        <v>2022</v>
      </c>
    </row>
    <row r="33" ht="15" spans="1:11">
      <c r="A33" t="s">
        <v>101</v>
      </c>
      <c r="B33" t="s">
        <v>102</v>
      </c>
      <c r="C33" s="16" t="s">
        <v>103</v>
      </c>
      <c r="D33" s="38" t="s">
        <v>104</v>
      </c>
      <c r="E33" s="17" t="s">
        <v>105</v>
      </c>
      <c r="F33" s="17" t="str">
        <f>'Source Table'!$A$6</f>
        <v>Felony Crimes</v>
      </c>
      <c r="G33" t="str">
        <f>'Source Table'!$E$6</f>
        <v>الجرائم الجنائية</v>
      </c>
      <c r="H33" t="str">
        <f>'Source Table'!$B$9</f>
        <v>Beating Leading to Death</v>
      </c>
      <c r="I33" t="str">
        <f>'Source Table'!$D$9</f>
        <v>الضرب المفضي إلى الموت</v>
      </c>
      <c r="J33" s="21">
        <v>2</v>
      </c>
      <c r="K33">
        <v>2022</v>
      </c>
    </row>
    <row r="34" ht="15" spans="1:11">
      <c r="A34" t="s">
        <v>101</v>
      </c>
      <c r="B34" t="s">
        <v>102</v>
      </c>
      <c r="C34" s="16" t="s">
        <v>103</v>
      </c>
      <c r="D34" s="38" t="s">
        <v>104</v>
      </c>
      <c r="E34" s="17" t="s">
        <v>105</v>
      </c>
      <c r="F34" s="17" t="str">
        <f>'Source Table'!$A$6</f>
        <v>Felony Crimes</v>
      </c>
      <c r="G34" t="str">
        <f>'Source Table'!$E$6</f>
        <v>الجرائم الجنائية</v>
      </c>
      <c r="H34" t="str">
        <f>'Source Table'!$B$10</f>
        <v>Criminal Theft</v>
      </c>
      <c r="I34" t="str">
        <f>'Source Table'!$D$10</f>
        <v>السرقة الجنائية</v>
      </c>
      <c r="J34" s="22">
        <v>2826</v>
      </c>
      <c r="K34">
        <v>2022</v>
      </c>
    </row>
    <row r="35" ht="15" spans="1:11">
      <c r="A35" t="s">
        <v>101</v>
      </c>
      <c r="B35" t="s">
        <v>102</v>
      </c>
      <c r="C35" s="16" t="s">
        <v>103</v>
      </c>
      <c r="D35" s="38" t="s">
        <v>104</v>
      </c>
      <c r="E35" s="17" t="s">
        <v>105</v>
      </c>
      <c r="F35" s="17" t="str">
        <f>'Source Table'!$A$6</f>
        <v>Felony Crimes</v>
      </c>
      <c r="G35" t="str">
        <f>'Source Table'!$E$6</f>
        <v>الجرائم الجنائية</v>
      </c>
      <c r="H35" t="str">
        <f>'Source Table'!$B$11</f>
        <v>Kidnapping</v>
      </c>
      <c r="I35" t="str">
        <f>'Source Table'!$D$11</f>
        <v>الخطف</v>
      </c>
      <c r="J35" s="21">
        <v>214</v>
      </c>
      <c r="K35">
        <v>2022</v>
      </c>
    </row>
    <row r="36" ht="15" spans="1:11">
      <c r="A36" t="s">
        <v>101</v>
      </c>
      <c r="B36" t="s">
        <v>102</v>
      </c>
      <c r="C36" s="16" t="s">
        <v>103</v>
      </c>
      <c r="D36" s="38" t="s">
        <v>104</v>
      </c>
      <c r="E36" s="17" t="s">
        <v>105</v>
      </c>
      <c r="F36" s="17" t="str">
        <f>'Source Table'!$A$6</f>
        <v>Felony Crimes</v>
      </c>
      <c r="G36" t="str">
        <f>'Source Table'!$E$6</f>
        <v>الجرائم الجنائية</v>
      </c>
      <c r="H36" t="str">
        <f>'Source Table'!$B$12</f>
        <v>Sexual Abuse</v>
      </c>
      <c r="I36" t="str">
        <f>'Source Table'!$D$12</f>
        <v>هـتك العرض</v>
      </c>
      <c r="J36" s="21">
        <v>991</v>
      </c>
      <c r="K36">
        <v>2022</v>
      </c>
    </row>
    <row r="37" ht="15" spans="1:11">
      <c r="A37" t="s">
        <v>101</v>
      </c>
      <c r="B37" t="s">
        <v>102</v>
      </c>
      <c r="C37" s="16" t="s">
        <v>103</v>
      </c>
      <c r="D37" s="38" t="s">
        <v>104</v>
      </c>
      <c r="E37" s="17" t="s">
        <v>105</v>
      </c>
      <c r="F37" s="17" t="str">
        <f>'Source Table'!$A$6</f>
        <v>Felony Crimes</v>
      </c>
      <c r="G37" t="str">
        <f>'Source Table'!$E$6</f>
        <v>الجرائم الجنائية</v>
      </c>
      <c r="H37" t="str">
        <f>'Source Table'!$B$13</f>
        <v>Forgery</v>
      </c>
      <c r="I37" t="str">
        <f>'Source Table'!$D$13</f>
        <v>التزوير الجنائي</v>
      </c>
      <c r="J37" s="21">
        <v>116</v>
      </c>
      <c r="K37">
        <v>2022</v>
      </c>
    </row>
    <row r="38" ht="15" spans="1:11">
      <c r="A38" t="s">
        <v>101</v>
      </c>
      <c r="B38" t="s">
        <v>102</v>
      </c>
      <c r="C38" s="16" t="s">
        <v>103</v>
      </c>
      <c r="D38" s="38" t="s">
        <v>104</v>
      </c>
      <c r="E38" s="17" t="s">
        <v>105</v>
      </c>
      <c r="F38" s="17" t="str">
        <f>'Source Table'!$A$6</f>
        <v>Felony Crimes</v>
      </c>
      <c r="G38" t="str">
        <f>'Source Table'!$E$6</f>
        <v>الجرائم الجنائية</v>
      </c>
      <c r="H38" t="str">
        <f>'Source Table'!$B$14</f>
        <v>Currency Counterfeit</v>
      </c>
      <c r="I38" t="str">
        <f>'Source Table'!$D$14</f>
        <v>تزييف النقد</v>
      </c>
      <c r="J38" s="21">
        <v>101</v>
      </c>
      <c r="K38">
        <v>2022</v>
      </c>
    </row>
    <row r="39" ht="15" spans="1:11">
      <c r="A39" t="s">
        <v>101</v>
      </c>
      <c r="B39" t="s">
        <v>102</v>
      </c>
      <c r="C39" s="16" t="s">
        <v>103</v>
      </c>
      <c r="D39" s="38" t="s">
        <v>104</v>
      </c>
      <c r="E39" s="17" t="s">
        <v>105</v>
      </c>
      <c r="F39" s="17" t="str">
        <f>'Source Table'!$A$6</f>
        <v>Felony Crimes</v>
      </c>
      <c r="G39" t="str">
        <f>'Source Table'!$E$6</f>
        <v>الجرائم الجنائية</v>
      </c>
      <c r="H39" t="str">
        <f>'Source Table'!$B$15</f>
        <v>Aggravated Assault</v>
      </c>
      <c r="I39" t="str">
        <f>'Source Table'!$D$15</f>
        <v>الإيذاء البليغ</v>
      </c>
      <c r="J39" s="21">
        <v>741</v>
      </c>
      <c r="K39">
        <v>2022</v>
      </c>
    </row>
    <row r="40" ht="15" spans="1:11">
      <c r="A40" t="s">
        <v>101</v>
      </c>
      <c r="B40" t="s">
        <v>102</v>
      </c>
      <c r="C40" s="16" t="s">
        <v>103</v>
      </c>
      <c r="D40" s="38" t="s">
        <v>104</v>
      </c>
      <c r="E40" s="17" t="s">
        <v>105</v>
      </c>
      <c r="F40" s="17" t="str">
        <f>'Source Table'!$A$6</f>
        <v>Felony Crimes</v>
      </c>
      <c r="G40" t="str">
        <f>'Source Table'!$E$6</f>
        <v>الجرائم الجنائية</v>
      </c>
      <c r="H40" t="str">
        <f>'Source Table'!$B$16</f>
        <v>Bribery</v>
      </c>
      <c r="I40" t="str">
        <f>'Source Table'!$D$16</f>
        <v>الرشوة</v>
      </c>
      <c r="J40" s="21">
        <v>104</v>
      </c>
      <c r="K40">
        <v>2022</v>
      </c>
    </row>
    <row r="41" ht="15" spans="1:11">
      <c r="A41" t="s">
        <v>101</v>
      </c>
      <c r="B41" t="s">
        <v>102</v>
      </c>
      <c r="C41" s="16" t="s">
        <v>103</v>
      </c>
      <c r="D41" s="38" t="s">
        <v>104</v>
      </c>
      <c r="E41" s="17" t="s">
        <v>105</v>
      </c>
      <c r="F41" s="17" t="str">
        <f>'Source Table'!$A$6</f>
        <v>Felony Crimes</v>
      </c>
      <c r="G41" t="str">
        <f>'Source Table'!$E$6</f>
        <v>الجرائم الجنائية</v>
      </c>
      <c r="H41" t="str">
        <f>'Source Table'!$B$17</f>
        <v>Criminal Conspiracy</v>
      </c>
      <c r="I41" t="str">
        <f>'Source Table'!$D$17</f>
        <v>الإتفاق الجنائي</v>
      </c>
      <c r="J41" s="21">
        <v>15</v>
      </c>
      <c r="K41">
        <v>2022</v>
      </c>
    </row>
    <row r="42" ht="15" spans="1:11">
      <c r="A42" t="s">
        <v>101</v>
      </c>
      <c r="B42" t="s">
        <v>102</v>
      </c>
      <c r="C42" s="16" t="s">
        <v>103</v>
      </c>
      <c r="D42" s="38" t="s">
        <v>104</v>
      </c>
      <c r="E42" s="17" t="s">
        <v>105</v>
      </c>
      <c r="F42" s="17" t="str">
        <f>'Source Table'!$A$6</f>
        <v>Felony Crimes</v>
      </c>
      <c r="G42" t="str">
        <f>'Source Table'!$E$6</f>
        <v>الجرائم الجنائية</v>
      </c>
      <c r="H42" t="str">
        <f>'Source Table'!$B$18</f>
        <v>Abortion</v>
      </c>
      <c r="I42" t="str">
        <f>'Source Table'!$D$18</f>
        <v>الإجهاض</v>
      </c>
      <c r="J42" s="21">
        <v>26</v>
      </c>
      <c r="K42">
        <v>2022</v>
      </c>
    </row>
    <row r="43" ht="15" spans="1:11">
      <c r="A43" t="s">
        <v>101</v>
      </c>
      <c r="B43" t="s">
        <v>102</v>
      </c>
      <c r="C43" s="16" t="s">
        <v>103</v>
      </c>
      <c r="D43" s="38" t="s">
        <v>104</v>
      </c>
      <c r="E43" s="17" t="s">
        <v>105</v>
      </c>
      <c r="F43" s="17" t="str">
        <f>'Source Table'!$A$6</f>
        <v>Felony Crimes</v>
      </c>
      <c r="G43" t="str">
        <f>'Source Table'!$E$6</f>
        <v>الجرائم الجنائية</v>
      </c>
      <c r="H43" t="str">
        <f>'Source Table'!$B$19</f>
        <v>Embezzlement</v>
      </c>
      <c r="I43" t="str">
        <f>'Source Table'!$D$19</f>
        <v>الاختلاس</v>
      </c>
      <c r="J43" s="21">
        <v>7</v>
      </c>
      <c r="K43">
        <v>2022</v>
      </c>
    </row>
    <row r="44" ht="15" spans="1:11">
      <c r="A44" t="s">
        <v>101</v>
      </c>
      <c r="B44" t="s">
        <v>102</v>
      </c>
      <c r="C44" s="16" t="s">
        <v>103</v>
      </c>
      <c r="D44" s="38" t="s">
        <v>104</v>
      </c>
      <c r="E44" s="17" t="s">
        <v>105</v>
      </c>
      <c r="F44" s="17" t="str">
        <f>'Source Table'!$A$20</f>
        <v>Misdemeanor Crimes</v>
      </c>
      <c r="G44" t="str">
        <f>'Source Table'!$E$20</f>
        <v>الجرائم الجنحوية</v>
      </c>
      <c r="H44" s="17" t="str">
        <f>'Source Table'!$B$20</f>
        <v>Manslaughter</v>
      </c>
      <c r="I44" s="17" t="str">
        <f>'Source Table'!$D$20</f>
        <v>القتل من غير قصد(القتل الخطأ)</v>
      </c>
      <c r="J44" s="21">
        <v>43</v>
      </c>
      <c r="K44">
        <v>2022</v>
      </c>
    </row>
    <row r="45" ht="15" spans="1:11">
      <c r="A45" t="s">
        <v>101</v>
      </c>
      <c r="B45" t="s">
        <v>102</v>
      </c>
      <c r="C45" s="16" t="s">
        <v>103</v>
      </c>
      <c r="D45" s="38" t="s">
        <v>104</v>
      </c>
      <c r="E45" s="17" t="s">
        <v>105</v>
      </c>
      <c r="F45" s="17" t="str">
        <f>'Source Table'!$A$20</f>
        <v>Misdemeanor Crimes</v>
      </c>
      <c r="G45" t="str">
        <f>'Source Table'!$E$20</f>
        <v>الجرائم الجنحوية</v>
      </c>
      <c r="H45" s="17" t="str">
        <f>'Source Table'!$B$21</f>
        <v>Misdemeanor Theft</v>
      </c>
      <c r="I45" s="17" t="str">
        <f>'Source Table'!$D$21</f>
        <v>السرقة الجنحوية</v>
      </c>
      <c r="J45" s="22">
        <v>7773</v>
      </c>
      <c r="K45">
        <v>2022</v>
      </c>
    </row>
    <row r="46" ht="15" spans="1:11">
      <c r="A46" t="s">
        <v>101</v>
      </c>
      <c r="B46" t="s">
        <v>102</v>
      </c>
      <c r="C46" s="16" t="s">
        <v>103</v>
      </c>
      <c r="D46" s="38" t="s">
        <v>104</v>
      </c>
      <c r="E46" s="17" t="s">
        <v>105</v>
      </c>
      <c r="F46" s="17" t="str">
        <f>'Source Table'!$A$20</f>
        <v>Misdemeanor Crimes</v>
      </c>
      <c r="G46" t="str">
        <f>'Source Table'!$E$20</f>
        <v>الجرائم الجنحوية</v>
      </c>
      <c r="H46" s="17" t="str">
        <f>'Source Table'!$B$22</f>
        <v>Fraud</v>
      </c>
      <c r="I46" s="17" t="str">
        <f>'Source Table'!$D$22</f>
        <v>الاحتيال</v>
      </c>
      <c r="J46" s="22">
        <v>4060</v>
      </c>
      <c r="K46">
        <v>2022</v>
      </c>
    </row>
    <row r="47" ht="15" spans="1:11">
      <c r="A47" t="s">
        <v>101</v>
      </c>
      <c r="B47" t="s">
        <v>102</v>
      </c>
      <c r="C47" s="16" t="s">
        <v>103</v>
      </c>
      <c r="D47" s="38" t="s">
        <v>104</v>
      </c>
      <c r="E47" s="17" t="s">
        <v>105</v>
      </c>
      <c r="F47" s="17" t="str">
        <f>'Source Table'!$A$20</f>
        <v>Misdemeanor Crimes</v>
      </c>
      <c r="G47" t="str">
        <f>'Source Table'!$E$20</f>
        <v>الجرائم الجنحوية</v>
      </c>
      <c r="H47" s="17" t="str">
        <f>'Source Table'!$B$23</f>
        <v>Attempted Theft</v>
      </c>
      <c r="I47" s="17" t="str">
        <f>'Source Table'!$D$23</f>
        <v>الشروع بالسرقة</v>
      </c>
      <c r="J47" s="21">
        <v>314</v>
      </c>
      <c r="K47">
        <v>2022</v>
      </c>
    </row>
    <row r="48" ht="15" spans="1:11">
      <c r="A48" t="s">
        <v>101</v>
      </c>
      <c r="B48" t="s">
        <v>102</v>
      </c>
      <c r="C48" s="16" t="s">
        <v>103</v>
      </c>
      <c r="D48" s="38" t="s">
        <v>104</v>
      </c>
      <c r="E48" s="17" t="s">
        <v>105</v>
      </c>
      <c r="F48" s="17" t="str">
        <f>'Source Table'!$A$20</f>
        <v>Misdemeanor Crimes</v>
      </c>
      <c r="G48" t="str">
        <f>'Source Table'!$E$20</f>
        <v>الجرائم الجنحوية</v>
      </c>
      <c r="H48" s="17" t="str">
        <f>'Source Table'!$B$24</f>
        <v>Resisting &amp; Assaulting Public Employees</v>
      </c>
      <c r="I48" s="17" t="str">
        <f>'Source Table'!$D$24</f>
        <v>المقاومةو الاعتداء على الموظفين</v>
      </c>
      <c r="J48" s="22">
        <v>2165</v>
      </c>
      <c r="K48">
        <v>2022</v>
      </c>
    </row>
    <row r="49" ht="15" spans="1:11">
      <c r="A49" t="s">
        <v>101</v>
      </c>
      <c r="B49" t="s">
        <v>102</v>
      </c>
      <c r="C49" s="16" t="s">
        <v>103</v>
      </c>
      <c r="D49" s="38" t="s">
        <v>104</v>
      </c>
      <c r="E49" s="17" t="s">
        <v>105</v>
      </c>
      <c r="F49" s="17" t="str">
        <f>'Source Table'!$A$20</f>
        <v>Misdemeanor Crimes</v>
      </c>
      <c r="G49" t="str">
        <f>'Source Table'!$E$20</f>
        <v>الجرائم الجنحوية</v>
      </c>
      <c r="H49" s="17" t="str">
        <f>'Source Table'!$B$25</f>
        <v>Car Theft /Auto Theft</v>
      </c>
      <c r="I49" s="17" t="str">
        <f>'Source Table'!$D$25</f>
        <v>سرقة السيارات</v>
      </c>
      <c r="J49" s="21">
        <v>422</v>
      </c>
      <c r="K49">
        <v>2022</v>
      </c>
    </row>
    <row r="50" ht="15" spans="1:11">
      <c r="A50" t="s">
        <v>101</v>
      </c>
      <c r="B50" t="s">
        <v>102</v>
      </c>
      <c r="C50" s="16" t="s">
        <v>103</v>
      </c>
      <c r="D50" s="38" t="s">
        <v>104</v>
      </c>
      <c r="E50" s="17" t="s">
        <v>105</v>
      </c>
      <c r="F50" s="17" t="str">
        <f>'Source Table'!$A$20</f>
        <v>Misdemeanor Crimes</v>
      </c>
      <c r="G50" t="str">
        <f>'Source Table'!$E$20</f>
        <v>الجرائم الجنحوية</v>
      </c>
      <c r="H50" s="17" t="str">
        <f>'Source Table'!$B$26</f>
        <v>Jobbery</v>
      </c>
      <c r="I50" s="17" t="str">
        <f>'Source Table'!$D$26</f>
        <v>استثمار الوظيفة</v>
      </c>
      <c r="J50" s="21">
        <v>9</v>
      </c>
      <c r="K50">
        <v>2022</v>
      </c>
    </row>
    <row r="51" ht="15" spans="1:11">
      <c r="A51" t="s">
        <v>101</v>
      </c>
      <c r="B51" t="s">
        <v>102</v>
      </c>
      <c r="C51" s="16" t="s">
        <v>103</v>
      </c>
      <c r="D51" s="38" t="s">
        <v>104</v>
      </c>
      <c r="E51" s="17" t="s">
        <v>105</v>
      </c>
      <c r="F51" s="17" t="str">
        <f>'Source Table'!$A$20</f>
        <v>Misdemeanor Crimes</v>
      </c>
      <c r="G51" t="str">
        <f>'Source Table'!$E$20</f>
        <v>الجرائم الجنحوية</v>
      </c>
      <c r="H51" s="17" t="str">
        <f>'Source Table'!$B$27</f>
        <v>Prostitution</v>
      </c>
      <c r="I51" s="17" t="str">
        <f>'Source Table'!$D$27</f>
        <v>جرائم البغاء</v>
      </c>
      <c r="J51" s="21">
        <v>39</v>
      </c>
      <c r="K51">
        <v>2022</v>
      </c>
    </row>
    <row r="52" ht="15" spans="1:11">
      <c r="A52" t="s">
        <v>101</v>
      </c>
      <c r="B52" t="s">
        <v>102</v>
      </c>
      <c r="C52" s="16" t="s">
        <v>103</v>
      </c>
      <c r="D52" s="38" t="s">
        <v>104</v>
      </c>
      <c r="E52" s="17" t="s">
        <v>105</v>
      </c>
      <c r="F52" s="17" t="str">
        <f>'Source Table'!$A$20</f>
        <v>Misdemeanor Crimes</v>
      </c>
      <c r="G52" t="str">
        <f>'Source Table'!$E$20</f>
        <v>الجرائم الجنحوية</v>
      </c>
      <c r="H52" s="17" t="str">
        <f>'Source Table'!$B$28</f>
        <v>Adultery</v>
      </c>
      <c r="I52" s="17" t="str">
        <f>'Source Table'!$D$28</f>
        <v>الزنا</v>
      </c>
      <c r="J52" s="21">
        <v>175</v>
      </c>
      <c r="K52">
        <v>2022</v>
      </c>
    </row>
    <row r="53" ht="15" spans="1:11">
      <c r="A53" t="s">
        <v>101</v>
      </c>
      <c r="B53" t="s">
        <v>102</v>
      </c>
      <c r="C53" s="16" t="s">
        <v>103</v>
      </c>
      <c r="D53" s="38" t="s">
        <v>104</v>
      </c>
      <c r="E53" s="17" t="s">
        <v>105</v>
      </c>
      <c r="F53" s="17" t="str">
        <f>'Source Table'!$A$20</f>
        <v>Misdemeanor Crimes</v>
      </c>
      <c r="G53" t="str">
        <f>'Source Table'!$E$20</f>
        <v>الجرائم الجنحوية</v>
      </c>
      <c r="H53" s="17" t="str">
        <f>'Source Table'!$B$29</f>
        <v>Violating The Law of Archaeology</v>
      </c>
      <c r="I53" s="17" t="str">
        <f>'Source Table'!$D$29</f>
        <v>مخالفة قانون الآثار</v>
      </c>
      <c r="J53" s="21">
        <v>281</v>
      </c>
      <c r="K53">
        <v>2022</v>
      </c>
    </row>
    <row r="54" ht="15" spans="1:11">
      <c r="A54" t="s">
        <v>101</v>
      </c>
      <c r="B54" t="s">
        <v>102</v>
      </c>
      <c r="C54" s="16" t="s">
        <v>103</v>
      </c>
      <c r="D54" s="38" t="s">
        <v>104</v>
      </c>
      <c r="E54" s="17" t="s">
        <v>105</v>
      </c>
      <c r="F54" s="17" t="str">
        <f>'Source Table'!$A$20</f>
        <v>Misdemeanor Crimes</v>
      </c>
      <c r="G54" t="str">
        <f>'Source Table'!$E$20</f>
        <v>الجرائم الجنحوية</v>
      </c>
      <c r="H54" s="17" t="str">
        <f>'Source Table'!$B$30</f>
        <v>Firing Gunshots</v>
      </c>
      <c r="I54" s="17" t="str">
        <f>'Source Table'!$D$30</f>
        <v>إطلاق العيارات النارية</v>
      </c>
      <c r="J54" s="22">
        <v>1998</v>
      </c>
      <c r="K54">
        <v>2022</v>
      </c>
    </row>
    <row r="55" ht="15.75" spans="1:11">
      <c r="A55" t="s">
        <v>101</v>
      </c>
      <c r="B55" t="s">
        <v>102</v>
      </c>
      <c r="C55" s="16" t="s">
        <v>103</v>
      </c>
      <c r="D55" s="38" t="s">
        <v>104</v>
      </c>
      <c r="E55" s="17" t="s">
        <v>105</v>
      </c>
      <c r="F55" s="17" t="str">
        <f>'Source Table'!$A$20</f>
        <v>Misdemeanor Crimes</v>
      </c>
      <c r="G55" t="str">
        <f>'Source Table'!$E$20</f>
        <v>الجرائم الجنحوية</v>
      </c>
      <c r="H55" s="17" t="str">
        <f>'Source Table'!$B$31</f>
        <v>Gambling</v>
      </c>
      <c r="I55" s="17" t="str">
        <f>'Source Table'!$D$31</f>
        <v>المقامرة</v>
      </c>
      <c r="J55" s="23">
        <v>3</v>
      </c>
      <c r="K55">
        <v>2022</v>
      </c>
    </row>
    <row r="56" ht="15" spans="1:11">
      <c r="A56" t="s">
        <v>101</v>
      </c>
      <c r="B56" t="s">
        <v>102</v>
      </c>
      <c r="C56" s="16" t="s">
        <v>103</v>
      </c>
      <c r="D56" s="38" t="s">
        <v>104</v>
      </c>
      <c r="E56" s="17" t="s">
        <v>105</v>
      </c>
      <c r="F56" s="17" t="str">
        <f>'Source Table'!$A$6</f>
        <v>Felony Crimes</v>
      </c>
      <c r="G56" t="str">
        <f>'Source Table'!$E$6</f>
        <v>الجرائم الجنائية</v>
      </c>
      <c r="H56" t="str">
        <f>'Source Table'!$B$6</f>
        <v>Attempted Murder</v>
      </c>
      <c r="I56" t="str">
        <f>'Source Table'!$D$6</f>
        <v>الشروع بالقتل</v>
      </c>
      <c r="J56" s="18">
        <v>290</v>
      </c>
      <c r="K56">
        <v>2021</v>
      </c>
    </row>
    <row r="57" ht="15" spans="1:11">
      <c r="A57" t="s">
        <v>101</v>
      </c>
      <c r="B57" t="s">
        <v>102</v>
      </c>
      <c r="C57" s="16" t="s">
        <v>103</v>
      </c>
      <c r="D57" s="38" t="s">
        <v>104</v>
      </c>
      <c r="E57" s="17" t="s">
        <v>105</v>
      </c>
      <c r="F57" s="17" t="str">
        <f>'Source Table'!$A$6</f>
        <v>Felony Crimes</v>
      </c>
      <c r="G57" t="str">
        <f>'Source Table'!$E$6</f>
        <v>الجرائم الجنائية</v>
      </c>
      <c r="H57" t="str">
        <f>'Source Table'!$B$7</f>
        <v>premeditated Murder</v>
      </c>
      <c r="I57" t="str">
        <f>'Source Table'!$D$7</f>
        <v>القتل العمد</v>
      </c>
      <c r="J57" s="18">
        <v>50</v>
      </c>
      <c r="K57">
        <v>2021</v>
      </c>
    </row>
    <row r="58" ht="15" spans="1:11">
      <c r="A58" t="s">
        <v>101</v>
      </c>
      <c r="B58" t="s">
        <v>102</v>
      </c>
      <c r="C58" s="16" t="s">
        <v>103</v>
      </c>
      <c r="D58" s="38" t="s">
        <v>104</v>
      </c>
      <c r="E58" s="17" t="s">
        <v>105</v>
      </c>
      <c r="F58" s="17" t="str">
        <f>'Source Table'!$A$6</f>
        <v>Felony Crimes</v>
      </c>
      <c r="G58" t="str">
        <f>'Source Table'!$E$6</f>
        <v>الجرائم الجنائية</v>
      </c>
      <c r="H58" t="str">
        <f>'Source Table'!$B$8</f>
        <v>Murder</v>
      </c>
      <c r="I58" t="str">
        <f>'Source Table'!$D$8</f>
        <v>القتل القصد</v>
      </c>
      <c r="J58" s="18">
        <v>53</v>
      </c>
      <c r="K58">
        <v>2021</v>
      </c>
    </row>
    <row r="59" ht="15" spans="1:11">
      <c r="A59" t="s">
        <v>101</v>
      </c>
      <c r="B59" t="s">
        <v>102</v>
      </c>
      <c r="C59" s="16" t="s">
        <v>103</v>
      </c>
      <c r="D59" s="38" t="s">
        <v>104</v>
      </c>
      <c r="E59" s="17" t="s">
        <v>105</v>
      </c>
      <c r="F59" s="17" t="str">
        <f>'Source Table'!$A$6</f>
        <v>Felony Crimes</v>
      </c>
      <c r="G59" t="str">
        <f>'Source Table'!$E$6</f>
        <v>الجرائم الجنائية</v>
      </c>
      <c r="H59" t="str">
        <f>'Source Table'!$B$9</f>
        <v>Beating Leading to Death</v>
      </c>
      <c r="I59" t="str">
        <f>'Source Table'!$D$9</f>
        <v>الضرب المفضي إلى الموت</v>
      </c>
      <c r="J59" s="18">
        <v>6</v>
      </c>
      <c r="K59">
        <v>2021</v>
      </c>
    </row>
    <row r="60" ht="15" spans="1:11">
      <c r="A60" t="s">
        <v>101</v>
      </c>
      <c r="B60" t="s">
        <v>102</v>
      </c>
      <c r="C60" s="16" t="s">
        <v>103</v>
      </c>
      <c r="D60" s="38" t="s">
        <v>104</v>
      </c>
      <c r="E60" s="17" t="s">
        <v>105</v>
      </c>
      <c r="F60" s="17" t="str">
        <f>'Source Table'!$A$6</f>
        <v>Felony Crimes</v>
      </c>
      <c r="G60" t="str">
        <f>'Source Table'!$E$6</f>
        <v>الجرائم الجنائية</v>
      </c>
      <c r="H60" t="str">
        <f>'Source Table'!$B$10</f>
        <v>Criminal Theft</v>
      </c>
      <c r="I60" t="str">
        <f>'Source Table'!$D$10</f>
        <v>السرقة الجنائية</v>
      </c>
      <c r="J60" s="19">
        <v>2827</v>
      </c>
      <c r="K60">
        <v>2021</v>
      </c>
    </row>
    <row r="61" ht="15" spans="1:11">
      <c r="A61" t="s">
        <v>101</v>
      </c>
      <c r="B61" t="s">
        <v>102</v>
      </c>
      <c r="C61" s="16" t="s">
        <v>103</v>
      </c>
      <c r="D61" s="38" t="s">
        <v>104</v>
      </c>
      <c r="E61" s="17" t="s">
        <v>105</v>
      </c>
      <c r="F61" s="17" t="str">
        <f>'Source Table'!$A$6</f>
        <v>Felony Crimes</v>
      </c>
      <c r="G61" t="str">
        <f>'Source Table'!$E$6</f>
        <v>الجرائم الجنائية</v>
      </c>
      <c r="H61" t="str">
        <f>'Source Table'!$B$11</f>
        <v>Kidnapping</v>
      </c>
      <c r="I61" t="str">
        <f>'Source Table'!$D$11</f>
        <v>الخطف</v>
      </c>
      <c r="J61" s="18">
        <v>162</v>
      </c>
      <c r="K61">
        <v>2021</v>
      </c>
    </row>
    <row r="62" ht="15" spans="1:11">
      <c r="A62" t="s">
        <v>101</v>
      </c>
      <c r="B62" t="s">
        <v>102</v>
      </c>
      <c r="C62" s="16" t="s">
        <v>103</v>
      </c>
      <c r="D62" s="38" t="s">
        <v>104</v>
      </c>
      <c r="E62" s="17" t="s">
        <v>105</v>
      </c>
      <c r="F62" s="17" t="str">
        <f>'Source Table'!$A$6</f>
        <v>Felony Crimes</v>
      </c>
      <c r="G62" t="str">
        <f>'Source Table'!$E$6</f>
        <v>الجرائم الجنائية</v>
      </c>
      <c r="H62" t="str">
        <f>'Source Table'!$B$12</f>
        <v>Sexual Abuse</v>
      </c>
      <c r="I62" t="str">
        <f>'Source Table'!$D$12</f>
        <v>هـتك العرض</v>
      </c>
      <c r="J62" s="18">
        <v>904</v>
      </c>
      <c r="K62">
        <v>2021</v>
      </c>
    </row>
    <row r="63" ht="15" spans="1:11">
      <c r="A63" t="s">
        <v>101</v>
      </c>
      <c r="B63" t="s">
        <v>102</v>
      </c>
      <c r="C63" s="16" t="s">
        <v>103</v>
      </c>
      <c r="D63" s="38" t="s">
        <v>104</v>
      </c>
      <c r="E63" s="17" t="s">
        <v>105</v>
      </c>
      <c r="F63" s="17" t="str">
        <f>'Source Table'!$A$6</f>
        <v>Felony Crimes</v>
      </c>
      <c r="G63" t="str">
        <f>'Source Table'!$E$6</f>
        <v>الجرائم الجنائية</v>
      </c>
      <c r="H63" t="str">
        <f>'Source Table'!$B$13</f>
        <v>Forgery</v>
      </c>
      <c r="I63" t="str">
        <f>'Source Table'!$D$13</f>
        <v>التزوير الجنائي</v>
      </c>
      <c r="J63" s="18">
        <v>110</v>
      </c>
      <c r="K63">
        <v>2021</v>
      </c>
    </row>
    <row r="64" ht="15" spans="1:11">
      <c r="A64" t="s">
        <v>101</v>
      </c>
      <c r="B64" t="s">
        <v>102</v>
      </c>
      <c r="C64" s="16" t="s">
        <v>103</v>
      </c>
      <c r="D64" s="38" t="s">
        <v>104</v>
      </c>
      <c r="E64" s="17" t="s">
        <v>105</v>
      </c>
      <c r="F64" s="17" t="str">
        <f>'Source Table'!$A$6</f>
        <v>Felony Crimes</v>
      </c>
      <c r="G64" t="str">
        <f>'Source Table'!$E$6</f>
        <v>الجرائم الجنائية</v>
      </c>
      <c r="H64" t="str">
        <f>'Source Table'!$B$14</f>
        <v>Currency Counterfeit</v>
      </c>
      <c r="I64" t="str">
        <f>'Source Table'!$D$14</f>
        <v>تزييف النقد</v>
      </c>
      <c r="J64" s="18">
        <v>66</v>
      </c>
      <c r="K64">
        <v>2021</v>
      </c>
    </row>
    <row r="65" ht="15" spans="1:11">
      <c r="A65" t="s">
        <v>101</v>
      </c>
      <c r="B65" t="s">
        <v>102</v>
      </c>
      <c r="C65" s="16" t="s">
        <v>103</v>
      </c>
      <c r="D65" s="38" t="s">
        <v>104</v>
      </c>
      <c r="E65" s="17" t="s">
        <v>105</v>
      </c>
      <c r="F65" s="17" t="str">
        <f>'Source Table'!$A$6</f>
        <v>Felony Crimes</v>
      </c>
      <c r="G65" t="str">
        <f>'Source Table'!$E$6</f>
        <v>الجرائم الجنائية</v>
      </c>
      <c r="H65" t="str">
        <f>'Source Table'!$B$15</f>
        <v>Aggravated Assault</v>
      </c>
      <c r="I65" t="str">
        <f>'Source Table'!$D$15</f>
        <v>الإيذاء البليغ</v>
      </c>
      <c r="J65" s="18">
        <v>657</v>
      </c>
      <c r="K65">
        <v>2021</v>
      </c>
    </row>
    <row r="66" ht="15" spans="1:11">
      <c r="A66" t="s">
        <v>101</v>
      </c>
      <c r="B66" t="s">
        <v>102</v>
      </c>
      <c r="C66" s="16" t="s">
        <v>103</v>
      </c>
      <c r="D66" s="38" t="s">
        <v>104</v>
      </c>
      <c r="E66" s="17" t="s">
        <v>105</v>
      </c>
      <c r="F66" s="17" t="str">
        <f>'Source Table'!$A$6</f>
        <v>Felony Crimes</v>
      </c>
      <c r="G66" t="str">
        <f>'Source Table'!$E$6</f>
        <v>الجرائم الجنائية</v>
      </c>
      <c r="H66" t="str">
        <f>'Source Table'!$B$16</f>
        <v>Bribery</v>
      </c>
      <c r="I66" t="str">
        <f>'Source Table'!$D$16</f>
        <v>الرشوة</v>
      </c>
      <c r="J66" s="18">
        <v>77</v>
      </c>
      <c r="K66">
        <v>2021</v>
      </c>
    </row>
    <row r="67" ht="15" spans="1:11">
      <c r="A67" t="s">
        <v>101</v>
      </c>
      <c r="B67" t="s">
        <v>102</v>
      </c>
      <c r="C67" s="16" t="s">
        <v>103</v>
      </c>
      <c r="D67" s="38" t="s">
        <v>104</v>
      </c>
      <c r="E67" s="17" t="s">
        <v>105</v>
      </c>
      <c r="F67" s="17" t="str">
        <f>'Source Table'!$A$6</f>
        <v>Felony Crimes</v>
      </c>
      <c r="G67" t="str">
        <f>'Source Table'!$E$6</f>
        <v>الجرائم الجنائية</v>
      </c>
      <c r="H67" t="str">
        <f>'Source Table'!$B$17</f>
        <v>Criminal Conspiracy</v>
      </c>
      <c r="I67" t="str">
        <f>'Source Table'!$D$17</f>
        <v>الإتفاق الجنائي</v>
      </c>
      <c r="J67" s="18">
        <v>12</v>
      </c>
      <c r="K67">
        <v>2021</v>
      </c>
    </row>
    <row r="68" ht="15" spans="1:11">
      <c r="A68" t="s">
        <v>101</v>
      </c>
      <c r="B68" t="s">
        <v>102</v>
      </c>
      <c r="C68" s="16" t="s">
        <v>103</v>
      </c>
      <c r="D68" s="38" t="s">
        <v>104</v>
      </c>
      <c r="E68" s="17" t="s">
        <v>105</v>
      </c>
      <c r="F68" s="17" t="str">
        <f>'Source Table'!$A$6</f>
        <v>Felony Crimes</v>
      </c>
      <c r="G68" t="str">
        <f>'Source Table'!$E$6</f>
        <v>الجرائم الجنائية</v>
      </c>
      <c r="H68" t="str">
        <f>'Source Table'!$B$18</f>
        <v>Abortion</v>
      </c>
      <c r="I68" t="str">
        <f>'Source Table'!$D$18</f>
        <v>الإجهاض</v>
      </c>
      <c r="J68" s="18">
        <v>22</v>
      </c>
      <c r="K68">
        <v>2021</v>
      </c>
    </row>
    <row r="69" ht="15" spans="1:11">
      <c r="A69" t="s">
        <v>101</v>
      </c>
      <c r="B69" t="s">
        <v>102</v>
      </c>
      <c r="C69" s="16" t="s">
        <v>103</v>
      </c>
      <c r="D69" s="38" t="s">
        <v>104</v>
      </c>
      <c r="E69" s="17" t="s">
        <v>105</v>
      </c>
      <c r="F69" s="17" t="str">
        <f>'Source Table'!$A$6</f>
        <v>Felony Crimes</v>
      </c>
      <c r="G69" t="str">
        <f>'Source Table'!$E$6</f>
        <v>الجرائم الجنائية</v>
      </c>
      <c r="H69" t="str">
        <f>'Source Table'!$B$19</f>
        <v>Embezzlement</v>
      </c>
      <c r="I69" t="str">
        <f>'Source Table'!$D$19</f>
        <v>الاختلاس</v>
      </c>
      <c r="J69" s="18">
        <v>1</v>
      </c>
      <c r="K69">
        <v>2021</v>
      </c>
    </row>
    <row r="70" ht="15" spans="1:11">
      <c r="A70" t="s">
        <v>101</v>
      </c>
      <c r="B70" t="s">
        <v>102</v>
      </c>
      <c r="C70" s="16" t="s">
        <v>103</v>
      </c>
      <c r="D70" s="38" t="s">
        <v>104</v>
      </c>
      <c r="E70" s="17" t="s">
        <v>105</v>
      </c>
      <c r="F70" s="17" t="str">
        <f>'Source Table'!$A$20</f>
        <v>Misdemeanor Crimes</v>
      </c>
      <c r="G70" t="str">
        <f>'Source Table'!$E$20</f>
        <v>الجرائم الجنحوية</v>
      </c>
      <c r="H70" s="17" t="str">
        <f>'Source Table'!$B$20</f>
        <v>Manslaughter</v>
      </c>
      <c r="I70" s="17" t="str">
        <f>'Source Table'!$D$20</f>
        <v>القتل من غير قصد(القتل الخطأ)</v>
      </c>
      <c r="J70" s="18">
        <v>31</v>
      </c>
      <c r="K70">
        <v>2021</v>
      </c>
    </row>
    <row r="71" ht="15" spans="1:11">
      <c r="A71" t="s">
        <v>101</v>
      </c>
      <c r="B71" t="s">
        <v>102</v>
      </c>
      <c r="C71" s="16" t="s">
        <v>103</v>
      </c>
      <c r="D71" s="38" t="s">
        <v>104</v>
      </c>
      <c r="E71" s="17" t="s">
        <v>105</v>
      </c>
      <c r="F71" s="17" t="str">
        <f>'Source Table'!$A$20</f>
        <v>Misdemeanor Crimes</v>
      </c>
      <c r="G71" t="str">
        <f>'Source Table'!$E$20</f>
        <v>الجرائم الجنحوية</v>
      </c>
      <c r="H71" s="17" t="str">
        <f>'Source Table'!$B$21</f>
        <v>Misdemeanor Theft</v>
      </c>
      <c r="I71" s="17" t="str">
        <f>'Source Table'!$D$21</f>
        <v>السرقة الجنحوية</v>
      </c>
      <c r="J71" s="19">
        <v>6852</v>
      </c>
      <c r="K71">
        <v>2021</v>
      </c>
    </row>
    <row r="72" ht="15" spans="1:11">
      <c r="A72" t="s">
        <v>101</v>
      </c>
      <c r="B72" t="s">
        <v>102</v>
      </c>
      <c r="C72" s="16" t="s">
        <v>103</v>
      </c>
      <c r="D72" s="38" t="s">
        <v>104</v>
      </c>
      <c r="E72" s="17" t="s">
        <v>105</v>
      </c>
      <c r="F72" s="17" t="str">
        <f>'Source Table'!$A$20</f>
        <v>Misdemeanor Crimes</v>
      </c>
      <c r="G72" t="str">
        <f>'Source Table'!$E$20</f>
        <v>الجرائم الجنحوية</v>
      </c>
      <c r="H72" s="17" t="str">
        <f>'Source Table'!$B$22</f>
        <v>Fraud</v>
      </c>
      <c r="I72" s="17" t="str">
        <f>'Source Table'!$D$22</f>
        <v>الاحتيال</v>
      </c>
      <c r="J72" s="19">
        <v>3552</v>
      </c>
      <c r="K72">
        <v>2021</v>
      </c>
    </row>
    <row r="73" ht="15" spans="1:11">
      <c r="A73" t="s">
        <v>101</v>
      </c>
      <c r="B73" t="s">
        <v>102</v>
      </c>
      <c r="C73" s="16" t="s">
        <v>103</v>
      </c>
      <c r="D73" s="38" t="s">
        <v>104</v>
      </c>
      <c r="E73" s="17" t="s">
        <v>105</v>
      </c>
      <c r="F73" s="17" t="str">
        <f>'Source Table'!$A$20</f>
        <v>Misdemeanor Crimes</v>
      </c>
      <c r="G73" t="str">
        <f>'Source Table'!$E$20</f>
        <v>الجرائم الجنحوية</v>
      </c>
      <c r="H73" s="17" t="str">
        <f>'Source Table'!$B$23</f>
        <v>Attempted Theft</v>
      </c>
      <c r="I73" s="17" t="str">
        <f>'Source Table'!$D$23</f>
        <v>الشروع بالسرقة</v>
      </c>
      <c r="J73" s="18">
        <v>342</v>
      </c>
      <c r="K73">
        <v>2021</v>
      </c>
    </row>
    <row r="74" ht="15" spans="1:11">
      <c r="A74" t="s">
        <v>101</v>
      </c>
      <c r="B74" t="s">
        <v>102</v>
      </c>
      <c r="C74" s="16" t="s">
        <v>103</v>
      </c>
      <c r="D74" s="38" t="s">
        <v>104</v>
      </c>
      <c r="E74" s="17" t="s">
        <v>105</v>
      </c>
      <c r="F74" s="17" t="str">
        <f>'Source Table'!$A$20</f>
        <v>Misdemeanor Crimes</v>
      </c>
      <c r="G74" t="str">
        <f>'Source Table'!$E$20</f>
        <v>الجرائم الجنحوية</v>
      </c>
      <c r="H74" s="17" t="str">
        <f>'Source Table'!$B$24</f>
        <v>Resisting &amp; Assaulting Public Employees</v>
      </c>
      <c r="I74" s="17" t="str">
        <f>'Source Table'!$D$24</f>
        <v>المقاومةو الاعتداء على الموظفين</v>
      </c>
      <c r="J74" s="19">
        <v>2116</v>
      </c>
      <c r="K74">
        <v>2021</v>
      </c>
    </row>
    <row r="75" ht="15" spans="1:11">
      <c r="A75" t="s">
        <v>101</v>
      </c>
      <c r="B75" t="s">
        <v>102</v>
      </c>
      <c r="C75" s="16" t="s">
        <v>103</v>
      </c>
      <c r="D75" s="38" t="s">
        <v>104</v>
      </c>
      <c r="E75" s="17" t="s">
        <v>105</v>
      </c>
      <c r="F75" s="17" t="str">
        <f>'Source Table'!$A$20</f>
        <v>Misdemeanor Crimes</v>
      </c>
      <c r="G75" t="str">
        <f>'Source Table'!$E$20</f>
        <v>الجرائم الجنحوية</v>
      </c>
      <c r="H75" s="17" t="str">
        <f>'Source Table'!$B$25</f>
        <v>Car Theft /Auto Theft</v>
      </c>
      <c r="I75" s="17" t="str">
        <f>'Source Table'!$D$25</f>
        <v>سرقة السيارات</v>
      </c>
      <c r="J75" s="18">
        <v>407</v>
      </c>
      <c r="K75">
        <v>2021</v>
      </c>
    </row>
    <row r="76" ht="15" spans="1:11">
      <c r="A76" t="s">
        <v>101</v>
      </c>
      <c r="B76" t="s">
        <v>102</v>
      </c>
      <c r="C76" s="16" t="s">
        <v>103</v>
      </c>
      <c r="D76" s="38" t="s">
        <v>104</v>
      </c>
      <c r="E76" s="17" t="s">
        <v>105</v>
      </c>
      <c r="F76" s="17" t="str">
        <f>'Source Table'!$A$20</f>
        <v>Misdemeanor Crimes</v>
      </c>
      <c r="G76" t="str">
        <f>'Source Table'!$E$20</f>
        <v>الجرائم الجنحوية</v>
      </c>
      <c r="H76" s="17" t="str">
        <f>'Source Table'!$B$26</f>
        <v>Jobbery</v>
      </c>
      <c r="I76" s="17" t="str">
        <f>'Source Table'!$D$26</f>
        <v>استثمار الوظيفة</v>
      </c>
      <c r="J76" s="18">
        <v>8</v>
      </c>
      <c r="K76">
        <v>2021</v>
      </c>
    </row>
    <row r="77" ht="15" spans="1:11">
      <c r="A77" t="s">
        <v>101</v>
      </c>
      <c r="B77" t="s">
        <v>102</v>
      </c>
      <c r="C77" s="16" t="s">
        <v>103</v>
      </c>
      <c r="D77" s="38" t="s">
        <v>104</v>
      </c>
      <c r="E77" s="17" t="s">
        <v>105</v>
      </c>
      <c r="F77" s="17" t="str">
        <f>'Source Table'!$A$20</f>
        <v>Misdemeanor Crimes</v>
      </c>
      <c r="G77" t="str">
        <f>'Source Table'!$E$20</f>
        <v>الجرائم الجنحوية</v>
      </c>
      <c r="H77" s="17" t="str">
        <f>'Source Table'!$B$27</f>
        <v>Prostitution</v>
      </c>
      <c r="I77" s="17" t="str">
        <f>'Source Table'!$D$27</f>
        <v>جرائم البغاء</v>
      </c>
      <c r="J77" s="18">
        <v>48</v>
      </c>
      <c r="K77">
        <v>2021</v>
      </c>
    </row>
    <row r="78" ht="15" spans="1:11">
      <c r="A78" t="s">
        <v>101</v>
      </c>
      <c r="B78" t="s">
        <v>102</v>
      </c>
      <c r="C78" s="16" t="s">
        <v>103</v>
      </c>
      <c r="D78" s="38" t="s">
        <v>104</v>
      </c>
      <c r="E78" s="17" t="s">
        <v>105</v>
      </c>
      <c r="F78" s="17" t="str">
        <f>'Source Table'!$A$20</f>
        <v>Misdemeanor Crimes</v>
      </c>
      <c r="G78" t="str">
        <f>'Source Table'!$E$20</f>
        <v>الجرائم الجنحوية</v>
      </c>
      <c r="H78" s="17" t="str">
        <f>'Source Table'!$B$28</f>
        <v>Adultery</v>
      </c>
      <c r="I78" s="17" t="str">
        <f>'Source Table'!$D$28</f>
        <v>الزنا</v>
      </c>
      <c r="J78" s="18">
        <v>166</v>
      </c>
      <c r="K78">
        <v>2021</v>
      </c>
    </row>
    <row r="79" ht="15" spans="1:11">
      <c r="A79" t="s">
        <v>101</v>
      </c>
      <c r="B79" t="s">
        <v>102</v>
      </c>
      <c r="C79" s="16" t="s">
        <v>103</v>
      </c>
      <c r="D79" s="38" t="s">
        <v>104</v>
      </c>
      <c r="E79" s="17" t="s">
        <v>105</v>
      </c>
      <c r="F79" s="17" t="str">
        <f>'Source Table'!$A$20</f>
        <v>Misdemeanor Crimes</v>
      </c>
      <c r="G79" t="str">
        <f>'Source Table'!$E$20</f>
        <v>الجرائم الجنحوية</v>
      </c>
      <c r="H79" s="17" t="str">
        <f>'Source Table'!$B$29</f>
        <v>Violating The Law of Archaeology</v>
      </c>
      <c r="I79" s="17" t="str">
        <f>'Source Table'!$D$29</f>
        <v>مخالفة قانون الآثار</v>
      </c>
      <c r="J79" s="18">
        <v>326</v>
      </c>
      <c r="K79">
        <v>2021</v>
      </c>
    </row>
    <row r="80" ht="15" spans="1:11">
      <c r="A80" t="s">
        <v>101</v>
      </c>
      <c r="B80" t="s">
        <v>102</v>
      </c>
      <c r="C80" s="16" t="s">
        <v>103</v>
      </c>
      <c r="D80" s="38" t="s">
        <v>104</v>
      </c>
      <c r="E80" s="17" t="s">
        <v>105</v>
      </c>
      <c r="F80" s="17" t="str">
        <f>'Source Table'!$A$20</f>
        <v>Misdemeanor Crimes</v>
      </c>
      <c r="G80" t="str">
        <f>'Source Table'!$E$20</f>
        <v>الجرائم الجنحوية</v>
      </c>
      <c r="H80" s="17" t="str">
        <f>'Source Table'!$B$30</f>
        <v>Firing Gunshots</v>
      </c>
      <c r="I80" s="17" t="str">
        <f>'Source Table'!$D$30</f>
        <v>إطلاق العيارات النارية</v>
      </c>
      <c r="J80" s="19">
        <v>1902</v>
      </c>
      <c r="K80">
        <v>2021</v>
      </c>
    </row>
    <row r="81" ht="15.75" spans="1:11">
      <c r="A81" t="s">
        <v>101</v>
      </c>
      <c r="B81" t="s">
        <v>102</v>
      </c>
      <c r="C81" s="16" t="s">
        <v>103</v>
      </c>
      <c r="D81" s="38" t="s">
        <v>104</v>
      </c>
      <c r="E81" s="17" t="s">
        <v>105</v>
      </c>
      <c r="F81" s="17" t="str">
        <f>'Source Table'!$A$20</f>
        <v>Misdemeanor Crimes</v>
      </c>
      <c r="G81" t="str">
        <f>'Source Table'!$E$20</f>
        <v>الجرائم الجنحوية</v>
      </c>
      <c r="H81" s="17" t="str">
        <f>'Source Table'!$B$31</f>
        <v>Gambling</v>
      </c>
      <c r="I81" s="17" t="str">
        <f>'Source Table'!$D$31</f>
        <v>المقامرة</v>
      </c>
      <c r="J81" s="20">
        <v>4</v>
      </c>
      <c r="K81">
        <v>2021</v>
      </c>
    </row>
    <row r="82" ht="15" spans="1:11">
      <c r="A82" t="s">
        <v>101</v>
      </c>
      <c r="B82" t="s">
        <v>102</v>
      </c>
      <c r="C82" s="16" t="s">
        <v>103</v>
      </c>
      <c r="D82" s="38" t="s">
        <v>104</v>
      </c>
      <c r="E82" s="17" t="s">
        <v>105</v>
      </c>
      <c r="F82" s="17" t="str">
        <f>'Source Table'!$A$6</f>
        <v>Felony Crimes</v>
      </c>
      <c r="G82" t="str">
        <f>'Source Table'!$E$6</f>
        <v>الجرائم الجنائية</v>
      </c>
      <c r="H82" t="str">
        <f>'Source Table'!$B$6</f>
        <v>Attempted Murder</v>
      </c>
      <c r="I82" t="str">
        <f>'Source Table'!$D$6</f>
        <v>الشروع بالقتل</v>
      </c>
      <c r="J82" s="18">
        <v>346</v>
      </c>
      <c r="K82">
        <v>2020</v>
      </c>
    </row>
    <row r="83" ht="15" spans="1:11">
      <c r="A83" t="s">
        <v>101</v>
      </c>
      <c r="B83" t="s">
        <v>102</v>
      </c>
      <c r="C83" s="16" t="s">
        <v>103</v>
      </c>
      <c r="D83" s="38" t="s">
        <v>104</v>
      </c>
      <c r="E83" s="17" t="s">
        <v>105</v>
      </c>
      <c r="F83" s="17" t="str">
        <f>'Source Table'!$A$6</f>
        <v>Felony Crimes</v>
      </c>
      <c r="G83" t="str">
        <f>'Source Table'!$E$6</f>
        <v>الجرائم الجنائية</v>
      </c>
      <c r="H83" t="str">
        <f>'Source Table'!$B$7</f>
        <v>premeditated Murder</v>
      </c>
      <c r="I83" t="str">
        <f>'Source Table'!$D$7</f>
        <v>القتل العمد</v>
      </c>
      <c r="J83" s="18">
        <v>39</v>
      </c>
      <c r="K83">
        <v>2020</v>
      </c>
    </row>
    <row r="84" ht="15" spans="1:11">
      <c r="A84" t="s">
        <v>101</v>
      </c>
      <c r="B84" t="s">
        <v>102</v>
      </c>
      <c r="C84" s="16" t="s">
        <v>103</v>
      </c>
      <c r="D84" s="38" t="s">
        <v>104</v>
      </c>
      <c r="E84" s="17" t="s">
        <v>105</v>
      </c>
      <c r="F84" s="17" t="str">
        <f>'Source Table'!$A$6</f>
        <v>Felony Crimes</v>
      </c>
      <c r="G84" t="str">
        <f>'Source Table'!$E$6</f>
        <v>الجرائم الجنائية</v>
      </c>
      <c r="H84" t="str">
        <f>'Source Table'!$B$8</f>
        <v>Murder</v>
      </c>
      <c r="I84" t="str">
        <f>'Source Table'!$D$8</f>
        <v>القتل القصد</v>
      </c>
      <c r="J84" s="18">
        <v>51</v>
      </c>
      <c r="K84">
        <v>2020</v>
      </c>
    </row>
    <row r="85" ht="15" spans="1:11">
      <c r="A85" t="s">
        <v>101</v>
      </c>
      <c r="B85" t="s">
        <v>102</v>
      </c>
      <c r="C85" s="16" t="s">
        <v>103</v>
      </c>
      <c r="D85" s="38" t="s">
        <v>104</v>
      </c>
      <c r="E85" s="17" t="s">
        <v>105</v>
      </c>
      <c r="F85" s="17" t="str">
        <f>'Source Table'!$A$6</f>
        <v>Felony Crimes</v>
      </c>
      <c r="G85" t="str">
        <f>'Source Table'!$E$6</f>
        <v>الجرائم الجنائية</v>
      </c>
      <c r="H85" t="str">
        <f>'Source Table'!$B$9</f>
        <v>Beating Leading to Death</v>
      </c>
      <c r="I85" t="str">
        <f>'Source Table'!$D$9</f>
        <v>الضرب المفضي إلى الموت</v>
      </c>
      <c r="J85" s="18">
        <v>9</v>
      </c>
      <c r="K85">
        <v>2020</v>
      </c>
    </row>
    <row r="86" ht="15" spans="1:11">
      <c r="A86" t="s">
        <v>101</v>
      </c>
      <c r="B86" t="s">
        <v>102</v>
      </c>
      <c r="C86" s="16" t="s">
        <v>103</v>
      </c>
      <c r="D86" s="38" t="s">
        <v>104</v>
      </c>
      <c r="E86" s="17" t="s">
        <v>105</v>
      </c>
      <c r="F86" s="17" t="str">
        <f>'Source Table'!$A$6</f>
        <v>Felony Crimes</v>
      </c>
      <c r="G86" t="str">
        <f>'Source Table'!$E$6</f>
        <v>الجرائم الجنائية</v>
      </c>
      <c r="H86" t="str">
        <f>'Source Table'!$B$10</f>
        <v>Criminal Theft</v>
      </c>
      <c r="I86" t="str">
        <f>'Source Table'!$D$10</f>
        <v>السرقة الجنائية</v>
      </c>
      <c r="J86" s="19">
        <v>3761</v>
      </c>
      <c r="K86">
        <v>2020</v>
      </c>
    </row>
    <row r="87" ht="15" spans="1:11">
      <c r="A87" t="s">
        <v>101</v>
      </c>
      <c r="B87" t="s">
        <v>102</v>
      </c>
      <c r="C87" s="16" t="s">
        <v>103</v>
      </c>
      <c r="D87" s="38" t="s">
        <v>104</v>
      </c>
      <c r="E87" s="17" t="s">
        <v>105</v>
      </c>
      <c r="F87" s="17" t="str">
        <f>'Source Table'!$A$6</f>
        <v>Felony Crimes</v>
      </c>
      <c r="G87" t="str">
        <f>'Source Table'!$E$6</f>
        <v>الجرائم الجنائية</v>
      </c>
      <c r="H87" t="str">
        <f>'Source Table'!$B$11</f>
        <v>Kidnapping</v>
      </c>
      <c r="I87" t="str">
        <f>'Source Table'!$D$11</f>
        <v>الخطف</v>
      </c>
      <c r="J87" s="18">
        <v>168</v>
      </c>
      <c r="K87">
        <v>2020</v>
      </c>
    </row>
    <row r="88" ht="15" spans="1:11">
      <c r="A88" t="s">
        <v>101</v>
      </c>
      <c r="B88" t="s">
        <v>102</v>
      </c>
      <c r="C88" s="16" t="s">
        <v>103</v>
      </c>
      <c r="D88" s="38" t="s">
        <v>104</v>
      </c>
      <c r="E88" s="17" t="s">
        <v>105</v>
      </c>
      <c r="F88" s="17" t="str">
        <f>'Source Table'!$A$6</f>
        <v>Felony Crimes</v>
      </c>
      <c r="G88" t="str">
        <f>'Source Table'!$E$6</f>
        <v>الجرائم الجنائية</v>
      </c>
      <c r="H88" t="str">
        <f>'Source Table'!$B$12</f>
        <v>Sexual Abuse</v>
      </c>
      <c r="I88" t="str">
        <f>'Source Table'!$D$12</f>
        <v>هـتك العرض</v>
      </c>
      <c r="J88" s="18">
        <v>822</v>
      </c>
      <c r="K88">
        <v>2020</v>
      </c>
    </row>
    <row r="89" ht="15" spans="1:11">
      <c r="A89" t="s">
        <v>101</v>
      </c>
      <c r="B89" t="s">
        <v>102</v>
      </c>
      <c r="C89" s="16" t="s">
        <v>103</v>
      </c>
      <c r="D89" s="38" t="s">
        <v>104</v>
      </c>
      <c r="E89" s="17" t="s">
        <v>105</v>
      </c>
      <c r="F89" s="17" t="str">
        <f>'Source Table'!$A$6</f>
        <v>Felony Crimes</v>
      </c>
      <c r="G89" t="str">
        <f>'Source Table'!$E$6</f>
        <v>الجرائم الجنائية</v>
      </c>
      <c r="H89" t="str">
        <f>'Source Table'!$B$13</f>
        <v>Forgery</v>
      </c>
      <c r="I89" t="str">
        <f>'Source Table'!$D$13</f>
        <v>التزوير الجنائي</v>
      </c>
      <c r="J89" s="18">
        <v>71</v>
      </c>
      <c r="K89">
        <v>2020</v>
      </c>
    </row>
    <row r="90" ht="15" spans="1:11">
      <c r="A90" t="s">
        <v>101</v>
      </c>
      <c r="B90" t="s">
        <v>102</v>
      </c>
      <c r="C90" s="16" t="s">
        <v>103</v>
      </c>
      <c r="D90" s="38" t="s">
        <v>104</v>
      </c>
      <c r="E90" s="17" t="s">
        <v>105</v>
      </c>
      <c r="F90" s="17" t="str">
        <f>'Source Table'!$A$6</f>
        <v>Felony Crimes</v>
      </c>
      <c r="G90" t="str">
        <f>'Source Table'!$E$6</f>
        <v>الجرائم الجنائية</v>
      </c>
      <c r="H90" t="str">
        <f>'Source Table'!$B$14</f>
        <v>Currency Counterfeit</v>
      </c>
      <c r="I90" t="str">
        <f>'Source Table'!$D$14</f>
        <v>تزييف النقد</v>
      </c>
      <c r="J90" s="18">
        <v>98</v>
      </c>
      <c r="K90">
        <v>2020</v>
      </c>
    </row>
    <row r="91" ht="15" spans="1:11">
      <c r="A91" t="s">
        <v>101</v>
      </c>
      <c r="B91" t="s">
        <v>102</v>
      </c>
      <c r="C91" s="16" t="s">
        <v>103</v>
      </c>
      <c r="D91" s="38" t="s">
        <v>104</v>
      </c>
      <c r="E91" s="17" t="s">
        <v>105</v>
      </c>
      <c r="F91" s="17" t="str">
        <f>'Source Table'!$A$6</f>
        <v>Felony Crimes</v>
      </c>
      <c r="G91" t="str">
        <f>'Source Table'!$E$6</f>
        <v>الجرائم الجنائية</v>
      </c>
      <c r="H91" t="str">
        <f>'Source Table'!$B$15</f>
        <v>Aggravated Assault</v>
      </c>
      <c r="I91" t="str">
        <f>'Source Table'!$D$15</f>
        <v>الإيذاء البليغ</v>
      </c>
      <c r="J91" s="18">
        <v>658</v>
      </c>
      <c r="K91">
        <v>2020</v>
      </c>
    </row>
    <row r="92" ht="15" spans="1:11">
      <c r="A92" t="s">
        <v>101</v>
      </c>
      <c r="B92" t="s">
        <v>102</v>
      </c>
      <c r="C92" s="16" t="s">
        <v>103</v>
      </c>
      <c r="D92" s="38" t="s">
        <v>104</v>
      </c>
      <c r="E92" s="17" t="s">
        <v>105</v>
      </c>
      <c r="F92" s="17" t="str">
        <f>'Source Table'!$A$6</f>
        <v>Felony Crimes</v>
      </c>
      <c r="G92" t="str">
        <f>'Source Table'!$E$6</f>
        <v>الجرائم الجنائية</v>
      </c>
      <c r="H92" t="str">
        <f>'Source Table'!$B$16</f>
        <v>Bribery</v>
      </c>
      <c r="I92" t="str">
        <f>'Source Table'!$D$16</f>
        <v>الرشوة</v>
      </c>
      <c r="J92" s="18">
        <v>103</v>
      </c>
      <c r="K92">
        <v>2020</v>
      </c>
    </row>
    <row r="93" ht="15" spans="1:11">
      <c r="A93" t="s">
        <v>101</v>
      </c>
      <c r="B93" t="s">
        <v>102</v>
      </c>
      <c r="C93" s="16" t="s">
        <v>103</v>
      </c>
      <c r="D93" s="38" t="s">
        <v>104</v>
      </c>
      <c r="E93" s="17" t="s">
        <v>105</v>
      </c>
      <c r="F93" s="17" t="str">
        <f>'Source Table'!$A$6</f>
        <v>Felony Crimes</v>
      </c>
      <c r="G93" t="str">
        <f>'Source Table'!$E$6</f>
        <v>الجرائم الجنائية</v>
      </c>
      <c r="H93" t="str">
        <f>'Source Table'!$B$17</f>
        <v>Criminal Conspiracy</v>
      </c>
      <c r="I93" t="str">
        <f>'Source Table'!$D$17</f>
        <v>الإتفاق الجنائي</v>
      </c>
      <c r="J93" s="18">
        <v>13</v>
      </c>
      <c r="K93">
        <v>2020</v>
      </c>
    </row>
    <row r="94" ht="15" spans="1:11">
      <c r="A94" t="s">
        <v>101</v>
      </c>
      <c r="B94" t="s">
        <v>102</v>
      </c>
      <c r="C94" s="16" t="s">
        <v>103</v>
      </c>
      <c r="D94" s="38" t="s">
        <v>104</v>
      </c>
      <c r="E94" s="17" t="s">
        <v>105</v>
      </c>
      <c r="F94" s="17" t="str">
        <f>'Source Table'!$A$6</f>
        <v>Felony Crimes</v>
      </c>
      <c r="G94" t="str">
        <f>'Source Table'!$E$6</f>
        <v>الجرائم الجنائية</v>
      </c>
      <c r="H94" t="str">
        <f>'Source Table'!$B$18</f>
        <v>Abortion</v>
      </c>
      <c r="I94" t="str">
        <f>'Source Table'!$D$18</f>
        <v>الإجهاض</v>
      </c>
      <c r="J94" s="18">
        <v>25</v>
      </c>
      <c r="K94">
        <v>2020</v>
      </c>
    </row>
    <row r="95" ht="15" spans="1:11">
      <c r="A95" t="s">
        <v>101</v>
      </c>
      <c r="B95" t="s">
        <v>102</v>
      </c>
      <c r="C95" s="16" t="s">
        <v>103</v>
      </c>
      <c r="D95" s="38" t="s">
        <v>104</v>
      </c>
      <c r="E95" s="17" t="s">
        <v>105</v>
      </c>
      <c r="F95" s="17" t="str">
        <f>'Source Table'!$A$6</f>
        <v>Felony Crimes</v>
      </c>
      <c r="G95" t="str">
        <f>'Source Table'!$E$6</f>
        <v>الجرائم الجنائية</v>
      </c>
      <c r="H95" t="str">
        <f>'Source Table'!$B$19</f>
        <v>Embezzlement</v>
      </c>
      <c r="I95" t="str">
        <f>'Source Table'!$D$19</f>
        <v>الاختلاس</v>
      </c>
      <c r="J95" s="18">
        <v>5</v>
      </c>
      <c r="K95">
        <v>2020</v>
      </c>
    </row>
    <row r="96" ht="15" spans="1:11">
      <c r="A96" t="s">
        <v>101</v>
      </c>
      <c r="B96" t="s">
        <v>102</v>
      </c>
      <c r="C96" s="16" t="s">
        <v>103</v>
      </c>
      <c r="D96" s="38" t="s">
        <v>104</v>
      </c>
      <c r="E96" s="17" t="s">
        <v>105</v>
      </c>
      <c r="F96" s="17" t="str">
        <f>'Source Table'!$A$20</f>
        <v>Misdemeanor Crimes</v>
      </c>
      <c r="G96" t="str">
        <f>'Source Table'!$E$20</f>
        <v>الجرائم الجنحوية</v>
      </c>
      <c r="H96" s="17" t="str">
        <f>'Source Table'!$B$20</f>
        <v>Manslaughter</v>
      </c>
      <c r="I96" s="17" t="str">
        <f>'Source Table'!$D$20</f>
        <v>القتل من غير قصد(القتل الخطأ)</v>
      </c>
      <c r="J96" s="18">
        <v>26</v>
      </c>
      <c r="K96">
        <v>2020</v>
      </c>
    </row>
    <row r="97" ht="15" spans="1:11">
      <c r="A97" t="s">
        <v>101</v>
      </c>
      <c r="B97" t="s">
        <v>102</v>
      </c>
      <c r="C97" s="16" t="s">
        <v>103</v>
      </c>
      <c r="D97" s="38" t="s">
        <v>104</v>
      </c>
      <c r="E97" s="17" t="s">
        <v>105</v>
      </c>
      <c r="F97" s="17" t="str">
        <f>'Source Table'!$A$20</f>
        <v>Misdemeanor Crimes</v>
      </c>
      <c r="G97" t="str">
        <f>'Source Table'!$E$20</f>
        <v>الجرائم الجنحوية</v>
      </c>
      <c r="H97" s="17" t="str">
        <f>'Source Table'!$B$21</f>
        <v>Misdemeanor Theft</v>
      </c>
      <c r="I97" s="17" t="str">
        <f>'Source Table'!$D$21</f>
        <v>السرقة الجنحوية</v>
      </c>
      <c r="J97" s="19">
        <v>7192</v>
      </c>
      <c r="K97">
        <v>2020</v>
      </c>
    </row>
    <row r="98" ht="15" spans="1:11">
      <c r="A98" t="s">
        <v>101</v>
      </c>
      <c r="B98" t="s">
        <v>102</v>
      </c>
      <c r="C98" s="16" t="s">
        <v>103</v>
      </c>
      <c r="D98" s="38" t="s">
        <v>104</v>
      </c>
      <c r="E98" s="17" t="s">
        <v>105</v>
      </c>
      <c r="F98" s="17" t="str">
        <f>'Source Table'!$A$20</f>
        <v>Misdemeanor Crimes</v>
      </c>
      <c r="G98" t="str">
        <f>'Source Table'!$E$20</f>
        <v>الجرائم الجنحوية</v>
      </c>
      <c r="H98" s="17" t="str">
        <f>'Source Table'!$B$22</f>
        <v>Fraud</v>
      </c>
      <c r="I98" s="17" t="str">
        <f>'Source Table'!$D$22</f>
        <v>الاحتيال</v>
      </c>
      <c r="J98" s="19">
        <v>2687</v>
      </c>
      <c r="K98">
        <v>2020</v>
      </c>
    </row>
    <row r="99" ht="15" spans="1:11">
      <c r="A99" t="s">
        <v>101</v>
      </c>
      <c r="B99" t="s">
        <v>102</v>
      </c>
      <c r="C99" s="16" t="s">
        <v>103</v>
      </c>
      <c r="D99" s="38" t="s">
        <v>104</v>
      </c>
      <c r="E99" s="17" t="s">
        <v>105</v>
      </c>
      <c r="F99" s="17" t="str">
        <f>'Source Table'!$A$20</f>
        <v>Misdemeanor Crimes</v>
      </c>
      <c r="G99" t="str">
        <f>'Source Table'!$E$20</f>
        <v>الجرائم الجنحوية</v>
      </c>
      <c r="H99" s="17" t="str">
        <f>'Source Table'!$B$23</f>
        <v>Attempted Theft</v>
      </c>
      <c r="I99" s="17" t="str">
        <f>'Source Table'!$D$23</f>
        <v>الشروع بالسرقة</v>
      </c>
      <c r="J99" s="18">
        <v>437</v>
      </c>
      <c r="K99">
        <v>2020</v>
      </c>
    </row>
    <row r="100" ht="15" spans="1:11">
      <c r="A100" t="s">
        <v>101</v>
      </c>
      <c r="B100" t="s">
        <v>102</v>
      </c>
      <c r="C100" s="16" t="s">
        <v>103</v>
      </c>
      <c r="D100" s="38" t="s">
        <v>104</v>
      </c>
      <c r="E100" s="17" t="s">
        <v>105</v>
      </c>
      <c r="F100" s="17" t="str">
        <f>'Source Table'!$A$20</f>
        <v>Misdemeanor Crimes</v>
      </c>
      <c r="G100" t="str">
        <f>'Source Table'!$E$20</f>
        <v>الجرائم الجنحوية</v>
      </c>
      <c r="H100" s="17" t="str">
        <f>'Source Table'!$B$24</f>
        <v>Resisting &amp; Assaulting Public Employees</v>
      </c>
      <c r="I100" s="17" t="str">
        <f>'Source Table'!$D$24</f>
        <v>المقاومةو الاعتداء على الموظفين</v>
      </c>
      <c r="J100" s="19">
        <v>2444</v>
      </c>
      <c r="K100">
        <v>2020</v>
      </c>
    </row>
    <row r="101" ht="15" spans="1:11">
      <c r="A101" t="s">
        <v>101</v>
      </c>
      <c r="B101" t="s">
        <v>102</v>
      </c>
      <c r="C101" s="16" t="s">
        <v>103</v>
      </c>
      <c r="D101" s="38" t="s">
        <v>104</v>
      </c>
      <c r="E101" s="17" t="s">
        <v>105</v>
      </c>
      <c r="F101" s="17" t="str">
        <f>'Source Table'!$A$20</f>
        <v>Misdemeanor Crimes</v>
      </c>
      <c r="G101" t="str">
        <f>'Source Table'!$E$20</f>
        <v>الجرائم الجنحوية</v>
      </c>
      <c r="H101" s="17" t="str">
        <f>'Source Table'!$B$25</f>
        <v>Car Theft /Auto Theft</v>
      </c>
      <c r="I101" s="17" t="str">
        <f>'Source Table'!$D$25</f>
        <v>سرقة السيارات</v>
      </c>
      <c r="J101" s="18">
        <v>572</v>
      </c>
      <c r="K101">
        <v>2020</v>
      </c>
    </row>
    <row r="102" ht="15" spans="1:11">
      <c r="A102" t="s">
        <v>101</v>
      </c>
      <c r="B102" t="s">
        <v>102</v>
      </c>
      <c r="C102" s="16" t="s">
        <v>103</v>
      </c>
      <c r="D102" s="38" t="s">
        <v>104</v>
      </c>
      <c r="E102" s="17" t="s">
        <v>105</v>
      </c>
      <c r="F102" s="17" t="str">
        <f>'Source Table'!$A$20</f>
        <v>Misdemeanor Crimes</v>
      </c>
      <c r="G102" t="str">
        <f>'Source Table'!$E$20</f>
        <v>الجرائم الجنحوية</v>
      </c>
      <c r="H102" s="17" t="str">
        <f>'Source Table'!$B$26</f>
        <v>Jobbery</v>
      </c>
      <c r="I102" s="17" t="str">
        <f>'Source Table'!$D$26</f>
        <v>استثمار الوظيفة</v>
      </c>
      <c r="J102" s="18">
        <v>9</v>
      </c>
      <c r="K102">
        <v>2020</v>
      </c>
    </row>
    <row r="103" ht="15" spans="1:11">
      <c r="A103" t="s">
        <v>101</v>
      </c>
      <c r="B103" t="s">
        <v>102</v>
      </c>
      <c r="C103" s="16" t="s">
        <v>103</v>
      </c>
      <c r="D103" s="38" t="s">
        <v>104</v>
      </c>
      <c r="E103" s="17" t="s">
        <v>105</v>
      </c>
      <c r="F103" s="17" t="str">
        <f>'Source Table'!$A$20</f>
        <v>Misdemeanor Crimes</v>
      </c>
      <c r="G103" t="str">
        <f>'Source Table'!$E$20</f>
        <v>الجرائم الجنحوية</v>
      </c>
      <c r="H103" s="17" t="str">
        <f>'Source Table'!$B$27</f>
        <v>Prostitution</v>
      </c>
      <c r="I103" s="17" t="str">
        <f>'Source Table'!$D$27</f>
        <v>جرائم البغاء</v>
      </c>
      <c r="J103" s="18">
        <v>41</v>
      </c>
      <c r="K103">
        <v>2020</v>
      </c>
    </row>
    <row r="104" ht="15" spans="1:11">
      <c r="A104" t="s">
        <v>101</v>
      </c>
      <c r="B104" t="s">
        <v>102</v>
      </c>
      <c r="C104" s="16" t="s">
        <v>103</v>
      </c>
      <c r="D104" s="38" t="s">
        <v>104</v>
      </c>
      <c r="E104" s="17" t="s">
        <v>105</v>
      </c>
      <c r="F104" s="17" t="str">
        <f>'Source Table'!$A$20</f>
        <v>Misdemeanor Crimes</v>
      </c>
      <c r="G104" t="str">
        <f>'Source Table'!$E$20</f>
        <v>الجرائم الجنحوية</v>
      </c>
      <c r="H104" s="17" t="str">
        <f>'Source Table'!$B$28</f>
        <v>Adultery</v>
      </c>
      <c r="I104" s="17" t="str">
        <f>'Source Table'!$D$28</f>
        <v>الزنا</v>
      </c>
      <c r="J104" s="18">
        <v>146</v>
      </c>
      <c r="K104">
        <v>2020</v>
      </c>
    </row>
    <row r="105" ht="15" spans="1:11">
      <c r="A105" t="s">
        <v>101</v>
      </c>
      <c r="B105" t="s">
        <v>102</v>
      </c>
      <c r="C105" s="16" t="s">
        <v>103</v>
      </c>
      <c r="D105" s="38" t="s">
        <v>104</v>
      </c>
      <c r="E105" s="17" t="s">
        <v>105</v>
      </c>
      <c r="F105" s="17" t="str">
        <f>'Source Table'!$A$20</f>
        <v>Misdemeanor Crimes</v>
      </c>
      <c r="G105" t="str">
        <f>'Source Table'!$E$20</f>
        <v>الجرائم الجنحوية</v>
      </c>
      <c r="H105" s="17" t="str">
        <f>'Source Table'!$B$29</f>
        <v>Violating The Law of Archaeology</v>
      </c>
      <c r="I105" s="17" t="str">
        <f>'Source Table'!$D$29</f>
        <v>مخالفة قانون الآثار</v>
      </c>
      <c r="J105" s="18">
        <v>329</v>
      </c>
      <c r="K105">
        <v>2020</v>
      </c>
    </row>
    <row r="106" ht="15" spans="1:11">
      <c r="A106" t="s">
        <v>101</v>
      </c>
      <c r="B106" t="s">
        <v>102</v>
      </c>
      <c r="C106" s="16" t="s">
        <v>103</v>
      </c>
      <c r="D106" s="38" t="s">
        <v>104</v>
      </c>
      <c r="E106" s="17" t="s">
        <v>105</v>
      </c>
      <c r="F106" s="17" t="str">
        <f>'Source Table'!$A$20</f>
        <v>Misdemeanor Crimes</v>
      </c>
      <c r="G106" t="str">
        <f>'Source Table'!$E$20</f>
        <v>الجرائم الجنحوية</v>
      </c>
      <c r="H106" s="17" t="str">
        <f>'Source Table'!$B$30</f>
        <v>Firing Gunshots</v>
      </c>
      <c r="I106" s="17" t="str">
        <f>'Source Table'!$D$30</f>
        <v>إطلاق العيارات النارية</v>
      </c>
      <c r="J106" s="19">
        <v>2127</v>
      </c>
      <c r="K106">
        <v>2020</v>
      </c>
    </row>
    <row r="107" ht="15.75" spans="1:11">
      <c r="A107" t="s">
        <v>101</v>
      </c>
      <c r="B107" t="s">
        <v>102</v>
      </c>
      <c r="C107" s="16" t="s">
        <v>103</v>
      </c>
      <c r="D107" s="38" t="s">
        <v>104</v>
      </c>
      <c r="E107" s="17" t="s">
        <v>105</v>
      </c>
      <c r="F107" s="17" t="str">
        <f>'Source Table'!$A$20</f>
        <v>Misdemeanor Crimes</v>
      </c>
      <c r="G107" t="str">
        <f>'Source Table'!$E$20</f>
        <v>الجرائم الجنحوية</v>
      </c>
      <c r="H107" s="17" t="str">
        <f>'Source Table'!$B$31</f>
        <v>Gambling</v>
      </c>
      <c r="I107" s="17" t="str">
        <f>'Source Table'!$D$31</f>
        <v>المقامرة</v>
      </c>
      <c r="J107" s="20">
        <v>8</v>
      </c>
      <c r="K107">
        <v>2020</v>
      </c>
    </row>
    <row r="108" ht="15" spans="1:11">
      <c r="A108" t="s">
        <v>101</v>
      </c>
      <c r="B108" t="s">
        <v>102</v>
      </c>
      <c r="C108" s="16" t="s">
        <v>103</v>
      </c>
      <c r="D108" s="38" t="s">
        <v>104</v>
      </c>
      <c r="E108" s="17" t="s">
        <v>105</v>
      </c>
      <c r="F108" s="17" t="str">
        <f>'Source Table'!$A$6</f>
        <v>Felony Crimes</v>
      </c>
      <c r="G108" t="str">
        <f>'Source Table'!$E$6</f>
        <v>الجرائم الجنائية</v>
      </c>
      <c r="H108" t="str">
        <f>'Source Table'!$B$6</f>
        <v>Attempted Murder</v>
      </c>
      <c r="I108" t="str">
        <f>'Source Table'!$D$6</f>
        <v>الشروع بالقتل</v>
      </c>
      <c r="J108" s="18">
        <v>294</v>
      </c>
      <c r="K108">
        <v>2019</v>
      </c>
    </row>
    <row r="109" ht="15" spans="1:11">
      <c r="A109" t="s">
        <v>101</v>
      </c>
      <c r="B109" t="s">
        <v>102</v>
      </c>
      <c r="C109" s="16" t="s">
        <v>103</v>
      </c>
      <c r="D109" s="38" t="s">
        <v>104</v>
      </c>
      <c r="E109" s="17" t="s">
        <v>105</v>
      </c>
      <c r="F109" s="17" t="str">
        <f>'Source Table'!$A$6</f>
        <v>Felony Crimes</v>
      </c>
      <c r="G109" t="str">
        <f>'Source Table'!$E$6</f>
        <v>الجرائم الجنائية</v>
      </c>
      <c r="H109" t="str">
        <f>'Source Table'!$B$7</f>
        <v>premeditated Murder</v>
      </c>
      <c r="I109" t="str">
        <f>'Source Table'!$D$7</f>
        <v>القتل العمد</v>
      </c>
      <c r="J109" s="18">
        <v>58</v>
      </c>
      <c r="K109">
        <v>2019</v>
      </c>
    </row>
    <row r="110" ht="15" spans="1:11">
      <c r="A110" t="s">
        <v>101</v>
      </c>
      <c r="B110" t="s">
        <v>102</v>
      </c>
      <c r="C110" s="16" t="s">
        <v>103</v>
      </c>
      <c r="D110" s="38" t="s">
        <v>104</v>
      </c>
      <c r="E110" s="17" t="s">
        <v>105</v>
      </c>
      <c r="F110" s="17" t="str">
        <f>'Source Table'!$A$6</f>
        <v>Felony Crimes</v>
      </c>
      <c r="G110" t="str">
        <f>'Source Table'!$E$6</f>
        <v>الجرائم الجنائية</v>
      </c>
      <c r="H110" t="str">
        <f>'Source Table'!$B$8</f>
        <v>Murder</v>
      </c>
      <c r="I110" t="str">
        <f>'Source Table'!$D$8</f>
        <v>القتل القصد</v>
      </c>
      <c r="J110" s="18">
        <v>52</v>
      </c>
      <c r="K110">
        <v>2019</v>
      </c>
    </row>
    <row r="111" ht="15" spans="1:11">
      <c r="A111" t="s">
        <v>101</v>
      </c>
      <c r="B111" t="s">
        <v>102</v>
      </c>
      <c r="C111" s="16" t="s">
        <v>103</v>
      </c>
      <c r="D111" s="38" t="s">
        <v>104</v>
      </c>
      <c r="E111" s="17" t="s">
        <v>105</v>
      </c>
      <c r="F111" s="17" t="str">
        <f>'Source Table'!$A$6</f>
        <v>Felony Crimes</v>
      </c>
      <c r="G111" t="str">
        <f>'Source Table'!$E$6</f>
        <v>الجرائم الجنائية</v>
      </c>
      <c r="H111" t="str">
        <f>'Source Table'!$B$9</f>
        <v>Beating Leading to Death</v>
      </c>
      <c r="I111" t="str">
        <f>'Source Table'!$D$9</f>
        <v>الضرب المفضي إلى الموت</v>
      </c>
      <c r="J111" s="18">
        <v>8</v>
      </c>
      <c r="K111">
        <v>2019</v>
      </c>
    </row>
    <row r="112" ht="15" spans="1:11">
      <c r="A112" t="s">
        <v>101</v>
      </c>
      <c r="B112" t="s">
        <v>102</v>
      </c>
      <c r="C112" s="16" t="s">
        <v>103</v>
      </c>
      <c r="D112" s="38" t="s">
        <v>104</v>
      </c>
      <c r="E112" s="17" t="s">
        <v>105</v>
      </c>
      <c r="F112" s="17" t="str">
        <f>'Source Table'!$A$6</f>
        <v>Felony Crimes</v>
      </c>
      <c r="G112" t="str">
        <f>'Source Table'!$E$6</f>
        <v>الجرائم الجنائية</v>
      </c>
      <c r="H112" t="str">
        <f>'Source Table'!$B$10</f>
        <v>Criminal Theft</v>
      </c>
      <c r="I112" t="str">
        <f>'Source Table'!$D$10</f>
        <v>السرقة الجنائية</v>
      </c>
      <c r="J112" s="19">
        <v>4382</v>
      </c>
      <c r="K112">
        <v>2019</v>
      </c>
    </row>
    <row r="113" ht="15" spans="1:11">
      <c r="A113" t="s">
        <v>101</v>
      </c>
      <c r="B113" t="s">
        <v>102</v>
      </c>
      <c r="C113" s="16" t="s">
        <v>103</v>
      </c>
      <c r="D113" s="38" t="s">
        <v>104</v>
      </c>
      <c r="E113" s="17" t="s">
        <v>105</v>
      </c>
      <c r="F113" s="17" t="str">
        <f>'Source Table'!$A$6</f>
        <v>Felony Crimes</v>
      </c>
      <c r="G113" t="str">
        <f>'Source Table'!$E$6</f>
        <v>الجرائم الجنائية</v>
      </c>
      <c r="H113" t="str">
        <f>'Source Table'!$B$11</f>
        <v>Kidnapping</v>
      </c>
      <c r="I113" t="str">
        <f>'Source Table'!$D$11</f>
        <v>الخطف</v>
      </c>
      <c r="J113" s="18">
        <v>180</v>
      </c>
      <c r="K113">
        <v>2019</v>
      </c>
    </row>
    <row r="114" ht="15" spans="1:11">
      <c r="A114" t="s">
        <v>101</v>
      </c>
      <c r="B114" t="s">
        <v>102</v>
      </c>
      <c r="C114" s="16" t="s">
        <v>103</v>
      </c>
      <c r="D114" s="38" t="s">
        <v>104</v>
      </c>
      <c r="E114" s="17" t="s">
        <v>105</v>
      </c>
      <c r="F114" s="17" t="str">
        <f>'Source Table'!$A$6</f>
        <v>Felony Crimes</v>
      </c>
      <c r="G114" t="str">
        <f>'Source Table'!$E$6</f>
        <v>الجرائم الجنائية</v>
      </c>
      <c r="H114" t="str">
        <f>'Source Table'!$B$12</f>
        <v>Sexual Abuse</v>
      </c>
      <c r="I114" t="str">
        <f>'Source Table'!$D$12</f>
        <v>هـتك العرض</v>
      </c>
      <c r="J114" s="19">
        <v>1013</v>
      </c>
      <c r="K114">
        <v>2019</v>
      </c>
    </row>
    <row r="115" ht="15" spans="1:11">
      <c r="A115" t="s">
        <v>101</v>
      </c>
      <c r="B115" t="s">
        <v>102</v>
      </c>
      <c r="C115" s="16" t="s">
        <v>103</v>
      </c>
      <c r="D115" s="38" t="s">
        <v>104</v>
      </c>
      <c r="E115" s="17" t="s">
        <v>105</v>
      </c>
      <c r="F115" s="17" t="str">
        <f>'Source Table'!$A$6</f>
        <v>Felony Crimes</v>
      </c>
      <c r="G115" t="str">
        <f>'Source Table'!$E$6</f>
        <v>الجرائم الجنائية</v>
      </c>
      <c r="H115" t="str">
        <f>'Source Table'!$B$13</f>
        <v>Forgery</v>
      </c>
      <c r="I115" t="str">
        <f>'Source Table'!$D$13</f>
        <v>التزوير الجنائي</v>
      </c>
      <c r="J115" s="18">
        <v>103</v>
      </c>
      <c r="K115">
        <v>2019</v>
      </c>
    </row>
    <row r="116" ht="15" spans="1:11">
      <c r="A116" t="s">
        <v>101</v>
      </c>
      <c r="B116" t="s">
        <v>102</v>
      </c>
      <c r="C116" s="16" t="s">
        <v>103</v>
      </c>
      <c r="D116" s="38" t="s">
        <v>104</v>
      </c>
      <c r="E116" s="17" t="s">
        <v>105</v>
      </c>
      <c r="F116" s="17" t="str">
        <f>'Source Table'!$A$6</f>
        <v>Felony Crimes</v>
      </c>
      <c r="G116" t="str">
        <f>'Source Table'!$E$6</f>
        <v>الجرائم الجنائية</v>
      </c>
      <c r="H116" t="str">
        <f>'Source Table'!$B$14</f>
        <v>Currency Counterfeit</v>
      </c>
      <c r="I116" t="str">
        <f>'Source Table'!$D$14</f>
        <v>تزييف النقد</v>
      </c>
      <c r="J116" s="18">
        <v>110</v>
      </c>
      <c r="K116">
        <v>2019</v>
      </c>
    </row>
    <row r="117" ht="15" spans="1:11">
      <c r="A117" t="s">
        <v>101</v>
      </c>
      <c r="B117" t="s">
        <v>102</v>
      </c>
      <c r="C117" s="16" t="s">
        <v>103</v>
      </c>
      <c r="D117" s="38" t="s">
        <v>104</v>
      </c>
      <c r="E117" s="17" t="s">
        <v>105</v>
      </c>
      <c r="F117" s="17" t="str">
        <f>'Source Table'!$A$6</f>
        <v>Felony Crimes</v>
      </c>
      <c r="G117" t="str">
        <f>'Source Table'!$E$6</f>
        <v>الجرائم الجنائية</v>
      </c>
      <c r="H117" t="str">
        <f>'Source Table'!$B$15</f>
        <v>Aggravated Assault</v>
      </c>
      <c r="I117" t="str">
        <f>'Source Table'!$D$15</f>
        <v>الإيذاء البليغ</v>
      </c>
      <c r="J117" s="18">
        <v>731</v>
      </c>
      <c r="K117">
        <v>2019</v>
      </c>
    </row>
    <row r="118" ht="15" spans="1:11">
      <c r="A118" t="s">
        <v>101</v>
      </c>
      <c r="B118" t="s">
        <v>102</v>
      </c>
      <c r="C118" s="16" t="s">
        <v>103</v>
      </c>
      <c r="D118" s="38" t="s">
        <v>104</v>
      </c>
      <c r="E118" s="17" t="s">
        <v>105</v>
      </c>
      <c r="F118" s="17" t="str">
        <f>'Source Table'!$A$6</f>
        <v>Felony Crimes</v>
      </c>
      <c r="G118" t="str">
        <f>'Source Table'!$E$6</f>
        <v>الجرائم الجنائية</v>
      </c>
      <c r="H118" t="str">
        <f>'Source Table'!$B$16</f>
        <v>Bribery</v>
      </c>
      <c r="I118" t="str">
        <f>'Source Table'!$D$16</f>
        <v>الرشوة</v>
      </c>
      <c r="J118" s="18">
        <v>153</v>
      </c>
      <c r="K118">
        <v>2019</v>
      </c>
    </row>
    <row r="119" ht="15" spans="1:11">
      <c r="A119" t="s">
        <v>101</v>
      </c>
      <c r="B119" t="s">
        <v>102</v>
      </c>
      <c r="C119" s="16" t="s">
        <v>103</v>
      </c>
      <c r="D119" s="38" t="s">
        <v>104</v>
      </c>
      <c r="E119" s="17" t="s">
        <v>105</v>
      </c>
      <c r="F119" s="17" t="str">
        <f>'Source Table'!$A$6</f>
        <v>Felony Crimes</v>
      </c>
      <c r="G119" t="str">
        <f>'Source Table'!$E$6</f>
        <v>الجرائم الجنائية</v>
      </c>
      <c r="H119" t="str">
        <f>'Source Table'!$B$17</f>
        <v>Criminal Conspiracy</v>
      </c>
      <c r="I119" t="str">
        <f>'Source Table'!$D$17</f>
        <v>الإتفاق الجنائي</v>
      </c>
      <c r="J119" s="18">
        <v>33</v>
      </c>
      <c r="K119">
        <v>2019</v>
      </c>
    </row>
    <row r="120" ht="15" spans="1:11">
      <c r="A120" t="s">
        <v>101</v>
      </c>
      <c r="B120" t="s">
        <v>102</v>
      </c>
      <c r="C120" s="16" t="s">
        <v>103</v>
      </c>
      <c r="D120" s="38" t="s">
        <v>104</v>
      </c>
      <c r="E120" s="17" t="s">
        <v>105</v>
      </c>
      <c r="F120" s="17" t="str">
        <f>'Source Table'!$A$6</f>
        <v>Felony Crimes</v>
      </c>
      <c r="G120" t="str">
        <f>'Source Table'!$E$6</f>
        <v>الجرائم الجنائية</v>
      </c>
      <c r="H120" t="str">
        <f>'Source Table'!$B$18</f>
        <v>Abortion</v>
      </c>
      <c r="I120" t="str">
        <f>'Source Table'!$D$18</f>
        <v>الإجهاض</v>
      </c>
      <c r="J120" s="18">
        <v>13</v>
      </c>
      <c r="K120">
        <v>2019</v>
      </c>
    </row>
    <row r="121" ht="15" spans="1:11">
      <c r="A121" t="s">
        <v>101</v>
      </c>
      <c r="B121" t="s">
        <v>102</v>
      </c>
      <c r="C121" s="16" t="s">
        <v>103</v>
      </c>
      <c r="D121" s="38" t="s">
        <v>104</v>
      </c>
      <c r="E121" s="17" t="s">
        <v>105</v>
      </c>
      <c r="F121" s="17" t="str">
        <f>'Source Table'!$A$6</f>
        <v>Felony Crimes</v>
      </c>
      <c r="G121" t="str">
        <f>'Source Table'!$E$6</f>
        <v>الجرائم الجنائية</v>
      </c>
      <c r="H121" t="str">
        <f>'Source Table'!$B$19</f>
        <v>Embezzlement</v>
      </c>
      <c r="I121" t="str">
        <f>'Source Table'!$D$19</f>
        <v>الاختلاس</v>
      </c>
      <c r="J121" s="18">
        <v>4</v>
      </c>
      <c r="K121">
        <v>2019</v>
      </c>
    </row>
    <row r="122" ht="15" spans="1:11">
      <c r="A122" t="s">
        <v>101</v>
      </c>
      <c r="B122" t="s">
        <v>102</v>
      </c>
      <c r="C122" s="16" t="s">
        <v>103</v>
      </c>
      <c r="D122" s="38" t="s">
        <v>104</v>
      </c>
      <c r="E122" s="17" t="s">
        <v>105</v>
      </c>
      <c r="F122" s="17" t="str">
        <f>'Source Table'!$A$20</f>
        <v>Misdemeanor Crimes</v>
      </c>
      <c r="G122" t="str">
        <f>'Source Table'!$E$20</f>
        <v>الجرائم الجنحوية</v>
      </c>
      <c r="H122" s="17" t="str">
        <f>'Source Table'!$B$20</f>
        <v>Manslaughter</v>
      </c>
      <c r="I122" s="17" t="str">
        <f>'Source Table'!$D$20</f>
        <v>القتل من غير قصد(القتل الخطأ)</v>
      </c>
      <c r="J122" s="18">
        <v>34</v>
      </c>
      <c r="K122">
        <v>2019</v>
      </c>
    </row>
    <row r="123" ht="15" spans="1:11">
      <c r="A123" t="s">
        <v>101</v>
      </c>
      <c r="B123" t="s">
        <v>102</v>
      </c>
      <c r="C123" s="16" t="s">
        <v>103</v>
      </c>
      <c r="D123" s="38" t="s">
        <v>104</v>
      </c>
      <c r="E123" s="17" t="s">
        <v>105</v>
      </c>
      <c r="F123" s="17" t="str">
        <f>'Source Table'!$A$20</f>
        <v>Misdemeanor Crimes</v>
      </c>
      <c r="G123" t="str">
        <f>'Source Table'!$E$20</f>
        <v>الجرائم الجنحوية</v>
      </c>
      <c r="H123" s="17" t="str">
        <f>'Source Table'!$B$21</f>
        <v>Misdemeanor Theft</v>
      </c>
      <c r="I123" s="17" t="str">
        <f>'Source Table'!$D$21</f>
        <v>السرقة الجنحوية</v>
      </c>
      <c r="J123" s="19">
        <v>10106</v>
      </c>
      <c r="K123">
        <v>2019</v>
      </c>
    </row>
    <row r="124" ht="15" spans="1:11">
      <c r="A124" t="s">
        <v>101</v>
      </c>
      <c r="B124" t="s">
        <v>102</v>
      </c>
      <c r="C124" s="16" t="s">
        <v>103</v>
      </c>
      <c r="D124" s="38" t="s">
        <v>104</v>
      </c>
      <c r="E124" s="17" t="s">
        <v>105</v>
      </c>
      <c r="F124" s="17" t="str">
        <f>'Source Table'!$A$20</f>
        <v>Misdemeanor Crimes</v>
      </c>
      <c r="G124" t="str">
        <f>'Source Table'!$E$20</f>
        <v>الجرائم الجنحوية</v>
      </c>
      <c r="H124" s="17" t="str">
        <f>'Source Table'!$B$22</f>
        <v>Fraud</v>
      </c>
      <c r="I124" s="17" t="str">
        <f>'Source Table'!$D$22</f>
        <v>الاحتيال</v>
      </c>
      <c r="J124" s="19">
        <v>2771</v>
      </c>
      <c r="K124">
        <v>2019</v>
      </c>
    </row>
    <row r="125" ht="15" spans="1:11">
      <c r="A125" t="s">
        <v>101</v>
      </c>
      <c r="B125" t="s">
        <v>102</v>
      </c>
      <c r="C125" s="16" t="s">
        <v>103</v>
      </c>
      <c r="D125" s="38" t="s">
        <v>104</v>
      </c>
      <c r="E125" s="17" t="s">
        <v>105</v>
      </c>
      <c r="F125" s="17" t="str">
        <f>'Source Table'!$A$20</f>
        <v>Misdemeanor Crimes</v>
      </c>
      <c r="G125" t="str">
        <f>'Source Table'!$E$20</f>
        <v>الجرائم الجنحوية</v>
      </c>
      <c r="H125" s="17" t="str">
        <f>'Source Table'!$B$23</f>
        <v>Attempted Theft</v>
      </c>
      <c r="I125" s="17" t="str">
        <f>'Source Table'!$D$23</f>
        <v>الشروع بالسرقة</v>
      </c>
      <c r="J125" s="18">
        <v>491</v>
      </c>
      <c r="K125">
        <v>2019</v>
      </c>
    </row>
    <row r="126" ht="15" spans="1:11">
      <c r="A126" t="s">
        <v>101</v>
      </c>
      <c r="B126" t="s">
        <v>102</v>
      </c>
      <c r="C126" s="16" t="s">
        <v>103</v>
      </c>
      <c r="D126" s="38" t="s">
        <v>104</v>
      </c>
      <c r="E126" s="17" t="s">
        <v>105</v>
      </c>
      <c r="F126" s="17" t="str">
        <f>'Source Table'!$A$20</f>
        <v>Misdemeanor Crimes</v>
      </c>
      <c r="G126" t="str">
        <f>'Source Table'!$E$20</f>
        <v>الجرائم الجنحوية</v>
      </c>
      <c r="H126" s="17" t="str">
        <f>'Source Table'!$B$24</f>
        <v>Resisting &amp; Assaulting Public Employees</v>
      </c>
      <c r="I126" s="17" t="str">
        <f>'Source Table'!$D$24</f>
        <v>المقاومةو الاعتداء على الموظفين</v>
      </c>
      <c r="J126" s="19">
        <v>2257</v>
      </c>
      <c r="K126">
        <v>2019</v>
      </c>
    </row>
    <row r="127" ht="15" spans="1:11">
      <c r="A127" t="s">
        <v>101</v>
      </c>
      <c r="B127" t="s">
        <v>102</v>
      </c>
      <c r="C127" s="16" t="s">
        <v>103</v>
      </c>
      <c r="D127" s="38" t="s">
        <v>104</v>
      </c>
      <c r="E127" s="17" t="s">
        <v>105</v>
      </c>
      <c r="F127" s="17" t="str">
        <f>'Source Table'!$A$20</f>
        <v>Misdemeanor Crimes</v>
      </c>
      <c r="G127" t="str">
        <f>'Source Table'!$E$20</f>
        <v>الجرائم الجنحوية</v>
      </c>
      <c r="H127" s="17" t="str">
        <f>'Source Table'!$B$25</f>
        <v>Car Theft /Auto Theft</v>
      </c>
      <c r="I127" s="17" t="str">
        <f>'Source Table'!$D$25</f>
        <v>سرقة السيارات</v>
      </c>
      <c r="J127" s="18">
        <v>709</v>
      </c>
      <c r="K127">
        <v>2019</v>
      </c>
    </row>
    <row r="128" ht="15" spans="1:11">
      <c r="A128" t="s">
        <v>101</v>
      </c>
      <c r="B128" t="s">
        <v>102</v>
      </c>
      <c r="C128" s="16" t="s">
        <v>103</v>
      </c>
      <c r="D128" s="38" t="s">
        <v>104</v>
      </c>
      <c r="E128" s="17" t="s">
        <v>105</v>
      </c>
      <c r="F128" s="17" t="str">
        <f>'Source Table'!$A$20</f>
        <v>Misdemeanor Crimes</v>
      </c>
      <c r="G128" t="str">
        <f>'Source Table'!$E$20</f>
        <v>الجرائم الجنحوية</v>
      </c>
      <c r="H128" s="17" t="str">
        <f>'Source Table'!$B$26</f>
        <v>Jobbery</v>
      </c>
      <c r="I128" s="17" t="str">
        <f>'Source Table'!$D$26</f>
        <v>استثمار الوظيفة</v>
      </c>
      <c r="J128" s="18">
        <v>5</v>
      </c>
      <c r="K128">
        <v>2019</v>
      </c>
    </row>
    <row r="129" ht="15" spans="1:11">
      <c r="A129" t="s">
        <v>101</v>
      </c>
      <c r="B129" t="s">
        <v>102</v>
      </c>
      <c r="C129" s="16" t="s">
        <v>103</v>
      </c>
      <c r="D129" s="38" t="s">
        <v>104</v>
      </c>
      <c r="E129" s="17" t="s">
        <v>105</v>
      </c>
      <c r="F129" s="17" t="str">
        <f>'Source Table'!$A$20</f>
        <v>Misdemeanor Crimes</v>
      </c>
      <c r="G129" t="str">
        <f>'Source Table'!$E$20</f>
        <v>الجرائم الجنحوية</v>
      </c>
      <c r="H129" s="17" t="str">
        <f>'Source Table'!$B$27</f>
        <v>Prostitution</v>
      </c>
      <c r="I129" s="17" t="str">
        <f>'Source Table'!$D$27</f>
        <v>جرائم البغاء</v>
      </c>
      <c r="J129" s="18">
        <v>54</v>
      </c>
      <c r="K129">
        <v>2019</v>
      </c>
    </row>
    <row r="130" ht="15" spans="1:11">
      <c r="A130" t="s">
        <v>101</v>
      </c>
      <c r="B130" t="s">
        <v>102</v>
      </c>
      <c r="C130" s="16" t="s">
        <v>103</v>
      </c>
      <c r="D130" s="38" t="s">
        <v>104</v>
      </c>
      <c r="E130" s="17" t="s">
        <v>105</v>
      </c>
      <c r="F130" s="17" t="str">
        <f>'Source Table'!$A$20</f>
        <v>Misdemeanor Crimes</v>
      </c>
      <c r="G130" t="str">
        <f>'Source Table'!$E$20</f>
        <v>الجرائم الجنحوية</v>
      </c>
      <c r="H130" s="17" t="str">
        <f>'Source Table'!$B$28</f>
        <v>Adultery</v>
      </c>
      <c r="I130" s="17" t="str">
        <f>'Source Table'!$D$28</f>
        <v>الزنا</v>
      </c>
      <c r="J130" s="18">
        <v>118</v>
      </c>
      <c r="K130">
        <v>2019</v>
      </c>
    </row>
    <row r="131" ht="15" spans="1:11">
      <c r="A131" t="s">
        <v>101</v>
      </c>
      <c r="B131" t="s">
        <v>102</v>
      </c>
      <c r="C131" s="16" t="s">
        <v>103</v>
      </c>
      <c r="D131" s="38" t="s">
        <v>104</v>
      </c>
      <c r="E131" s="17" t="s">
        <v>105</v>
      </c>
      <c r="F131" s="17" t="str">
        <f>'Source Table'!$A$20</f>
        <v>Misdemeanor Crimes</v>
      </c>
      <c r="G131" t="str">
        <f>'Source Table'!$E$20</f>
        <v>الجرائم الجنحوية</v>
      </c>
      <c r="H131" s="17" t="str">
        <f>'Source Table'!$B$29</f>
        <v>Violating The Law of Archaeology</v>
      </c>
      <c r="I131" s="17" t="str">
        <f>'Source Table'!$D$29</f>
        <v>مخالفة قانون الآثار</v>
      </c>
      <c r="J131" s="18">
        <v>378</v>
      </c>
      <c r="K131">
        <v>2019</v>
      </c>
    </row>
    <row r="132" ht="15" spans="1:11">
      <c r="A132" t="s">
        <v>101</v>
      </c>
      <c r="B132" t="s">
        <v>102</v>
      </c>
      <c r="C132" s="16" t="s">
        <v>103</v>
      </c>
      <c r="D132" s="38" t="s">
        <v>104</v>
      </c>
      <c r="E132" s="17" t="s">
        <v>105</v>
      </c>
      <c r="F132" s="17" t="str">
        <f>'Source Table'!$A$20</f>
        <v>Misdemeanor Crimes</v>
      </c>
      <c r="G132" t="str">
        <f>'Source Table'!$E$20</f>
        <v>الجرائم الجنحوية</v>
      </c>
      <c r="H132" s="17" t="str">
        <f>'Source Table'!$B$30</f>
        <v>Firing Gunshots</v>
      </c>
      <c r="I132" s="17" t="str">
        <f>'Source Table'!$D$30</f>
        <v>إطلاق العيارات النارية</v>
      </c>
      <c r="J132" s="19">
        <v>2171</v>
      </c>
      <c r="K132">
        <v>2019</v>
      </c>
    </row>
    <row r="133" ht="15.75" spans="1:11">
      <c r="A133" t="s">
        <v>101</v>
      </c>
      <c r="B133" t="s">
        <v>102</v>
      </c>
      <c r="C133" s="16" t="s">
        <v>103</v>
      </c>
      <c r="D133" s="38" t="s">
        <v>104</v>
      </c>
      <c r="E133" s="17" t="s">
        <v>105</v>
      </c>
      <c r="F133" s="17" t="str">
        <f>'Source Table'!$A$20</f>
        <v>Misdemeanor Crimes</v>
      </c>
      <c r="G133" t="str">
        <f>'Source Table'!$E$20</f>
        <v>الجرائم الجنحوية</v>
      </c>
      <c r="H133" s="17" t="str">
        <f>'Source Table'!$B$31</f>
        <v>Gambling</v>
      </c>
      <c r="I133" s="17" t="str">
        <f>'Source Table'!$D$31</f>
        <v>المقامرة</v>
      </c>
      <c r="J133" s="20">
        <v>5</v>
      </c>
      <c r="K133">
        <v>2019</v>
      </c>
    </row>
    <row r="134" ht="15" spans="3:6">
      <c r="C134" s="16"/>
      <c r="D134" s="16"/>
      <c r="E134" s="17"/>
      <c r="F134" s="17"/>
    </row>
    <row r="135" ht="15" spans="3:6">
      <c r="C135" s="16"/>
      <c r="D135" s="16"/>
      <c r="E135" s="17"/>
      <c r="F135" s="17"/>
    </row>
    <row r="136" ht="15" spans="3:6">
      <c r="C136" s="16"/>
      <c r="D136" s="16"/>
      <c r="E136" s="17"/>
      <c r="F136" s="17"/>
    </row>
    <row r="137" ht="15" spans="3:6">
      <c r="C137" s="16"/>
      <c r="D137" s="16"/>
      <c r="E137" s="17"/>
      <c r="F137" s="17"/>
    </row>
    <row r="138" ht="15" spans="3:6">
      <c r="C138" s="16"/>
      <c r="D138" s="16"/>
      <c r="E138" s="17"/>
      <c r="F138" s="17"/>
    </row>
    <row r="139" ht="15" spans="3:6">
      <c r="C139" s="16"/>
      <c r="D139" s="16"/>
      <c r="E139" s="17"/>
      <c r="F139" s="17"/>
    </row>
    <row r="140" ht="15" spans="3:6">
      <c r="C140" s="16"/>
      <c r="D140" s="16"/>
      <c r="E140" s="17"/>
      <c r="F140" s="17"/>
    </row>
    <row r="141" ht="15" spans="3:6">
      <c r="C141" s="16"/>
      <c r="D141" s="16"/>
      <c r="E141" s="17"/>
      <c r="F141" s="17"/>
    </row>
    <row r="142" ht="15" spans="3:6">
      <c r="C142" s="16"/>
      <c r="D142" s="16"/>
      <c r="E142" s="17"/>
      <c r="F142" s="17"/>
    </row>
    <row r="143" ht="15" spans="3:6">
      <c r="C143" s="16"/>
      <c r="D143" s="16"/>
      <c r="E143" s="17"/>
      <c r="F143" s="17"/>
    </row>
    <row r="144" ht="15" spans="3:6">
      <c r="C144" s="16"/>
      <c r="D144" s="16"/>
      <c r="E144" s="17"/>
      <c r="F144" s="17"/>
    </row>
    <row r="145" ht="15" spans="3:6">
      <c r="C145" s="16"/>
      <c r="D145" s="16"/>
      <c r="E145" s="17"/>
      <c r="F145" s="17"/>
    </row>
    <row r="146" ht="15" spans="3:6">
      <c r="C146" s="16"/>
      <c r="D146" s="16"/>
      <c r="E146" s="17"/>
      <c r="F146" s="17"/>
    </row>
    <row r="147" ht="15" spans="3:6">
      <c r="C147" s="16"/>
      <c r="D147" s="16"/>
      <c r="E147" s="17"/>
      <c r="F147" s="17"/>
    </row>
    <row r="148" ht="15" spans="3:9">
      <c r="C148" s="16"/>
      <c r="D148" s="16"/>
      <c r="E148" s="17"/>
      <c r="F148" s="17"/>
      <c r="G148"/>
      <c r="H148" s="17"/>
      <c r="I148" s="17"/>
    </row>
    <row r="149" ht="15" spans="3:9">
      <c r="C149" s="16"/>
      <c r="D149" s="16"/>
      <c r="E149" s="17"/>
      <c r="F149" s="17"/>
      <c r="G149"/>
      <c r="H149" s="17"/>
      <c r="I149" s="17"/>
    </row>
    <row r="150" ht="15" spans="3:9">
      <c r="C150" s="16"/>
      <c r="D150" s="16"/>
      <c r="E150" s="17"/>
      <c r="F150" s="17"/>
      <c r="G150"/>
      <c r="H150" s="17"/>
      <c r="I150" s="17"/>
    </row>
    <row r="151" ht="15" spans="3:9">
      <c r="C151" s="16"/>
      <c r="D151" s="16"/>
      <c r="E151" s="17"/>
      <c r="F151" s="17"/>
      <c r="G151"/>
      <c r="H151" s="17"/>
      <c r="I151" s="17"/>
    </row>
    <row r="152" ht="15" spans="3:9">
      <c r="C152" s="16"/>
      <c r="D152" s="16"/>
      <c r="E152" s="17"/>
      <c r="F152" s="17"/>
      <c r="G152"/>
      <c r="H152" s="17"/>
      <c r="I152" s="17"/>
    </row>
    <row r="153" ht="15" spans="3:9">
      <c r="C153" s="16"/>
      <c r="D153" s="16"/>
      <c r="E153" s="17"/>
      <c r="F153" s="17"/>
      <c r="G153"/>
      <c r="H153" s="17"/>
      <c r="I153" s="17"/>
    </row>
    <row r="154" ht="15" spans="3:9">
      <c r="C154" s="16"/>
      <c r="D154" s="16"/>
      <c r="E154" s="17"/>
      <c r="F154" s="17"/>
      <c r="G154"/>
      <c r="H154" s="17"/>
      <c r="I154" s="17"/>
    </row>
    <row r="155" ht="15" spans="3:9">
      <c r="C155" s="16"/>
      <c r="D155" s="16"/>
      <c r="E155" s="17"/>
      <c r="F155" s="17"/>
      <c r="G155"/>
      <c r="H155" s="17"/>
      <c r="I155" s="17"/>
    </row>
    <row r="156" ht="15" spans="3:9">
      <c r="C156" s="16"/>
      <c r="D156" s="16"/>
      <c r="E156" s="17"/>
      <c r="F156" s="17"/>
      <c r="G156"/>
      <c r="H156" s="17"/>
      <c r="I156" s="17"/>
    </row>
    <row r="157" ht="15" spans="3:9">
      <c r="C157" s="16"/>
      <c r="D157" s="16"/>
      <c r="E157" s="17"/>
      <c r="F157" s="17"/>
      <c r="G157"/>
      <c r="H157" s="17"/>
      <c r="I157" s="17"/>
    </row>
    <row r="158" ht="15" spans="3:9">
      <c r="C158" s="16"/>
      <c r="D158" s="16"/>
      <c r="E158" s="17"/>
      <c r="F158" s="17"/>
      <c r="G158"/>
      <c r="H158" s="17"/>
      <c r="I158" s="17"/>
    </row>
    <row r="159" ht="15" spans="3:9">
      <c r="C159" s="16"/>
      <c r="D159" s="16"/>
      <c r="E159" s="17"/>
      <c r="F159" s="17"/>
      <c r="G159"/>
      <c r="H159" s="17"/>
      <c r="I159" s="17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zoomScale="70" zoomScaleNormal="70" workbookViewId="0">
      <selection activeCell="H19" sqref="H19"/>
    </sheetView>
  </sheetViews>
  <sheetFormatPr defaultColWidth="9" defaultRowHeight="14.25" outlineLevelRow="4"/>
  <cols>
    <col min="1" max="8" width="24.375" customWidth="1"/>
    <col min="9" max="9" width="8.75" customWidth="1"/>
    <col min="10" max="10" width="11.375" customWidth="1"/>
    <col min="11" max="11" width="12" customWidth="1"/>
    <col min="12" max="12" width="9.875" customWidth="1"/>
    <col min="13" max="13" width="7.375" customWidth="1"/>
  </cols>
  <sheetData>
    <row r="1" ht="15" spans="1:2">
      <c r="A1" s="11" t="s">
        <v>106</v>
      </c>
      <c r="B1" s="12">
        <f>DATE(B2,B3,1)</f>
        <v>45292</v>
      </c>
    </row>
    <row r="2" ht="15" spans="1:4">
      <c r="A2" s="11" t="s">
        <v>16</v>
      </c>
      <c r="B2">
        <v>2024</v>
      </c>
      <c r="D2" s="12"/>
    </row>
    <row r="3" ht="15" spans="1:2">
      <c r="A3" s="11" t="s">
        <v>107</v>
      </c>
      <c r="B3">
        <v>1</v>
      </c>
    </row>
    <row r="4" s="10" customFormat="1" ht="18" customHeight="1" spans="1:12">
      <c r="A4" s="13" t="s">
        <v>77</v>
      </c>
      <c r="B4" s="13" t="s">
        <v>78</v>
      </c>
      <c r="C4" s="13" t="s">
        <v>79</v>
      </c>
      <c r="D4" s="13" t="s">
        <v>80</v>
      </c>
      <c r="E4" s="13" t="s">
        <v>81</v>
      </c>
      <c r="F4" s="14" t="s">
        <v>82</v>
      </c>
      <c r="G4" s="14" t="s">
        <v>83</v>
      </c>
      <c r="H4" s="14" t="s">
        <v>84</v>
      </c>
      <c r="I4" s="14" t="s">
        <v>85</v>
      </c>
      <c r="J4" s="13" t="s">
        <v>86</v>
      </c>
      <c r="K4" s="13" t="s">
        <v>87</v>
      </c>
      <c r="L4" s="13" t="s">
        <v>88</v>
      </c>
    </row>
    <row r="5" s="10" customFormat="1" ht="18" customHeight="1" spans="1:12">
      <c r="A5" s="13" t="s">
        <v>89</v>
      </c>
      <c r="B5" s="13" t="s">
        <v>90</v>
      </c>
      <c r="C5" s="13" t="s">
        <v>91</v>
      </c>
      <c r="D5" s="13" t="s">
        <v>92</v>
      </c>
      <c r="E5" s="13" t="s">
        <v>93</v>
      </c>
      <c r="F5" s="14" t="s">
        <v>94</v>
      </c>
      <c r="G5" s="14" t="s">
        <v>95</v>
      </c>
      <c r="H5" s="14" t="s">
        <v>96</v>
      </c>
      <c r="I5" s="14" t="s">
        <v>97</v>
      </c>
      <c r="J5" s="13" t="s">
        <v>98</v>
      </c>
      <c r="K5" s="13" t="s">
        <v>99</v>
      </c>
      <c r="L5" s="13" t="s">
        <v>100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8"/>
  <sheetViews>
    <sheetView workbookViewId="0">
      <selection activeCell="A20" sqref="A20"/>
    </sheetView>
  </sheetViews>
  <sheetFormatPr defaultColWidth="8.875" defaultRowHeight="14.25" outlineLevelCol="2"/>
  <cols>
    <col min="1" max="1" width="90" style="1" customWidth="1"/>
    <col min="2" max="2" width="2.625" style="2" customWidth="1"/>
    <col min="3" max="3" width="87.25" style="3" customWidth="1"/>
    <col min="4" max="16384" width="8.875" style="4"/>
  </cols>
  <sheetData>
    <row r="2" ht="17.25" spans="1:3">
      <c r="A2" s="5" t="s">
        <v>108</v>
      </c>
      <c r="C2" s="6" t="s">
        <v>109</v>
      </c>
    </row>
    <row r="3" spans="1:1">
      <c r="A3" s="7"/>
    </row>
    <row r="4" ht="28.5" spans="1:3">
      <c r="A4" s="7" t="s">
        <v>110</v>
      </c>
      <c r="C4" s="3" t="s">
        <v>111</v>
      </c>
    </row>
    <row r="6" ht="17.25" spans="1:3">
      <c r="A6" s="5" t="s">
        <v>112</v>
      </c>
      <c r="C6" s="6" t="s">
        <v>113</v>
      </c>
    </row>
    <row r="7" spans="1:1">
      <c r="A7" s="7"/>
    </row>
    <row r="8" ht="30" spans="1:3">
      <c r="A8" s="8" t="s">
        <v>114</v>
      </c>
      <c r="C8" s="3" t="s">
        <v>115</v>
      </c>
    </row>
    <row r="10" ht="17.25" spans="1:3">
      <c r="A10" s="5" t="s">
        <v>116</v>
      </c>
      <c r="C10" s="6" t="s">
        <v>117</v>
      </c>
    </row>
    <row r="11" spans="1:1">
      <c r="A11" s="7"/>
    </row>
    <row r="12" spans="1:3">
      <c r="A12" s="7" t="s">
        <v>118</v>
      </c>
      <c r="C12" s="3" t="s">
        <v>119</v>
      </c>
    </row>
    <row r="13" ht="15" spans="1:3">
      <c r="A13" s="8" t="s">
        <v>120</v>
      </c>
      <c r="C13" s="9" t="s">
        <v>121</v>
      </c>
    </row>
    <row r="14" ht="29.25" spans="1:3">
      <c r="A14" s="8" t="s">
        <v>122</v>
      </c>
      <c r="C14" s="9" t="s">
        <v>123</v>
      </c>
    </row>
    <row r="15" ht="15" spans="1:3">
      <c r="A15" s="8" t="s">
        <v>124</v>
      </c>
      <c r="C15" s="9" t="s">
        <v>125</v>
      </c>
    </row>
    <row r="16" ht="15" spans="1:3">
      <c r="A16" s="8" t="s">
        <v>126</v>
      </c>
      <c r="C16" s="9" t="s">
        <v>127</v>
      </c>
    </row>
    <row r="17" ht="15" spans="1:3">
      <c r="A17" s="8" t="s">
        <v>128</v>
      </c>
      <c r="C17" s="9" t="s">
        <v>129</v>
      </c>
    </row>
    <row r="18" spans="1:3">
      <c r="A18" s="7" t="s">
        <v>130</v>
      </c>
      <c r="C18" s="3" t="s">
        <v>131</v>
      </c>
    </row>
    <row r="19" spans="1:3">
      <c r="A19" s="7" t="s">
        <v>132</v>
      </c>
      <c r="C19" s="3" t="s">
        <v>133</v>
      </c>
    </row>
    <row r="20" ht="29.25" spans="1:3">
      <c r="A20" s="8" t="s">
        <v>134</v>
      </c>
      <c r="C20" s="9" t="s">
        <v>135</v>
      </c>
    </row>
    <row r="22" ht="17.25" spans="1:3">
      <c r="A22" s="5" t="s">
        <v>136</v>
      </c>
      <c r="C22" s="6" t="s">
        <v>137</v>
      </c>
    </row>
    <row r="23" spans="1:1">
      <c r="A23" s="7"/>
    </row>
    <row r="24" ht="29.25" spans="1:3">
      <c r="A24" s="7" t="s">
        <v>138</v>
      </c>
      <c r="C24" s="3" t="s">
        <v>139</v>
      </c>
    </row>
    <row r="25" ht="30" spans="1:3">
      <c r="A25" s="7" t="s">
        <v>140</v>
      </c>
      <c r="C25" s="3" t="s">
        <v>141</v>
      </c>
    </row>
    <row r="27" ht="17.25" spans="1:3">
      <c r="A27" s="5" t="s">
        <v>142</v>
      </c>
      <c r="C27" s="6" t="s">
        <v>143</v>
      </c>
    </row>
    <row r="28" spans="1:1">
      <c r="A28" s="7"/>
    </row>
    <row r="29" ht="15" spans="1:3">
      <c r="A29" s="7" t="s">
        <v>144</v>
      </c>
      <c r="C29" s="3" t="s">
        <v>145</v>
      </c>
    </row>
    <row r="30" spans="1:3">
      <c r="A30" s="7" t="s">
        <v>146</v>
      </c>
      <c r="C30" s="3" t="s">
        <v>147</v>
      </c>
    </row>
    <row r="32" ht="17.25" spans="1:3">
      <c r="A32" s="5" t="s">
        <v>148</v>
      </c>
      <c r="C32" s="6" t="s">
        <v>149</v>
      </c>
    </row>
    <row r="33" spans="1:1">
      <c r="A33" s="7"/>
    </row>
    <row r="34" ht="15" spans="1:3">
      <c r="A34" s="8" t="s">
        <v>150</v>
      </c>
      <c r="C34" s="3" t="s">
        <v>151</v>
      </c>
    </row>
    <row r="36" ht="17.25" spans="1:3">
      <c r="A36" s="5" t="s">
        <v>152</v>
      </c>
      <c r="C36" s="6" t="s">
        <v>153</v>
      </c>
    </row>
    <row r="37" spans="1:1">
      <c r="A37" s="7"/>
    </row>
    <row r="38" spans="1:3">
      <c r="A38" s="7" t="s">
        <v>154</v>
      </c>
      <c r="C38" s="3" t="s">
        <v>155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>
    <arrUserId title="Range3" rangeCreator="" othersAccessPermission="edit"/>
    <arrUserId title="Range1" rangeCreator="" othersAccessPermission="edit"/>
    <arrUserId title="Range2" rangeCreator="" othersAccessPermission="edit"/>
  </rangeList>
  <rangeList sheetStid="3" master="" otherUserPermission="visible"/>
  <rangeList sheetStid="4" master="" otherUserPermission="visible"/>
  <rangeList sheetStid="6" master="" otherUserPermission="visible"/>
</allowEditUser>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CEFB3727-0098-41DB-9DEB-08A099D40A76}">
  <ds:schemaRefs/>
</ds:datastoreItem>
</file>

<file path=customXml/itemProps3.xml><?xml version="1.0" encoding="utf-8"?>
<ds:datastoreItem xmlns:ds="http://schemas.openxmlformats.org/officeDocument/2006/customXml" ds:itemID="{376B0781-3F54-40BC-A068-7F5A2310ECAB}">
  <ds:schemaRefs/>
</ds:datastoreItem>
</file>

<file path=customXml/itemProps4.xml><?xml version="1.0" encoding="utf-8"?>
<ds:datastoreItem xmlns:ds="http://schemas.openxmlformats.org/officeDocument/2006/customXml" ds:itemID="{3517F994-C603-46B5-AEAB-E4EEDEDA8C7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 Page</vt:lpstr>
      <vt:lpstr>Source Table</vt:lpstr>
      <vt:lpstr>Relational DB</vt:lpstr>
      <vt:lpstr>Template Data</vt:lpstr>
      <vt:lpstr>Help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USER11</cp:lastModifiedBy>
  <dcterms:created xsi:type="dcterms:W3CDTF">2024-08-13T06:49:00Z</dcterms:created>
  <dcterms:modified xsi:type="dcterms:W3CDTF">2025-04-21T10:54:27Z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0x010100D459D8868F97254F9E5095DCA93C6B5E</vt:lpwstr>
  </property>
  <property fmtid="{D5CDD505-2E9C-101B-9397-08002B2CF9AE}" pid="3" name="MediaServiceImageTags">
    <vt:lpwstr/>
  </property>
  <property fmtid="{D5CDD505-2E9C-101B-9397-08002B2CF9AE}" pid="4" name="ICV">
    <vt:lpwstr>156DA827928A4ABFAF3DDE15037F87AA_13</vt:lpwstr>
  </property>
  <property fmtid="{D5CDD505-2E9C-101B-9397-08002B2CF9AE}" pid="5" name="KSOProductBuildVer">
    <vt:lpwstr>1033-12.2.0.20795</vt:lpwstr>
  </property>
</Properties>
</file>