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البيانات التفاعلية\Template\historical\"/>
    </mc:Choice>
  </mc:AlternateContent>
  <bookViews>
    <workbookView xWindow="0" yWindow="0" windowWidth="28800" windowHeight="12300" activeTab="1"/>
  </bookViews>
  <sheets>
    <sheet name="Cover Page" sheetId="1" r:id="rId1"/>
    <sheet name="Source Table" sheetId="2" r:id="rId2"/>
    <sheet name="Relational DB" sheetId="3" r:id="rId3"/>
    <sheet name="Template Data" sheetId="4" r:id="rId4"/>
    <sheet name="Help" sheetId="6" r:id="rId5"/>
  </sheets>
  <definedNames>
    <definedName name="_xlnm.Print_Area" localSheetId="1">'Source Table'!$B$2:$D$29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1" i="3" l="1"/>
  <c r="I283" i="3" s="1"/>
  <c r="I305" i="3" s="1"/>
  <c r="I327" i="3" s="1"/>
  <c r="I349" i="3" s="1"/>
  <c r="I241" i="3"/>
  <c r="I263" i="3" s="1"/>
  <c r="I285" i="3" s="1"/>
  <c r="I307" i="3" s="1"/>
  <c r="I329" i="3" s="1"/>
  <c r="I351" i="3" s="1"/>
  <c r="I240" i="3"/>
  <c r="I262" i="3" s="1"/>
  <c r="I284" i="3" s="1"/>
  <c r="I306" i="3" s="1"/>
  <c r="I328" i="3" s="1"/>
  <c r="I350" i="3" s="1"/>
  <c r="I239" i="3"/>
  <c r="I229" i="3"/>
  <c r="I251" i="3" s="1"/>
  <c r="I273" i="3" s="1"/>
  <c r="I295" i="3" s="1"/>
  <c r="I317" i="3" s="1"/>
  <c r="I339" i="3" s="1"/>
  <c r="I228" i="3"/>
  <c r="I250" i="3" s="1"/>
  <c r="I272" i="3" s="1"/>
  <c r="I294" i="3" s="1"/>
  <c r="I316" i="3" s="1"/>
  <c r="I338" i="3" s="1"/>
  <c r="I227" i="3"/>
  <c r="I249" i="3" s="1"/>
  <c r="I271" i="3" s="1"/>
  <c r="I293" i="3" s="1"/>
  <c r="I315" i="3" s="1"/>
  <c r="I337" i="3" s="1"/>
  <c r="I226" i="3"/>
  <c r="I248" i="3" s="1"/>
  <c r="I270" i="3" s="1"/>
  <c r="I292" i="3" s="1"/>
  <c r="I314" i="3" s="1"/>
  <c r="I336" i="3" s="1"/>
  <c r="I225" i="3"/>
  <c r="I247" i="3" s="1"/>
  <c r="I269" i="3" s="1"/>
  <c r="I291" i="3" s="1"/>
  <c r="I313" i="3" s="1"/>
  <c r="I335" i="3" s="1"/>
  <c r="I224" i="3"/>
  <c r="I246" i="3" s="1"/>
  <c r="I268" i="3" s="1"/>
  <c r="I290" i="3" s="1"/>
  <c r="I312" i="3" s="1"/>
  <c r="I334" i="3" s="1"/>
  <c r="I223" i="3"/>
  <c r="I245" i="3" s="1"/>
  <c r="I267" i="3" s="1"/>
  <c r="I289" i="3" s="1"/>
  <c r="I311" i="3" s="1"/>
  <c r="I333" i="3" s="1"/>
  <c r="I355" i="3" s="1"/>
  <c r="I222" i="3"/>
  <c r="I244" i="3" s="1"/>
  <c r="I266" i="3" s="1"/>
  <c r="I288" i="3" s="1"/>
  <c r="I310" i="3" s="1"/>
  <c r="I332" i="3" s="1"/>
  <c r="I354" i="3" s="1"/>
  <c r="I221" i="3"/>
  <c r="I243" i="3" s="1"/>
  <c r="I265" i="3" s="1"/>
  <c r="I287" i="3" s="1"/>
  <c r="I309" i="3" s="1"/>
  <c r="I331" i="3" s="1"/>
  <c r="I353" i="3" s="1"/>
  <c r="I220" i="3"/>
  <c r="I242" i="3" s="1"/>
  <c r="I264" i="3" s="1"/>
  <c r="I286" i="3" s="1"/>
  <c r="I308" i="3" s="1"/>
  <c r="I330" i="3" s="1"/>
  <c r="I352" i="3" s="1"/>
  <c r="I219" i="3"/>
  <c r="I218" i="3"/>
  <c r="I217" i="3"/>
  <c r="I216" i="3"/>
  <c r="I238" i="3" s="1"/>
  <c r="I260" i="3" s="1"/>
  <c r="I282" i="3" s="1"/>
  <c r="I304" i="3" s="1"/>
  <c r="I326" i="3" s="1"/>
  <c r="I348" i="3" s="1"/>
  <c r="I215" i="3"/>
  <c r="I237" i="3" s="1"/>
  <c r="I259" i="3" s="1"/>
  <c r="I281" i="3" s="1"/>
  <c r="I303" i="3" s="1"/>
  <c r="I325" i="3" s="1"/>
  <c r="I347" i="3" s="1"/>
  <c r="I214" i="3"/>
  <c r="I236" i="3" s="1"/>
  <c r="I258" i="3" s="1"/>
  <c r="I280" i="3" s="1"/>
  <c r="I302" i="3" s="1"/>
  <c r="I324" i="3" s="1"/>
  <c r="I346" i="3" s="1"/>
  <c r="I213" i="3"/>
  <c r="I235" i="3" s="1"/>
  <c r="I257" i="3" s="1"/>
  <c r="I279" i="3" s="1"/>
  <c r="I301" i="3" s="1"/>
  <c r="I323" i="3" s="1"/>
  <c r="I345" i="3" s="1"/>
  <c r="I212" i="3"/>
  <c r="I234" i="3" s="1"/>
  <c r="I256" i="3" s="1"/>
  <c r="I278" i="3" s="1"/>
  <c r="I300" i="3" s="1"/>
  <c r="I322" i="3" s="1"/>
  <c r="I344" i="3" s="1"/>
  <c r="I211" i="3"/>
  <c r="I233" i="3" s="1"/>
  <c r="I255" i="3" s="1"/>
  <c r="I277" i="3" s="1"/>
  <c r="I299" i="3" s="1"/>
  <c r="I321" i="3" s="1"/>
  <c r="I343" i="3" s="1"/>
  <c r="I210" i="3"/>
  <c r="I232" i="3" s="1"/>
  <c r="I254" i="3" s="1"/>
  <c r="I276" i="3" s="1"/>
  <c r="I298" i="3" s="1"/>
  <c r="I320" i="3" s="1"/>
  <c r="I342" i="3" s="1"/>
  <c r="I209" i="3"/>
  <c r="I231" i="3" s="1"/>
  <c r="I253" i="3" s="1"/>
  <c r="I275" i="3" s="1"/>
  <c r="I297" i="3" s="1"/>
  <c r="I319" i="3" s="1"/>
  <c r="I341" i="3" s="1"/>
  <c r="I208" i="3"/>
  <c r="I230" i="3" s="1"/>
  <c r="I252" i="3" s="1"/>
  <c r="I274" i="3" s="1"/>
  <c r="I296" i="3" s="1"/>
  <c r="I318" i="3" s="1"/>
  <c r="I340" i="3" s="1"/>
  <c r="I207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I89" i="3"/>
  <c r="I111" i="3" s="1"/>
  <c r="I133" i="3" s="1"/>
  <c r="I155" i="3" s="1"/>
  <c r="I177" i="3" s="1"/>
  <c r="I199" i="3" s="1"/>
  <c r="I88" i="3"/>
  <c r="I110" i="3" s="1"/>
  <c r="I132" i="3" s="1"/>
  <c r="I154" i="3" s="1"/>
  <c r="I176" i="3" s="1"/>
  <c r="I198" i="3" s="1"/>
  <c r="I77" i="3"/>
  <c r="I99" i="3" s="1"/>
  <c r="I121" i="3" s="1"/>
  <c r="I143" i="3" s="1"/>
  <c r="I165" i="3" s="1"/>
  <c r="I187" i="3" s="1"/>
  <c r="I76" i="3"/>
  <c r="I98" i="3" s="1"/>
  <c r="I120" i="3" s="1"/>
  <c r="I142" i="3" s="1"/>
  <c r="I164" i="3" s="1"/>
  <c r="I186" i="3" s="1"/>
  <c r="I75" i="3"/>
  <c r="I97" i="3" s="1"/>
  <c r="I119" i="3" s="1"/>
  <c r="I141" i="3" s="1"/>
  <c r="I163" i="3" s="1"/>
  <c r="I185" i="3" s="1"/>
  <c r="I74" i="3"/>
  <c r="I96" i="3" s="1"/>
  <c r="I118" i="3" s="1"/>
  <c r="I140" i="3" s="1"/>
  <c r="I162" i="3" s="1"/>
  <c r="I184" i="3" s="1"/>
  <c r="I206" i="3" s="1"/>
  <c r="I73" i="3"/>
  <c r="I95" i="3" s="1"/>
  <c r="I117" i="3" s="1"/>
  <c r="I139" i="3" s="1"/>
  <c r="I161" i="3" s="1"/>
  <c r="I183" i="3" s="1"/>
  <c r="I205" i="3" s="1"/>
  <c r="I72" i="3"/>
  <c r="I94" i="3" s="1"/>
  <c r="I116" i="3" s="1"/>
  <c r="I138" i="3" s="1"/>
  <c r="I160" i="3" s="1"/>
  <c r="I182" i="3" s="1"/>
  <c r="I204" i="3" s="1"/>
  <c r="I71" i="3"/>
  <c r="I93" i="3" s="1"/>
  <c r="I115" i="3" s="1"/>
  <c r="I137" i="3" s="1"/>
  <c r="I159" i="3" s="1"/>
  <c r="I181" i="3" s="1"/>
  <c r="I203" i="3" s="1"/>
  <c r="I70" i="3"/>
  <c r="I92" i="3" s="1"/>
  <c r="I114" i="3" s="1"/>
  <c r="I136" i="3" s="1"/>
  <c r="I158" i="3" s="1"/>
  <c r="I180" i="3" s="1"/>
  <c r="I202" i="3" s="1"/>
  <c r="I69" i="3"/>
  <c r="I91" i="3" s="1"/>
  <c r="I113" i="3" s="1"/>
  <c r="I135" i="3" s="1"/>
  <c r="I157" i="3" s="1"/>
  <c r="I179" i="3" s="1"/>
  <c r="I201" i="3" s="1"/>
  <c r="I68" i="3"/>
  <c r="I90" i="3" s="1"/>
  <c r="I112" i="3" s="1"/>
  <c r="I134" i="3" s="1"/>
  <c r="I156" i="3" s="1"/>
  <c r="I178" i="3" s="1"/>
  <c r="I200" i="3" s="1"/>
  <c r="I67" i="3"/>
  <c r="I66" i="3"/>
  <c r="I65" i="3"/>
  <c r="I87" i="3" s="1"/>
  <c r="I109" i="3" s="1"/>
  <c r="I131" i="3" s="1"/>
  <c r="I153" i="3" s="1"/>
  <c r="I175" i="3" s="1"/>
  <c r="I197" i="3" s="1"/>
  <c r="I64" i="3"/>
  <c r="I86" i="3" s="1"/>
  <c r="I108" i="3" s="1"/>
  <c r="I130" i="3" s="1"/>
  <c r="I152" i="3" s="1"/>
  <c r="I174" i="3" s="1"/>
  <c r="I196" i="3" s="1"/>
  <c r="I63" i="3"/>
  <c r="I85" i="3" s="1"/>
  <c r="I107" i="3" s="1"/>
  <c r="I129" i="3" s="1"/>
  <c r="I151" i="3" s="1"/>
  <c r="I173" i="3" s="1"/>
  <c r="I195" i="3" s="1"/>
  <c r="I62" i="3"/>
  <c r="I84" i="3" s="1"/>
  <c r="I106" i="3" s="1"/>
  <c r="I128" i="3" s="1"/>
  <c r="I150" i="3" s="1"/>
  <c r="I172" i="3" s="1"/>
  <c r="I194" i="3" s="1"/>
  <c r="I61" i="3"/>
  <c r="I83" i="3" s="1"/>
  <c r="I105" i="3" s="1"/>
  <c r="I127" i="3" s="1"/>
  <c r="I149" i="3" s="1"/>
  <c r="I171" i="3" s="1"/>
  <c r="I193" i="3" s="1"/>
  <c r="I60" i="3"/>
  <c r="I82" i="3" s="1"/>
  <c r="I104" i="3" s="1"/>
  <c r="I126" i="3" s="1"/>
  <c r="I148" i="3" s="1"/>
  <c r="I170" i="3" s="1"/>
  <c r="I192" i="3" s="1"/>
  <c r="I59" i="3"/>
  <c r="I81" i="3" s="1"/>
  <c r="I103" i="3" s="1"/>
  <c r="I125" i="3" s="1"/>
  <c r="I147" i="3" s="1"/>
  <c r="I169" i="3" s="1"/>
  <c r="I191" i="3" s="1"/>
  <c r="I58" i="3"/>
  <c r="I80" i="3" s="1"/>
  <c r="I102" i="3" s="1"/>
  <c r="I124" i="3" s="1"/>
  <c r="I146" i="3" s="1"/>
  <c r="I168" i="3" s="1"/>
  <c r="I190" i="3" s="1"/>
  <c r="I57" i="3"/>
  <c r="I79" i="3" s="1"/>
  <c r="I101" i="3" s="1"/>
  <c r="I123" i="3" s="1"/>
  <c r="I145" i="3" s="1"/>
  <c r="I167" i="3" s="1"/>
  <c r="I189" i="3" s="1"/>
  <c r="I56" i="3"/>
  <c r="I78" i="3" s="1"/>
  <c r="I100" i="3" s="1"/>
  <c r="I122" i="3" s="1"/>
  <c r="I144" i="3" s="1"/>
  <c r="I166" i="3" s="1"/>
  <c r="I188" i="3" s="1"/>
  <c r="I55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54" i="3" s="1"/>
  <c r="I31" i="3"/>
  <c r="I53" i="3" s="1"/>
  <c r="I30" i="3"/>
  <c r="I52" i="3" s="1"/>
  <c r="I29" i="3"/>
  <c r="I51" i="3" s="1"/>
  <c r="I28" i="3"/>
  <c r="I50" i="3" s="1"/>
  <c r="I27" i="3"/>
  <c r="I49" i="3" s="1"/>
  <c r="I26" i="3"/>
  <c r="C13" i="2" l="1"/>
  <c r="C21" i="2" l="1"/>
  <c r="C25" i="2" s="1"/>
  <c r="C27" i="2" s="1"/>
  <c r="C29" i="2" s="1"/>
  <c r="C17" i="2"/>
  <c r="B2" i="2" l="1"/>
  <c r="B3" i="2"/>
  <c r="B1" i="4" l="1"/>
</calcChain>
</file>

<file path=xl/sharedStrings.xml><?xml version="1.0" encoding="utf-8"?>
<sst xmlns="http://schemas.openxmlformats.org/spreadsheetml/2006/main" count="1916" uniqueCount="138">
  <si>
    <t>Code</t>
  </si>
  <si>
    <t>Version</t>
  </si>
  <si>
    <t>V1</t>
  </si>
  <si>
    <t>Year</t>
  </si>
  <si>
    <t>السنة</t>
  </si>
  <si>
    <t>Month</t>
  </si>
  <si>
    <t>Relational Sheet</t>
  </si>
  <si>
    <t>Measure_Name_Ar</t>
  </si>
  <si>
    <t>Measure_Name_En</t>
  </si>
  <si>
    <t>Measure_ID</t>
  </si>
  <si>
    <t>Unit_EN</t>
  </si>
  <si>
    <t>Unit_AR</t>
  </si>
  <si>
    <t>Obs_Value</t>
  </si>
  <si>
    <t>Time_Period_Y</t>
  </si>
  <si>
    <t>Time_Period_M</t>
  </si>
  <si>
    <t>رمز المؤشر</t>
  </si>
  <si>
    <t>قيمة المؤشر</t>
  </si>
  <si>
    <t>سنة فترة القياس</t>
  </si>
  <si>
    <t>شهر فترة القياس</t>
  </si>
  <si>
    <t>M1</t>
  </si>
  <si>
    <t xml:space="preserve">اسم المؤشر </t>
  </si>
  <si>
    <t xml:space="preserve">Measure Name </t>
  </si>
  <si>
    <t>Unit</t>
  </si>
  <si>
    <t xml:space="preserve">الوحدة </t>
  </si>
  <si>
    <t>Template Name</t>
  </si>
  <si>
    <t>اسم القالب</t>
  </si>
  <si>
    <t>Data Frequency</t>
  </si>
  <si>
    <t>دورية البيانات</t>
  </si>
  <si>
    <t>Data Source</t>
  </si>
  <si>
    <t>الجهة المصدرية</t>
  </si>
  <si>
    <t>Date</t>
  </si>
  <si>
    <t>Step 1: Cover Page</t>
  </si>
  <si>
    <t>Step 2: Source Table</t>
  </si>
  <si>
    <t>Step 3: Relational Sheet</t>
  </si>
  <si>
    <r>
      <t>1. Blue Columns</t>
    </r>
    <r>
      <rPr>
        <sz val="11"/>
        <color theme="1"/>
        <rFont val="Aptos Narrow"/>
        <family val="2"/>
        <scheme val="minor"/>
      </rPr>
      <t>: Do not change the names of the blue columns. Update the data as per the current template.</t>
    </r>
  </si>
  <si>
    <r>
      <t>2. Code Lists</t>
    </r>
    <r>
      <rPr>
        <sz val="11"/>
        <color theme="1"/>
        <rFont val="Aptos Narrow"/>
        <family val="2"/>
        <scheme val="minor"/>
      </rPr>
      <t xml:space="preserve">: Use the naming convention </t>
    </r>
    <r>
      <rPr>
        <sz val="10"/>
        <color theme="1"/>
        <rFont val="Arial Unicode MS"/>
      </rPr>
      <t>CL_XXX_EN_V#</t>
    </r>
    <r>
      <rPr>
        <sz val="11"/>
        <color theme="1"/>
        <rFont val="Aptos Narrow"/>
        <family val="2"/>
        <scheme val="minor"/>
      </rPr>
      <t xml:space="preserve"> for code lists, where </t>
    </r>
    <r>
      <rPr>
        <sz val="10"/>
        <color theme="1"/>
        <rFont val="Arial Unicode MS"/>
      </rPr>
      <t>XXX</t>
    </r>
    <r>
      <rPr>
        <sz val="11"/>
        <color theme="1"/>
        <rFont val="Aptos Narrow"/>
        <family val="2"/>
        <scheme val="minor"/>
      </rPr>
      <t xml:space="preserve"> is the name, and </t>
    </r>
    <r>
      <rPr>
        <sz val="10"/>
        <color theme="1"/>
        <rFont val="Arial Unicode MS"/>
      </rPr>
      <t>V#</t>
    </r>
    <r>
      <rPr>
        <sz val="11"/>
        <color theme="1"/>
        <rFont val="Aptos Narrow"/>
        <family val="2"/>
        <scheme val="minor"/>
      </rPr>
      <t xml:space="preserve"> is the version, conforming with the definitions in the data dictionary.</t>
    </r>
  </si>
  <si>
    <r>
      <t>3. Code List Values</t>
    </r>
    <r>
      <rPr>
        <sz val="11"/>
        <color theme="1"/>
        <rFont val="Aptos Narrow"/>
        <family val="2"/>
        <scheme val="minor"/>
      </rPr>
      <t>: Ensure the code list values match the definitions in the data dictionary.</t>
    </r>
  </si>
  <si>
    <r>
      <t>4. Time_Period_M</t>
    </r>
    <r>
      <rPr>
        <sz val="11"/>
        <color theme="1"/>
        <rFont val="Aptos Narrow"/>
        <family val="2"/>
        <scheme val="minor"/>
      </rPr>
      <t>: Leave empty if the data frequency is yearly.</t>
    </r>
  </si>
  <si>
    <r>
      <t>5. Time_Period_M Format</t>
    </r>
    <r>
      <rPr>
        <sz val="11"/>
        <color theme="1"/>
        <rFont val="Aptos Narrow"/>
        <family val="2"/>
        <scheme val="minor"/>
      </rPr>
      <t>: Use one of these formats:</t>
    </r>
  </si>
  <si>
    <r>
      <t xml:space="preserve">Numeric: </t>
    </r>
    <r>
      <rPr>
        <sz val="10"/>
        <color theme="1"/>
        <rFont val="Arial Unicode MS"/>
      </rPr>
      <t>(1, 2, 3, ..., 12)</t>
    </r>
    <r>
      <rPr>
        <sz val="11"/>
        <color theme="1"/>
        <rFont val="Aptos Narrow"/>
        <family val="2"/>
        <scheme val="minor"/>
      </rPr>
      <t xml:space="preserve"> for months.</t>
    </r>
  </si>
  <si>
    <r>
      <t xml:space="preserve">Text: </t>
    </r>
    <r>
      <rPr>
        <sz val="10"/>
        <color theme="1"/>
        <rFont val="Arial Unicode MS"/>
      </rPr>
      <t>(Jan, Feb, Mar, ..., Dec)</t>
    </r>
    <r>
      <rPr>
        <sz val="11"/>
        <color theme="1"/>
        <rFont val="Aptos Narrow"/>
        <family val="2"/>
        <scheme val="minor"/>
      </rPr>
      <t>.</t>
    </r>
  </si>
  <si>
    <t>Step 4: Template Data</t>
  </si>
  <si>
    <r>
      <t xml:space="preserve">The system will update this sheet with data from the previous data upload, which can be used in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sheet.</t>
    </r>
  </si>
  <si>
    <t>Step 5: Source Table Formatting</t>
  </si>
  <si>
    <r>
      <t xml:space="preserve">1. Format individual cells in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 to protect cells that are not dedicated to data entry.</t>
    </r>
  </si>
  <si>
    <t>2. Protect the sheet to prevent any accidental changes to protected cells.</t>
  </si>
  <si>
    <t>Step 6: Hide Sheets</t>
  </si>
  <si>
    <t>Step 7: Protect Workbook</t>
  </si>
  <si>
    <r>
      <rPr>
        <sz val="11"/>
        <color theme="1"/>
        <rFont val="Aptos Narrow"/>
        <family val="2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family val="2"/>
        <scheme val="minor"/>
      </rPr>
      <t>Template Data Sheet</t>
    </r>
    <r>
      <rPr>
        <sz val="11"/>
        <color theme="1"/>
        <rFont val="Aptos Narrow"/>
        <family val="2"/>
        <scheme val="minor"/>
      </rPr>
      <t>.</t>
    </r>
  </si>
  <si>
    <t>Update the template information, to ensure that any meta-information about the template, such as the title, version, and description, is accurate and up-to-date.</t>
  </si>
  <si>
    <t>Unpivot the data in the source table into a flat format. Follow these guidelines:</t>
  </si>
  <si>
    <r>
      <t xml:space="preserve">Copy rows 2 and 3 from the </t>
    </r>
    <r>
      <rPr>
        <b/>
        <sz val="11"/>
        <color theme="1"/>
        <rFont val="Aptos Narrow"/>
        <family val="2"/>
        <scheme val="minor"/>
      </rPr>
      <t>Relational DB</t>
    </r>
    <r>
      <rPr>
        <sz val="11"/>
        <color theme="1"/>
        <rFont val="Aptos Narrow"/>
        <family val="2"/>
        <scheme val="minor"/>
      </rPr>
      <t xml:space="preserve"> sheet and paste them into rows 4 and 5 of the </t>
    </r>
    <r>
      <rPr>
        <b/>
        <sz val="11"/>
        <color theme="1"/>
        <rFont val="Aptos Narrow"/>
        <family val="2"/>
        <scheme val="minor"/>
      </rPr>
      <t>Template Data</t>
    </r>
    <r>
      <rPr>
        <sz val="11"/>
        <color theme="1"/>
        <rFont val="Aptos Narrow"/>
        <family val="2"/>
        <scheme val="minor"/>
      </rPr>
      <t xml:space="preserve"> sheet.</t>
    </r>
  </si>
  <si>
    <t>قم بتحديث معلومات القالب للتأكد من أن أي معلومات وصفية حول القالب، مثل العنوان والإصدار والوصف، دقيقة ومحدثة.</t>
  </si>
  <si>
    <t>الخطوة 2: Source Table</t>
  </si>
  <si>
    <t>الخطوة 3: Relational Sheet</t>
  </si>
  <si>
    <t>قم بتحويل البيانات في جدول المصدر إلى تنسيق مسطح. اتبع هذه الإرشادات:</t>
  </si>
  <si>
    <r>
      <t>1. الأعمدة الزرقاء</t>
    </r>
    <r>
      <rPr>
        <sz val="11"/>
        <color theme="1"/>
        <rFont val="Aptos Narrow"/>
        <family val="2"/>
        <scheme val="minor"/>
      </rPr>
      <t>: لا تقم بتغيير أسماء الأعمدة الزرقاء. قم بتحديث البيانات وفقًا للقالب الحالي.</t>
    </r>
  </si>
  <si>
    <r>
      <t>3. قيم قائمة الرموز</t>
    </r>
    <r>
      <rPr>
        <sz val="11"/>
        <color theme="1"/>
        <rFont val="Aptos Narrow"/>
        <family val="2"/>
        <scheme val="minor"/>
      </rPr>
      <t>: تأكد من أن قيم قائمة الرموز تتوافق مع التعريفات في قاموس البيانات.</t>
    </r>
  </si>
  <si>
    <r>
      <t>5. تنسيق Time_Period_M</t>
    </r>
    <r>
      <rPr>
        <sz val="11"/>
        <color theme="1"/>
        <rFont val="Aptos Narrow"/>
        <family val="2"/>
        <scheme val="minor"/>
      </rPr>
      <t>: استخدم أحد التنسيقات التالية:</t>
    </r>
  </si>
  <si>
    <t>رقمي: (1، 2، 3، ...، 12) للأشهر.</t>
  </si>
  <si>
    <t>الخطوة 4: Template Data</t>
  </si>
  <si>
    <t>الخطوة 5: Source Table Formatting</t>
  </si>
  <si>
    <t>1. قم بتنسيق الخلايا الفردية في ورقة Source Table لحماية الخلايا التي ليست مخصصة لإدخال البيانات.</t>
  </si>
  <si>
    <t>2. قم بحماية الورقة لمنع أي تغييرات غير مقصودة على الخلايا المحمية.</t>
  </si>
  <si>
    <t>الخطوة 6: Hide Sheets</t>
  </si>
  <si>
    <t>الخطوة 7: Protect Workbook</t>
  </si>
  <si>
    <t>الخطوة 1: Cover Page</t>
  </si>
  <si>
    <t>قم بنسخ الصفوف 2 و 3 من ورقة Relational DB والصقها في الصفوف 4 و 5 من ورقة Template Data.</t>
  </si>
  <si>
    <t>سيقوم النظام بتحديث هذه الورقة بالبيانات من التحميل السابق للبيانات، والتي يمكن استخدامها في ورقة Source Table.</t>
  </si>
  <si>
    <t>قم بإخفاء جميع الأوراق باستثناء ورقة Source Table.</t>
  </si>
  <si>
    <r>
      <rPr>
        <sz val="11"/>
        <color theme="1"/>
        <rFont val="Aptos Narrow"/>
        <family val="2"/>
        <scheme val="minor"/>
      </rPr>
      <t xml:space="preserve">Hide all sheets except for the </t>
    </r>
    <r>
      <rPr>
        <b/>
        <sz val="11"/>
        <color theme="1"/>
        <rFont val="Aptos Narrow"/>
        <family val="2"/>
        <scheme val="minor"/>
      </rPr>
      <t>Source Table</t>
    </r>
    <r>
      <rPr>
        <sz val="11"/>
        <color theme="1"/>
        <rFont val="Aptos Narrow"/>
        <family val="2"/>
        <scheme val="minor"/>
      </rPr>
      <t xml:space="preserve"> sheet.</t>
    </r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</si>
  <si>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</si>
  <si>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</si>
  <si>
    <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family val="2"/>
        <scheme val="minor"/>
      </rPr>
      <t xml:space="preserve"> Template Data</t>
    </r>
    <r>
      <rPr>
        <sz val="11"/>
        <color theme="1"/>
        <rFont val="Aptos Narrow"/>
        <family val="2"/>
        <scheme val="minor"/>
      </rPr>
      <t>.</t>
    </r>
  </si>
  <si>
    <r>
      <t>2. قوائم الرموز</t>
    </r>
    <r>
      <rPr>
        <sz val="11"/>
        <color theme="1"/>
        <rFont val="Aptos Narrow"/>
        <family val="2"/>
        <scheme val="minor"/>
      </rPr>
      <t xml:space="preserve">: استخدم قاعدة التسمية </t>
    </r>
    <r>
      <rPr>
        <sz val="10"/>
        <color theme="1"/>
        <rFont val="Arial Unicode MS"/>
      </rPr>
      <t xml:space="preserve">CL_XXX_EN_V# </t>
    </r>
    <r>
      <rPr>
        <sz val="11"/>
        <color theme="1"/>
        <rFont val="Aptos Narrow"/>
        <family val="2"/>
        <scheme val="minor"/>
      </rPr>
      <t xml:space="preserve">لقوائم الرموز، حيث أن </t>
    </r>
    <r>
      <rPr>
        <sz val="10"/>
        <color theme="1"/>
        <rFont val="Arial Unicode MS"/>
      </rPr>
      <t>XXX</t>
    </r>
    <r>
      <rPr>
        <sz val="11"/>
        <color theme="1"/>
        <rFont val="Aptos Narrow"/>
        <family val="2"/>
        <scheme val="minor"/>
      </rPr>
      <t xml:space="preserve"> هو الاسم و </t>
    </r>
    <r>
      <rPr>
        <sz val="10"/>
        <color theme="1"/>
        <rFont val="Arial Unicode MS"/>
      </rPr>
      <t>V#</t>
    </r>
    <r>
      <rPr>
        <sz val="11"/>
        <color theme="1"/>
        <rFont val="Aptos Narrow"/>
        <family val="2"/>
        <scheme val="minor"/>
      </rPr>
      <t xml:space="preserve"> هو الإصدار، وفقًا للتعريفات في قاموس البيانات.</t>
    </r>
  </si>
  <si>
    <r>
      <t>4. Time_Period_M</t>
    </r>
    <r>
      <rPr>
        <sz val="11"/>
        <color theme="1"/>
        <rFont val="Aptos Narrow"/>
        <family val="2"/>
        <scheme val="minor"/>
      </rPr>
      <t>: اتركها فارغة إذا كانت دورية البيانات سنوية.</t>
    </r>
  </si>
  <si>
    <t>نصي:(Jan, Feb, Mar, ..., Dec)</t>
  </si>
  <si>
    <r>
      <t>6. Obs_Value</t>
    </r>
    <r>
      <rPr>
        <sz val="11"/>
        <color theme="1"/>
        <rFont val="Aptos Narrow"/>
        <family val="2"/>
        <scheme val="minor"/>
      </rPr>
      <t>: It is recommended to use the formula =IF('Source Table'!XX="","",'Source Table'!XX) to handle empty data values correctly.</t>
    </r>
  </si>
  <si>
    <r>
      <t xml:space="preserve">6. Obs_Value: </t>
    </r>
    <r>
      <rPr>
        <sz val="11"/>
        <color theme="1"/>
        <rFont val="Aptos Narrow"/>
        <family val="2"/>
        <scheme val="minor"/>
      </rPr>
      <t>يُوصى باستخدام الصيغة =IF('Source Table'!XX="","",'Source Table'!XX) للتعامل بشكل صحيح مع القيم الفارغة في البيانات.</t>
    </r>
  </si>
  <si>
    <t>سنوي</t>
  </si>
  <si>
    <t>Annual</t>
  </si>
  <si>
    <t>الناتج المحلي الإجمالي بالأسعار الجارية</t>
  </si>
  <si>
    <t>مليون دينار</t>
  </si>
  <si>
    <t>Million JD</t>
  </si>
  <si>
    <t>Gross Domestic Product at Current Prices</t>
  </si>
  <si>
    <t>دائرة الإحصاءات العامة / الحسابات القومية</t>
  </si>
  <si>
    <t>Department of Statistics/ National Account</t>
  </si>
  <si>
    <t>الناتج المحلي الإجمالي حسب النشاط الإقتصادي بالأسعار الجارية</t>
  </si>
  <si>
    <t>SYB_23_3</t>
  </si>
  <si>
    <t>المناجم والمحاجر</t>
  </si>
  <si>
    <t>الصناعات التحويلية</t>
  </si>
  <si>
    <t>الكهرباء والمياه</t>
  </si>
  <si>
    <t>الإنشاءات</t>
  </si>
  <si>
    <t>تجارة الجملة والتجزئة والمطاعم والفنادق</t>
  </si>
  <si>
    <t>تجارة الجملة والتجزئة</t>
  </si>
  <si>
    <t>الفنادق والمطاعم</t>
  </si>
  <si>
    <t>النقل والتخزين والإتصالات</t>
  </si>
  <si>
    <t>الخدمات العقارية</t>
  </si>
  <si>
    <t>الخدمات الاجتماعية والشخصية</t>
  </si>
  <si>
    <t>المجموع</t>
  </si>
  <si>
    <t>منتجو الخدمات الحكومية</t>
  </si>
  <si>
    <t>منتجو الخدمات الخاصة التي لاتهدف الى الربح وتخدم العائلات</t>
  </si>
  <si>
    <t>الخدمات المنزلية</t>
  </si>
  <si>
    <t>مجموع ( أ + ب + ج + د )</t>
  </si>
  <si>
    <t>الخدمات المصرفية المحتسبة</t>
  </si>
  <si>
    <t>الناتج المحلي الاجمالي بالاسعار الاساسية</t>
  </si>
  <si>
    <t>صافي الضرائب على المنتجات</t>
  </si>
  <si>
    <t>الناتج المحلي الاجمالي باسعار السوق</t>
  </si>
  <si>
    <t>الزراعة والقنص والغابات وصيد الأسماك</t>
  </si>
  <si>
    <t>خدمات المال والتأمين وخدمات العقارات وخدمات الأعمال</t>
  </si>
  <si>
    <t>خدمات المال والتأمين وخدمات الأعمال</t>
  </si>
  <si>
    <t>Agriculture,Hunting,Forestry, And Fishing</t>
  </si>
  <si>
    <t>Mining And Quarrying</t>
  </si>
  <si>
    <t>Manufacturing</t>
  </si>
  <si>
    <t>Electricity And Water</t>
  </si>
  <si>
    <t>Construction</t>
  </si>
  <si>
    <t>Wholesale &amp; Retail Trade, Restuarants&amp; Hotels</t>
  </si>
  <si>
    <t>Wholesale And Retail Trade</t>
  </si>
  <si>
    <t>Restaurant And Hotels</t>
  </si>
  <si>
    <t>Transport,Storage &amp; Communications</t>
  </si>
  <si>
    <t>Finance,Insurance,Real Estate And Business Services</t>
  </si>
  <si>
    <t>Finance And Insurance  Services</t>
  </si>
  <si>
    <t>Real Estate</t>
  </si>
  <si>
    <t>Community,Social And Personal Services</t>
  </si>
  <si>
    <t>Total</t>
  </si>
  <si>
    <t>Producers Of Government Services</t>
  </si>
  <si>
    <t>Producers Of Private Non-Profit  Services To Households</t>
  </si>
  <si>
    <t>Domestic Services Of Households</t>
  </si>
  <si>
    <t>Total ( A+B+C + D )</t>
  </si>
  <si>
    <t>Imputed Bank Service Charge</t>
  </si>
  <si>
    <t>Gross Domestic Product At Basic Prices</t>
  </si>
  <si>
    <t>Net Taxes On Products</t>
  </si>
  <si>
    <t>Gross Domestic Product At Market Prices</t>
  </si>
  <si>
    <t>النشاط الاقتصادي</t>
  </si>
  <si>
    <t>Gross Domestic Product by Economic Activity at Current Prices</t>
  </si>
  <si>
    <t>Economic Activity</t>
  </si>
  <si>
    <t>CL_ECONOMIC_ACTIVITY_EN_V1</t>
  </si>
  <si>
    <t>CL_ECONOMIC_ACTIVITY_AR_V1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</si>
</sst>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7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rgb="FFFFFFFF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1"/>
      <name val="Arial"/>
      <family val="2"/>
      <charset val="178"/>
    </font>
    <font>
      <b/>
      <sz val="8"/>
      <name val="Arial"/>
      <family val="2"/>
    </font>
    <font>
      <b/>
      <sz val="12"/>
      <name val="Arial"/>
      <family val="2"/>
      <charset val="178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0776AD"/>
      <name val="Aptos Narrow"/>
      <family val="2"/>
      <scheme val="minor"/>
    </font>
    <font>
      <b/>
      <sz val="14"/>
      <color theme="0"/>
      <name val="Aptos"/>
      <family val="2"/>
    </font>
    <font>
      <sz val="11"/>
      <color rgb="FFFFFFFF"/>
      <name val="Aptos Narrow"/>
      <family val="2"/>
      <scheme val="minor"/>
    </font>
    <font>
      <sz val="11"/>
      <color rgb="FF0776AD"/>
      <name val="Aptos Narrow"/>
      <family val="2"/>
      <scheme val="minor"/>
    </font>
    <font>
      <b/>
      <sz val="14"/>
      <color theme="7" tint="-0.249977111117893"/>
      <name val="Aptos"/>
      <family val="2"/>
    </font>
    <font>
      <b/>
      <sz val="11"/>
      <color rgb="FF0776AD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sz val="12"/>
      <name val="Traditional Arabic"/>
      <family val="1"/>
    </font>
    <font>
      <sz val="12"/>
      <name val="Calibri"/>
      <family val="2"/>
    </font>
    <font>
      <b/>
      <sz val="12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/>
      <right style="thin">
        <color theme="7" tint="-0.499984740745262"/>
      </right>
      <top/>
      <bottom/>
      <diagonal/>
    </border>
    <border>
      <left/>
      <right style="thin">
        <color theme="7" tint="-0.499984740745262"/>
      </right>
      <top/>
      <bottom style="thin">
        <color indexed="64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0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9" fontId="4" fillId="0" borderId="0"/>
    <xf numFmtId="0" fontId="4" fillId="0" borderId="0"/>
    <xf numFmtId="0" fontId="3" fillId="0" borderId="0"/>
    <xf numFmtId="0" fontId="4" fillId="0" borderId="0"/>
    <xf numFmtId="9" fontId="4" fillId="0" borderId="0"/>
    <xf numFmtId="0" fontId="5" fillId="0" borderId="0">
      <alignment horizontal="centerContinuous" vertical="center"/>
    </xf>
    <xf numFmtId="0" fontId="6" fillId="0" borderId="0">
      <alignment horizontal="centerContinuous" vertical="center"/>
    </xf>
    <xf numFmtId="0" fontId="7" fillId="0" borderId="0">
      <alignment horizontal="right" vertical="center"/>
    </xf>
    <xf numFmtId="0" fontId="8" fillId="3" borderId="1">
      <alignment horizontal="center" vertical="center" wrapText="1"/>
    </xf>
    <xf numFmtId="0" fontId="3" fillId="0" borderId="0">
      <alignment horizontal="left" vertical="center"/>
    </xf>
    <xf numFmtId="0" fontId="9" fillId="3" borderId="1">
      <alignment horizontal="center" vertical="center" wrapText="1"/>
    </xf>
    <xf numFmtId="1" fontId="10" fillId="3" borderId="1">
      <alignment horizontal="center" vertical="center"/>
    </xf>
    <xf numFmtId="0" fontId="3" fillId="0" borderId="0"/>
    <xf numFmtId="43" fontId="4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2" fillId="5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4" fontId="0" fillId="0" borderId="0" xfId="0" applyNumberFormat="1"/>
    <xf numFmtId="0" fontId="16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readingOrder="2"/>
    </xf>
    <xf numFmtId="0" fontId="19" fillId="0" borderId="0" xfId="0" applyFont="1" applyAlignment="1">
      <alignment horizontal="center"/>
    </xf>
    <xf numFmtId="0" fontId="20" fillId="4" borderId="0" xfId="0" applyFont="1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13" fillId="4" borderId="0" xfId="0" applyFont="1" applyFill="1" applyAlignment="1">
      <alignment horizontal="left" vertical="center" wrapText="1"/>
    </xf>
    <xf numFmtId="0" fontId="0" fillId="4" borderId="0" xfId="0" applyFill="1"/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20" fillId="4" borderId="0" xfId="0" applyFont="1" applyFill="1" applyAlignment="1">
      <alignment horizontal="right" vertical="center" wrapText="1" readingOrder="2"/>
    </xf>
    <xf numFmtId="0" fontId="0" fillId="4" borderId="0" xfId="0" applyFill="1" applyAlignment="1">
      <alignment horizontal="right" vertical="center" wrapText="1" readingOrder="2"/>
    </xf>
    <xf numFmtId="0" fontId="13" fillId="4" borderId="0" xfId="0" applyFont="1" applyFill="1" applyAlignment="1">
      <alignment horizontal="right" vertical="center" wrapText="1" readingOrder="2"/>
    </xf>
    <xf numFmtId="0" fontId="18" fillId="2" borderId="3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readingOrder="2"/>
    </xf>
    <xf numFmtId="0" fontId="17" fillId="9" borderId="0" xfId="0" applyFont="1" applyFill="1" applyAlignment="1">
      <alignment horizontal="center" vertical="center"/>
    </xf>
    <xf numFmtId="0" fontId="22" fillId="0" borderId="4" xfId="18" applyFont="1" applyFill="1" applyBorder="1" applyAlignment="1">
      <alignment horizontal="center" vertical="center"/>
    </xf>
    <xf numFmtId="164" fontId="0" fillId="0" borderId="0" xfId="19" applyNumberFormat="1" applyFont="1"/>
    <xf numFmtId="0" fontId="18" fillId="8" borderId="9" xfId="0" applyFont="1" applyFill="1" applyBorder="1" applyAlignment="1">
      <alignment horizontal="center" vertical="center"/>
    </xf>
    <xf numFmtId="0" fontId="18" fillId="8" borderId="10" xfId="0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 readingOrder="2"/>
    </xf>
    <xf numFmtId="0" fontId="18" fillId="6" borderId="6" xfId="0" applyFont="1" applyFill="1" applyBorder="1" applyAlignment="1">
      <alignment horizontal="center" vertical="center" readingOrder="2"/>
    </xf>
    <xf numFmtId="0" fontId="18" fillId="6" borderId="7" xfId="0" applyFont="1" applyFill="1" applyBorder="1" applyAlignment="1">
      <alignment horizontal="center" vertical="center" readingOrder="2"/>
    </xf>
    <xf numFmtId="0" fontId="18" fillId="6" borderId="2" xfId="0" applyFont="1" applyFill="1" applyBorder="1" applyAlignment="1">
      <alignment horizontal="center" vertical="center" readingOrder="2"/>
    </xf>
    <xf numFmtId="0" fontId="15" fillId="7" borderId="0" xfId="0" applyFont="1" applyFill="1" applyBorder="1" applyAlignment="1">
      <alignment horizontal="center" vertical="center"/>
    </xf>
    <xf numFmtId="0" fontId="23" fillId="8" borderId="4" xfId="18" applyFont="1" applyFill="1" applyBorder="1" applyAlignment="1">
      <alignment vertical="center"/>
    </xf>
    <xf numFmtId="0" fontId="24" fillId="8" borderId="4" xfId="18" applyFont="1" applyFill="1" applyBorder="1" applyAlignment="1">
      <alignment vertical="center"/>
    </xf>
    <xf numFmtId="0" fontId="24" fillId="8" borderId="12" xfId="18" applyFont="1" applyFill="1" applyBorder="1" applyAlignment="1">
      <alignment vertical="center"/>
    </xf>
    <xf numFmtId="0" fontId="25" fillId="8" borderId="4" xfId="3" applyFont="1" applyFill="1" applyBorder="1" applyProtection="1"/>
    <xf numFmtId="0" fontId="26" fillId="8" borderId="4" xfId="3" applyFont="1" applyFill="1" applyBorder="1" applyProtection="1"/>
    <xf numFmtId="0" fontId="22" fillId="10" borderId="4" xfId="18" applyFont="1" applyFill="1" applyBorder="1" applyAlignment="1">
      <alignment horizontal="center" vertical="center"/>
    </xf>
  </cellXfs>
  <cellStyles count="20">
    <cellStyle name="‏_x001d_ً'_x000c_ï‏÷_x000c__x001c_" xfId="2"/>
    <cellStyle name="‏_x001d_ً'_x000c_ï‏÷_x000c__x001c_ 2" xfId="8"/>
    <cellStyle name="Comma" xfId="19" builtinId="3"/>
    <cellStyle name="H1" xfId="11"/>
    <cellStyle name="H2" xfId="12"/>
    <cellStyle name="Had1" xfId="17"/>
    <cellStyle name="Had2" xfId="14"/>
    <cellStyle name="Had3" xfId="16"/>
    <cellStyle name="Normal" xfId="0" builtinId="0"/>
    <cellStyle name="Normal 2" xfId="3"/>
    <cellStyle name="Normal 3" xfId="1"/>
    <cellStyle name="Normal 4" xfId="4"/>
    <cellStyle name="Normal 4 2" xfId="9"/>
    <cellStyle name="Normal 5" xfId="5"/>
    <cellStyle name="Normal 6" xfId="7"/>
    <cellStyle name="Normal_Q-GDp1" xfId="18"/>
    <cellStyle name="Percent 2" xfId="6"/>
    <cellStyle name="Percent 2 2" xfId="10"/>
    <cellStyle name="T1" xfId="13"/>
    <cellStyle name="T2" xfId="15"/>
  </cellStyles>
  <dxfs count="0"/>
  <tableStyles count="0" defaultTableStyle="TableStyleMedium2" defaultPivotStyle="PivotStyleLight16"/>
  <colors>
    <mruColors>
      <color rgb="FF0776AD"/>
      <color rgb="FFBCE7FC"/>
      <color rgb="FF098B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7" sqref="B7"/>
    </sheetView>
  </sheetViews>
  <sheetFormatPr defaultRowHeight="14.25"/>
  <cols>
    <col min="1" max="1" width="32.375" bestFit="1" customWidth="1"/>
    <col min="2" max="2" width="115.75" customWidth="1"/>
  </cols>
  <sheetData>
    <row r="1" spans="1:2" ht="21" customHeight="1">
      <c r="A1" s="2" t="s">
        <v>0</v>
      </c>
      <c r="B1" s="20" t="s">
        <v>88</v>
      </c>
    </row>
    <row r="2" spans="1:2" ht="21" customHeight="1">
      <c r="A2" s="2" t="s">
        <v>1</v>
      </c>
      <c r="B2" s="20" t="s">
        <v>2</v>
      </c>
    </row>
    <row r="3" spans="1:2" ht="21" customHeight="1">
      <c r="A3" s="2" t="s">
        <v>25</v>
      </c>
      <c r="B3" s="21" t="s">
        <v>87</v>
      </c>
    </row>
    <row r="4" spans="1:2" ht="21" customHeight="1">
      <c r="A4" s="2" t="s">
        <v>24</v>
      </c>
      <c r="B4" s="22" t="s">
        <v>134</v>
      </c>
    </row>
    <row r="5" spans="1:2" ht="21" customHeight="1">
      <c r="A5" s="2" t="s">
        <v>27</v>
      </c>
      <c r="B5" s="23" t="s">
        <v>79</v>
      </c>
    </row>
    <row r="6" spans="1:2" ht="21" customHeight="1">
      <c r="A6" s="2" t="s">
        <v>26</v>
      </c>
      <c r="B6" s="23" t="s">
        <v>80</v>
      </c>
    </row>
    <row r="7" spans="1:2" ht="21" customHeight="1">
      <c r="A7" s="2" t="s">
        <v>29</v>
      </c>
      <c r="B7" s="20" t="s">
        <v>85</v>
      </c>
    </row>
    <row r="8" spans="1:2" ht="21" customHeight="1">
      <c r="A8" s="2" t="s">
        <v>28</v>
      </c>
      <c r="B8" s="20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tabSelected="1" view="pageBreakPreview" zoomScale="106" zoomScaleNormal="100" zoomScaleSheetLayoutView="55" workbookViewId="0">
      <selection activeCell="D14" sqref="D14"/>
    </sheetView>
  </sheetViews>
  <sheetFormatPr defaultColWidth="16.75" defaultRowHeight="14.25"/>
  <cols>
    <col min="2" max="2" width="47.25" bestFit="1" customWidth="1"/>
    <col min="3" max="3" width="24.75" customWidth="1"/>
    <col min="4" max="4" width="33.25" bestFit="1" customWidth="1"/>
  </cols>
  <sheetData>
    <row r="2" spans="2:4" ht="28.15" customHeight="1">
      <c r="B2" s="34" t="str">
        <f>'Cover Page'!B4</f>
        <v>Gross Domestic Product by Economic Activity at Current Prices</v>
      </c>
      <c r="C2" s="34"/>
      <c r="D2" s="34"/>
    </row>
    <row r="3" spans="2:4" ht="28.15" customHeight="1">
      <c r="B3" s="34" t="str">
        <f>'Cover Page'!B3</f>
        <v>الناتج المحلي الإجمالي حسب النشاط الإقتصادي بالأسعار الجارية</v>
      </c>
      <c r="C3" s="34"/>
      <c r="D3" s="34"/>
    </row>
    <row r="4" spans="2:4" ht="28.15" customHeight="1">
      <c r="B4" s="19" t="s">
        <v>3</v>
      </c>
      <c r="C4" s="27">
        <v>2024</v>
      </c>
      <c r="D4" s="18" t="s">
        <v>4</v>
      </c>
    </row>
    <row r="5" spans="2:4" ht="28.15" customHeight="1">
      <c r="B5" s="33" t="s">
        <v>135</v>
      </c>
      <c r="C5" s="28"/>
      <c r="D5" s="30" t="s">
        <v>133</v>
      </c>
    </row>
    <row r="6" spans="2:4" ht="19.899999999999999" customHeight="1">
      <c r="B6" s="33"/>
      <c r="C6" s="28"/>
      <c r="D6" s="31"/>
    </row>
    <row r="7" spans="2:4" ht="19.899999999999999" customHeight="1">
      <c r="B7" s="33"/>
      <c r="C7" s="29"/>
      <c r="D7" s="32"/>
    </row>
    <row r="8" spans="2:4" ht="22.15" customHeight="1">
      <c r="B8" s="38" t="s">
        <v>111</v>
      </c>
      <c r="C8" s="25"/>
      <c r="D8" s="35" t="s">
        <v>108</v>
      </c>
    </row>
    <row r="9" spans="2:4" ht="22.15" customHeight="1">
      <c r="B9" s="38" t="s">
        <v>112</v>
      </c>
      <c r="C9" s="25"/>
      <c r="D9" s="35" t="s">
        <v>89</v>
      </c>
    </row>
    <row r="10" spans="2:4" ht="22.15" customHeight="1">
      <c r="B10" s="38" t="s">
        <v>113</v>
      </c>
      <c r="C10" s="25"/>
      <c r="D10" s="35" t="s">
        <v>90</v>
      </c>
    </row>
    <row r="11" spans="2:4" ht="22.15" customHeight="1">
      <c r="B11" s="38" t="s">
        <v>114</v>
      </c>
      <c r="C11" s="25"/>
      <c r="D11" s="35" t="s">
        <v>91</v>
      </c>
    </row>
    <row r="12" spans="2:4" ht="22.15" customHeight="1">
      <c r="B12" s="38" t="s">
        <v>115</v>
      </c>
      <c r="C12" s="25"/>
      <c r="D12" s="35" t="s">
        <v>92</v>
      </c>
    </row>
    <row r="13" spans="2:4" ht="22.15" customHeight="1">
      <c r="B13" s="38" t="s">
        <v>116</v>
      </c>
      <c r="C13" s="40">
        <f>+C14+C15</f>
        <v>0</v>
      </c>
      <c r="D13" s="35" t="s">
        <v>93</v>
      </c>
    </row>
    <row r="14" spans="2:4" ht="22.15" customHeight="1">
      <c r="B14" s="38" t="s">
        <v>117</v>
      </c>
      <c r="C14" s="25"/>
      <c r="D14" s="35" t="s">
        <v>94</v>
      </c>
    </row>
    <row r="15" spans="2:4" ht="22.15" customHeight="1">
      <c r="B15" s="38" t="s">
        <v>118</v>
      </c>
      <c r="C15" s="25"/>
      <c r="D15" s="35" t="s">
        <v>95</v>
      </c>
    </row>
    <row r="16" spans="2:4" ht="22.15" customHeight="1">
      <c r="B16" s="38" t="s">
        <v>119</v>
      </c>
      <c r="C16" s="25"/>
      <c r="D16" s="35" t="s">
        <v>96</v>
      </c>
    </row>
    <row r="17" spans="2:4" ht="22.15" customHeight="1">
      <c r="B17" s="38" t="s">
        <v>120</v>
      </c>
      <c r="C17" s="40">
        <f>+C18+C19</f>
        <v>0</v>
      </c>
      <c r="D17" s="35" t="s">
        <v>109</v>
      </c>
    </row>
    <row r="18" spans="2:4" ht="22.15" customHeight="1">
      <c r="B18" s="38" t="s">
        <v>121</v>
      </c>
      <c r="C18" s="25"/>
      <c r="D18" s="35" t="s">
        <v>110</v>
      </c>
    </row>
    <row r="19" spans="2:4" ht="22.15" customHeight="1">
      <c r="B19" s="38" t="s">
        <v>122</v>
      </c>
      <c r="C19" s="25"/>
      <c r="D19" s="35" t="s">
        <v>97</v>
      </c>
    </row>
    <row r="20" spans="2:4" ht="21.75">
      <c r="B20" s="38" t="s">
        <v>123</v>
      </c>
      <c r="C20" s="25"/>
      <c r="D20" s="35" t="s">
        <v>98</v>
      </c>
    </row>
    <row r="21" spans="2:4" ht="21.75">
      <c r="B21" s="39" t="s">
        <v>124</v>
      </c>
      <c r="C21" s="40">
        <f>+C8+C9+C10+C11+C12+C14+C15+C16+C18+C19+C20</f>
        <v>0</v>
      </c>
      <c r="D21" s="36" t="s">
        <v>99</v>
      </c>
    </row>
    <row r="22" spans="2:4" ht="21.75">
      <c r="B22" s="38" t="s">
        <v>125</v>
      </c>
      <c r="C22" s="25"/>
      <c r="D22" s="35" t="s">
        <v>100</v>
      </c>
    </row>
    <row r="23" spans="2:4" ht="21.75">
      <c r="B23" s="38" t="s">
        <v>126</v>
      </c>
      <c r="C23" s="25"/>
      <c r="D23" s="35" t="s">
        <v>101</v>
      </c>
    </row>
    <row r="24" spans="2:4" ht="21.75">
      <c r="B24" s="38" t="s">
        <v>127</v>
      </c>
      <c r="C24" s="25"/>
      <c r="D24" s="35" t="s">
        <v>102</v>
      </c>
    </row>
    <row r="25" spans="2:4" ht="21.75">
      <c r="B25" s="39" t="s">
        <v>128</v>
      </c>
      <c r="C25" s="40">
        <f>SUM(C21:C24)</f>
        <v>0</v>
      </c>
      <c r="D25" s="36" t="s">
        <v>103</v>
      </c>
    </row>
    <row r="26" spans="2:4" ht="21.75">
      <c r="B26" s="38" t="s">
        <v>129</v>
      </c>
      <c r="C26" s="25"/>
      <c r="D26" s="35" t="s">
        <v>104</v>
      </c>
    </row>
    <row r="27" spans="2:4" ht="21.75">
      <c r="B27" s="39" t="s">
        <v>130</v>
      </c>
      <c r="C27" s="40">
        <f>+C25-C26</f>
        <v>0</v>
      </c>
      <c r="D27" s="36" t="s">
        <v>105</v>
      </c>
    </row>
    <row r="28" spans="2:4" ht="21.75">
      <c r="B28" s="38" t="s">
        <v>131</v>
      </c>
      <c r="C28" s="25"/>
      <c r="D28" s="35" t="s">
        <v>106</v>
      </c>
    </row>
    <row r="29" spans="2:4" ht="22.5" thickBot="1">
      <c r="B29" s="39" t="s">
        <v>132</v>
      </c>
      <c r="C29" s="40">
        <f>+C27+C28</f>
        <v>0</v>
      </c>
      <c r="D29" s="37" t="s">
        <v>107</v>
      </c>
    </row>
  </sheetData>
  <sheetProtection algorithmName="SHA-512" hashValue="HMcvj0RjfLDWofgPM5MRxD9ga9/v1SsM3/wsson2TTKqU1uRhoPfkjvULqIsuqSnyfArrke9LoU5Xx3LNUAhig==" saltValue="GyQc9y5zqoxuTYXv1Wed1Q==" spinCount="100000" sheet="1" objects="1" scenarios="1"/>
  <protectedRanges>
    <protectedRange sqref="C8:C12 C14:C16 C18:C20 C22:C24 C26 C28" name="Range1"/>
  </protectedRanges>
  <mergeCells count="5">
    <mergeCell ref="C4:C7"/>
    <mergeCell ref="D5:D7"/>
    <mergeCell ref="B5:B7"/>
    <mergeCell ref="B2:D2"/>
    <mergeCell ref="B3:D3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"/>
  <sheetViews>
    <sheetView topLeftCell="B1" zoomScaleNormal="98" workbookViewId="0">
      <selection activeCell="G15" sqref="G15"/>
    </sheetView>
  </sheetViews>
  <sheetFormatPr defaultColWidth="9" defaultRowHeight="14.25"/>
  <cols>
    <col min="1" max="1" width="66.25" customWidth="1"/>
    <col min="2" max="2" width="36.25" bestFit="1" customWidth="1"/>
    <col min="3" max="3" width="9.75" bestFit="1" customWidth="1"/>
    <col min="4" max="5" width="18.125" customWidth="1"/>
    <col min="6" max="6" width="28.375" customWidth="1"/>
    <col min="7" max="7" width="24.75" customWidth="1"/>
    <col min="8" max="10" width="15.375" customWidth="1"/>
  </cols>
  <sheetData>
    <row r="1" spans="1:10" ht="20.25">
      <c r="A1" s="3" t="s">
        <v>6</v>
      </c>
    </row>
    <row r="2" spans="1:10" s="1" customFormat="1" ht="18" customHeight="1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24" t="s">
        <v>136</v>
      </c>
      <c r="G2" s="24" t="s">
        <v>137</v>
      </c>
      <c r="H2" s="5" t="s">
        <v>12</v>
      </c>
      <c r="I2" s="5" t="s">
        <v>13</v>
      </c>
      <c r="J2" s="5" t="s">
        <v>14</v>
      </c>
    </row>
    <row r="3" spans="1:10" s="1" customFormat="1" ht="18" customHeight="1">
      <c r="A3" s="5" t="s">
        <v>20</v>
      </c>
      <c r="B3" s="5" t="s">
        <v>21</v>
      </c>
      <c r="C3" s="5" t="s">
        <v>15</v>
      </c>
      <c r="D3" s="5" t="s">
        <v>22</v>
      </c>
      <c r="E3" s="5" t="s">
        <v>23</v>
      </c>
      <c r="F3" s="24" t="s">
        <v>135</v>
      </c>
      <c r="G3" s="24" t="s">
        <v>133</v>
      </c>
      <c r="H3" s="5" t="s">
        <v>16</v>
      </c>
      <c r="I3" s="5" t="s">
        <v>17</v>
      </c>
      <c r="J3" s="5" t="s">
        <v>18</v>
      </c>
    </row>
    <row r="4" spans="1:10" ht="15">
      <c r="A4" t="s">
        <v>81</v>
      </c>
      <c r="B4" t="s">
        <v>84</v>
      </c>
      <c r="C4" s="6" t="s">
        <v>19</v>
      </c>
      <c r="D4" s="6" t="s">
        <v>83</v>
      </c>
      <c r="E4" s="7" t="s">
        <v>82</v>
      </c>
      <c r="F4" t="str">
        <f>+'Source Table'!$B$8</f>
        <v>Agriculture,Hunting,Forestry, And Fishing</v>
      </c>
      <c r="G4" t="str">
        <f>+'Source Table'!$D$8</f>
        <v>الزراعة والقنص والغابات وصيد الأسماك</v>
      </c>
      <c r="H4" s="26">
        <v>462.67399999999998</v>
      </c>
      <c r="I4">
        <v>2008</v>
      </c>
    </row>
    <row r="5" spans="1:10" ht="15">
      <c r="A5" t="s">
        <v>81</v>
      </c>
      <c r="B5" t="s">
        <v>84</v>
      </c>
      <c r="C5" s="6" t="s">
        <v>19</v>
      </c>
      <c r="D5" s="6" t="s">
        <v>83</v>
      </c>
      <c r="E5" s="7" t="s">
        <v>82</v>
      </c>
      <c r="F5" t="str">
        <f>+'Source Table'!$B$9</f>
        <v>Mining And Quarrying</v>
      </c>
      <c r="G5" t="str">
        <f>+'Source Table'!$D$9</f>
        <v>المناجم والمحاجر</v>
      </c>
      <c r="H5" s="26">
        <v>669.202</v>
      </c>
      <c r="I5">
        <v>2008</v>
      </c>
    </row>
    <row r="6" spans="1:10" ht="15">
      <c r="A6" t="s">
        <v>81</v>
      </c>
      <c r="B6" t="s">
        <v>84</v>
      </c>
      <c r="C6" s="6" t="s">
        <v>19</v>
      </c>
      <c r="D6" s="6" t="s">
        <v>83</v>
      </c>
      <c r="E6" s="7" t="s">
        <v>82</v>
      </c>
      <c r="F6" t="str">
        <f>+'Source Table'!$B$10</f>
        <v>Manufacturing</v>
      </c>
      <c r="G6" t="str">
        <f>+'Source Table'!$D$10</f>
        <v>الصناعات التحويلية</v>
      </c>
      <c r="H6" s="26">
        <v>3401.7514000000001</v>
      </c>
      <c r="I6">
        <v>2008</v>
      </c>
    </row>
    <row r="7" spans="1:10" ht="15">
      <c r="A7" t="s">
        <v>81</v>
      </c>
      <c r="B7" t="s">
        <v>84</v>
      </c>
      <c r="C7" s="6" t="s">
        <v>19</v>
      </c>
      <c r="D7" s="6" t="s">
        <v>83</v>
      </c>
      <c r="E7" s="7" t="s">
        <v>82</v>
      </c>
      <c r="F7" t="str">
        <f>+'Source Table'!$B$11</f>
        <v>Electricity And Water</v>
      </c>
      <c r="G7" t="str">
        <f>+'Source Table'!$D$11</f>
        <v>الكهرباء والمياه</v>
      </c>
      <c r="H7" s="26">
        <v>197.64769999999999</v>
      </c>
      <c r="I7">
        <v>2008</v>
      </c>
    </row>
    <row r="8" spans="1:10" ht="15">
      <c r="A8" t="s">
        <v>81</v>
      </c>
      <c r="B8" t="s">
        <v>84</v>
      </c>
      <c r="C8" s="6" t="s">
        <v>19</v>
      </c>
      <c r="D8" s="6" t="s">
        <v>83</v>
      </c>
      <c r="E8" s="7" t="s">
        <v>82</v>
      </c>
      <c r="F8" t="str">
        <f>+'Source Table'!$B$12</f>
        <v>Construction</v>
      </c>
      <c r="G8" t="str">
        <f>+'Source Table'!$D$12</f>
        <v>الإنشاءات</v>
      </c>
      <c r="H8" s="26">
        <v>498.35499999999996</v>
      </c>
      <c r="I8">
        <v>2008</v>
      </c>
    </row>
    <row r="9" spans="1:10" ht="15">
      <c r="A9" t="s">
        <v>81</v>
      </c>
      <c r="B9" t="s">
        <v>84</v>
      </c>
      <c r="C9" s="6" t="s">
        <v>19</v>
      </c>
      <c r="D9" s="6" t="s">
        <v>83</v>
      </c>
      <c r="E9" s="7" t="s">
        <v>82</v>
      </c>
      <c r="F9" t="str">
        <f>+'Source Table'!$B$13</f>
        <v>Wholesale &amp; Retail Trade, Restuarants&amp; Hotels</v>
      </c>
      <c r="G9" t="str">
        <f>+'Source Table'!$D$13</f>
        <v>تجارة الجملة والتجزئة والمطاعم والفنادق</v>
      </c>
      <c r="H9" s="26">
        <v>1601.9496999999999</v>
      </c>
      <c r="I9">
        <v>2008</v>
      </c>
    </row>
    <row r="10" spans="1:10" ht="15">
      <c r="A10" t="s">
        <v>81</v>
      </c>
      <c r="B10" t="s">
        <v>84</v>
      </c>
      <c r="C10" s="6" t="s">
        <v>19</v>
      </c>
      <c r="D10" s="6" t="s">
        <v>83</v>
      </c>
      <c r="E10" s="7" t="s">
        <v>82</v>
      </c>
      <c r="F10" t="str">
        <f>+'Source Table'!$B$14</f>
        <v>Wholesale And Retail Trade</v>
      </c>
      <c r="G10" t="str">
        <f>+'Source Table'!$D$14</f>
        <v>تجارة الجملة والتجزئة</v>
      </c>
      <c r="H10" s="26">
        <v>1330.5066999999999</v>
      </c>
      <c r="I10">
        <v>2008</v>
      </c>
    </row>
    <row r="11" spans="1:10" ht="15">
      <c r="A11" t="s">
        <v>81</v>
      </c>
      <c r="B11" t="s">
        <v>84</v>
      </c>
      <c r="C11" s="6" t="s">
        <v>19</v>
      </c>
      <c r="D11" s="6" t="s">
        <v>83</v>
      </c>
      <c r="E11" s="7" t="s">
        <v>82</v>
      </c>
      <c r="F11" t="str">
        <f>+'Source Table'!$B$15</f>
        <v>Restaurant And Hotels</v>
      </c>
      <c r="G11" t="str">
        <f>+'Source Table'!$D$15</f>
        <v>الفنادق والمطاعم</v>
      </c>
      <c r="H11" s="26">
        <v>271.44300000000004</v>
      </c>
      <c r="I11">
        <v>2008</v>
      </c>
    </row>
    <row r="12" spans="1:10" ht="15">
      <c r="A12" t="s">
        <v>81</v>
      </c>
      <c r="B12" t="s">
        <v>84</v>
      </c>
      <c r="C12" s="6" t="s">
        <v>19</v>
      </c>
      <c r="D12" s="6" t="s">
        <v>83</v>
      </c>
      <c r="E12" s="7" t="s">
        <v>82</v>
      </c>
      <c r="F12" t="str">
        <f>+'Source Table'!$B$16</f>
        <v>Transport,Storage &amp; Communications</v>
      </c>
      <c r="G12" t="str">
        <f>+'Source Table'!$D$16</f>
        <v>النقل والتخزين والإتصالات</v>
      </c>
      <c r="H12" s="26">
        <v>1339.4821999999999</v>
      </c>
      <c r="I12">
        <v>2008</v>
      </c>
    </row>
    <row r="13" spans="1:10" ht="15">
      <c r="A13" t="s">
        <v>81</v>
      </c>
      <c r="B13" t="s">
        <v>84</v>
      </c>
      <c r="C13" s="6" t="s">
        <v>19</v>
      </c>
      <c r="D13" s="6" t="s">
        <v>83</v>
      </c>
      <c r="E13" s="7" t="s">
        <v>82</v>
      </c>
      <c r="F13" t="str">
        <f>+'Source Table'!$B$17</f>
        <v>Finance,Insurance,Real Estate And Business Services</v>
      </c>
      <c r="G13" t="str">
        <f>+'Source Table'!$D$17</f>
        <v>خدمات المال والتأمين وخدمات العقارات وخدمات الأعمال</v>
      </c>
      <c r="H13" s="26">
        <v>2646.261</v>
      </c>
      <c r="I13">
        <v>2008</v>
      </c>
    </row>
    <row r="14" spans="1:10" ht="15">
      <c r="A14" t="s">
        <v>81</v>
      </c>
      <c r="B14" t="s">
        <v>84</v>
      </c>
      <c r="C14" s="6" t="s">
        <v>19</v>
      </c>
      <c r="D14" s="6" t="s">
        <v>83</v>
      </c>
      <c r="E14" s="7" t="s">
        <v>82</v>
      </c>
      <c r="F14" t="str">
        <f>+'Source Table'!$B$18</f>
        <v>Finance And Insurance  Services</v>
      </c>
      <c r="G14" t="str">
        <f>+'Source Table'!$D$18</f>
        <v>خدمات المال والتأمين وخدمات الأعمال</v>
      </c>
      <c r="H14" s="26">
        <v>963.9742</v>
      </c>
      <c r="I14">
        <v>2008</v>
      </c>
    </row>
    <row r="15" spans="1:10" ht="15">
      <c r="A15" t="s">
        <v>81</v>
      </c>
      <c r="B15" t="s">
        <v>84</v>
      </c>
      <c r="C15" s="6" t="s">
        <v>19</v>
      </c>
      <c r="D15" s="6" t="s">
        <v>83</v>
      </c>
      <c r="E15" s="7" t="s">
        <v>82</v>
      </c>
      <c r="F15" t="str">
        <f>+'Source Table'!$B$19</f>
        <v>Real Estate</v>
      </c>
      <c r="G15" t="str">
        <f>+'Source Table'!$D$19</f>
        <v>الخدمات العقارية</v>
      </c>
      <c r="H15" s="26">
        <v>1682.2868000000001</v>
      </c>
      <c r="I15">
        <v>2008</v>
      </c>
    </row>
    <row r="16" spans="1:10" ht="15">
      <c r="A16" t="s">
        <v>81</v>
      </c>
      <c r="B16" t="s">
        <v>84</v>
      </c>
      <c r="C16" s="6" t="s">
        <v>19</v>
      </c>
      <c r="D16" s="6" t="s">
        <v>83</v>
      </c>
      <c r="E16" s="7" t="s">
        <v>82</v>
      </c>
      <c r="F16" t="str">
        <f>+'Source Table'!$B$20</f>
        <v>Community,Social And Personal Services</v>
      </c>
      <c r="G16" t="str">
        <f>+'Source Table'!$D$20</f>
        <v>الخدمات الاجتماعية والشخصية</v>
      </c>
      <c r="H16" s="26">
        <v>1206.7687999999998</v>
      </c>
      <c r="I16">
        <v>2008</v>
      </c>
    </row>
    <row r="17" spans="1:9" ht="15">
      <c r="A17" t="s">
        <v>81</v>
      </c>
      <c r="B17" t="s">
        <v>84</v>
      </c>
      <c r="C17" s="6" t="s">
        <v>19</v>
      </c>
      <c r="D17" s="6" t="s">
        <v>83</v>
      </c>
      <c r="E17" s="7" t="s">
        <v>82</v>
      </c>
      <c r="F17" t="str">
        <f>+'Source Table'!$B$21</f>
        <v>Total</v>
      </c>
      <c r="G17" t="str">
        <f>+'Source Table'!$D$21</f>
        <v>المجموع</v>
      </c>
      <c r="H17" s="26">
        <v>12024.0918</v>
      </c>
      <c r="I17">
        <v>2008</v>
      </c>
    </row>
    <row r="18" spans="1:9" ht="15">
      <c r="A18" t="s">
        <v>81</v>
      </c>
      <c r="B18" t="s">
        <v>84</v>
      </c>
      <c r="C18" s="6" t="s">
        <v>19</v>
      </c>
      <c r="D18" s="6" t="s">
        <v>83</v>
      </c>
      <c r="E18" s="7" t="s">
        <v>82</v>
      </c>
      <c r="F18" t="str">
        <f>+'Source Table'!$B$22</f>
        <v>Producers Of Government Services</v>
      </c>
      <c r="G18" t="str">
        <f>+'Source Table'!$D$22</f>
        <v>منتجو الخدمات الحكومية</v>
      </c>
      <c r="H18" s="26">
        <v>2279.2776999999996</v>
      </c>
      <c r="I18">
        <v>2008</v>
      </c>
    </row>
    <row r="19" spans="1:9" ht="15">
      <c r="A19" t="s">
        <v>81</v>
      </c>
      <c r="B19" t="s">
        <v>84</v>
      </c>
      <c r="C19" s="6" t="s">
        <v>19</v>
      </c>
      <c r="D19" s="6" t="s">
        <v>83</v>
      </c>
      <c r="E19" s="7" t="s">
        <v>82</v>
      </c>
      <c r="F19" t="str">
        <f>+'Source Table'!$B$23</f>
        <v>Producers Of Private Non-Profit  Services To Households</v>
      </c>
      <c r="G19" t="str">
        <f>+'Source Table'!$D$23</f>
        <v>منتجو الخدمات الخاصة التي لاتهدف الى الربح وتخدم العائلات</v>
      </c>
      <c r="H19" s="26">
        <v>108.96109999999999</v>
      </c>
      <c r="I19">
        <v>2008</v>
      </c>
    </row>
    <row r="20" spans="1:9" ht="15">
      <c r="A20" t="s">
        <v>81</v>
      </c>
      <c r="B20" t="s">
        <v>84</v>
      </c>
      <c r="C20" s="6" t="s">
        <v>19</v>
      </c>
      <c r="D20" s="6" t="s">
        <v>83</v>
      </c>
      <c r="E20" s="7" t="s">
        <v>82</v>
      </c>
      <c r="F20" t="str">
        <f>+'Source Table'!$B$24</f>
        <v>Domestic Services Of Households</v>
      </c>
      <c r="G20" t="str">
        <f>+'Source Table'!$D$24</f>
        <v>الخدمات المنزلية</v>
      </c>
      <c r="H20" s="26">
        <v>270.90550000000002</v>
      </c>
      <c r="I20">
        <v>2008</v>
      </c>
    </row>
    <row r="21" spans="1:9" ht="15">
      <c r="A21" t="s">
        <v>81</v>
      </c>
      <c r="B21" t="s">
        <v>84</v>
      </c>
      <c r="C21" s="6" t="s">
        <v>19</v>
      </c>
      <c r="D21" s="6" t="s">
        <v>83</v>
      </c>
      <c r="E21" s="7" t="s">
        <v>82</v>
      </c>
      <c r="F21" t="str">
        <f>+'Source Table'!$B$25</f>
        <v>Total ( A+B+C + D )</v>
      </c>
      <c r="G21" t="str">
        <f>+'Source Table'!$D$25</f>
        <v>مجموع ( أ + ب + ج + د )</v>
      </c>
      <c r="H21" s="26">
        <v>14683.236100000002</v>
      </c>
      <c r="I21">
        <v>2008</v>
      </c>
    </row>
    <row r="22" spans="1:9" ht="15">
      <c r="A22" t="s">
        <v>81</v>
      </c>
      <c r="B22" t="s">
        <v>84</v>
      </c>
      <c r="C22" s="6" t="s">
        <v>19</v>
      </c>
      <c r="D22" s="6" t="s">
        <v>83</v>
      </c>
      <c r="E22" s="7" t="s">
        <v>82</v>
      </c>
      <c r="F22" t="str">
        <f>+'Source Table'!$B$26</f>
        <v>Imputed Bank Service Charge</v>
      </c>
      <c r="G22" t="str">
        <f>+'Source Table'!$D$26</f>
        <v>الخدمات المصرفية المحتسبة</v>
      </c>
      <c r="H22" s="26">
        <v>418.72609999999997</v>
      </c>
      <c r="I22">
        <v>2008</v>
      </c>
    </row>
    <row r="23" spans="1:9" ht="15">
      <c r="A23" t="s">
        <v>81</v>
      </c>
      <c r="B23" t="s">
        <v>84</v>
      </c>
      <c r="C23" s="6" t="s">
        <v>19</v>
      </c>
      <c r="D23" s="6" t="s">
        <v>83</v>
      </c>
      <c r="E23" s="7" t="s">
        <v>82</v>
      </c>
      <c r="F23" t="str">
        <f>+'Source Table'!$B$27</f>
        <v>Gross Domestic Product At Basic Prices</v>
      </c>
      <c r="G23" t="str">
        <f>+'Source Table'!$D$27</f>
        <v>الناتج المحلي الاجمالي بالاسعار الاساسية</v>
      </c>
      <c r="H23" s="26">
        <v>14264.510000000002</v>
      </c>
      <c r="I23">
        <v>2008</v>
      </c>
    </row>
    <row r="24" spans="1:9" ht="15">
      <c r="A24" t="s">
        <v>81</v>
      </c>
      <c r="B24" t="s">
        <v>84</v>
      </c>
      <c r="C24" s="6" t="s">
        <v>19</v>
      </c>
      <c r="D24" s="6" t="s">
        <v>83</v>
      </c>
      <c r="E24" s="7" t="s">
        <v>82</v>
      </c>
      <c r="F24" t="str">
        <f>+'Source Table'!$B$28</f>
        <v>Net Taxes On Products</v>
      </c>
      <c r="G24" t="str">
        <f>+'Source Table'!$D$28</f>
        <v>صافي الضرائب على المنتجات</v>
      </c>
      <c r="H24" s="26">
        <v>1815.6329000000001</v>
      </c>
      <c r="I24">
        <v>2008</v>
      </c>
    </row>
    <row r="25" spans="1:9" ht="15">
      <c r="A25" t="s">
        <v>81</v>
      </c>
      <c r="B25" t="s">
        <v>84</v>
      </c>
      <c r="C25" s="6" t="s">
        <v>19</v>
      </c>
      <c r="D25" s="6" t="s">
        <v>83</v>
      </c>
      <c r="E25" s="7" t="s">
        <v>82</v>
      </c>
      <c r="F25" t="str">
        <f>+'Source Table'!$B$29</f>
        <v>Gross Domestic Product At Market Prices</v>
      </c>
      <c r="G25" t="str">
        <f>+'Source Table'!$D$29</f>
        <v>الناتج المحلي الاجمالي باسعار السوق</v>
      </c>
      <c r="H25" s="26">
        <v>16080.142900000003</v>
      </c>
      <c r="I25">
        <v>2008</v>
      </c>
    </row>
    <row r="26" spans="1:9" ht="15">
      <c r="A26" t="s">
        <v>81</v>
      </c>
      <c r="B26" t="s">
        <v>84</v>
      </c>
      <c r="C26" s="6" t="s">
        <v>19</v>
      </c>
      <c r="D26" s="6" t="s">
        <v>83</v>
      </c>
      <c r="E26" s="7" t="s">
        <v>82</v>
      </c>
      <c r="F26" t="str">
        <f>+'Source Table'!$B$8</f>
        <v>Agriculture,Hunting,Forestry, And Fishing</v>
      </c>
      <c r="G26" t="str">
        <f>+'Source Table'!$D$8</f>
        <v>الزراعة والقنص والغابات وصيد الأسماك</v>
      </c>
      <c r="H26" s="26">
        <v>563.89610000000005</v>
      </c>
      <c r="I26">
        <f>+I4+1</f>
        <v>2009</v>
      </c>
    </row>
    <row r="27" spans="1:9" ht="15">
      <c r="A27" t="s">
        <v>81</v>
      </c>
      <c r="B27" t="s">
        <v>84</v>
      </c>
      <c r="C27" s="6" t="s">
        <v>19</v>
      </c>
      <c r="D27" s="6" t="s">
        <v>83</v>
      </c>
      <c r="E27" s="7" t="s">
        <v>82</v>
      </c>
      <c r="F27" t="str">
        <f>+'Source Table'!$B$9</f>
        <v>Mining And Quarrying</v>
      </c>
      <c r="G27" t="str">
        <f>+'Source Table'!$D$9</f>
        <v>المناجم والمحاجر</v>
      </c>
      <c r="H27" s="26">
        <v>442.71669999999995</v>
      </c>
      <c r="I27">
        <f t="shared" ref="I27:I90" si="0">+I5+1</f>
        <v>2009</v>
      </c>
    </row>
    <row r="28" spans="1:9" ht="15">
      <c r="A28" t="s">
        <v>81</v>
      </c>
      <c r="B28" t="s">
        <v>84</v>
      </c>
      <c r="C28" s="6" t="s">
        <v>19</v>
      </c>
      <c r="D28" s="6" t="s">
        <v>83</v>
      </c>
      <c r="E28" s="7" t="s">
        <v>82</v>
      </c>
      <c r="F28" t="str">
        <f>+'Source Table'!$B$10</f>
        <v>Manufacturing</v>
      </c>
      <c r="G28" t="str">
        <f>+'Source Table'!$D$10</f>
        <v>الصناعات التحويلية</v>
      </c>
      <c r="H28" s="26">
        <v>3506.7281000000003</v>
      </c>
      <c r="I28">
        <f t="shared" si="0"/>
        <v>2009</v>
      </c>
    </row>
    <row r="29" spans="1:9" ht="15">
      <c r="A29" t="s">
        <v>81</v>
      </c>
      <c r="B29" t="s">
        <v>84</v>
      </c>
      <c r="C29" s="6" t="s">
        <v>19</v>
      </c>
      <c r="D29" s="6" t="s">
        <v>83</v>
      </c>
      <c r="E29" s="7" t="s">
        <v>82</v>
      </c>
      <c r="F29" t="str">
        <f>+'Source Table'!$B$11</f>
        <v>Electricity And Water</v>
      </c>
      <c r="G29" t="str">
        <f>+'Source Table'!$D$11</f>
        <v>الكهرباء والمياه</v>
      </c>
      <c r="H29" s="26">
        <v>250.5864</v>
      </c>
      <c r="I29">
        <f t="shared" si="0"/>
        <v>2009</v>
      </c>
    </row>
    <row r="30" spans="1:9" ht="15">
      <c r="A30" t="s">
        <v>81</v>
      </c>
      <c r="B30" t="s">
        <v>84</v>
      </c>
      <c r="C30" s="6" t="s">
        <v>19</v>
      </c>
      <c r="D30" s="6" t="s">
        <v>83</v>
      </c>
      <c r="E30" s="7" t="s">
        <v>82</v>
      </c>
      <c r="F30" t="str">
        <f>+'Source Table'!$B$12</f>
        <v>Construction</v>
      </c>
      <c r="G30" t="str">
        <f>+'Source Table'!$D$12</f>
        <v>الإنشاءات</v>
      </c>
      <c r="H30" s="26">
        <v>636.17190000000005</v>
      </c>
      <c r="I30">
        <f t="shared" si="0"/>
        <v>2009</v>
      </c>
    </row>
    <row r="31" spans="1:9" ht="15">
      <c r="A31" t="s">
        <v>81</v>
      </c>
      <c r="B31" t="s">
        <v>84</v>
      </c>
      <c r="C31" s="6" t="s">
        <v>19</v>
      </c>
      <c r="D31" s="6" t="s">
        <v>83</v>
      </c>
      <c r="E31" s="7" t="s">
        <v>82</v>
      </c>
      <c r="F31" t="str">
        <f>+'Source Table'!$B$13</f>
        <v>Wholesale &amp; Retail Trade, Restuarants&amp; Hotels</v>
      </c>
      <c r="G31" t="str">
        <f>+'Source Table'!$D$13</f>
        <v>تجارة الجملة والتجزئة والمطاعم والفنادق</v>
      </c>
      <c r="H31" s="26">
        <v>1718.2363</v>
      </c>
      <c r="I31">
        <f t="shared" si="0"/>
        <v>2009</v>
      </c>
    </row>
    <row r="32" spans="1:9" ht="15">
      <c r="A32" t="s">
        <v>81</v>
      </c>
      <c r="B32" t="s">
        <v>84</v>
      </c>
      <c r="C32" s="6" t="s">
        <v>19</v>
      </c>
      <c r="D32" s="6" t="s">
        <v>83</v>
      </c>
      <c r="E32" s="7" t="s">
        <v>82</v>
      </c>
      <c r="F32" t="str">
        <f>+'Source Table'!$B$14</f>
        <v>Wholesale And Retail Trade</v>
      </c>
      <c r="G32" t="str">
        <f>+'Source Table'!$D$14</f>
        <v>تجارة الجملة والتجزئة</v>
      </c>
      <c r="H32" s="26">
        <v>1443.8520000000001</v>
      </c>
      <c r="I32">
        <f t="shared" si="0"/>
        <v>2009</v>
      </c>
    </row>
    <row r="33" spans="1:9" ht="15">
      <c r="A33" t="s">
        <v>81</v>
      </c>
      <c r="B33" t="s">
        <v>84</v>
      </c>
      <c r="C33" s="6" t="s">
        <v>19</v>
      </c>
      <c r="D33" s="6" t="s">
        <v>83</v>
      </c>
      <c r="E33" s="7" t="s">
        <v>82</v>
      </c>
      <c r="F33" t="str">
        <f>+'Source Table'!$B$15</f>
        <v>Restaurant And Hotels</v>
      </c>
      <c r="G33" t="str">
        <f>+'Source Table'!$D$15</f>
        <v>الفنادق والمطاعم</v>
      </c>
      <c r="H33" s="26">
        <v>274.3843</v>
      </c>
      <c r="I33">
        <f t="shared" si="0"/>
        <v>2009</v>
      </c>
    </row>
    <row r="34" spans="1:9" ht="15">
      <c r="A34" t="s">
        <v>81</v>
      </c>
      <c r="B34" t="s">
        <v>84</v>
      </c>
      <c r="C34" s="6" t="s">
        <v>19</v>
      </c>
      <c r="D34" s="6" t="s">
        <v>83</v>
      </c>
      <c r="E34" s="7" t="s">
        <v>82</v>
      </c>
      <c r="F34" t="str">
        <f>+'Source Table'!$B$16</f>
        <v>Transport,Storage &amp; Communications</v>
      </c>
      <c r="G34" t="str">
        <f>+'Source Table'!$D$16</f>
        <v>النقل والتخزين والإتصالات</v>
      </c>
      <c r="H34" s="26">
        <v>1459.7984000000001</v>
      </c>
      <c r="I34">
        <f t="shared" si="0"/>
        <v>2009</v>
      </c>
    </row>
    <row r="35" spans="1:9" ht="15">
      <c r="A35" t="s">
        <v>81</v>
      </c>
      <c r="B35" t="s">
        <v>84</v>
      </c>
      <c r="C35" s="6" t="s">
        <v>19</v>
      </c>
      <c r="D35" s="6" t="s">
        <v>83</v>
      </c>
      <c r="E35" s="7" t="s">
        <v>82</v>
      </c>
      <c r="F35" t="str">
        <f>+'Source Table'!$B$17</f>
        <v>Finance,Insurance,Real Estate And Business Services</v>
      </c>
      <c r="G35" t="str">
        <f>+'Source Table'!$D$17</f>
        <v>خدمات المال والتأمين وخدمات العقارات وخدمات الأعمال</v>
      </c>
      <c r="H35" s="26">
        <v>2771.2865000000002</v>
      </c>
      <c r="I35">
        <f t="shared" si="0"/>
        <v>2009</v>
      </c>
    </row>
    <row r="36" spans="1:9" ht="15">
      <c r="A36" t="s">
        <v>81</v>
      </c>
      <c r="B36" t="s">
        <v>84</v>
      </c>
      <c r="C36" s="6" t="s">
        <v>19</v>
      </c>
      <c r="D36" s="6" t="s">
        <v>83</v>
      </c>
      <c r="E36" s="7" t="s">
        <v>82</v>
      </c>
      <c r="F36" t="str">
        <f>+'Source Table'!$B$18</f>
        <v>Finance And Insurance  Services</v>
      </c>
      <c r="G36" t="str">
        <f>+'Source Table'!$D$18</f>
        <v>خدمات المال والتأمين وخدمات الأعمال</v>
      </c>
      <c r="H36" s="26">
        <v>971.89989999999989</v>
      </c>
      <c r="I36">
        <f t="shared" si="0"/>
        <v>2009</v>
      </c>
    </row>
    <row r="37" spans="1:9" ht="15">
      <c r="A37" t="s">
        <v>81</v>
      </c>
      <c r="B37" t="s">
        <v>84</v>
      </c>
      <c r="C37" s="6" t="s">
        <v>19</v>
      </c>
      <c r="D37" s="6" t="s">
        <v>83</v>
      </c>
      <c r="E37" s="7" t="s">
        <v>82</v>
      </c>
      <c r="F37" t="str">
        <f>+'Source Table'!$B$19</f>
        <v>Real Estate</v>
      </c>
      <c r="G37" t="str">
        <f>+'Source Table'!$D$19</f>
        <v>الخدمات العقارية</v>
      </c>
      <c r="H37" s="26">
        <v>1799.3866000000003</v>
      </c>
      <c r="I37">
        <f t="shared" si="0"/>
        <v>2009</v>
      </c>
    </row>
    <row r="38" spans="1:9" ht="15">
      <c r="A38" t="s">
        <v>81</v>
      </c>
      <c r="B38" t="s">
        <v>84</v>
      </c>
      <c r="C38" s="6" t="s">
        <v>19</v>
      </c>
      <c r="D38" s="6" t="s">
        <v>83</v>
      </c>
      <c r="E38" s="7" t="s">
        <v>82</v>
      </c>
      <c r="F38" t="str">
        <f>+'Source Table'!$B$20</f>
        <v>Community,Social And Personal Services</v>
      </c>
      <c r="G38" t="str">
        <f>+'Source Table'!$D$20</f>
        <v>الخدمات الاجتماعية والشخصية</v>
      </c>
      <c r="H38" s="26">
        <v>1295.0530999999999</v>
      </c>
      <c r="I38">
        <f t="shared" si="0"/>
        <v>2009</v>
      </c>
    </row>
    <row r="39" spans="1:9" ht="15">
      <c r="A39" t="s">
        <v>81</v>
      </c>
      <c r="B39" t="s">
        <v>84</v>
      </c>
      <c r="C39" s="6" t="s">
        <v>19</v>
      </c>
      <c r="D39" s="6" t="s">
        <v>83</v>
      </c>
      <c r="E39" s="7" t="s">
        <v>82</v>
      </c>
      <c r="F39" t="str">
        <f>+'Source Table'!$B$21</f>
        <v>Total</v>
      </c>
      <c r="G39" t="str">
        <f>+'Source Table'!$D$21</f>
        <v>المجموع</v>
      </c>
      <c r="H39" s="26">
        <v>12644.4735</v>
      </c>
      <c r="I39">
        <f t="shared" si="0"/>
        <v>2009</v>
      </c>
    </row>
    <row r="40" spans="1:9" ht="15">
      <c r="A40" t="s">
        <v>81</v>
      </c>
      <c r="B40" t="s">
        <v>84</v>
      </c>
      <c r="C40" s="6" t="s">
        <v>19</v>
      </c>
      <c r="D40" s="6" t="s">
        <v>83</v>
      </c>
      <c r="E40" s="7" t="s">
        <v>82</v>
      </c>
      <c r="F40" t="str">
        <f>+'Source Table'!$B$22</f>
        <v>Producers Of Government Services</v>
      </c>
      <c r="G40" t="str">
        <f>+'Source Table'!$D$22</f>
        <v>منتجو الخدمات الحكومية</v>
      </c>
      <c r="H40" s="26">
        <v>2715.2863000000002</v>
      </c>
      <c r="I40">
        <f t="shared" si="0"/>
        <v>2009</v>
      </c>
    </row>
    <row r="41" spans="1:9" ht="15">
      <c r="A41" t="s">
        <v>81</v>
      </c>
      <c r="B41" t="s">
        <v>84</v>
      </c>
      <c r="C41" s="6" t="s">
        <v>19</v>
      </c>
      <c r="D41" s="6" t="s">
        <v>83</v>
      </c>
      <c r="E41" s="7" t="s">
        <v>82</v>
      </c>
      <c r="F41" t="str">
        <f>+'Source Table'!$B$23</f>
        <v>Producers Of Private Non-Profit  Services To Households</v>
      </c>
      <c r="G41" t="str">
        <f>+'Source Table'!$D$23</f>
        <v>منتجو الخدمات الخاصة التي لاتهدف الى الربح وتخدم العائلات</v>
      </c>
      <c r="H41" s="26">
        <v>123.3699</v>
      </c>
      <c r="I41">
        <f t="shared" si="0"/>
        <v>2009</v>
      </c>
    </row>
    <row r="42" spans="1:9" ht="15">
      <c r="A42" t="s">
        <v>81</v>
      </c>
      <c r="B42" t="s">
        <v>84</v>
      </c>
      <c r="C42" s="6" t="s">
        <v>19</v>
      </c>
      <c r="D42" s="6" t="s">
        <v>83</v>
      </c>
      <c r="E42" s="7" t="s">
        <v>82</v>
      </c>
      <c r="F42" t="str">
        <f>+'Source Table'!$B$24</f>
        <v>Domestic Services Of Households</v>
      </c>
      <c r="G42" t="str">
        <f>+'Source Table'!$D$24</f>
        <v>الخدمات المنزلية</v>
      </c>
      <c r="H42" s="26">
        <v>322.83530000000002</v>
      </c>
      <c r="I42">
        <f t="shared" si="0"/>
        <v>2009</v>
      </c>
    </row>
    <row r="43" spans="1:9" ht="15">
      <c r="A43" t="s">
        <v>81</v>
      </c>
      <c r="B43" t="s">
        <v>84</v>
      </c>
      <c r="C43" s="6" t="s">
        <v>19</v>
      </c>
      <c r="D43" s="6" t="s">
        <v>83</v>
      </c>
      <c r="E43" s="7" t="s">
        <v>82</v>
      </c>
      <c r="F43" t="str">
        <f>+'Source Table'!$B$25</f>
        <v>Total ( A+B+C + D )</v>
      </c>
      <c r="G43" t="str">
        <f>+'Source Table'!$D$25</f>
        <v>مجموع ( أ + ب + ج + د )</v>
      </c>
      <c r="H43" s="26">
        <v>15805.965</v>
      </c>
      <c r="I43">
        <f t="shared" si="0"/>
        <v>2009</v>
      </c>
    </row>
    <row r="44" spans="1:9" ht="15">
      <c r="A44" t="s">
        <v>81</v>
      </c>
      <c r="B44" t="s">
        <v>84</v>
      </c>
      <c r="C44" s="6" t="s">
        <v>19</v>
      </c>
      <c r="D44" s="6" t="s">
        <v>83</v>
      </c>
      <c r="E44" s="7" t="s">
        <v>82</v>
      </c>
      <c r="F44" t="str">
        <f>+'Source Table'!$B$26</f>
        <v>Imputed Bank Service Charge</v>
      </c>
      <c r="G44" t="str">
        <f>+'Source Table'!$D$26</f>
        <v>الخدمات المصرفية المحتسبة</v>
      </c>
      <c r="H44" s="26">
        <v>474.46420000000001</v>
      </c>
      <c r="I44">
        <f t="shared" si="0"/>
        <v>2009</v>
      </c>
    </row>
    <row r="45" spans="1:9" ht="15">
      <c r="A45" t="s">
        <v>81</v>
      </c>
      <c r="B45" t="s">
        <v>84</v>
      </c>
      <c r="C45" s="6" t="s">
        <v>19</v>
      </c>
      <c r="D45" s="6" t="s">
        <v>83</v>
      </c>
      <c r="E45" s="7" t="s">
        <v>82</v>
      </c>
      <c r="F45" t="str">
        <f>+'Source Table'!$B$27</f>
        <v>Gross Domestic Product At Basic Prices</v>
      </c>
      <c r="G45" t="str">
        <f>+'Source Table'!$D$27</f>
        <v>الناتج المحلي الاجمالي بالاسعار الاساسية</v>
      </c>
      <c r="H45" s="26">
        <v>15331.5008</v>
      </c>
      <c r="I45">
        <f t="shared" si="0"/>
        <v>2009</v>
      </c>
    </row>
    <row r="46" spans="1:9" ht="15">
      <c r="A46" t="s">
        <v>81</v>
      </c>
      <c r="B46" t="s">
        <v>84</v>
      </c>
      <c r="C46" s="6" t="s">
        <v>19</v>
      </c>
      <c r="D46" s="6" t="s">
        <v>83</v>
      </c>
      <c r="E46" s="7" t="s">
        <v>82</v>
      </c>
      <c r="F46" t="str">
        <f>+'Source Table'!$B$28</f>
        <v>Net Taxes On Products</v>
      </c>
      <c r="G46" t="str">
        <f>+'Source Table'!$D$28</f>
        <v>صافي الضرائب على المنتجات</v>
      </c>
      <c r="H46" s="26">
        <v>2090.3914</v>
      </c>
      <c r="I46">
        <f t="shared" si="0"/>
        <v>2009</v>
      </c>
    </row>
    <row r="47" spans="1:9" ht="15">
      <c r="A47" t="s">
        <v>81</v>
      </c>
      <c r="B47" t="s">
        <v>84</v>
      </c>
      <c r="C47" s="6" t="s">
        <v>19</v>
      </c>
      <c r="D47" s="6" t="s">
        <v>83</v>
      </c>
      <c r="E47" s="7" t="s">
        <v>82</v>
      </c>
      <c r="F47" t="str">
        <f>+'Source Table'!$B$29</f>
        <v>Gross Domestic Product At Market Prices</v>
      </c>
      <c r="G47" t="str">
        <f>+'Source Table'!$D$29</f>
        <v>الناتج المحلي الاجمالي باسعار السوق</v>
      </c>
      <c r="H47" s="26">
        <v>17421.892199999998</v>
      </c>
      <c r="I47">
        <f t="shared" si="0"/>
        <v>2009</v>
      </c>
    </row>
    <row r="48" spans="1:9" ht="15">
      <c r="A48" t="s">
        <v>81</v>
      </c>
      <c r="B48" t="s">
        <v>84</v>
      </c>
      <c r="C48" s="6" t="s">
        <v>19</v>
      </c>
      <c r="D48" s="6" t="s">
        <v>83</v>
      </c>
      <c r="E48" s="7" t="s">
        <v>82</v>
      </c>
      <c r="F48" t="str">
        <f>+'Source Table'!$B$8</f>
        <v>Agriculture,Hunting,Forestry, And Fishing</v>
      </c>
      <c r="G48" t="str">
        <f>+'Source Table'!$D$8</f>
        <v>الزراعة والقنص والغابات وصيد الأسماك</v>
      </c>
      <c r="H48" s="26">
        <v>688.76060000000007</v>
      </c>
      <c r="I48">
        <f t="shared" si="0"/>
        <v>2010</v>
      </c>
    </row>
    <row r="49" spans="1:9" ht="15">
      <c r="A49" t="s">
        <v>81</v>
      </c>
      <c r="B49" t="s">
        <v>84</v>
      </c>
      <c r="C49" s="6" t="s">
        <v>19</v>
      </c>
      <c r="D49" s="6" t="s">
        <v>83</v>
      </c>
      <c r="E49" s="7" t="s">
        <v>82</v>
      </c>
      <c r="F49" t="str">
        <f>+'Source Table'!$B$9</f>
        <v>Mining And Quarrying</v>
      </c>
      <c r="G49" t="str">
        <f>+'Source Table'!$D$9</f>
        <v>المناجم والمحاجر</v>
      </c>
      <c r="H49" s="26">
        <v>495.94159999999999</v>
      </c>
      <c r="I49">
        <f t="shared" si="0"/>
        <v>2010</v>
      </c>
    </row>
    <row r="50" spans="1:9" ht="15">
      <c r="A50" t="s">
        <v>81</v>
      </c>
      <c r="B50" t="s">
        <v>84</v>
      </c>
      <c r="C50" s="6" t="s">
        <v>19</v>
      </c>
      <c r="D50" s="6" t="s">
        <v>83</v>
      </c>
      <c r="E50" s="7" t="s">
        <v>82</v>
      </c>
      <c r="F50" t="str">
        <f>+'Source Table'!$B$10</f>
        <v>Manufacturing</v>
      </c>
      <c r="G50" t="str">
        <f>+'Source Table'!$D$10</f>
        <v>الصناعات التحويلية</v>
      </c>
      <c r="H50" s="26">
        <v>3646.1972999999998</v>
      </c>
      <c r="I50">
        <f t="shared" si="0"/>
        <v>2010</v>
      </c>
    </row>
    <row r="51" spans="1:9" ht="15">
      <c r="A51" t="s">
        <v>81</v>
      </c>
      <c r="B51" t="s">
        <v>84</v>
      </c>
      <c r="C51" s="6" t="s">
        <v>19</v>
      </c>
      <c r="D51" s="6" t="s">
        <v>83</v>
      </c>
      <c r="E51" s="7" t="s">
        <v>82</v>
      </c>
      <c r="F51" t="str">
        <f>+'Source Table'!$B$11</f>
        <v>Electricity And Water</v>
      </c>
      <c r="G51" t="str">
        <f>+'Source Table'!$D$11</f>
        <v>الكهرباء والمياه</v>
      </c>
      <c r="H51" s="26">
        <v>276.05119999999999</v>
      </c>
      <c r="I51">
        <f t="shared" si="0"/>
        <v>2010</v>
      </c>
    </row>
    <row r="52" spans="1:9" ht="15">
      <c r="A52" t="s">
        <v>81</v>
      </c>
      <c r="B52" t="s">
        <v>84</v>
      </c>
      <c r="C52" s="6" t="s">
        <v>19</v>
      </c>
      <c r="D52" s="6" t="s">
        <v>83</v>
      </c>
      <c r="E52" s="7" t="s">
        <v>82</v>
      </c>
      <c r="F52" t="str">
        <f>+'Source Table'!$B$12</f>
        <v>Construction</v>
      </c>
      <c r="G52" t="str">
        <f>+'Source Table'!$D$12</f>
        <v>الإنشاءات</v>
      </c>
      <c r="H52" s="26">
        <v>642.11469999999997</v>
      </c>
      <c r="I52">
        <f t="shared" si="0"/>
        <v>2010</v>
      </c>
    </row>
    <row r="53" spans="1:9" ht="15">
      <c r="A53" t="s">
        <v>81</v>
      </c>
      <c r="B53" t="s">
        <v>84</v>
      </c>
      <c r="C53" s="6" t="s">
        <v>19</v>
      </c>
      <c r="D53" s="6" t="s">
        <v>83</v>
      </c>
      <c r="E53" s="7" t="s">
        <v>82</v>
      </c>
      <c r="F53" t="str">
        <f>+'Source Table'!$B$13</f>
        <v>Wholesale &amp; Retail Trade, Restuarants&amp; Hotels</v>
      </c>
      <c r="G53" t="str">
        <f>+'Source Table'!$D$13</f>
        <v>تجارة الجملة والتجزئة والمطاعم والفنادق</v>
      </c>
      <c r="H53" s="26">
        <v>1836.6022</v>
      </c>
      <c r="I53">
        <f t="shared" si="0"/>
        <v>2010</v>
      </c>
    </row>
    <row r="54" spans="1:9" ht="15">
      <c r="A54" t="s">
        <v>81</v>
      </c>
      <c r="B54" t="s">
        <v>84</v>
      </c>
      <c r="C54" s="6" t="s">
        <v>19</v>
      </c>
      <c r="D54" s="6" t="s">
        <v>83</v>
      </c>
      <c r="E54" s="7" t="s">
        <v>82</v>
      </c>
      <c r="F54" t="str">
        <f>+'Source Table'!$B$14</f>
        <v>Wholesale And Retail Trade</v>
      </c>
      <c r="G54" t="str">
        <f>+'Source Table'!$D$14</f>
        <v>تجارة الجملة والتجزئة</v>
      </c>
      <c r="H54" s="26">
        <v>1540.6111000000001</v>
      </c>
      <c r="I54">
        <f t="shared" si="0"/>
        <v>2010</v>
      </c>
    </row>
    <row r="55" spans="1:9" ht="15">
      <c r="A55" t="s">
        <v>81</v>
      </c>
      <c r="B55" t="s">
        <v>84</v>
      </c>
      <c r="C55" s="6" t="s">
        <v>19</v>
      </c>
      <c r="D55" s="6" t="s">
        <v>83</v>
      </c>
      <c r="E55" s="7" t="s">
        <v>82</v>
      </c>
      <c r="F55" t="str">
        <f>+'Source Table'!$B$15</f>
        <v>Restaurant And Hotels</v>
      </c>
      <c r="G55" t="str">
        <f>+'Source Table'!$D$15</f>
        <v>الفنادق والمطاعم</v>
      </c>
      <c r="H55" s="26">
        <v>295.99110000000002</v>
      </c>
      <c r="I55">
        <f t="shared" si="0"/>
        <v>2010</v>
      </c>
    </row>
    <row r="56" spans="1:9" ht="15">
      <c r="A56" t="s">
        <v>81</v>
      </c>
      <c r="B56" t="s">
        <v>84</v>
      </c>
      <c r="C56" s="6" t="s">
        <v>19</v>
      </c>
      <c r="D56" s="6" t="s">
        <v>83</v>
      </c>
      <c r="E56" s="7" t="s">
        <v>82</v>
      </c>
      <c r="F56" t="str">
        <f>+'Source Table'!$B$16</f>
        <v>Transport,Storage &amp; Communications</v>
      </c>
      <c r="G56" t="str">
        <f>+'Source Table'!$D$16</f>
        <v>النقل والتخزين والإتصالات</v>
      </c>
      <c r="H56" s="26">
        <v>1657.3902</v>
      </c>
      <c r="I56">
        <f t="shared" si="0"/>
        <v>2010</v>
      </c>
    </row>
    <row r="57" spans="1:9" ht="15">
      <c r="A57" t="s">
        <v>81</v>
      </c>
      <c r="B57" t="s">
        <v>84</v>
      </c>
      <c r="C57" s="6" t="s">
        <v>19</v>
      </c>
      <c r="D57" s="6" t="s">
        <v>83</v>
      </c>
      <c r="E57" s="7" t="s">
        <v>82</v>
      </c>
      <c r="F57" t="str">
        <f>+'Source Table'!$B$17</f>
        <v>Finance,Insurance,Real Estate And Business Services</v>
      </c>
      <c r="G57" t="str">
        <f>+'Source Table'!$D$17</f>
        <v>خدمات المال والتأمين وخدمات العقارات وخدمات الأعمال</v>
      </c>
      <c r="H57" s="26">
        <v>3135.3998000000001</v>
      </c>
      <c r="I57">
        <f t="shared" si="0"/>
        <v>2010</v>
      </c>
    </row>
    <row r="58" spans="1:9" ht="15">
      <c r="A58" t="s">
        <v>81</v>
      </c>
      <c r="B58" t="s">
        <v>84</v>
      </c>
      <c r="C58" s="6" t="s">
        <v>19</v>
      </c>
      <c r="D58" s="6" t="s">
        <v>83</v>
      </c>
      <c r="E58" s="7" t="s">
        <v>82</v>
      </c>
      <c r="F58" t="str">
        <f>+'Source Table'!$B$18</f>
        <v>Finance And Insurance  Services</v>
      </c>
      <c r="G58" t="str">
        <f>+'Source Table'!$D$18</f>
        <v>خدمات المال والتأمين وخدمات الأعمال</v>
      </c>
      <c r="H58" s="26">
        <v>1153.0109</v>
      </c>
      <c r="I58">
        <f t="shared" si="0"/>
        <v>2010</v>
      </c>
    </row>
    <row r="59" spans="1:9" ht="15">
      <c r="A59" t="s">
        <v>81</v>
      </c>
      <c r="B59" t="s">
        <v>84</v>
      </c>
      <c r="C59" s="6" t="s">
        <v>19</v>
      </c>
      <c r="D59" s="6" t="s">
        <v>83</v>
      </c>
      <c r="E59" s="7" t="s">
        <v>82</v>
      </c>
      <c r="F59" t="str">
        <f>+'Source Table'!$B$19</f>
        <v>Real Estate</v>
      </c>
      <c r="G59" t="str">
        <f>+'Source Table'!$D$19</f>
        <v>الخدمات العقارية</v>
      </c>
      <c r="H59" s="26">
        <v>1982.3888999999999</v>
      </c>
      <c r="I59">
        <f t="shared" si="0"/>
        <v>2010</v>
      </c>
    </row>
    <row r="60" spans="1:9" ht="15">
      <c r="A60" t="s">
        <v>81</v>
      </c>
      <c r="B60" t="s">
        <v>84</v>
      </c>
      <c r="C60" s="6" t="s">
        <v>19</v>
      </c>
      <c r="D60" s="6" t="s">
        <v>83</v>
      </c>
      <c r="E60" s="7" t="s">
        <v>82</v>
      </c>
      <c r="F60" t="str">
        <f>+'Source Table'!$B$20</f>
        <v>Community,Social And Personal Services</v>
      </c>
      <c r="G60" t="str">
        <f>+'Source Table'!$D$20</f>
        <v>الخدمات الاجتماعية والشخصية</v>
      </c>
      <c r="H60" s="26">
        <v>1378.0212999999999</v>
      </c>
      <c r="I60">
        <f t="shared" si="0"/>
        <v>2010</v>
      </c>
    </row>
    <row r="61" spans="1:9" ht="15">
      <c r="A61" t="s">
        <v>81</v>
      </c>
      <c r="B61" t="s">
        <v>84</v>
      </c>
      <c r="C61" s="6" t="s">
        <v>19</v>
      </c>
      <c r="D61" s="6" t="s">
        <v>83</v>
      </c>
      <c r="E61" s="7" t="s">
        <v>82</v>
      </c>
      <c r="F61" t="str">
        <f>+'Source Table'!$B$21</f>
        <v>Total</v>
      </c>
      <c r="G61" t="str">
        <f>+'Source Table'!$D$21</f>
        <v>المجموع</v>
      </c>
      <c r="H61" s="26">
        <v>13756.478900000002</v>
      </c>
      <c r="I61">
        <f t="shared" si="0"/>
        <v>2010</v>
      </c>
    </row>
    <row r="62" spans="1:9" ht="15">
      <c r="A62" t="s">
        <v>81</v>
      </c>
      <c r="B62" t="s">
        <v>84</v>
      </c>
      <c r="C62" s="6" t="s">
        <v>19</v>
      </c>
      <c r="D62" s="6" t="s">
        <v>83</v>
      </c>
      <c r="E62" s="7" t="s">
        <v>82</v>
      </c>
      <c r="F62" t="str">
        <f>+'Source Table'!$B$22</f>
        <v>Producers Of Government Services</v>
      </c>
      <c r="G62" t="str">
        <f>+'Source Table'!$D$22</f>
        <v>منتجو الخدمات الحكومية</v>
      </c>
      <c r="H62" s="26">
        <v>2923.4477000000002</v>
      </c>
      <c r="I62">
        <f t="shared" si="0"/>
        <v>2010</v>
      </c>
    </row>
    <row r="63" spans="1:9" ht="15">
      <c r="A63" t="s">
        <v>81</v>
      </c>
      <c r="B63" t="s">
        <v>84</v>
      </c>
      <c r="C63" s="6" t="s">
        <v>19</v>
      </c>
      <c r="D63" s="6" t="s">
        <v>83</v>
      </c>
      <c r="E63" s="7" t="s">
        <v>82</v>
      </c>
      <c r="F63" t="str">
        <f>+'Source Table'!$B$23</f>
        <v>Producers Of Private Non-Profit  Services To Households</v>
      </c>
      <c r="G63" t="str">
        <f>+'Source Table'!$D$23</f>
        <v>منتجو الخدمات الخاصة التي لاتهدف الى الربح وتخدم العائلات</v>
      </c>
      <c r="H63" s="26">
        <v>131.12260000000001</v>
      </c>
      <c r="I63">
        <f t="shared" si="0"/>
        <v>2010</v>
      </c>
    </row>
    <row r="64" spans="1:9" ht="15">
      <c r="A64" t="s">
        <v>81</v>
      </c>
      <c r="B64" t="s">
        <v>84</v>
      </c>
      <c r="C64" s="6" t="s">
        <v>19</v>
      </c>
      <c r="D64" s="6" t="s">
        <v>83</v>
      </c>
      <c r="E64" s="7" t="s">
        <v>82</v>
      </c>
      <c r="F64" t="str">
        <f>+'Source Table'!$B$24</f>
        <v>Domestic Services Of Households</v>
      </c>
      <c r="G64" t="str">
        <f>+'Source Table'!$D$24</f>
        <v>الخدمات المنزلية</v>
      </c>
      <c r="H64" s="26">
        <v>326.57589999999999</v>
      </c>
      <c r="I64">
        <f t="shared" si="0"/>
        <v>2010</v>
      </c>
    </row>
    <row r="65" spans="1:9" ht="15">
      <c r="A65" t="s">
        <v>81</v>
      </c>
      <c r="B65" t="s">
        <v>84</v>
      </c>
      <c r="C65" s="6" t="s">
        <v>19</v>
      </c>
      <c r="D65" s="6" t="s">
        <v>83</v>
      </c>
      <c r="E65" s="7" t="s">
        <v>82</v>
      </c>
      <c r="F65" t="str">
        <f>+'Source Table'!$B$25</f>
        <v>Total ( A+B+C + D )</v>
      </c>
      <c r="G65" t="str">
        <f>+'Source Table'!$D$25</f>
        <v>مجموع ( أ + ب + ج + د )</v>
      </c>
      <c r="H65" s="26">
        <v>17137.625100000001</v>
      </c>
      <c r="I65">
        <f t="shared" si="0"/>
        <v>2010</v>
      </c>
    </row>
    <row r="66" spans="1:9" ht="15">
      <c r="A66" t="s">
        <v>81</v>
      </c>
      <c r="B66" t="s">
        <v>84</v>
      </c>
      <c r="C66" s="6" t="s">
        <v>19</v>
      </c>
      <c r="D66" s="6" t="s">
        <v>83</v>
      </c>
      <c r="E66" s="7" t="s">
        <v>82</v>
      </c>
      <c r="F66" t="str">
        <f>+'Source Table'!$B$26</f>
        <v>Imputed Bank Service Charge</v>
      </c>
      <c r="G66" t="str">
        <f>+'Source Table'!$D$26</f>
        <v>الخدمات المصرفية المحتسبة</v>
      </c>
      <c r="H66" s="26">
        <v>497.03590000000003</v>
      </c>
      <c r="I66">
        <f t="shared" si="0"/>
        <v>2010</v>
      </c>
    </row>
    <row r="67" spans="1:9" ht="15">
      <c r="A67" t="s">
        <v>81</v>
      </c>
      <c r="B67" t="s">
        <v>84</v>
      </c>
      <c r="C67" s="6" t="s">
        <v>19</v>
      </c>
      <c r="D67" s="6" t="s">
        <v>83</v>
      </c>
      <c r="E67" s="7" t="s">
        <v>82</v>
      </c>
      <c r="F67" t="str">
        <f>+'Source Table'!$B$27</f>
        <v>Gross Domestic Product At Basic Prices</v>
      </c>
      <c r="G67" t="str">
        <f>+'Source Table'!$D$27</f>
        <v>الناتج المحلي الاجمالي بالاسعار الاساسية</v>
      </c>
      <c r="H67" s="26">
        <v>16640.589200000002</v>
      </c>
      <c r="I67">
        <f t="shared" si="0"/>
        <v>2010</v>
      </c>
    </row>
    <row r="68" spans="1:9" ht="15">
      <c r="A68" t="s">
        <v>81</v>
      </c>
      <c r="B68" t="s">
        <v>84</v>
      </c>
      <c r="C68" s="6" t="s">
        <v>19</v>
      </c>
      <c r="D68" s="6" t="s">
        <v>83</v>
      </c>
      <c r="E68" s="7" t="s">
        <v>82</v>
      </c>
      <c r="F68" t="str">
        <f>+'Source Table'!$B$28</f>
        <v>Net Taxes On Products</v>
      </c>
      <c r="G68" t="str">
        <f>+'Source Table'!$D$28</f>
        <v>صافي الضرائب على المنتجات</v>
      </c>
      <c r="H68" s="26">
        <v>2624.4117999999999</v>
      </c>
      <c r="I68">
        <f t="shared" si="0"/>
        <v>2010</v>
      </c>
    </row>
    <row r="69" spans="1:9" ht="15">
      <c r="A69" t="s">
        <v>81</v>
      </c>
      <c r="B69" t="s">
        <v>84</v>
      </c>
      <c r="C69" s="6" t="s">
        <v>19</v>
      </c>
      <c r="D69" s="6" t="s">
        <v>83</v>
      </c>
      <c r="E69" s="7" t="s">
        <v>82</v>
      </c>
      <c r="F69" t="str">
        <f>+'Source Table'!$B$29</f>
        <v>Gross Domestic Product At Market Prices</v>
      </c>
      <c r="G69" t="str">
        <f>+'Source Table'!$D$29</f>
        <v>الناتج المحلي الاجمالي باسعار السوق</v>
      </c>
      <c r="H69" s="26">
        <v>19265.001000000004</v>
      </c>
      <c r="I69">
        <f t="shared" si="0"/>
        <v>2010</v>
      </c>
    </row>
    <row r="70" spans="1:9" ht="15">
      <c r="A70" t="s">
        <v>81</v>
      </c>
      <c r="B70" t="s">
        <v>84</v>
      </c>
      <c r="C70" s="6" t="s">
        <v>19</v>
      </c>
      <c r="D70" s="6" t="s">
        <v>83</v>
      </c>
      <c r="E70" s="7" t="s">
        <v>82</v>
      </c>
      <c r="F70" t="str">
        <f>+'Source Table'!$B$8</f>
        <v>Agriculture,Hunting,Forestry, And Fishing</v>
      </c>
      <c r="G70" t="str">
        <f>+'Source Table'!$D$8</f>
        <v>الزراعة والقنص والغابات وصيد الأسماك</v>
      </c>
      <c r="H70" s="26">
        <v>734.72389999999996</v>
      </c>
      <c r="I70">
        <f t="shared" si="0"/>
        <v>2011</v>
      </c>
    </row>
    <row r="71" spans="1:9" ht="15">
      <c r="A71" t="s">
        <v>81</v>
      </c>
      <c r="B71" t="s">
        <v>84</v>
      </c>
      <c r="C71" s="6" t="s">
        <v>19</v>
      </c>
      <c r="D71" s="6" t="s">
        <v>83</v>
      </c>
      <c r="E71" s="7" t="s">
        <v>82</v>
      </c>
      <c r="F71" t="str">
        <f>+'Source Table'!$B$9</f>
        <v>Mining And Quarrying</v>
      </c>
      <c r="G71" t="str">
        <f>+'Source Table'!$D$9</f>
        <v>المناجم والمحاجر</v>
      </c>
      <c r="H71" s="26">
        <v>637.56439999999998</v>
      </c>
      <c r="I71">
        <f t="shared" si="0"/>
        <v>2011</v>
      </c>
    </row>
    <row r="72" spans="1:9" ht="15">
      <c r="A72" t="s">
        <v>81</v>
      </c>
      <c r="B72" t="s">
        <v>84</v>
      </c>
      <c r="C72" s="6" t="s">
        <v>19</v>
      </c>
      <c r="D72" s="6" t="s">
        <v>83</v>
      </c>
      <c r="E72" s="7" t="s">
        <v>82</v>
      </c>
      <c r="F72" t="str">
        <f>+'Source Table'!$B$10</f>
        <v>Manufacturing</v>
      </c>
      <c r="G72" t="str">
        <f>+'Source Table'!$D$10</f>
        <v>الصناعات التحويلية</v>
      </c>
      <c r="H72" s="26">
        <v>4047.4705000000004</v>
      </c>
      <c r="I72">
        <f t="shared" si="0"/>
        <v>2011</v>
      </c>
    </row>
    <row r="73" spans="1:9" ht="15">
      <c r="A73" t="s">
        <v>81</v>
      </c>
      <c r="B73" t="s">
        <v>84</v>
      </c>
      <c r="C73" s="6" t="s">
        <v>19</v>
      </c>
      <c r="D73" s="6" t="s">
        <v>83</v>
      </c>
      <c r="E73" s="7" t="s">
        <v>82</v>
      </c>
      <c r="F73" t="str">
        <f>+'Source Table'!$B$11</f>
        <v>Electricity And Water</v>
      </c>
      <c r="G73" t="str">
        <f>+'Source Table'!$D$11</f>
        <v>الكهرباء والمياه</v>
      </c>
      <c r="H73" s="26">
        <v>293.74430000000001</v>
      </c>
      <c r="I73">
        <f t="shared" si="0"/>
        <v>2011</v>
      </c>
    </row>
    <row r="74" spans="1:9" ht="15">
      <c r="A74" t="s">
        <v>81</v>
      </c>
      <c r="B74" t="s">
        <v>84</v>
      </c>
      <c r="C74" s="6" t="s">
        <v>19</v>
      </c>
      <c r="D74" s="6" t="s">
        <v>83</v>
      </c>
      <c r="E74" s="7" t="s">
        <v>82</v>
      </c>
      <c r="F74" t="str">
        <f>+'Source Table'!$B$12</f>
        <v>Construction</v>
      </c>
      <c r="G74" t="str">
        <f>+'Source Table'!$D$12</f>
        <v>الإنشاءات</v>
      </c>
      <c r="H74" s="26">
        <v>637.95850000000007</v>
      </c>
      <c r="I74">
        <f t="shared" si="0"/>
        <v>2011</v>
      </c>
    </row>
    <row r="75" spans="1:9" ht="15">
      <c r="A75" t="s">
        <v>81</v>
      </c>
      <c r="B75" t="s">
        <v>84</v>
      </c>
      <c r="C75" s="6" t="s">
        <v>19</v>
      </c>
      <c r="D75" s="6" t="s">
        <v>83</v>
      </c>
      <c r="E75" s="7" t="s">
        <v>82</v>
      </c>
      <c r="F75" t="str">
        <f>+'Source Table'!$B$13</f>
        <v>Wholesale &amp; Retail Trade, Restuarants&amp; Hotels</v>
      </c>
      <c r="G75" t="str">
        <f>+'Source Table'!$D$13</f>
        <v>تجارة الجملة والتجزئة والمطاعم والفنادق</v>
      </c>
      <c r="H75" s="26">
        <v>1966.0155999999999</v>
      </c>
      <c r="I75">
        <f t="shared" si="0"/>
        <v>2011</v>
      </c>
    </row>
    <row r="76" spans="1:9" ht="15">
      <c r="A76" t="s">
        <v>81</v>
      </c>
      <c r="B76" t="s">
        <v>84</v>
      </c>
      <c r="C76" s="6" t="s">
        <v>19</v>
      </c>
      <c r="D76" s="6" t="s">
        <v>83</v>
      </c>
      <c r="E76" s="7" t="s">
        <v>82</v>
      </c>
      <c r="F76" t="str">
        <f>+'Source Table'!$B$14</f>
        <v>Wholesale And Retail Trade</v>
      </c>
      <c r="G76" t="str">
        <f>+'Source Table'!$D$14</f>
        <v>تجارة الجملة والتجزئة</v>
      </c>
      <c r="H76" s="26">
        <v>1647.7266</v>
      </c>
      <c r="I76">
        <f t="shared" si="0"/>
        <v>2011</v>
      </c>
    </row>
    <row r="77" spans="1:9" ht="15">
      <c r="A77" t="s">
        <v>81</v>
      </c>
      <c r="B77" t="s">
        <v>84</v>
      </c>
      <c r="C77" s="6" t="s">
        <v>19</v>
      </c>
      <c r="D77" s="6" t="s">
        <v>83</v>
      </c>
      <c r="E77" s="7" t="s">
        <v>82</v>
      </c>
      <c r="F77" t="str">
        <f>+'Source Table'!$B$15</f>
        <v>Restaurant And Hotels</v>
      </c>
      <c r="G77" t="str">
        <f>+'Source Table'!$D$15</f>
        <v>الفنادق والمطاعم</v>
      </c>
      <c r="H77" s="26">
        <v>318.28899999999999</v>
      </c>
      <c r="I77">
        <f t="shared" si="0"/>
        <v>2011</v>
      </c>
    </row>
    <row r="78" spans="1:9" ht="15">
      <c r="A78" t="s">
        <v>81</v>
      </c>
      <c r="B78" t="s">
        <v>84</v>
      </c>
      <c r="C78" s="6" t="s">
        <v>19</v>
      </c>
      <c r="D78" s="6" t="s">
        <v>83</v>
      </c>
      <c r="E78" s="7" t="s">
        <v>82</v>
      </c>
      <c r="F78" t="str">
        <f>+'Source Table'!$B$16</f>
        <v>Transport,Storage &amp; Communications</v>
      </c>
      <c r="G78" t="str">
        <f>+'Source Table'!$D$16</f>
        <v>النقل والتخزين والإتصالات</v>
      </c>
      <c r="H78" s="26">
        <v>1767.3539000000001</v>
      </c>
      <c r="I78">
        <f t="shared" si="0"/>
        <v>2011</v>
      </c>
    </row>
    <row r="79" spans="1:9" ht="15">
      <c r="A79" t="s">
        <v>81</v>
      </c>
      <c r="B79" t="s">
        <v>84</v>
      </c>
      <c r="C79" s="6" t="s">
        <v>19</v>
      </c>
      <c r="D79" s="6" t="s">
        <v>83</v>
      </c>
      <c r="E79" s="7" t="s">
        <v>82</v>
      </c>
      <c r="F79" t="str">
        <f>+'Source Table'!$B$17</f>
        <v>Finance,Insurance,Real Estate And Business Services</v>
      </c>
      <c r="G79" t="str">
        <f>+'Source Table'!$D$17</f>
        <v>خدمات المال والتأمين وخدمات العقارات وخدمات الأعمال</v>
      </c>
      <c r="H79" s="26">
        <v>3464.7953000000002</v>
      </c>
      <c r="I79">
        <f t="shared" si="0"/>
        <v>2011</v>
      </c>
    </row>
    <row r="80" spans="1:9" ht="15">
      <c r="A80" t="s">
        <v>81</v>
      </c>
      <c r="B80" t="s">
        <v>84</v>
      </c>
      <c r="C80" s="6" t="s">
        <v>19</v>
      </c>
      <c r="D80" s="6" t="s">
        <v>83</v>
      </c>
      <c r="E80" s="7" t="s">
        <v>82</v>
      </c>
      <c r="F80" t="str">
        <f>+'Source Table'!$B$18</f>
        <v>Finance And Insurance  Services</v>
      </c>
      <c r="G80" t="str">
        <f>+'Source Table'!$D$18</f>
        <v>خدمات المال والتأمين وخدمات الأعمال</v>
      </c>
      <c r="H80" s="26">
        <v>1299.6466</v>
      </c>
      <c r="I80">
        <f t="shared" si="0"/>
        <v>2011</v>
      </c>
    </row>
    <row r="81" spans="1:9" ht="15">
      <c r="A81" t="s">
        <v>81</v>
      </c>
      <c r="B81" t="s">
        <v>84</v>
      </c>
      <c r="C81" s="6" t="s">
        <v>19</v>
      </c>
      <c r="D81" s="6" t="s">
        <v>83</v>
      </c>
      <c r="E81" s="7" t="s">
        <v>82</v>
      </c>
      <c r="F81" t="str">
        <f>+'Source Table'!$B$19</f>
        <v>Real Estate</v>
      </c>
      <c r="G81" t="str">
        <f>+'Source Table'!$D$19</f>
        <v>الخدمات العقارية</v>
      </c>
      <c r="H81" s="26">
        <v>2165.1487000000002</v>
      </c>
      <c r="I81">
        <f t="shared" si="0"/>
        <v>2011</v>
      </c>
    </row>
    <row r="82" spans="1:9" ht="15">
      <c r="A82" t="s">
        <v>81</v>
      </c>
      <c r="B82" t="s">
        <v>84</v>
      </c>
      <c r="C82" s="6" t="s">
        <v>19</v>
      </c>
      <c r="D82" s="6" t="s">
        <v>83</v>
      </c>
      <c r="E82" s="7" t="s">
        <v>82</v>
      </c>
      <c r="F82" t="str">
        <f>+'Source Table'!$B$20</f>
        <v>Community,Social And Personal Services</v>
      </c>
      <c r="G82" t="str">
        <f>+'Source Table'!$D$20</f>
        <v>الخدمات الاجتماعية والشخصية</v>
      </c>
      <c r="H82" s="26">
        <v>1439.9849000000002</v>
      </c>
      <c r="I82">
        <f t="shared" si="0"/>
        <v>2011</v>
      </c>
    </row>
    <row r="83" spans="1:9" ht="15">
      <c r="A83" t="s">
        <v>81</v>
      </c>
      <c r="B83" t="s">
        <v>84</v>
      </c>
      <c r="C83" s="6" t="s">
        <v>19</v>
      </c>
      <c r="D83" s="6" t="s">
        <v>83</v>
      </c>
      <c r="E83" s="7" t="s">
        <v>82</v>
      </c>
      <c r="F83" t="str">
        <f>+'Source Table'!$B$21</f>
        <v>Total</v>
      </c>
      <c r="G83" t="str">
        <f>+'Source Table'!$D$21</f>
        <v>المجموع</v>
      </c>
      <c r="H83" s="26">
        <v>14989.6113</v>
      </c>
      <c r="I83">
        <f t="shared" si="0"/>
        <v>2011</v>
      </c>
    </row>
    <row r="84" spans="1:9" ht="15">
      <c r="A84" t="s">
        <v>81</v>
      </c>
      <c r="B84" t="s">
        <v>84</v>
      </c>
      <c r="C84" s="6" t="s">
        <v>19</v>
      </c>
      <c r="D84" s="6" t="s">
        <v>83</v>
      </c>
      <c r="E84" s="7" t="s">
        <v>82</v>
      </c>
      <c r="F84" t="str">
        <f>+'Source Table'!$B$22</f>
        <v>Producers Of Government Services</v>
      </c>
      <c r="G84" t="str">
        <f>+'Source Table'!$D$22</f>
        <v>منتجو الخدمات الحكومية</v>
      </c>
      <c r="H84" s="26">
        <v>3231.3046999999997</v>
      </c>
      <c r="I84">
        <f t="shared" si="0"/>
        <v>2011</v>
      </c>
    </row>
    <row r="85" spans="1:9" ht="15">
      <c r="A85" t="s">
        <v>81</v>
      </c>
      <c r="B85" t="s">
        <v>84</v>
      </c>
      <c r="C85" s="6" t="s">
        <v>19</v>
      </c>
      <c r="D85" s="6" t="s">
        <v>83</v>
      </c>
      <c r="E85" s="7" t="s">
        <v>82</v>
      </c>
      <c r="F85" t="str">
        <f>+'Source Table'!$B$23</f>
        <v>Producers Of Private Non-Profit  Services To Households</v>
      </c>
      <c r="G85" t="str">
        <f>+'Source Table'!$D$23</f>
        <v>منتجو الخدمات الخاصة التي لاتهدف الى الربح وتخدم العائلات</v>
      </c>
      <c r="H85" s="26">
        <v>142.4529</v>
      </c>
      <c r="I85">
        <f t="shared" si="0"/>
        <v>2011</v>
      </c>
    </row>
    <row r="86" spans="1:9" ht="15">
      <c r="A86" t="s">
        <v>81</v>
      </c>
      <c r="B86" t="s">
        <v>84</v>
      </c>
      <c r="C86" s="6" t="s">
        <v>19</v>
      </c>
      <c r="D86" s="6" t="s">
        <v>83</v>
      </c>
      <c r="E86" s="7" t="s">
        <v>82</v>
      </c>
      <c r="F86" t="str">
        <f>+'Source Table'!$B$24</f>
        <v>Domestic Services Of Households</v>
      </c>
      <c r="G86" t="str">
        <f>+'Source Table'!$D$24</f>
        <v>الخدمات المنزلية</v>
      </c>
      <c r="H86" s="26">
        <v>335.91570000000002</v>
      </c>
      <c r="I86">
        <f t="shared" si="0"/>
        <v>2011</v>
      </c>
    </row>
    <row r="87" spans="1:9" ht="15">
      <c r="A87" t="s">
        <v>81</v>
      </c>
      <c r="B87" t="s">
        <v>84</v>
      </c>
      <c r="C87" s="6" t="s">
        <v>19</v>
      </c>
      <c r="D87" s="6" t="s">
        <v>83</v>
      </c>
      <c r="E87" s="7" t="s">
        <v>82</v>
      </c>
      <c r="F87" t="str">
        <f>+'Source Table'!$B$25</f>
        <v>Total ( A+B+C + D )</v>
      </c>
      <c r="G87" t="str">
        <f>+'Source Table'!$D$25</f>
        <v>مجموع ( أ + ب + ج + د )</v>
      </c>
      <c r="H87" s="26">
        <v>18699.284600000003</v>
      </c>
      <c r="I87">
        <f t="shared" si="0"/>
        <v>2011</v>
      </c>
    </row>
    <row r="88" spans="1:9" ht="15">
      <c r="A88" t="s">
        <v>81</v>
      </c>
      <c r="B88" t="s">
        <v>84</v>
      </c>
      <c r="C88" s="6" t="s">
        <v>19</v>
      </c>
      <c r="D88" s="6" t="s">
        <v>83</v>
      </c>
      <c r="E88" s="7" t="s">
        <v>82</v>
      </c>
      <c r="F88" t="str">
        <f>+'Source Table'!$B$26</f>
        <v>Imputed Bank Service Charge</v>
      </c>
      <c r="G88" t="str">
        <f>+'Source Table'!$D$26</f>
        <v>الخدمات المصرفية المحتسبة</v>
      </c>
      <c r="H88" s="26">
        <v>522.83199999999999</v>
      </c>
      <c r="I88">
        <f t="shared" si="0"/>
        <v>2011</v>
      </c>
    </row>
    <row r="89" spans="1:9" ht="15">
      <c r="A89" t="s">
        <v>81</v>
      </c>
      <c r="B89" t="s">
        <v>84</v>
      </c>
      <c r="C89" s="6" t="s">
        <v>19</v>
      </c>
      <c r="D89" s="6" t="s">
        <v>83</v>
      </c>
      <c r="E89" s="7" t="s">
        <v>82</v>
      </c>
      <c r="F89" t="str">
        <f>+'Source Table'!$B$27</f>
        <v>Gross Domestic Product At Basic Prices</v>
      </c>
      <c r="G89" t="str">
        <f>+'Source Table'!$D$27</f>
        <v>الناتج المحلي الاجمالي بالاسعار الاساسية</v>
      </c>
      <c r="H89" s="26">
        <v>18176.452600000004</v>
      </c>
      <c r="I89">
        <f t="shared" si="0"/>
        <v>2011</v>
      </c>
    </row>
    <row r="90" spans="1:9" ht="15">
      <c r="A90" t="s">
        <v>81</v>
      </c>
      <c r="B90" t="s">
        <v>84</v>
      </c>
      <c r="C90" s="6" t="s">
        <v>19</v>
      </c>
      <c r="D90" s="6" t="s">
        <v>83</v>
      </c>
      <c r="E90" s="7" t="s">
        <v>82</v>
      </c>
      <c r="F90" t="str">
        <f>+'Source Table'!$B$28</f>
        <v>Net Taxes On Products</v>
      </c>
      <c r="G90" t="str">
        <f>+'Source Table'!$D$28</f>
        <v>صافي الضرائب على المنتجات</v>
      </c>
      <c r="H90" s="26">
        <v>2785.6929</v>
      </c>
      <c r="I90">
        <f t="shared" si="0"/>
        <v>2011</v>
      </c>
    </row>
    <row r="91" spans="1:9" ht="15">
      <c r="A91" t="s">
        <v>81</v>
      </c>
      <c r="B91" t="s">
        <v>84</v>
      </c>
      <c r="C91" s="6" t="s">
        <v>19</v>
      </c>
      <c r="D91" s="6" t="s">
        <v>83</v>
      </c>
      <c r="E91" s="7" t="s">
        <v>82</v>
      </c>
      <c r="F91" t="str">
        <f>+'Source Table'!$B$29</f>
        <v>Gross Domestic Product At Market Prices</v>
      </c>
      <c r="G91" t="str">
        <f>+'Source Table'!$D$29</f>
        <v>الناتج المحلي الاجمالي باسعار السوق</v>
      </c>
      <c r="H91" s="26">
        <v>20962.145500000006</v>
      </c>
      <c r="I91">
        <f t="shared" ref="I91:I154" si="1">+I69+1</f>
        <v>2011</v>
      </c>
    </row>
    <row r="92" spans="1:9" ht="15">
      <c r="A92" t="s">
        <v>81</v>
      </c>
      <c r="B92" t="s">
        <v>84</v>
      </c>
      <c r="C92" s="6" t="s">
        <v>19</v>
      </c>
      <c r="D92" s="6" t="s">
        <v>83</v>
      </c>
      <c r="E92" s="7" t="s">
        <v>82</v>
      </c>
      <c r="F92" t="str">
        <f>+'Source Table'!$B$8</f>
        <v>Agriculture,Hunting,Forestry, And Fishing</v>
      </c>
      <c r="G92" t="str">
        <f>+'Source Table'!$D$8</f>
        <v>الزراعة والقنص والغابات وصيد الأسماك</v>
      </c>
      <c r="H92" s="26">
        <v>742.34760000000006</v>
      </c>
      <c r="I92">
        <f t="shared" si="1"/>
        <v>2012</v>
      </c>
    </row>
    <row r="93" spans="1:9" ht="15">
      <c r="A93" t="s">
        <v>81</v>
      </c>
      <c r="B93" t="s">
        <v>84</v>
      </c>
      <c r="C93" s="6" t="s">
        <v>19</v>
      </c>
      <c r="D93" s="6" t="s">
        <v>83</v>
      </c>
      <c r="E93" s="7" t="s">
        <v>82</v>
      </c>
      <c r="F93" t="str">
        <f>+'Source Table'!$B$9</f>
        <v>Mining And Quarrying</v>
      </c>
      <c r="G93" t="str">
        <f>+'Source Table'!$D$9</f>
        <v>المناجم والمحاجر</v>
      </c>
      <c r="H93" s="26">
        <v>573.88879999999995</v>
      </c>
      <c r="I93">
        <f t="shared" si="1"/>
        <v>2012</v>
      </c>
    </row>
    <row r="94" spans="1:9" ht="15">
      <c r="A94" t="s">
        <v>81</v>
      </c>
      <c r="B94" t="s">
        <v>84</v>
      </c>
      <c r="C94" s="6" t="s">
        <v>19</v>
      </c>
      <c r="D94" s="6" t="s">
        <v>83</v>
      </c>
      <c r="E94" s="7" t="s">
        <v>82</v>
      </c>
      <c r="F94" t="str">
        <f>+'Source Table'!$B$10</f>
        <v>Manufacturing</v>
      </c>
      <c r="G94" t="str">
        <f>+'Source Table'!$D$10</f>
        <v>الصناعات التحويلية</v>
      </c>
      <c r="H94" s="26">
        <v>4220.0820000000003</v>
      </c>
      <c r="I94">
        <f t="shared" si="1"/>
        <v>2012</v>
      </c>
    </row>
    <row r="95" spans="1:9" ht="15">
      <c r="A95" t="s">
        <v>81</v>
      </c>
      <c r="B95" t="s">
        <v>84</v>
      </c>
      <c r="C95" s="6" t="s">
        <v>19</v>
      </c>
      <c r="D95" s="6" t="s">
        <v>83</v>
      </c>
      <c r="E95" s="7" t="s">
        <v>82</v>
      </c>
      <c r="F95" t="str">
        <f>+'Source Table'!$B$11</f>
        <v>Electricity And Water</v>
      </c>
      <c r="G95" t="str">
        <f>+'Source Table'!$D$11</f>
        <v>الكهرباء والمياه</v>
      </c>
      <c r="H95" s="26">
        <v>314.82830000000001</v>
      </c>
      <c r="I95">
        <f t="shared" si="1"/>
        <v>2012</v>
      </c>
    </row>
    <row r="96" spans="1:9" ht="15">
      <c r="A96" t="s">
        <v>81</v>
      </c>
      <c r="B96" t="s">
        <v>84</v>
      </c>
      <c r="C96" s="6" t="s">
        <v>19</v>
      </c>
      <c r="D96" s="6" t="s">
        <v>83</v>
      </c>
      <c r="E96" s="7" t="s">
        <v>82</v>
      </c>
      <c r="F96" t="str">
        <f>+'Source Table'!$B$12</f>
        <v>Construction</v>
      </c>
      <c r="G96" t="str">
        <f>+'Source Table'!$D$12</f>
        <v>الإنشاءات</v>
      </c>
      <c r="H96" s="26">
        <v>687.77279999999996</v>
      </c>
      <c r="I96">
        <f t="shared" si="1"/>
        <v>2012</v>
      </c>
    </row>
    <row r="97" spans="1:9" ht="15">
      <c r="A97" t="s">
        <v>81</v>
      </c>
      <c r="B97" t="s">
        <v>84</v>
      </c>
      <c r="C97" s="6" t="s">
        <v>19</v>
      </c>
      <c r="D97" s="6" t="s">
        <v>83</v>
      </c>
      <c r="E97" s="7" t="s">
        <v>82</v>
      </c>
      <c r="F97" t="str">
        <f>+'Source Table'!$B$13</f>
        <v>Wholesale &amp; Retail Trade, Restuarants&amp; Hotels</v>
      </c>
      <c r="G97" t="str">
        <f>+'Source Table'!$D$13</f>
        <v>تجارة الجملة والتجزئة والمطاعم والفنادق</v>
      </c>
      <c r="H97" s="26">
        <v>2190.3029000000001</v>
      </c>
      <c r="I97">
        <f t="shared" si="1"/>
        <v>2012</v>
      </c>
    </row>
    <row r="98" spans="1:9" ht="15">
      <c r="A98" t="s">
        <v>81</v>
      </c>
      <c r="B98" t="s">
        <v>84</v>
      </c>
      <c r="C98" s="6" t="s">
        <v>19</v>
      </c>
      <c r="D98" s="6" t="s">
        <v>83</v>
      </c>
      <c r="E98" s="7" t="s">
        <v>82</v>
      </c>
      <c r="F98" t="str">
        <f>+'Source Table'!$B$14</f>
        <v>Wholesale And Retail Trade</v>
      </c>
      <c r="G98" t="str">
        <f>+'Source Table'!$D$14</f>
        <v>تجارة الجملة والتجزئة</v>
      </c>
      <c r="H98" s="26">
        <v>1837.5176000000001</v>
      </c>
      <c r="I98">
        <f t="shared" si="1"/>
        <v>2012</v>
      </c>
    </row>
    <row r="99" spans="1:9" ht="15">
      <c r="A99" t="s">
        <v>81</v>
      </c>
      <c r="B99" t="s">
        <v>84</v>
      </c>
      <c r="C99" s="6" t="s">
        <v>19</v>
      </c>
      <c r="D99" s="6" t="s">
        <v>83</v>
      </c>
      <c r="E99" s="7" t="s">
        <v>82</v>
      </c>
      <c r="F99" t="str">
        <f>+'Source Table'!$B$15</f>
        <v>Restaurant And Hotels</v>
      </c>
      <c r="G99" t="str">
        <f>+'Source Table'!$D$15</f>
        <v>الفنادق والمطاعم</v>
      </c>
      <c r="H99" s="26">
        <v>352.78530000000001</v>
      </c>
      <c r="I99">
        <f t="shared" si="1"/>
        <v>2012</v>
      </c>
    </row>
    <row r="100" spans="1:9" ht="15">
      <c r="A100" t="s">
        <v>81</v>
      </c>
      <c r="B100" t="s">
        <v>84</v>
      </c>
      <c r="C100" s="6" t="s">
        <v>19</v>
      </c>
      <c r="D100" s="6" t="s">
        <v>83</v>
      </c>
      <c r="E100" s="7" t="s">
        <v>82</v>
      </c>
      <c r="F100" t="str">
        <f>+'Source Table'!$B$16</f>
        <v>Transport,Storage &amp; Communications</v>
      </c>
      <c r="G100" t="str">
        <f>+'Source Table'!$D$16</f>
        <v>النقل والتخزين والإتصالات</v>
      </c>
      <c r="H100" s="26">
        <v>1924.9045000000001</v>
      </c>
      <c r="I100">
        <f t="shared" si="1"/>
        <v>2012</v>
      </c>
    </row>
    <row r="101" spans="1:9" ht="15">
      <c r="A101" t="s">
        <v>81</v>
      </c>
      <c r="B101" t="s">
        <v>84</v>
      </c>
      <c r="C101" s="6" t="s">
        <v>19</v>
      </c>
      <c r="D101" s="6" t="s">
        <v>83</v>
      </c>
      <c r="E101" s="7" t="s">
        <v>82</v>
      </c>
      <c r="F101" t="str">
        <f>+'Source Table'!$B$17</f>
        <v>Finance,Insurance,Real Estate And Business Services</v>
      </c>
      <c r="G101" t="str">
        <f>+'Source Table'!$D$17</f>
        <v>خدمات المال والتأمين وخدمات العقارات وخدمات الأعمال</v>
      </c>
      <c r="H101" s="26">
        <v>3787.5542</v>
      </c>
      <c r="I101">
        <f t="shared" si="1"/>
        <v>2012</v>
      </c>
    </row>
    <row r="102" spans="1:9" ht="15">
      <c r="A102" t="s">
        <v>81</v>
      </c>
      <c r="B102" t="s">
        <v>84</v>
      </c>
      <c r="C102" s="6" t="s">
        <v>19</v>
      </c>
      <c r="D102" s="6" t="s">
        <v>83</v>
      </c>
      <c r="E102" s="7" t="s">
        <v>82</v>
      </c>
      <c r="F102" t="str">
        <f>+'Source Table'!$B$18</f>
        <v>Finance And Insurance  Services</v>
      </c>
      <c r="G102" t="str">
        <f>+'Source Table'!$D$18</f>
        <v>خدمات المال والتأمين وخدمات الأعمال</v>
      </c>
      <c r="H102" s="26">
        <v>1460.4839999999999</v>
      </c>
      <c r="I102">
        <f t="shared" si="1"/>
        <v>2012</v>
      </c>
    </row>
    <row r="103" spans="1:9" ht="15">
      <c r="A103" t="s">
        <v>81</v>
      </c>
      <c r="B103" t="s">
        <v>84</v>
      </c>
      <c r="C103" s="6" t="s">
        <v>19</v>
      </c>
      <c r="D103" s="6" t="s">
        <v>83</v>
      </c>
      <c r="E103" s="7" t="s">
        <v>82</v>
      </c>
      <c r="F103" t="str">
        <f>+'Source Table'!$B$19</f>
        <v>Real Estate</v>
      </c>
      <c r="G103" t="str">
        <f>+'Source Table'!$D$19</f>
        <v>الخدمات العقارية</v>
      </c>
      <c r="H103" s="26">
        <v>2327.0702000000001</v>
      </c>
      <c r="I103">
        <f t="shared" si="1"/>
        <v>2012</v>
      </c>
    </row>
    <row r="104" spans="1:9" ht="15">
      <c r="A104" t="s">
        <v>81</v>
      </c>
      <c r="B104" t="s">
        <v>84</v>
      </c>
      <c r="C104" s="6" t="s">
        <v>19</v>
      </c>
      <c r="D104" s="6" t="s">
        <v>83</v>
      </c>
      <c r="E104" s="7" t="s">
        <v>82</v>
      </c>
      <c r="F104" t="str">
        <f>+'Source Table'!$B$20</f>
        <v>Community,Social And Personal Services</v>
      </c>
      <c r="G104" t="str">
        <f>+'Source Table'!$D$20</f>
        <v>الخدمات الاجتماعية والشخصية</v>
      </c>
      <c r="H104" s="26">
        <v>1609.7361000000001</v>
      </c>
      <c r="I104">
        <f t="shared" si="1"/>
        <v>2012</v>
      </c>
    </row>
    <row r="105" spans="1:9" ht="15">
      <c r="A105" t="s">
        <v>81</v>
      </c>
      <c r="B105" t="s">
        <v>84</v>
      </c>
      <c r="C105" s="6" t="s">
        <v>19</v>
      </c>
      <c r="D105" s="6" t="s">
        <v>83</v>
      </c>
      <c r="E105" s="7" t="s">
        <v>82</v>
      </c>
      <c r="F105" t="str">
        <f>+'Source Table'!$B$21</f>
        <v>Total</v>
      </c>
      <c r="G105" t="str">
        <f>+'Source Table'!$D$21</f>
        <v>المجموع</v>
      </c>
      <c r="H105" s="26">
        <v>16051.417200000002</v>
      </c>
      <c r="I105">
        <f t="shared" si="1"/>
        <v>2012</v>
      </c>
    </row>
    <row r="106" spans="1:9" ht="15">
      <c r="A106" t="s">
        <v>81</v>
      </c>
      <c r="B106" t="s">
        <v>84</v>
      </c>
      <c r="C106" s="6" t="s">
        <v>19</v>
      </c>
      <c r="D106" s="6" t="s">
        <v>83</v>
      </c>
      <c r="E106" s="7" t="s">
        <v>82</v>
      </c>
      <c r="F106" t="str">
        <f>+'Source Table'!$B$22</f>
        <v>Producers Of Government Services</v>
      </c>
      <c r="G106" t="str">
        <f>+'Source Table'!$D$22</f>
        <v>منتجو الخدمات الحكومية</v>
      </c>
      <c r="H106" s="26">
        <v>3522.5556999999999</v>
      </c>
      <c r="I106">
        <f t="shared" si="1"/>
        <v>2012</v>
      </c>
    </row>
    <row r="107" spans="1:9" ht="15">
      <c r="A107" t="s">
        <v>81</v>
      </c>
      <c r="B107" t="s">
        <v>84</v>
      </c>
      <c r="C107" s="6" t="s">
        <v>19</v>
      </c>
      <c r="D107" s="6" t="s">
        <v>83</v>
      </c>
      <c r="E107" s="7" t="s">
        <v>82</v>
      </c>
      <c r="F107" t="str">
        <f>+'Source Table'!$B$23</f>
        <v>Producers Of Private Non-Profit  Services To Households</v>
      </c>
      <c r="G107" t="str">
        <f>+'Source Table'!$D$23</f>
        <v>منتجو الخدمات الخاصة التي لاتهدف الى الربح وتخدم العائلات</v>
      </c>
      <c r="H107" s="26">
        <v>160.36099999999999</v>
      </c>
      <c r="I107">
        <f t="shared" si="1"/>
        <v>2012</v>
      </c>
    </row>
    <row r="108" spans="1:9" ht="15">
      <c r="A108" t="s">
        <v>81</v>
      </c>
      <c r="B108" t="s">
        <v>84</v>
      </c>
      <c r="C108" s="6" t="s">
        <v>19</v>
      </c>
      <c r="D108" s="6" t="s">
        <v>83</v>
      </c>
      <c r="E108" s="7" t="s">
        <v>82</v>
      </c>
      <c r="F108" t="str">
        <f>+'Source Table'!$B$24</f>
        <v>Domestic Services Of Households</v>
      </c>
      <c r="G108" t="str">
        <f>+'Source Table'!$D$24</f>
        <v>الخدمات المنزلية</v>
      </c>
      <c r="H108" s="26">
        <v>342.4667</v>
      </c>
      <c r="I108">
        <f t="shared" si="1"/>
        <v>2012</v>
      </c>
    </row>
    <row r="109" spans="1:9" ht="15">
      <c r="A109" t="s">
        <v>81</v>
      </c>
      <c r="B109" t="s">
        <v>84</v>
      </c>
      <c r="C109" s="6" t="s">
        <v>19</v>
      </c>
      <c r="D109" s="6" t="s">
        <v>83</v>
      </c>
      <c r="E109" s="7" t="s">
        <v>82</v>
      </c>
      <c r="F109" t="str">
        <f>+'Source Table'!$B$25</f>
        <v>Total ( A+B+C + D )</v>
      </c>
      <c r="G109" t="str">
        <f>+'Source Table'!$D$25</f>
        <v>مجموع ( أ + ب + ج + د )</v>
      </c>
      <c r="H109" s="26">
        <v>20076.800600000002</v>
      </c>
      <c r="I109">
        <f t="shared" si="1"/>
        <v>2012</v>
      </c>
    </row>
    <row r="110" spans="1:9" ht="15">
      <c r="A110" t="s">
        <v>81</v>
      </c>
      <c r="B110" t="s">
        <v>84</v>
      </c>
      <c r="C110" s="6" t="s">
        <v>19</v>
      </c>
      <c r="D110" s="6" t="s">
        <v>83</v>
      </c>
      <c r="E110" s="7" t="s">
        <v>82</v>
      </c>
      <c r="F110" t="str">
        <f>+'Source Table'!$B$26</f>
        <v>Imputed Bank Service Charge</v>
      </c>
      <c r="G110" t="str">
        <f>+'Source Table'!$D$26</f>
        <v>الخدمات المصرفية المحتسبة</v>
      </c>
      <c r="H110" s="26">
        <v>601.60219999999993</v>
      </c>
      <c r="I110">
        <f t="shared" si="1"/>
        <v>2012</v>
      </c>
    </row>
    <row r="111" spans="1:9" ht="15">
      <c r="A111" t="s">
        <v>81</v>
      </c>
      <c r="B111" t="s">
        <v>84</v>
      </c>
      <c r="C111" s="6" t="s">
        <v>19</v>
      </c>
      <c r="D111" s="6" t="s">
        <v>83</v>
      </c>
      <c r="E111" s="7" t="s">
        <v>82</v>
      </c>
      <c r="F111" t="str">
        <f>+'Source Table'!$B$27</f>
        <v>Gross Domestic Product At Basic Prices</v>
      </c>
      <c r="G111" t="str">
        <f>+'Source Table'!$D$27</f>
        <v>الناتج المحلي الاجمالي بالاسعار الاساسية</v>
      </c>
      <c r="H111" s="26">
        <v>19475.198400000001</v>
      </c>
      <c r="I111">
        <f t="shared" si="1"/>
        <v>2012</v>
      </c>
    </row>
    <row r="112" spans="1:9" ht="15">
      <c r="A112" t="s">
        <v>81</v>
      </c>
      <c r="B112" t="s">
        <v>84</v>
      </c>
      <c r="C112" s="6" t="s">
        <v>19</v>
      </c>
      <c r="D112" s="6" t="s">
        <v>83</v>
      </c>
      <c r="E112" s="7" t="s">
        <v>82</v>
      </c>
      <c r="F112" t="str">
        <f>+'Source Table'!$B$28</f>
        <v>Net Taxes On Products</v>
      </c>
      <c r="G112" t="str">
        <f>+'Source Table'!$D$28</f>
        <v>صافي الضرائب على المنتجات</v>
      </c>
      <c r="H112" s="26">
        <v>2985.3406000000004</v>
      </c>
      <c r="I112">
        <f t="shared" si="1"/>
        <v>2012</v>
      </c>
    </row>
    <row r="113" spans="1:9" ht="15">
      <c r="A113" t="s">
        <v>81</v>
      </c>
      <c r="B113" t="s">
        <v>84</v>
      </c>
      <c r="C113" s="6" t="s">
        <v>19</v>
      </c>
      <c r="D113" s="6" t="s">
        <v>83</v>
      </c>
      <c r="E113" s="7" t="s">
        <v>82</v>
      </c>
      <c r="F113" t="str">
        <f>+'Source Table'!$B$29</f>
        <v>Gross Domestic Product At Market Prices</v>
      </c>
      <c r="G113" t="str">
        <f>+'Source Table'!$D$29</f>
        <v>الناتج المحلي الاجمالي باسعار السوق</v>
      </c>
      <c r="H113" s="26">
        <v>22460.539000000001</v>
      </c>
      <c r="I113">
        <f t="shared" si="1"/>
        <v>2012</v>
      </c>
    </row>
    <row r="114" spans="1:9" ht="15">
      <c r="A114" t="s">
        <v>81</v>
      </c>
      <c r="B114" t="s">
        <v>84</v>
      </c>
      <c r="C114" s="6" t="s">
        <v>19</v>
      </c>
      <c r="D114" s="6" t="s">
        <v>83</v>
      </c>
      <c r="E114" s="7" t="s">
        <v>82</v>
      </c>
      <c r="F114" t="str">
        <f>+'Source Table'!$B$8</f>
        <v>Agriculture,Hunting,Forestry, And Fishing</v>
      </c>
      <c r="G114" t="str">
        <f>+'Source Table'!$D$8</f>
        <v>الزراعة والقنص والغابات وصيد الأسماك</v>
      </c>
      <c r="H114" s="26">
        <v>876.50139999999999</v>
      </c>
      <c r="I114">
        <f t="shared" si="1"/>
        <v>2013</v>
      </c>
    </row>
    <row r="115" spans="1:9" ht="15">
      <c r="A115" t="s">
        <v>81</v>
      </c>
      <c r="B115" t="s">
        <v>84</v>
      </c>
      <c r="C115" s="6" t="s">
        <v>19</v>
      </c>
      <c r="D115" s="6" t="s">
        <v>83</v>
      </c>
      <c r="E115" s="7" t="s">
        <v>82</v>
      </c>
      <c r="F115" t="str">
        <f>+'Source Table'!$B$9</f>
        <v>Mining And Quarrying</v>
      </c>
      <c r="G115" t="str">
        <f>+'Source Table'!$D$9</f>
        <v>المناجم والمحاجر</v>
      </c>
      <c r="H115" s="26">
        <v>447.57510000000002</v>
      </c>
      <c r="I115">
        <f t="shared" si="1"/>
        <v>2013</v>
      </c>
    </row>
    <row r="116" spans="1:9" ht="15">
      <c r="A116" t="s">
        <v>81</v>
      </c>
      <c r="B116" t="s">
        <v>84</v>
      </c>
      <c r="C116" s="6" t="s">
        <v>19</v>
      </c>
      <c r="D116" s="6" t="s">
        <v>83</v>
      </c>
      <c r="E116" s="7" t="s">
        <v>82</v>
      </c>
      <c r="F116" t="str">
        <f>+'Source Table'!$B$10</f>
        <v>Manufacturing</v>
      </c>
      <c r="G116" t="str">
        <f>+'Source Table'!$D$10</f>
        <v>الصناعات التحويلية</v>
      </c>
      <c r="H116" s="26">
        <v>4715.5851000000002</v>
      </c>
      <c r="I116">
        <f t="shared" si="1"/>
        <v>2013</v>
      </c>
    </row>
    <row r="117" spans="1:9" ht="15">
      <c r="A117" t="s">
        <v>81</v>
      </c>
      <c r="B117" t="s">
        <v>84</v>
      </c>
      <c r="C117" s="6" t="s">
        <v>19</v>
      </c>
      <c r="D117" s="6" t="s">
        <v>83</v>
      </c>
      <c r="E117" s="7" t="s">
        <v>82</v>
      </c>
      <c r="F117" t="str">
        <f>+'Source Table'!$B$11</f>
        <v>Electricity And Water</v>
      </c>
      <c r="G117" t="str">
        <f>+'Source Table'!$D$11</f>
        <v>الكهرباء والمياه</v>
      </c>
      <c r="H117" s="26">
        <v>350.21600000000001</v>
      </c>
      <c r="I117">
        <f t="shared" si="1"/>
        <v>2013</v>
      </c>
    </row>
    <row r="118" spans="1:9" ht="15">
      <c r="A118" t="s">
        <v>81</v>
      </c>
      <c r="B118" t="s">
        <v>84</v>
      </c>
      <c r="C118" s="6" t="s">
        <v>19</v>
      </c>
      <c r="D118" s="6" t="s">
        <v>83</v>
      </c>
      <c r="E118" s="7" t="s">
        <v>82</v>
      </c>
      <c r="F118" t="str">
        <f>+'Source Table'!$B$12</f>
        <v>Construction</v>
      </c>
      <c r="G118" t="str">
        <f>+'Source Table'!$D$12</f>
        <v>الإنشاءات</v>
      </c>
      <c r="H118" s="26">
        <v>759.0095</v>
      </c>
      <c r="I118">
        <f t="shared" si="1"/>
        <v>2013</v>
      </c>
    </row>
    <row r="119" spans="1:9" ht="15">
      <c r="A119" t="s">
        <v>81</v>
      </c>
      <c r="B119" t="s">
        <v>84</v>
      </c>
      <c r="C119" s="6" t="s">
        <v>19</v>
      </c>
      <c r="D119" s="6" t="s">
        <v>83</v>
      </c>
      <c r="E119" s="7" t="s">
        <v>82</v>
      </c>
      <c r="F119" t="str">
        <f>+'Source Table'!$B$13</f>
        <v>Wholesale &amp; Retail Trade, Restuarants&amp; Hotels</v>
      </c>
      <c r="G119" t="str">
        <f>+'Source Table'!$D$13</f>
        <v>تجارة الجملة والتجزئة والمطاعم والفنادق</v>
      </c>
      <c r="H119" s="26">
        <v>2428.5557000000003</v>
      </c>
      <c r="I119">
        <f t="shared" si="1"/>
        <v>2013</v>
      </c>
    </row>
    <row r="120" spans="1:9" ht="15">
      <c r="A120" t="s">
        <v>81</v>
      </c>
      <c r="B120" t="s">
        <v>84</v>
      </c>
      <c r="C120" s="6" t="s">
        <v>19</v>
      </c>
      <c r="D120" s="6" t="s">
        <v>83</v>
      </c>
      <c r="E120" s="7" t="s">
        <v>82</v>
      </c>
      <c r="F120" t="str">
        <f>+'Source Table'!$B$14</f>
        <v>Wholesale And Retail Trade</v>
      </c>
      <c r="G120" t="str">
        <f>+'Source Table'!$D$14</f>
        <v>تجارة الجملة والتجزئة</v>
      </c>
      <c r="H120" s="26">
        <v>2048.2789000000002</v>
      </c>
      <c r="I120">
        <f t="shared" si="1"/>
        <v>2013</v>
      </c>
    </row>
    <row r="121" spans="1:9" ht="15">
      <c r="A121" t="s">
        <v>81</v>
      </c>
      <c r="B121" t="s">
        <v>84</v>
      </c>
      <c r="C121" s="6" t="s">
        <v>19</v>
      </c>
      <c r="D121" s="6" t="s">
        <v>83</v>
      </c>
      <c r="E121" s="7" t="s">
        <v>82</v>
      </c>
      <c r="F121" t="str">
        <f>+'Source Table'!$B$15</f>
        <v>Restaurant And Hotels</v>
      </c>
      <c r="G121" t="str">
        <f>+'Source Table'!$D$15</f>
        <v>الفنادق والمطاعم</v>
      </c>
      <c r="H121" s="26">
        <v>380.27680000000004</v>
      </c>
      <c r="I121">
        <f t="shared" si="1"/>
        <v>2013</v>
      </c>
    </row>
    <row r="122" spans="1:9" ht="15">
      <c r="A122" t="s">
        <v>81</v>
      </c>
      <c r="B122" t="s">
        <v>84</v>
      </c>
      <c r="C122" s="6" t="s">
        <v>19</v>
      </c>
      <c r="D122" s="6" t="s">
        <v>83</v>
      </c>
      <c r="E122" s="7" t="s">
        <v>82</v>
      </c>
      <c r="F122" t="str">
        <f>+'Source Table'!$B$16</f>
        <v>Transport,Storage &amp; Communications</v>
      </c>
      <c r="G122" t="str">
        <f>+'Source Table'!$D$16</f>
        <v>النقل والتخزين والإتصالات</v>
      </c>
      <c r="H122" s="26">
        <v>2116.1462999999999</v>
      </c>
      <c r="I122">
        <f t="shared" si="1"/>
        <v>2013</v>
      </c>
    </row>
    <row r="123" spans="1:9" ht="15">
      <c r="A123" t="s">
        <v>81</v>
      </c>
      <c r="B123" t="s">
        <v>84</v>
      </c>
      <c r="C123" s="6" t="s">
        <v>19</v>
      </c>
      <c r="D123" s="6" t="s">
        <v>83</v>
      </c>
      <c r="E123" s="7" t="s">
        <v>82</v>
      </c>
      <c r="F123" t="str">
        <f>+'Source Table'!$B$17</f>
        <v>Finance,Insurance,Real Estate And Business Services</v>
      </c>
      <c r="G123" t="str">
        <f>+'Source Table'!$D$17</f>
        <v>خدمات المال والتأمين وخدمات العقارات وخدمات الأعمال</v>
      </c>
      <c r="H123" s="26">
        <v>4116.3213999999998</v>
      </c>
      <c r="I123">
        <f t="shared" si="1"/>
        <v>2013</v>
      </c>
    </row>
    <row r="124" spans="1:9" ht="15">
      <c r="A124" t="s">
        <v>81</v>
      </c>
      <c r="B124" t="s">
        <v>84</v>
      </c>
      <c r="C124" s="6" t="s">
        <v>19</v>
      </c>
      <c r="D124" s="6" t="s">
        <v>83</v>
      </c>
      <c r="E124" s="7" t="s">
        <v>82</v>
      </c>
      <c r="F124" t="str">
        <f>+'Source Table'!$B$18</f>
        <v>Finance And Insurance  Services</v>
      </c>
      <c r="G124" t="str">
        <f>+'Source Table'!$D$18</f>
        <v>خدمات المال والتأمين وخدمات الأعمال</v>
      </c>
      <c r="H124" s="26">
        <v>1631.9849000000002</v>
      </c>
      <c r="I124">
        <f t="shared" si="1"/>
        <v>2013</v>
      </c>
    </row>
    <row r="125" spans="1:9" ht="15">
      <c r="A125" t="s">
        <v>81</v>
      </c>
      <c r="B125" t="s">
        <v>84</v>
      </c>
      <c r="C125" s="6" t="s">
        <v>19</v>
      </c>
      <c r="D125" s="6" t="s">
        <v>83</v>
      </c>
      <c r="E125" s="7" t="s">
        <v>82</v>
      </c>
      <c r="F125" t="str">
        <f>+'Source Table'!$B$19</f>
        <v>Real Estate</v>
      </c>
      <c r="G125" t="str">
        <f>+'Source Table'!$D$19</f>
        <v>الخدمات العقارية</v>
      </c>
      <c r="H125" s="26">
        <v>2484.3364999999999</v>
      </c>
      <c r="I125">
        <f t="shared" si="1"/>
        <v>2013</v>
      </c>
    </row>
    <row r="126" spans="1:9" ht="15">
      <c r="A126" t="s">
        <v>81</v>
      </c>
      <c r="B126" t="s">
        <v>84</v>
      </c>
      <c r="C126" s="6" t="s">
        <v>19</v>
      </c>
      <c r="D126" s="6" t="s">
        <v>83</v>
      </c>
      <c r="E126" s="7" t="s">
        <v>82</v>
      </c>
      <c r="F126" t="str">
        <f>+'Source Table'!$B$20</f>
        <v>Community,Social And Personal Services</v>
      </c>
      <c r="G126" t="str">
        <f>+'Source Table'!$D$20</f>
        <v>الخدمات الاجتماعية والشخصية</v>
      </c>
      <c r="H126" s="26">
        <v>1788.2325000000001</v>
      </c>
      <c r="I126">
        <f t="shared" si="1"/>
        <v>2013</v>
      </c>
    </row>
    <row r="127" spans="1:9" ht="15">
      <c r="A127" t="s">
        <v>81</v>
      </c>
      <c r="B127" t="s">
        <v>84</v>
      </c>
      <c r="C127" s="6" t="s">
        <v>19</v>
      </c>
      <c r="D127" s="6" t="s">
        <v>83</v>
      </c>
      <c r="E127" s="7" t="s">
        <v>82</v>
      </c>
      <c r="F127" t="str">
        <f>+'Source Table'!$B$21</f>
        <v>Total</v>
      </c>
      <c r="G127" t="str">
        <f>+'Source Table'!$D$21</f>
        <v>المجموع</v>
      </c>
      <c r="H127" s="26">
        <v>17598.143000000004</v>
      </c>
      <c r="I127">
        <f t="shared" si="1"/>
        <v>2013</v>
      </c>
    </row>
    <row r="128" spans="1:9" ht="15">
      <c r="A128" t="s">
        <v>81</v>
      </c>
      <c r="B128" t="s">
        <v>84</v>
      </c>
      <c r="C128" s="6" t="s">
        <v>19</v>
      </c>
      <c r="D128" s="6" t="s">
        <v>83</v>
      </c>
      <c r="E128" s="7" t="s">
        <v>82</v>
      </c>
      <c r="F128" t="str">
        <f>+'Source Table'!$B$22</f>
        <v>Producers Of Government Services</v>
      </c>
      <c r="G128" t="str">
        <f>+'Source Table'!$D$22</f>
        <v>منتجو الخدمات الحكومية</v>
      </c>
      <c r="H128" s="26">
        <v>3800.3751999999999</v>
      </c>
      <c r="I128">
        <f t="shared" si="1"/>
        <v>2013</v>
      </c>
    </row>
    <row r="129" spans="1:9" ht="15">
      <c r="A129" t="s">
        <v>81</v>
      </c>
      <c r="B129" t="s">
        <v>84</v>
      </c>
      <c r="C129" s="6" t="s">
        <v>19</v>
      </c>
      <c r="D129" s="6" t="s">
        <v>83</v>
      </c>
      <c r="E129" s="7" t="s">
        <v>82</v>
      </c>
      <c r="F129" t="str">
        <f>+'Source Table'!$B$23</f>
        <v>Producers Of Private Non-Profit  Services To Households</v>
      </c>
      <c r="G129" t="str">
        <f>+'Source Table'!$D$23</f>
        <v>منتجو الخدمات الخاصة التي لاتهدف الى الربح وتخدم العائلات</v>
      </c>
      <c r="H129" s="26">
        <v>173.09379999999999</v>
      </c>
      <c r="I129">
        <f t="shared" si="1"/>
        <v>2013</v>
      </c>
    </row>
    <row r="130" spans="1:9" ht="15">
      <c r="A130" t="s">
        <v>81</v>
      </c>
      <c r="B130" t="s">
        <v>84</v>
      </c>
      <c r="C130" s="6" t="s">
        <v>19</v>
      </c>
      <c r="D130" s="6" t="s">
        <v>83</v>
      </c>
      <c r="E130" s="7" t="s">
        <v>82</v>
      </c>
      <c r="F130" t="str">
        <f>+'Source Table'!$B$24</f>
        <v>Domestic Services Of Households</v>
      </c>
      <c r="G130" t="str">
        <f>+'Source Table'!$D$24</f>
        <v>الخدمات المنزلية</v>
      </c>
      <c r="H130" s="26">
        <v>356.23030000000006</v>
      </c>
      <c r="I130">
        <f t="shared" si="1"/>
        <v>2013</v>
      </c>
    </row>
    <row r="131" spans="1:9" ht="15">
      <c r="A131" t="s">
        <v>81</v>
      </c>
      <c r="B131" t="s">
        <v>84</v>
      </c>
      <c r="C131" s="6" t="s">
        <v>19</v>
      </c>
      <c r="D131" s="6" t="s">
        <v>83</v>
      </c>
      <c r="E131" s="7" t="s">
        <v>82</v>
      </c>
      <c r="F131" t="str">
        <f>+'Source Table'!$B$25</f>
        <v>Total ( A+B+C + D )</v>
      </c>
      <c r="G131" t="str">
        <f>+'Source Table'!$D$25</f>
        <v>مجموع ( أ + ب + ج + د )</v>
      </c>
      <c r="H131" s="26">
        <v>21927.8423</v>
      </c>
      <c r="I131">
        <f t="shared" si="1"/>
        <v>2013</v>
      </c>
    </row>
    <row r="132" spans="1:9" ht="15">
      <c r="A132" t="s">
        <v>81</v>
      </c>
      <c r="B132" t="s">
        <v>84</v>
      </c>
      <c r="C132" s="6" t="s">
        <v>19</v>
      </c>
      <c r="D132" s="6" t="s">
        <v>83</v>
      </c>
      <c r="E132" s="7" t="s">
        <v>82</v>
      </c>
      <c r="F132" t="str">
        <f>+'Source Table'!$B$26</f>
        <v>Imputed Bank Service Charge</v>
      </c>
      <c r="G132" t="str">
        <f>+'Source Table'!$D$26</f>
        <v>الخدمات المصرفية المحتسبة</v>
      </c>
      <c r="H132" s="26">
        <v>677.6087</v>
      </c>
      <c r="I132">
        <f t="shared" si="1"/>
        <v>2013</v>
      </c>
    </row>
    <row r="133" spans="1:9" ht="15">
      <c r="A133" t="s">
        <v>81</v>
      </c>
      <c r="B133" t="s">
        <v>84</v>
      </c>
      <c r="C133" s="6" t="s">
        <v>19</v>
      </c>
      <c r="D133" s="6" t="s">
        <v>83</v>
      </c>
      <c r="E133" s="7" t="s">
        <v>82</v>
      </c>
      <c r="F133" t="str">
        <f>+'Source Table'!$B$27</f>
        <v>Gross Domestic Product At Basic Prices</v>
      </c>
      <c r="G133" t="str">
        <f>+'Source Table'!$D$27</f>
        <v>الناتج المحلي الاجمالي بالاسعار الاساسية</v>
      </c>
      <c r="H133" s="26">
        <v>21250.2336</v>
      </c>
      <c r="I133">
        <f t="shared" si="1"/>
        <v>2013</v>
      </c>
    </row>
    <row r="134" spans="1:9" ht="15">
      <c r="A134" t="s">
        <v>81</v>
      </c>
      <c r="B134" t="s">
        <v>84</v>
      </c>
      <c r="C134" s="6" t="s">
        <v>19</v>
      </c>
      <c r="D134" s="6" t="s">
        <v>83</v>
      </c>
      <c r="E134" s="7" t="s">
        <v>82</v>
      </c>
      <c r="F134" t="str">
        <f>+'Source Table'!$B$28</f>
        <v>Net Taxes On Products</v>
      </c>
      <c r="G134" t="str">
        <f>+'Source Table'!$D$28</f>
        <v>صافي الضرائب على المنتجات</v>
      </c>
      <c r="H134" s="26">
        <v>3212.4189999999999</v>
      </c>
      <c r="I134">
        <f t="shared" si="1"/>
        <v>2013</v>
      </c>
    </row>
    <row r="135" spans="1:9" ht="15">
      <c r="A135" t="s">
        <v>81</v>
      </c>
      <c r="B135" t="s">
        <v>84</v>
      </c>
      <c r="C135" s="6" t="s">
        <v>19</v>
      </c>
      <c r="D135" s="6" t="s">
        <v>83</v>
      </c>
      <c r="E135" s="7" t="s">
        <v>82</v>
      </c>
      <c r="F135" t="str">
        <f>+'Source Table'!$B$29</f>
        <v>Gross Domestic Product At Market Prices</v>
      </c>
      <c r="G135" t="str">
        <f>+'Source Table'!$D$29</f>
        <v>الناتج المحلي الاجمالي باسعار السوق</v>
      </c>
      <c r="H135" s="26">
        <v>24462.652600000001</v>
      </c>
      <c r="I135">
        <f t="shared" si="1"/>
        <v>2013</v>
      </c>
    </row>
    <row r="136" spans="1:9" ht="15">
      <c r="A136" t="s">
        <v>81</v>
      </c>
      <c r="B136" t="s">
        <v>84</v>
      </c>
      <c r="C136" s="6" t="s">
        <v>19</v>
      </c>
      <c r="D136" s="6" t="s">
        <v>83</v>
      </c>
      <c r="E136" s="7" t="s">
        <v>82</v>
      </c>
      <c r="F136" t="str">
        <f>+'Source Table'!$B$8</f>
        <v>Agriculture,Hunting,Forestry, And Fishing</v>
      </c>
      <c r="G136" t="str">
        <f>+'Source Table'!$D$8</f>
        <v>الزراعة والقنص والغابات وصيد الأسماك</v>
      </c>
      <c r="H136" s="26">
        <v>1038.2175999999999</v>
      </c>
      <c r="I136">
        <f t="shared" si="1"/>
        <v>2014</v>
      </c>
    </row>
    <row r="137" spans="1:9" ht="15">
      <c r="A137" t="s">
        <v>81</v>
      </c>
      <c r="B137" t="s">
        <v>84</v>
      </c>
      <c r="C137" s="6" t="s">
        <v>19</v>
      </c>
      <c r="D137" s="6" t="s">
        <v>83</v>
      </c>
      <c r="E137" s="7" t="s">
        <v>82</v>
      </c>
      <c r="F137" t="str">
        <f>+'Source Table'!$B$9</f>
        <v>Mining And Quarrying</v>
      </c>
      <c r="G137" t="str">
        <f>+'Source Table'!$D$9</f>
        <v>المناجم والمحاجر</v>
      </c>
      <c r="H137" s="26">
        <v>535.82249999999999</v>
      </c>
      <c r="I137">
        <f t="shared" si="1"/>
        <v>2014</v>
      </c>
    </row>
    <row r="138" spans="1:9" ht="15">
      <c r="A138" t="s">
        <v>81</v>
      </c>
      <c r="B138" t="s">
        <v>84</v>
      </c>
      <c r="C138" s="6" t="s">
        <v>19</v>
      </c>
      <c r="D138" s="6" t="s">
        <v>83</v>
      </c>
      <c r="E138" s="7" t="s">
        <v>82</v>
      </c>
      <c r="F138" t="str">
        <f>+'Source Table'!$B$10</f>
        <v>Manufacturing</v>
      </c>
      <c r="G138" t="str">
        <f>+'Source Table'!$D$10</f>
        <v>الصناعات التحويلية</v>
      </c>
      <c r="H138" s="26">
        <v>4930.9650000000001</v>
      </c>
      <c r="I138">
        <f t="shared" si="1"/>
        <v>2014</v>
      </c>
    </row>
    <row r="139" spans="1:9" ht="15">
      <c r="A139" t="s">
        <v>81</v>
      </c>
      <c r="B139" t="s">
        <v>84</v>
      </c>
      <c r="C139" s="6" t="s">
        <v>19</v>
      </c>
      <c r="D139" s="6" t="s">
        <v>83</v>
      </c>
      <c r="E139" s="7" t="s">
        <v>82</v>
      </c>
      <c r="F139" t="str">
        <f>+'Source Table'!$B$11</f>
        <v>Electricity And Water</v>
      </c>
      <c r="G139" t="str">
        <f>+'Source Table'!$D$11</f>
        <v>الكهرباء والمياه</v>
      </c>
      <c r="H139" s="26">
        <v>392.09120000000001</v>
      </c>
      <c r="I139">
        <f t="shared" si="1"/>
        <v>2014</v>
      </c>
    </row>
    <row r="140" spans="1:9" ht="15">
      <c r="A140" t="s">
        <v>81</v>
      </c>
      <c r="B140" t="s">
        <v>84</v>
      </c>
      <c r="C140" s="6" t="s">
        <v>19</v>
      </c>
      <c r="D140" s="6" t="s">
        <v>83</v>
      </c>
      <c r="E140" s="7" t="s">
        <v>82</v>
      </c>
      <c r="F140" t="str">
        <f>+'Source Table'!$B$12</f>
        <v>Construction</v>
      </c>
      <c r="G140" t="str">
        <f>+'Source Table'!$D$12</f>
        <v>الإنشاءات</v>
      </c>
      <c r="H140" s="26">
        <v>814.68849999999998</v>
      </c>
      <c r="I140">
        <f t="shared" si="1"/>
        <v>2014</v>
      </c>
    </row>
    <row r="141" spans="1:9" ht="15">
      <c r="A141" t="s">
        <v>81</v>
      </c>
      <c r="B141" t="s">
        <v>84</v>
      </c>
      <c r="C141" s="6" t="s">
        <v>19</v>
      </c>
      <c r="D141" s="6" t="s">
        <v>83</v>
      </c>
      <c r="E141" s="7" t="s">
        <v>82</v>
      </c>
      <c r="F141" t="str">
        <f>+'Source Table'!$B$13</f>
        <v>Wholesale &amp; Retail Trade, Restuarants&amp; Hotels</v>
      </c>
      <c r="G141" t="str">
        <f>+'Source Table'!$D$13</f>
        <v>تجارة الجملة والتجزئة والمطاعم والفنادق</v>
      </c>
      <c r="H141" s="26">
        <v>2586.2888000000003</v>
      </c>
      <c r="I141">
        <f t="shared" si="1"/>
        <v>2014</v>
      </c>
    </row>
    <row r="142" spans="1:9" ht="15">
      <c r="A142" t="s">
        <v>81</v>
      </c>
      <c r="B142" t="s">
        <v>84</v>
      </c>
      <c r="C142" s="6" t="s">
        <v>19</v>
      </c>
      <c r="D142" s="6" t="s">
        <v>83</v>
      </c>
      <c r="E142" s="7" t="s">
        <v>82</v>
      </c>
      <c r="F142" t="str">
        <f>+'Source Table'!$B$14</f>
        <v>Wholesale And Retail Trade</v>
      </c>
      <c r="G142" t="str">
        <f>+'Source Table'!$D$14</f>
        <v>تجارة الجملة والتجزئة</v>
      </c>
      <c r="H142" s="26">
        <v>2184.8054000000002</v>
      </c>
      <c r="I142">
        <f t="shared" si="1"/>
        <v>2014</v>
      </c>
    </row>
    <row r="143" spans="1:9" ht="15">
      <c r="A143" t="s">
        <v>81</v>
      </c>
      <c r="B143" t="s">
        <v>84</v>
      </c>
      <c r="C143" s="6" t="s">
        <v>19</v>
      </c>
      <c r="D143" s="6" t="s">
        <v>83</v>
      </c>
      <c r="E143" s="7" t="s">
        <v>82</v>
      </c>
      <c r="F143" t="str">
        <f>+'Source Table'!$B$15</f>
        <v>Restaurant And Hotels</v>
      </c>
      <c r="G143" t="str">
        <f>+'Source Table'!$D$15</f>
        <v>الفنادق والمطاعم</v>
      </c>
      <c r="H143" s="26">
        <v>401.48340000000002</v>
      </c>
      <c r="I143">
        <f t="shared" si="1"/>
        <v>2014</v>
      </c>
    </row>
    <row r="144" spans="1:9" ht="15">
      <c r="A144" t="s">
        <v>81</v>
      </c>
      <c r="B144" t="s">
        <v>84</v>
      </c>
      <c r="C144" s="6" t="s">
        <v>19</v>
      </c>
      <c r="D144" s="6" t="s">
        <v>83</v>
      </c>
      <c r="E144" s="7" t="s">
        <v>82</v>
      </c>
      <c r="F144" t="str">
        <f>+'Source Table'!$B$16</f>
        <v>Transport,Storage &amp; Communications</v>
      </c>
      <c r="G144" t="str">
        <f>+'Source Table'!$D$16</f>
        <v>النقل والتخزين والإتصالات</v>
      </c>
      <c r="H144" s="26">
        <v>2184.5832999999998</v>
      </c>
      <c r="I144">
        <f t="shared" si="1"/>
        <v>2014</v>
      </c>
    </row>
    <row r="145" spans="1:9" ht="15">
      <c r="A145" t="s">
        <v>81</v>
      </c>
      <c r="B145" t="s">
        <v>84</v>
      </c>
      <c r="C145" s="6" t="s">
        <v>19</v>
      </c>
      <c r="D145" s="6" t="s">
        <v>83</v>
      </c>
      <c r="E145" s="7" t="s">
        <v>82</v>
      </c>
      <c r="F145" t="str">
        <f>+'Source Table'!$B$17</f>
        <v>Finance,Insurance,Real Estate And Business Services</v>
      </c>
      <c r="G145" t="str">
        <f>+'Source Table'!$D$17</f>
        <v>خدمات المال والتأمين وخدمات العقارات وخدمات الأعمال</v>
      </c>
      <c r="H145" s="26">
        <v>4443.6049999999996</v>
      </c>
      <c r="I145">
        <f t="shared" si="1"/>
        <v>2014</v>
      </c>
    </row>
    <row r="146" spans="1:9" ht="15">
      <c r="A146" t="s">
        <v>81</v>
      </c>
      <c r="B146" t="s">
        <v>84</v>
      </c>
      <c r="C146" s="6" t="s">
        <v>19</v>
      </c>
      <c r="D146" s="6" t="s">
        <v>83</v>
      </c>
      <c r="E146" s="7" t="s">
        <v>82</v>
      </c>
      <c r="F146" t="str">
        <f>+'Source Table'!$B$18</f>
        <v>Finance And Insurance  Services</v>
      </c>
      <c r="G146" t="str">
        <f>+'Source Table'!$D$18</f>
        <v>خدمات المال والتأمين وخدمات الأعمال</v>
      </c>
      <c r="H146" s="26">
        <v>1728.6783</v>
      </c>
      <c r="I146">
        <f t="shared" si="1"/>
        <v>2014</v>
      </c>
    </row>
    <row r="147" spans="1:9" ht="15">
      <c r="A147" t="s">
        <v>81</v>
      </c>
      <c r="B147" t="s">
        <v>84</v>
      </c>
      <c r="C147" s="6" t="s">
        <v>19</v>
      </c>
      <c r="D147" s="6" t="s">
        <v>83</v>
      </c>
      <c r="E147" s="7" t="s">
        <v>82</v>
      </c>
      <c r="F147" t="str">
        <f>+'Source Table'!$B$19</f>
        <v>Real Estate</v>
      </c>
      <c r="G147" t="str">
        <f>+'Source Table'!$D$19</f>
        <v>الخدمات العقارية</v>
      </c>
      <c r="H147" s="26">
        <v>2714.9267</v>
      </c>
      <c r="I147">
        <f t="shared" si="1"/>
        <v>2014</v>
      </c>
    </row>
    <row r="148" spans="1:9" ht="15">
      <c r="A148" t="s">
        <v>81</v>
      </c>
      <c r="B148" t="s">
        <v>84</v>
      </c>
      <c r="C148" s="6" t="s">
        <v>19</v>
      </c>
      <c r="D148" s="6" t="s">
        <v>83</v>
      </c>
      <c r="E148" s="7" t="s">
        <v>82</v>
      </c>
      <c r="F148" t="str">
        <f>+'Source Table'!$B$20</f>
        <v>Community,Social And Personal Services</v>
      </c>
      <c r="G148" t="str">
        <f>+'Source Table'!$D$20</f>
        <v>الخدمات الاجتماعية والشخصية</v>
      </c>
      <c r="H148" s="26">
        <v>1920.6351</v>
      </c>
      <c r="I148">
        <f t="shared" si="1"/>
        <v>2014</v>
      </c>
    </row>
    <row r="149" spans="1:9" ht="15">
      <c r="A149" t="s">
        <v>81</v>
      </c>
      <c r="B149" t="s">
        <v>84</v>
      </c>
      <c r="C149" s="6" t="s">
        <v>19</v>
      </c>
      <c r="D149" s="6" t="s">
        <v>83</v>
      </c>
      <c r="E149" s="7" t="s">
        <v>82</v>
      </c>
      <c r="F149" t="str">
        <f>+'Source Table'!$B$21</f>
        <v>Total</v>
      </c>
      <c r="G149" t="str">
        <f>+'Source Table'!$D$21</f>
        <v>المجموع</v>
      </c>
      <c r="H149" s="26">
        <v>18846.896999999997</v>
      </c>
      <c r="I149">
        <f t="shared" si="1"/>
        <v>2014</v>
      </c>
    </row>
    <row r="150" spans="1:9" ht="15">
      <c r="A150" t="s">
        <v>81</v>
      </c>
      <c r="B150" t="s">
        <v>84</v>
      </c>
      <c r="C150" s="6" t="s">
        <v>19</v>
      </c>
      <c r="D150" s="6" t="s">
        <v>83</v>
      </c>
      <c r="E150" s="7" t="s">
        <v>82</v>
      </c>
      <c r="F150" t="str">
        <f>+'Source Table'!$B$22</f>
        <v>Producers Of Government Services</v>
      </c>
      <c r="G150" t="str">
        <f>+'Source Table'!$D$22</f>
        <v>منتجو الخدمات الحكومية</v>
      </c>
      <c r="H150" s="26">
        <v>3991.6247999999996</v>
      </c>
      <c r="I150">
        <f t="shared" si="1"/>
        <v>2014</v>
      </c>
    </row>
    <row r="151" spans="1:9" ht="15">
      <c r="A151" t="s">
        <v>81</v>
      </c>
      <c r="B151" t="s">
        <v>84</v>
      </c>
      <c r="C151" s="6" t="s">
        <v>19</v>
      </c>
      <c r="D151" s="6" t="s">
        <v>83</v>
      </c>
      <c r="E151" s="7" t="s">
        <v>82</v>
      </c>
      <c r="F151" t="str">
        <f>+'Source Table'!$B$23</f>
        <v>Producers Of Private Non-Profit  Services To Households</v>
      </c>
      <c r="G151" t="str">
        <f>+'Source Table'!$D$23</f>
        <v>منتجو الخدمات الخاصة التي لاتهدف الى الربح وتخدم العائلات</v>
      </c>
      <c r="H151" s="26">
        <v>185.9589</v>
      </c>
      <c r="I151">
        <f t="shared" si="1"/>
        <v>2014</v>
      </c>
    </row>
    <row r="152" spans="1:9" ht="15">
      <c r="A152" t="s">
        <v>81</v>
      </c>
      <c r="B152" t="s">
        <v>84</v>
      </c>
      <c r="C152" s="6" t="s">
        <v>19</v>
      </c>
      <c r="D152" s="6" t="s">
        <v>83</v>
      </c>
      <c r="E152" s="7" t="s">
        <v>82</v>
      </c>
      <c r="F152" t="str">
        <f>+'Source Table'!$B$24</f>
        <v>Domestic Services Of Households</v>
      </c>
      <c r="G152" t="str">
        <f>+'Source Table'!$D$24</f>
        <v>الخدمات المنزلية</v>
      </c>
      <c r="H152" s="26">
        <v>407.50559999999996</v>
      </c>
      <c r="I152">
        <f t="shared" si="1"/>
        <v>2014</v>
      </c>
    </row>
    <row r="153" spans="1:9" ht="15">
      <c r="A153" t="s">
        <v>81</v>
      </c>
      <c r="B153" t="s">
        <v>84</v>
      </c>
      <c r="C153" s="6" t="s">
        <v>19</v>
      </c>
      <c r="D153" s="6" t="s">
        <v>83</v>
      </c>
      <c r="E153" s="7" t="s">
        <v>82</v>
      </c>
      <c r="F153" t="str">
        <f>+'Source Table'!$B$25</f>
        <v>Total ( A+B+C + D )</v>
      </c>
      <c r="G153" t="str">
        <f>+'Source Table'!$D$25</f>
        <v>مجموع ( أ + ب + ج + د )</v>
      </c>
      <c r="H153" s="26">
        <v>23431.986299999997</v>
      </c>
      <c r="I153">
        <f t="shared" si="1"/>
        <v>2014</v>
      </c>
    </row>
    <row r="154" spans="1:9" ht="15">
      <c r="A154" t="s">
        <v>81</v>
      </c>
      <c r="B154" t="s">
        <v>84</v>
      </c>
      <c r="C154" s="6" t="s">
        <v>19</v>
      </c>
      <c r="D154" s="6" t="s">
        <v>83</v>
      </c>
      <c r="E154" s="7" t="s">
        <v>82</v>
      </c>
      <c r="F154" t="str">
        <f>+'Source Table'!$B$26</f>
        <v>Imputed Bank Service Charge</v>
      </c>
      <c r="G154" t="str">
        <f>+'Source Table'!$D$26</f>
        <v>الخدمات المصرفية المحتسبة</v>
      </c>
      <c r="H154" s="26">
        <v>707.55060000000003</v>
      </c>
      <c r="I154">
        <f t="shared" si="1"/>
        <v>2014</v>
      </c>
    </row>
    <row r="155" spans="1:9" ht="15">
      <c r="A155" t="s">
        <v>81</v>
      </c>
      <c r="B155" t="s">
        <v>84</v>
      </c>
      <c r="C155" s="6" t="s">
        <v>19</v>
      </c>
      <c r="D155" s="6" t="s">
        <v>83</v>
      </c>
      <c r="E155" s="7" t="s">
        <v>82</v>
      </c>
      <c r="F155" t="str">
        <f>+'Source Table'!$B$27</f>
        <v>Gross Domestic Product At Basic Prices</v>
      </c>
      <c r="G155" t="str">
        <f>+'Source Table'!$D$27</f>
        <v>الناتج المحلي الاجمالي بالاسعار الاساسية</v>
      </c>
      <c r="H155" s="26">
        <v>22724.435699999998</v>
      </c>
      <c r="I155">
        <f t="shared" ref="I155:I218" si="2">+I133+1</f>
        <v>2014</v>
      </c>
    </row>
    <row r="156" spans="1:9" ht="15">
      <c r="A156" t="s">
        <v>81</v>
      </c>
      <c r="B156" t="s">
        <v>84</v>
      </c>
      <c r="C156" s="6" t="s">
        <v>19</v>
      </c>
      <c r="D156" s="6" t="s">
        <v>83</v>
      </c>
      <c r="E156" s="7" t="s">
        <v>82</v>
      </c>
      <c r="F156" t="str">
        <f>+'Source Table'!$B$28</f>
        <v>Net Taxes On Products</v>
      </c>
      <c r="G156" t="str">
        <f>+'Source Table'!$D$28</f>
        <v>صافي الضرائب على المنتجات</v>
      </c>
      <c r="H156" s="26">
        <v>3437.3913000000002</v>
      </c>
      <c r="I156">
        <f t="shared" si="2"/>
        <v>2014</v>
      </c>
    </row>
    <row r="157" spans="1:9" ht="15">
      <c r="A157" t="s">
        <v>81</v>
      </c>
      <c r="B157" t="s">
        <v>84</v>
      </c>
      <c r="C157" s="6" t="s">
        <v>19</v>
      </c>
      <c r="D157" s="6" t="s">
        <v>83</v>
      </c>
      <c r="E157" s="7" t="s">
        <v>82</v>
      </c>
      <c r="F157" t="str">
        <f>+'Source Table'!$B$29</f>
        <v>Gross Domestic Product At Market Prices</v>
      </c>
      <c r="G157" t="str">
        <f>+'Source Table'!$D$29</f>
        <v>الناتج المحلي الاجمالي باسعار السوق</v>
      </c>
      <c r="H157" s="26">
        <v>26161.826999999997</v>
      </c>
      <c r="I157">
        <f t="shared" si="2"/>
        <v>2014</v>
      </c>
    </row>
    <row r="158" spans="1:9" ht="15">
      <c r="A158" t="s">
        <v>81</v>
      </c>
      <c r="B158" t="s">
        <v>84</v>
      </c>
      <c r="C158" s="6" t="s">
        <v>19</v>
      </c>
      <c r="D158" s="6" t="s">
        <v>83</v>
      </c>
      <c r="E158" s="7" t="s">
        <v>82</v>
      </c>
      <c r="F158" t="str">
        <f>+'Source Table'!$B$8</f>
        <v>Agriculture,Hunting,Forestry, And Fishing</v>
      </c>
      <c r="G158" t="str">
        <f>+'Source Table'!$D$8</f>
        <v>الزراعة والقنص والغابات وصيد الأسماك</v>
      </c>
      <c r="H158" s="26">
        <v>1203.3403000000001</v>
      </c>
      <c r="I158">
        <f t="shared" si="2"/>
        <v>2015</v>
      </c>
    </row>
    <row r="159" spans="1:9" ht="15">
      <c r="A159" t="s">
        <v>81</v>
      </c>
      <c r="B159" t="s">
        <v>84</v>
      </c>
      <c r="C159" s="6" t="s">
        <v>19</v>
      </c>
      <c r="D159" s="6" t="s">
        <v>83</v>
      </c>
      <c r="E159" s="7" t="s">
        <v>82</v>
      </c>
      <c r="F159" t="str">
        <f>+'Source Table'!$B$9</f>
        <v>Mining And Quarrying</v>
      </c>
      <c r="G159" t="str">
        <f>+'Source Table'!$D$9</f>
        <v>المناجم والمحاجر</v>
      </c>
      <c r="H159" s="26">
        <v>615.89080000000001</v>
      </c>
      <c r="I159">
        <f t="shared" si="2"/>
        <v>2015</v>
      </c>
    </row>
    <row r="160" spans="1:9" ht="15">
      <c r="A160" t="s">
        <v>81</v>
      </c>
      <c r="B160" t="s">
        <v>84</v>
      </c>
      <c r="C160" s="6" t="s">
        <v>19</v>
      </c>
      <c r="D160" s="6" t="s">
        <v>83</v>
      </c>
      <c r="E160" s="7" t="s">
        <v>82</v>
      </c>
      <c r="F160" t="str">
        <f>+'Source Table'!$B$10</f>
        <v>Manufacturing</v>
      </c>
      <c r="G160" t="str">
        <f>+'Source Table'!$D$10</f>
        <v>الصناعات التحويلية</v>
      </c>
      <c r="H160" s="26">
        <v>5030.4933000000001</v>
      </c>
      <c r="I160">
        <f t="shared" si="2"/>
        <v>2015</v>
      </c>
    </row>
    <row r="161" spans="1:9" ht="15">
      <c r="A161" t="s">
        <v>81</v>
      </c>
      <c r="B161" t="s">
        <v>84</v>
      </c>
      <c r="C161" s="6" t="s">
        <v>19</v>
      </c>
      <c r="D161" s="6" t="s">
        <v>83</v>
      </c>
      <c r="E161" s="7" t="s">
        <v>82</v>
      </c>
      <c r="F161" t="str">
        <f>+'Source Table'!$B$11</f>
        <v>Electricity And Water</v>
      </c>
      <c r="G161" t="str">
        <f>+'Source Table'!$D$11</f>
        <v>الكهرباء والمياه</v>
      </c>
      <c r="H161" s="26">
        <v>436.68549999999999</v>
      </c>
      <c r="I161">
        <f t="shared" si="2"/>
        <v>2015</v>
      </c>
    </row>
    <row r="162" spans="1:9" ht="15">
      <c r="A162" t="s">
        <v>81</v>
      </c>
      <c r="B162" t="s">
        <v>84</v>
      </c>
      <c r="C162" s="6" t="s">
        <v>19</v>
      </c>
      <c r="D162" s="6" t="s">
        <v>83</v>
      </c>
      <c r="E162" s="7" t="s">
        <v>82</v>
      </c>
      <c r="F162" t="str">
        <f>+'Source Table'!$B$12</f>
        <v>Construction</v>
      </c>
      <c r="G162" t="str">
        <f>+'Source Table'!$D$12</f>
        <v>الإنشاءات</v>
      </c>
      <c r="H162" s="26">
        <v>829.90769999999998</v>
      </c>
      <c r="I162">
        <f t="shared" si="2"/>
        <v>2015</v>
      </c>
    </row>
    <row r="163" spans="1:9" ht="15">
      <c r="A163" t="s">
        <v>81</v>
      </c>
      <c r="B163" t="s">
        <v>84</v>
      </c>
      <c r="C163" s="6" t="s">
        <v>19</v>
      </c>
      <c r="D163" s="6" t="s">
        <v>83</v>
      </c>
      <c r="E163" s="7" t="s">
        <v>82</v>
      </c>
      <c r="F163" t="str">
        <f>+'Source Table'!$B$13</f>
        <v>Wholesale &amp; Retail Trade, Restuarants&amp; Hotels</v>
      </c>
      <c r="G163" t="str">
        <f>+'Source Table'!$D$13</f>
        <v>تجارة الجملة والتجزئة والمطاعم والفنادق</v>
      </c>
      <c r="H163" s="26">
        <v>2640.0830999999998</v>
      </c>
      <c r="I163">
        <f t="shared" si="2"/>
        <v>2015</v>
      </c>
    </row>
    <row r="164" spans="1:9" ht="15">
      <c r="A164" t="s">
        <v>81</v>
      </c>
      <c r="B164" t="s">
        <v>84</v>
      </c>
      <c r="C164" s="6" t="s">
        <v>19</v>
      </c>
      <c r="D164" s="6" t="s">
        <v>83</v>
      </c>
      <c r="E164" s="7" t="s">
        <v>82</v>
      </c>
      <c r="F164" t="str">
        <f>+'Source Table'!$B$14</f>
        <v>Wholesale And Retail Trade</v>
      </c>
      <c r="G164" t="str">
        <f>+'Source Table'!$D$14</f>
        <v>تجارة الجملة والتجزئة</v>
      </c>
      <c r="H164" s="26">
        <v>2244.962</v>
      </c>
      <c r="I164">
        <f t="shared" si="2"/>
        <v>2015</v>
      </c>
    </row>
    <row r="165" spans="1:9" ht="15">
      <c r="A165" t="s">
        <v>81</v>
      </c>
      <c r="B165" t="s">
        <v>84</v>
      </c>
      <c r="C165" s="6" t="s">
        <v>19</v>
      </c>
      <c r="D165" s="6" t="s">
        <v>83</v>
      </c>
      <c r="E165" s="7" t="s">
        <v>82</v>
      </c>
      <c r="F165" t="str">
        <f>+'Source Table'!$B$15</f>
        <v>Restaurant And Hotels</v>
      </c>
      <c r="G165" t="str">
        <f>+'Source Table'!$D$15</f>
        <v>الفنادق والمطاعم</v>
      </c>
      <c r="H165" s="26">
        <v>395.12109999999996</v>
      </c>
      <c r="I165">
        <f t="shared" si="2"/>
        <v>2015</v>
      </c>
    </row>
    <row r="166" spans="1:9" ht="15">
      <c r="A166" t="s">
        <v>81</v>
      </c>
      <c r="B166" t="s">
        <v>84</v>
      </c>
      <c r="C166" s="6" t="s">
        <v>19</v>
      </c>
      <c r="D166" s="6" t="s">
        <v>83</v>
      </c>
      <c r="E166" s="7" t="s">
        <v>82</v>
      </c>
      <c r="F166" t="str">
        <f>+'Source Table'!$B$16</f>
        <v>Transport,Storage &amp; Communications</v>
      </c>
      <c r="G166" t="str">
        <f>+'Source Table'!$D$16</f>
        <v>النقل والتخزين والإتصالات</v>
      </c>
      <c r="H166" s="26">
        <v>2283.77</v>
      </c>
      <c r="I166">
        <f t="shared" si="2"/>
        <v>2015</v>
      </c>
    </row>
    <row r="167" spans="1:9" ht="15">
      <c r="A167" t="s">
        <v>81</v>
      </c>
      <c r="B167" t="s">
        <v>84</v>
      </c>
      <c r="C167" s="6" t="s">
        <v>19</v>
      </c>
      <c r="D167" s="6" t="s">
        <v>83</v>
      </c>
      <c r="E167" s="7" t="s">
        <v>82</v>
      </c>
      <c r="F167" t="str">
        <f>+'Source Table'!$B$17</f>
        <v>Finance,Insurance,Real Estate And Business Services</v>
      </c>
      <c r="G167" t="str">
        <f>+'Source Table'!$D$17</f>
        <v>خدمات المال والتأمين وخدمات العقارات وخدمات الأعمال</v>
      </c>
      <c r="H167" s="26">
        <v>4746.1463000000003</v>
      </c>
      <c r="I167">
        <f t="shared" si="2"/>
        <v>2015</v>
      </c>
    </row>
    <row r="168" spans="1:9" ht="15">
      <c r="A168" t="s">
        <v>81</v>
      </c>
      <c r="B168" t="s">
        <v>84</v>
      </c>
      <c r="C168" s="6" t="s">
        <v>19</v>
      </c>
      <c r="D168" s="6" t="s">
        <v>83</v>
      </c>
      <c r="E168" s="7" t="s">
        <v>82</v>
      </c>
      <c r="F168" t="str">
        <f>+'Source Table'!$B$18</f>
        <v>Finance And Insurance  Services</v>
      </c>
      <c r="G168" t="str">
        <f>+'Source Table'!$D$18</f>
        <v>خدمات المال والتأمين وخدمات الأعمال</v>
      </c>
      <c r="H168" s="26">
        <v>1817.5630999999998</v>
      </c>
      <c r="I168">
        <f t="shared" si="2"/>
        <v>2015</v>
      </c>
    </row>
    <row r="169" spans="1:9" ht="15">
      <c r="A169" t="s">
        <v>81</v>
      </c>
      <c r="B169" t="s">
        <v>84</v>
      </c>
      <c r="C169" s="6" t="s">
        <v>19</v>
      </c>
      <c r="D169" s="6" t="s">
        <v>83</v>
      </c>
      <c r="E169" s="7" t="s">
        <v>82</v>
      </c>
      <c r="F169" t="str">
        <f>+'Source Table'!$B$19</f>
        <v>Real Estate</v>
      </c>
      <c r="G169" t="str">
        <f>+'Source Table'!$D$19</f>
        <v>الخدمات العقارية</v>
      </c>
      <c r="H169" s="26">
        <v>2928.5832</v>
      </c>
      <c r="I169">
        <f t="shared" si="2"/>
        <v>2015</v>
      </c>
    </row>
    <row r="170" spans="1:9" ht="15">
      <c r="A170" t="s">
        <v>81</v>
      </c>
      <c r="B170" t="s">
        <v>84</v>
      </c>
      <c r="C170" s="6" t="s">
        <v>19</v>
      </c>
      <c r="D170" s="6" t="s">
        <v>83</v>
      </c>
      <c r="E170" s="7" t="s">
        <v>82</v>
      </c>
      <c r="F170" t="str">
        <f>+'Source Table'!$B$20</f>
        <v>Community,Social And Personal Services</v>
      </c>
      <c r="G170" t="str">
        <f>+'Source Table'!$D$20</f>
        <v>الخدمات الاجتماعية والشخصية</v>
      </c>
      <c r="H170" s="26">
        <v>2034.8734999999999</v>
      </c>
      <c r="I170">
        <f t="shared" si="2"/>
        <v>2015</v>
      </c>
    </row>
    <row r="171" spans="1:9" ht="15">
      <c r="A171" t="s">
        <v>81</v>
      </c>
      <c r="B171" t="s">
        <v>84</v>
      </c>
      <c r="C171" s="6" t="s">
        <v>19</v>
      </c>
      <c r="D171" s="6" t="s">
        <v>83</v>
      </c>
      <c r="E171" s="7" t="s">
        <v>82</v>
      </c>
      <c r="F171" t="str">
        <f>+'Source Table'!$B$21</f>
        <v>Total</v>
      </c>
      <c r="G171" t="str">
        <f>+'Source Table'!$D$21</f>
        <v>المجموع</v>
      </c>
      <c r="H171" s="26">
        <v>19821.190500000001</v>
      </c>
      <c r="I171">
        <f t="shared" si="2"/>
        <v>2015</v>
      </c>
    </row>
    <row r="172" spans="1:9" ht="15">
      <c r="A172" t="s">
        <v>81</v>
      </c>
      <c r="B172" t="s">
        <v>84</v>
      </c>
      <c r="C172" s="6" t="s">
        <v>19</v>
      </c>
      <c r="D172" s="6" t="s">
        <v>83</v>
      </c>
      <c r="E172" s="7" t="s">
        <v>82</v>
      </c>
      <c r="F172" t="str">
        <f>+'Source Table'!$B$22</f>
        <v>Producers Of Government Services</v>
      </c>
      <c r="G172" t="str">
        <f>+'Source Table'!$D$22</f>
        <v>منتجو الخدمات الحكومية</v>
      </c>
      <c r="H172" s="26">
        <v>4137.8207999999995</v>
      </c>
      <c r="I172">
        <f t="shared" si="2"/>
        <v>2015</v>
      </c>
    </row>
    <row r="173" spans="1:9" ht="15">
      <c r="A173" t="s">
        <v>81</v>
      </c>
      <c r="B173" t="s">
        <v>84</v>
      </c>
      <c r="C173" s="6" t="s">
        <v>19</v>
      </c>
      <c r="D173" s="6" t="s">
        <v>83</v>
      </c>
      <c r="E173" s="7" t="s">
        <v>82</v>
      </c>
      <c r="F173" t="str">
        <f>+'Source Table'!$B$23</f>
        <v>Producers Of Private Non-Profit  Services To Households</v>
      </c>
      <c r="G173" t="str">
        <f>+'Source Table'!$D$23</f>
        <v>منتجو الخدمات الخاصة التي لاتهدف الى الربح وتخدم العائلات</v>
      </c>
      <c r="H173" s="26">
        <v>205.71550000000002</v>
      </c>
      <c r="I173">
        <f t="shared" si="2"/>
        <v>2015</v>
      </c>
    </row>
    <row r="174" spans="1:9" ht="15">
      <c r="A174" t="s">
        <v>81</v>
      </c>
      <c r="B174" t="s">
        <v>84</v>
      </c>
      <c r="C174" s="6" t="s">
        <v>19</v>
      </c>
      <c r="D174" s="6" t="s">
        <v>83</v>
      </c>
      <c r="E174" s="7" t="s">
        <v>82</v>
      </c>
      <c r="F174" t="str">
        <f>+'Source Table'!$B$24</f>
        <v>Domestic Services Of Households</v>
      </c>
      <c r="G174" t="str">
        <f>+'Source Table'!$D$24</f>
        <v>الخدمات المنزلية</v>
      </c>
      <c r="H174" s="26">
        <v>428.22449999999992</v>
      </c>
      <c r="I174">
        <f t="shared" si="2"/>
        <v>2015</v>
      </c>
    </row>
    <row r="175" spans="1:9" ht="15">
      <c r="A175" t="s">
        <v>81</v>
      </c>
      <c r="B175" t="s">
        <v>84</v>
      </c>
      <c r="C175" s="6" t="s">
        <v>19</v>
      </c>
      <c r="D175" s="6" t="s">
        <v>83</v>
      </c>
      <c r="E175" s="7" t="s">
        <v>82</v>
      </c>
      <c r="F175" t="str">
        <f>+'Source Table'!$B$25</f>
        <v>Total ( A+B+C + D )</v>
      </c>
      <c r="G175" t="str">
        <f>+'Source Table'!$D$25</f>
        <v>مجموع ( أ + ب + ج + د )</v>
      </c>
      <c r="H175" s="26">
        <v>24592.951299999997</v>
      </c>
      <c r="I175">
        <f t="shared" si="2"/>
        <v>2015</v>
      </c>
    </row>
    <row r="176" spans="1:9" ht="15">
      <c r="A176" t="s">
        <v>81</v>
      </c>
      <c r="B176" t="s">
        <v>84</v>
      </c>
      <c r="C176" s="6" t="s">
        <v>19</v>
      </c>
      <c r="D176" s="6" t="s">
        <v>83</v>
      </c>
      <c r="E176" s="7" t="s">
        <v>82</v>
      </c>
      <c r="F176" t="str">
        <f>+'Source Table'!$B$26</f>
        <v>Imputed Bank Service Charge</v>
      </c>
      <c r="G176" t="str">
        <f>+'Source Table'!$D$26</f>
        <v>الخدمات المصرفية المحتسبة</v>
      </c>
      <c r="H176" s="26">
        <v>734.72860000000003</v>
      </c>
      <c r="I176">
        <f t="shared" si="2"/>
        <v>2015</v>
      </c>
    </row>
    <row r="177" spans="1:9" ht="15">
      <c r="A177" t="s">
        <v>81</v>
      </c>
      <c r="B177" t="s">
        <v>84</v>
      </c>
      <c r="C177" s="6" t="s">
        <v>19</v>
      </c>
      <c r="D177" s="6" t="s">
        <v>83</v>
      </c>
      <c r="E177" s="7" t="s">
        <v>82</v>
      </c>
      <c r="F177" t="str">
        <f>+'Source Table'!$B$27</f>
        <v>Gross Domestic Product At Basic Prices</v>
      </c>
      <c r="G177" t="str">
        <f>+'Source Table'!$D$27</f>
        <v>الناتج المحلي الاجمالي بالاسعار الاساسية</v>
      </c>
      <c r="H177" s="26">
        <v>23858.222699999998</v>
      </c>
      <c r="I177">
        <f t="shared" si="2"/>
        <v>2015</v>
      </c>
    </row>
    <row r="178" spans="1:9" ht="15">
      <c r="A178" t="s">
        <v>81</v>
      </c>
      <c r="B178" t="s">
        <v>84</v>
      </c>
      <c r="C178" s="6" t="s">
        <v>19</v>
      </c>
      <c r="D178" s="6" t="s">
        <v>83</v>
      </c>
      <c r="E178" s="7" t="s">
        <v>82</v>
      </c>
      <c r="F178" t="str">
        <f>+'Source Table'!$B$28</f>
        <v>Net Taxes On Products</v>
      </c>
      <c r="G178" t="str">
        <f>+'Source Table'!$D$28</f>
        <v>صافي الضرائب على المنتجات</v>
      </c>
      <c r="H178" s="26">
        <v>3538.5601999999999</v>
      </c>
      <c r="I178">
        <f t="shared" si="2"/>
        <v>2015</v>
      </c>
    </row>
    <row r="179" spans="1:9" ht="15">
      <c r="A179" t="s">
        <v>81</v>
      </c>
      <c r="B179" t="s">
        <v>84</v>
      </c>
      <c r="C179" s="6" t="s">
        <v>19</v>
      </c>
      <c r="D179" s="6" t="s">
        <v>83</v>
      </c>
      <c r="E179" s="7" t="s">
        <v>82</v>
      </c>
      <c r="F179" t="str">
        <f>+'Source Table'!$B$29</f>
        <v>Gross Domestic Product At Market Prices</v>
      </c>
      <c r="G179" t="str">
        <f>+'Source Table'!$D$29</f>
        <v>الناتج المحلي الاجمالي باسعار السوق</v>
      </c>
      <c r="H179" s="26">
        <v>27396.782899999998</v>
      </c>
      <c r="I179">
        <f t="shared" si="2"/>
        <v>2015</v>
      </c>
    </row>
    <row r="180" spans="1:9" ht="15">
      <c r="A180" t="s">
        <v>81</v>
      </c>
      <c r="B180" t="s">
        <v>84</v>
      </c>
      <c r="C180" s="6" t="s">
        <v>19</v>
      </c>
      <c r="D180" s="6" t="s">
        <v>83</v>
      </c>
      <c r="E180" s="7" t="s">
        <v>82</v>
      </c>
      <c r="F180" t="str">
        <f>+'Source Table'!$B$8</f>
        <v>Agriculture,Hunting,Forestry, And Fishing</v>
      </c>
      <c r="G180" t="str">
        <f>+'Source Table'!$D$8</f>
        <v>الزراعة والقنص والغابات وصيد الأسماك</v>
      </c>
      <c r="H180" s="26">
        <v>1276.3629000000001</v>
      </c>
      <c r="I180">
        <f t="shared" si="2"/>
        <v>2016</v>
      </c>
    </row>
    <row r="181" spans="1:9" ht="15">
      <c r="A181" t="s">
        <v>81</v>
      </c>
      <c r="B181" t="s">
        <v>84</v>
      </c>
      <c r="C181" s="6" t="s">
        <v>19</v>
      </c>
      <c r="D181" s="6" t="s">
        <v>83</v>
      </c>
      <c r="E181" s="7" t="s">
        <v>82</v>
      </c>
      <c r="F181" t="str">
        <f>+'Source Table'!$B$9</f>
        <v>Mining And Quarrying</v>
      </c>
      <c r="G181" t="str">
        <f>+'Source Table'!$D$9</f>
        <v>المناجم والمحاجر</v>
      </c>
      <c r="H181" s="26">
        <v>513.80250000000001</v>
      </c>
      <c r="I181">
        <f t="shared" si="2"/>
        <v>2016</v>
      </c>
    </row>
    <row r="182" spans="1:9" ht="15">
      <c r="A182" t="s">
        <v>81</v>
      </c>
      <c r="B182" t="s">
        <v>84</v>
      </c>
      <c r="C182" s="6" t="s">
        <v>19</v>
      </c>
      <c r="D182" s="6" t="s">
        <v>83</v>
      </c>
      <c r="E182" s="7" t="s">
        <v>82</v>
      </c>
      <c r="F182" t="str">
        <f>+'Source Table'!$B$10</f>
        <v>Manufacturing</v>
      </c>
      <c r="G182" t="str">
        <f>+'Source Table'!$D$10</f>
        <v>الصناعات التحويلية</v>
      </c>
      <c r="H182" s="26">
        <v>5099.8269</v>
      </c>
      <c r="I182">
        <f t="shared" si="2"/>
        <v>2016</v>
      </c>
    </row>
    <row r="183" spans="1:9" ht="15">
      <c r="A183" t="s">
        <v>81</v>
      </c>
      <c r="B183" t="s">
        <v>84</v>
      </c>
      <c r="C183" s="6" t="s">
        <v>19</v>
      </c>
      <c r="D183" s="6" t="s">
        <v>83</v>
      </c>
      <c r="E183" s="7" t="s">
        <v>82</v>
      </c>
      <c r="F183" t="str">
        <f>+'Source Table'!$B$11</f>
        <v>Electricity And Water</v>
      </c>
      <c r="G183" t="str">
        <f>+'Source Table'!$D$11</f>
        <v>الكهرباء والمياه</v>
      </c>
      <c r="H183" s="26">
        <v>520.88249999999994</v>
      </c>
      <c r="I183">
        <f t="shared" si="2"/>
        <v>2016</v>
      </c>
    </row>
    <row r="184" spans="1:9" ht="15">
      <c r="A184" t="s">
        <v>81</v>
      </c>
      <c r="B184" t="s">
        <v>84</v>
      </c>
      <c r="C184" s="6" t="s">
        <v>19</v>
      </c>
      <c r="D184" s="6" t="s">
        <v>83</v>
      </c>
      <c r="E184" s="7" t="s">
        <v>82</v>
      </c>
      <c r="F184" t="str">
        <f>+'Source Table'!$B$12</f>
        <v>Construction</v>
      </c>
      <c r="G184" t="str">
        <f>+'Source Table'!$D$12</f>
        <v>الإنشاءات</v>
      </c>
      <c r="H184" s="26">
        <v>852.75289999999995</v>
      </c>
      <c r="I184">
        <f t="shared" si="2"/>
        <v>2016</v>
      </c>
    </row>
    <row r="185" spans="1:9" ht="15">
      <c r="A185" t="s">
        <v>81</v>
      </c>
      <c r="B185" t="s">
        <v>84</v>
      </c>
      <c r="C185" s="6" t="s">
        <v>19</v>
      </c>
      <c r="D185" s="6" t="s">
        <v>83</v>
      </c>
      <c r="E185" s="7" t="s">
        <v>82</v>
      </c>
      <c r="F185" t="str">
        <f>+'Source Table'!$B$13</f>
        <v>Wholesale &amp; Retail Trade, Restuarants&amp; Hotels</v>
      </c>
      <c r="G185" t="str">
        <f>+'Source Table'!$D$13</f>
        <v>تجارة الجملة والتجزئة والمطاعم والفنادق</v>
      </c>
      <c r="H185" s="26">
        <v>2708.2413000000001</v>
      </c>
      <c r="I185">
        <f t="shared" si="2"/>
        <v>2016</v>
      </c>
    </row>
    <row r="186" spans="1:9" ht="15">
      <c r="A186" t="s">
        <v>81</v>
      </c>
      <c r="B186" t="s">
        <v>84</v>
      </c>
      <c r="C186" s="6" t="s">
        <v>19</v>
      </c>
      <c r="D186" s="6" t="s">
        <v>83</v>
      </c>
      <c r="E186" s="7" t="s">
        <v>82</v>
      </c>
      <c r="F186" t="str">
        <f>+'Source Table'!$B$14</f>
        <v>Wholesale And Retail Trade</v>
      </c>
      <c r="G186" t="str">
        <f>+'Source Table'!$D$14</f>
        <v>تجارة الجملة والتجزئة</v>
      </c>
      <c r="H186" s="26">
        <v>2312.308</v>
      </c>
      <c r="I186">
        <f t="shared" si="2"/>
        <v>2016</v>
      </c>
    </row>
    <row r="187" spans="1:9" ht="15">
      <c r="A187" t="s">
        <v>81</v>
      </c>
      <c r="B187" t="s">
        <v>84</v>
      </c>
      <c r="C187" s="6" t="s">
        <v>19</v>
      </c>
      <c r="D187" s="6" t="s">
        <v>83</v>
      </c>
      <c r="E187" s="7" t="s">
        <v>82</v>
      </c>
      <c r="F187" t="str">
        <f>+'Source Table'!$B$15</f>
        <v>Restaurant And Hotels</v>
      </c>
      <c r="G187" t="str">
        <f>+'Source Table'!$D$15</f>
        <v>الفنادق والمطاعم</v>
      </c>
      <c r="H187" s="26">
        <v>395.93330000000003</v>
      </c>
      <c r="I187">
        <f t="shared" si="2"/>
        <v>2016</v>
      </c>
    </row>
    <row r="188" spans="1:9" ht="15">
      <c r="A188" t="s">
        <v>81</v>
      </c>
      <c r="B188" t="s">
        <v>84</v>
      </c>
      <c r="C188" s="6" t="s">
        <v>19</v>
      </c>
      <c r="D188" s="6" t="s">
        <v>83</v>
      </c>
      <c r="E188" s="7" t="s">
        <v>82</v>
      </c>
      <c r="F188" t="str">
        <f>+'Source Table'!$B$16</f>
        <v>Transport,Storage &amp; Communications</v>
      </c>
      <c r="G188" t="str">
        <f>+'Source Table'!$D$16</f>
        <v>النقل والتخزين والإتصالات</v>
      </c>
      <c r="H188" s="26">
        <v>2396.5142999999998</v>
      </c>
      <c r="I188">
        <f t="shared" si="2"/>
        <v>2016</v>
      </c>
    </row>
    <row r="189" spans="1:9" ht="15">
      <c r="A189" t="s">
        <v>81</v>
      </c>
      <c r="B189" t="s">
        <v>84</v>
      </c>
      <c r="C189" s="6" t="s">
        <v>19</v>
      </c>
      <c r="D189" s="6" t="s">
        <v>83</v>
      </c>
      <c r="E189" s="7" t="s">
        <v>82</v>
      </c>
      <c r="F189" t="str">
        <f>+'Source Table'!$B$17</f>
        <v>Finance,Insurance,Real Estate And Business Services</v>
      </c>
      <c r="G189" t="str">
        <f>+'Source Table'!$D$17</f>
        <v>خدمات المال والتأمين وخدمات العقارات وخدمات الأعمال</v>
      </c>
      <c r="H189" s="26">
        <v>5017.3891000000003</v>
      </c>
      <c r="I189">
        <f t="shared" si="2"/>
        <v>2016</v>
      </c>
    </row>
    <row r="190" spans="1:9" ht="15">
      <c r="A190" t="s">
        <v>81</v>
      </c>
      <c r="B190" t="s">
        <v>84</v>
      </c>
      <c r="C190" s="6" t="s">
        <v>19</v>
      </c>
      <c r="D190" s="6" t="s">
        <v>83</v>
      </c>
      <c r="E190" s="7" t="s">
        <v>82</v>
      </c>
      <c r="F190" t="str">
        <f>+'Source Table'!$B$18</f>
        <v>Finance And Insurance  Services</v>
      </c>
      <c r="G190" t="str">
        <f>+'Source Table'!$D$18</f>
        <v>خدمات المال والتأمين وخدمات الأعمال</v>
      </c>
      <c r="H190" s="26">
        <v>1933.9915000000001</v>
      </c>
      <c r="I190">
        <f t="shared" si="2"/>
        <v>2016</v>
      </c>
    </row>
    <row r="191" spans="1:9" ht="15">
      <c r="A191" t="s">
        <v>81</v>
      </c>
      <c r="B191" t="s">
        <v>84</v>
      </c>
      <c r="C191" s="6" t="s">
        <v>19</v>
      </c>
      <c r="D191" s="6" t="s">
        <v>83</v>
      </c>
      <c r="E191" s="7" t="s">
        <v>82</v>
      </c>
      <c r="F191" t="str">
        <f>+'Source Table'!$B$19</f>
        <v>Real Estate</v>
      </c>
      <c r="G191" t="str">
        <f>+'Source Table'!$D$19</f>
        <v>الخدمات العقارية</v>
      </c>
      <c r="H191" s="26">
        <v>3083.3976000000002</v>
      </c>
      <c r="I191">
        <f t="shared" si="2"/>
        <v>2016</v>
      </c>
    </row>
    <row r="192" spans="1:9" ht="15">
      <c r="A192" t="s">
        <v>81</v>
      </c>
      <c r="B192" t="s">
        <v>84</v>
      </c>
      <c r="C192" s="6" t="s">
        <v>19</v>
      </c>
      <c r="D192" s="6" t="s">
        <v>83</v>
      </c>
      <c r="E192" s="7" t="s">
        <v>82</v>
      </c>
      <c r="F192" t="str">
        <f>+'Source Table'!$B$20</f>
        <v>Community,Social And Personal Services</v>
      </c>
      <c r="G192" t="str">
        <f>+'Source Table'!$D$20</f>
        <v>الخدمات الاجتماعية والشخصية</v>
      </c>
      <c r="H192" s="26">
        <v>2403.1255999999998</v>
      </c>
      <c r="I192">
        <f t="shared" si="2"/>
        <v>2016</v>
      </c>
    </row>
    <row r="193" spans="1:9" ht="15">
      <c r="A193" t="s">
        <v>81</v>
      </c>
      <c r="B193" t="s">
        <v>84</v>
      </c>
      <c r="C193" s="6" t="s">
        <v>19</v>
      </c>
      <c r="D193" s="6" t="s">
        <v>83</v>
      </c>
      <c r="E193" s="7" t="s">
        <v>82</v>
      </c>
      <c r="F193" t="str">
        <f>+'Source Table'!$B$21</f>
        <v>Total</v>
      </c>
      <c r="G193" t="str">
        <f>+'Source Table'!$D$21</f>
        <v>المجموع</v>
      </c>
      <c r="H193" s="26">
        <v>20788.897999999997</v>
      </c>
      <c r="I193">
        <f t="shared" si="2"/>
        <v>2016</v>
      </c>
    </row>
    <row r="194" spans="1:9" ht="15">
      <c r="A194" t="s">
        <v>81</v>
      </c>
      <c r="B194" t="s">
        <v>84</v>
      </c>
      <c r="C194" s="6" t="s">
        <v>19</v>
      </c>
      <c r="D194" s="6" t="s">
        <v>83</v>
      </c>
      <c r="E194" s="7" t="s">
        <v>82</v>
      </c>
      <c r="F194" t="str">
        <f>+'Source Table'!$B$22</f>
        <v>Producers Of Government Services</v>
      </c>
      <c r="G194" t="str">
        <f>+'Source Table'!$D$22</f>
        <v>منتجو الخدمات الحكومية</v>
      </c>
      <c r="H194" s="26">
        <v>4002.9187999999999</v>
      </c>
      <c r="I194">
        <f t="shared" si="2"/>
        <v>2016</v>
      </c>
    </row>
    <row r="195" spans="1:9" ht="15">
      <c r="A195" t="s">
        <v>81</v>
      </c>
      <c r="B195" t="s">
        <v>84</v>
      </c>
      <c r="C195" s="6" t="s">
        <v>19</v>
      </c>
      <c r="D195" s="6" t="s">
        <v>83</v>
      </c>
      <c r="E195" s="7" t="s">
        <v>82</v>
      </c>
      <c r="F195" t="str">
        <f>+'Source Table'!$B$23</f>
        <v>Producers Of Private Non-Profit  Services To Households</v>
      </c>
      <c r="G195" t="str">
        <f>+'Source Table'!$D$23</f>
        <v>منتجو الخدمات الخاصة التي لاتهدف الى الربح وتخدم العائلات</v>
      </c>
      <c r="H195" s="26">
        <v>197.22139999999999</v>
      </c>
      <c r="I195">
        <f t="shared" si="2"/>
        <v>2016</v>
      </c>
    </row>
    <row r="196" spans="1:9" ht="15">
      <c r="A196" t="s">
        <v>81</v>
      </c>
      <c r="B196" t="s">
        <v>84</v>
      </c>
      <c r="C196" s="6" t="s">
        <v>19</v>
      </c>
      <c r="D196" s="6" t="s">
        <v>83</v>
      </c>
      <c r="E196" s="7" t="s">
        <v>82</v>
      </c>
      <c r="F196" t="str">
        <f>+'Source Table'!$B$24</f>
        <v>Domestic Services Of Households</v>
      </c>
      <c r="G196" t="str">
        <f>+'Source Table'!$D$24</f>
        <v>الخدمات المنزلية</v>
      </c>
      <c r="H196" s="26">
        <v>465.35399999999998</v>
      </c>
      <c r="I196">
        <f t="shared" si="2"/>
        <v>2016</v>
      </c>
    </row>
    <row r="197" spans="1:9" ht="15">
      <c r="A197" t="s">
        <v>81</v>
      </c>
      <c r="B197" t="s">
        <v>84</v>
      </c>
      <c r="C197" s="6" t="s">
        <v>19</v>
      </c>
      <c r="D197" s="6" t="s">
        <v>83</v>
      </c>
      <c r="E197" s="7" t="s">
        <v>82</v>
      </c>
      <c r="F197" t="str">
        <f>+'Source Table'!$B$25</f>
        <v>Total ( A+B+C + D )</v>
      </c>
      <c r="G197" t="str">
        <f>+'Source Table'!$D$25</f>
        <v>مجموع ( أ + ب + ج + د )</v>
      </c>
      <c r="H197" s="26">
        <v>25454.392199999995</v>
      </c>
      <c r="I197">
        <f t="shared" si="2"/>
        <v>2016</v>
      </c>
    </row>
    <row r="198" spans="1:9" ht="15">
      <c r="A198" t="s">
        <v>81</v>
      </c>
      <c r="B198" t="s">
        <v>84</v>
      </c>
      <c r="C198" s="6" t="s">
        <v>19</v>
      </c>
      <c r="D198" s="6" t="s">
        <v>83</v>
      </c>
      <c r="E198" s="7" t="s">
        <v>82</v>
      </c>
      <c r="F198" t="str">
        <f>+'Source Table'!$B$26</f>
        <v>Imputed Bank Service Charge</v>
      </c>
      <c r="G198" t="str">
        <f>+'Source Table'!$D$26</f>
        <v>الخدمات المصرفية المحتسبة</v>
      </c>
      <c r="H198" s="26">
        <v>775.72609999999997</v>
      </c>
      <c r="I198">
        <f t="shared" si="2"/>
        <v>2016</v>
      </c>
    </row>
    <row r="199" spans="1:9" ht="15">
      <c r="A199" t="s">
        <v>81</v>
      </c>
      <c r="B199" t="s">
        <v>84</v>
      </c>
      <c r="C199" s="6" t="s">
        <v>19</v>
      </c>
      <c r="D199" s="6" t="s">
        <v>83</v>
      </c>
      <c r="E199" s="7" t="s">
        <v>82</v>
      </c>
      <c r="F199" t="str">
        <f>+'Source Table'!$B$27</f>
        <v>Gross Domestic Product At Basic Prices</v>
      </c>
      <c r="G199" t="str">
        <f>+'Source Table'!$D$27</f>
        <v>الناتج المحلي الاجمالي بالاسعار الاساسية</v>
      </c>
      <c r="H199" s="26">
        <v>24678.666099999995</v>
      </c>
      <c r="I199">
        <f t="shared" si="2"/>
        <v>2016</v>
      </c>
    </row>
    <row r="200" spans="1:9" ht="15">
      <c r="A200" t="s">
        <v>81</v>
      </c>
      <c r="B200" t="s">
        <v>84</v>
      </c>
      <c r="C200" s="6" t="s">
        <v>19</v>
      </c>
      <c r="D200" s="6" t="s">
        <v>83</v>
      </c>
      <c r="E200" s="7" t="s">
        <v>82</v>
      </c>
      <c r="F200" t="str">
        <f>+'Source Table'!$B$28</f>
        <v>Net Taxes On Products</v>
      </c>
      <c r="G200" t="str">
        <f>+'Source Table'!$D$28</f>
        <v>صافي الضرائب على المنتجات</v>
      </c>
      <c r="H200" s="26">
        <v>3645.0448999999999</v>
      </c>
      <c r="I200">
        <f t="shared" si="2"/>
        <v>2016</v>
      </c>
    </row>
    <row r="201" spans="1:9" ht="15">
      <c r="A201" t="s">
        <v>81</v>
      </c>
      <c r="B201" t="s">
        <v>84</v>
      </c>
      <c r="C201" s="6" t="s">
        <v>19</v>
      </c>
      <c r="D201" s="6" t="s">
        <v>83</v>
      </c>
      <c r="E201" s="7" t="s">
        <v>82</v>
      </c>
      <c r="F201" t="str">
        <f>+'Source Table'!$B$29</f>
        <v>Gross Domestic Product At Market Prices</v>
      </c>
      <c r="G201" t="str">
        <f>+'Source Table'!$D$29</f>
        <v>الناتج المحلي الاجمالي باسعار السوق</v>
      </c>
      <c r="H201" s="26">
        <v>28323.710999999996</v>
      </c>
      <c r="I201">
        <f t="shared" si="2"/>
        <v>2016</v>
      </c>
    </row>
    <row r="202" spans="1:9" ht="15">
      <c r="A202" t="s">
        <v>81</v>
      </c>
      <c r="B202" t="s">
        <v>84</v>
      </c>
      <c r="C202" s="6" t="s">
        <v>19</v>
      </c>
      <c r="D202" s="6" t="s">
        <v>83</v>
      </c>
      <c r="E202" s="7" t="s">
        <v>82</v>
      </c>
      <c r="F202" t="str">
        <f>+'Source Table'!$B$8</f>
        <v>Agriculture,Hunting,Forestry, And Fishing</v>
      </c>
      <c r="G202" t="str">
        <f>+'Source Table'!$D$8</f>
        <v>الزراعة والقنص والغابات وصيد الأسماك</v>
      </c>
      <c r="H202" s="26">
        <v>1312.2553000000003</v>
      </c>
      <c r="I202">
        <f t="shared" si="2"/>
        <v>2017</v>
      </c>
    </row>
    <row r="203" spans="1:9" ht="15">
      <c r="A203" t="s">
        <v>81</v>
      </c>
      <c r="B203" t="s">
        <v>84</v>
      </c>
      <c r="C203" s="6" t="s">
        <v>19</v>
      </c>
      <c r="D203" s="6" t="s">
        <v>83</v>
      </c>
      <c r="E203" s="7" t="s">
        <v>82</v>
      </c>
      <c r="F203" t="str">
        <f>+'Source Table'!$B$9</f>
        <v>Mining And Quarrying</v>
      </c>
      <c r="G203" t="str">
        <f>+'Source Table'!$D$9</f>
        <v>المناجم والمحاجر</v>
      </c>
      <c r="H203" s="26">
        <v>547.01859999999999</v>
      </c>
      <c r="I203">
        <f t="shared" si="2"/>
        <v>2017</v>
      </c>
    </row>
    <row r="204" spans="1:9" ht="15">
      <c r="A204" t="s">
        <v>81</v>
      </c>
      <c r="B204" t="s">
        <v>84</v>
      </c>
      <c r="C204" s="6" t="s">
        <v>19</v>
      </c>
      <c r="D204" s="6" t="s">
        <v>83</v>
      </c>
      <c r="E204" s="7" t="s">
        <v>82</v>
      </c>
      <c r="F204" t="str">
        <f>+'Source Table'!$B$10</f>
        <v>Manufacturing</v>
      </c>
      <c r="G204" t="str">
        <f>+'Source Table'!$D$10</f>
        <v>الصناعات التحويلية</v>
      </c>
      <c r="H204" s="26">
        <v>5317.0033000000003</v>
      </c>
      <c r="I204">
        <f t="shared" si="2"/>
        <v>2017</v>
      </c>
    </row>
    <row r="205" spans="1:9" ht="15">
      <c r="A205" t="s">
        <v>81</v>
      </c>
      <c r="B205" t="s">
        <v>84</v>
      </c>
      <c r="C205" s="6" t="s">
        <v>19</v>
      </c>
      <c r="D205" s="6" t="s">
        <v>83</v>
      </c>
      <c r="E205" s="7" t="s">
        <v>82</v>
      </c>
      <c r="F205" t="str">
        <f>+'Source Table'!$B$11</f>
        <v>Electricity And Water</v>
      </c>
      <c r="G205" t="str">
        <f>+'Source Table'!$D$11</f>
        <v>الكهرباء والمياه</v>
      </c>
      <c r="H205" s="26">
        <v>515.92549999999994</v>
      </c>
      <c r="I205">
        <f t="shared" si="2"/>
        <v>2017</v>
      </c>
    </row>
    <row r="206" spans="1:9" ht="15">
      <c r="A206" t="s">
        <v>81</v>
      </c>
      <c r="B206" t="s">
        <v>84</v>
      </c>
      <c r="C206" s="6" t="s">
        <v>19</v>
      </c>
      <c r="D206" s="6" t="s">
        <v>83</v>
      </c>
      <c r="E206" s="7" t="s">
        <v>82</v>
      </c>
      <c r="F206" t="str">
        <f>+'Source Table'!$B$12</f>
        <v>Construction</v>
      </c>
      <c r="G206" t="str">
        <f>+'Source Table'!$D$12</f>
        <v>الإنشاءات</v>
      </c>
      <c r="H206" s="26">
        <v>861.96690000000001</v>
      </c>
      <c r="I206">
        <f t="shared" si="2"/>
        <v>2017</v>
      </c>
    </row>
    <row r="207" spans="1:9" ht="15">
      <c r="A207" t="s">
        <v>81</v>
      </c>
      <c r="B207" t="s">
        <v>84</v>
      </c>
      <c r="C207" s="6" t="s">
        <v>19</v>
      </c>
      <c r="D207" s="6" t="s">
        <v>83</v>
      </c>
      <c r="E207" s="7" t="s">
        <v>82</v>
      </c>
      <c r="F207" t="str">
        <f>+'Source Table'!$B$13</f>
        <v>Wholesale &amp; Retail Trade, Restuarants&amp; Hotels</v>
      </c>
      <c r="G207" t="str">
        <f>+'Source Table'!$D$13</f>
        <v>تجارة الجملة والتجزئة والمطاعم والفنادق</v>
      </c>
      <c r="H207" s="26">
        <v>2816.0063999999998</v>
      </c>
      <c r="I207">
        <f t="shared" si="2"/>
        <v>2017</v>
      </c>
    </row>
    <row r="208" spans="1:9" ht="15">
      <c r="A208" t="s">
        <v>81</v>
      </c>
      <c r="B208" t="s">
        <v>84</v>
      </c>
      <c r="C208" s="6" t="s">
        <v>19</v>
      </c>
      <c r="D208" s="6" t="s">
        <v>83</v>
      </c>
      <c r="E208" s="7" t="s">
        <v>82</v>
      </c>
      <c r="F208" t="str">
        <f>+'Source Table'!$B$14</f>
        <v>Wholesale And Retail Trade</v>
      </c>
      <c r="G208" t="str">
        <f>+'Source Table'!$D$14</f>
        <v>تجارة الجملة والتجزئة</v>
      </c>
      <c r="H208" s="26">
        <v>2402.5220999999997</v>
      </c>
      <c r="I208">
        <f t="shared" si="2"/>
        <v>2017</v>
      </c>
    </row>
    <row r="209" spans="1:9" ht="15">
      <c r="A209" t="s">
        <v>81</v>
      </c>
      <c r="B209" t="s">
        <v>84</v>
      </c>
      <c r="C209" s="6" t="s">
        <v>19</v>
      </c>
      <c r="D209" s="6" t="s">
        <v>83</v>
      </c>
      <c r="E209" s="7" t="s">
        <v>82</v>
      </c>
      <c r="F209" t="str">
        <f>+'Source Table'!$B$15</f>
        <v>Restaurant And Hotels</v>
      </c>
      <c r="G209" t="str">
        <f>+'Source Table'!$D$15</f>
        <v>الفنادق والمطاعم</v>
      </c>
      <c r="H209" s="26">
        <v>413.48430000000002</v>
      </c>
      <c r="I209">
        <f t="shared" si="2"/>
        <v>2017</v>
      </c>
    </row>
    <row r="210" spans="1:9" ht="15">
      <c r="A210" t="s">
        <v>81</v>
      </c>
      <c r="B210" t="s">
        <v>84</v>
      </c>
      <c r="C210" s="6" t="s">
        <v>19</v>
      </c>
      <c r="D210" s="6" t="s">
        <v>83</v>
      </c>
      <c r="E210" s="7" t="s">
        <v>82</v>
      </c>
      <c r="F210" t="str">
        <f>+'Source Table'!$B$16</f>
        <v>Transport,Storage &amp; Communications</v>
      </c>
      <c r="G210" t="str">
        <f>+'Source Table'!$D$16</f>
        <v>النقل والتخزين والإتصالات</v>
      </c>
      <c r="H210" s="26">
        <v>2425.8078999999998</v>
      </c>
      <c r="I210">
        <f t="shared" si="2"/>
        <v>2017</v>
      </c>
    </row>
    <row r="211" spans="1:9" ht="15">
      <c r="A211" t="s">
        <v>81</v>
      </c>
      <c r="B211" t="s">
        <v>84</v>
      </c>
      <c r="C211" s="6" t="s">
        <v>19</v>
      </c>
      <c r="D211" s="6" t="s">
        <v>83</v>
      </c>
      <c r="E211" s="7" t="s">
        <v>82</v>
      </c>
      <c r="F211" t="str">
        <f>+'Source Table'!$B$17</f>
        <v>Finance,Insurance,Real Estate And Business Services</v>
      </c>
      <c r="G211" t="str">
        <f>+'Source Table'!$D$17</f>
        <v>خدمات المال والتأمين وخدمات العقارات وخدمات الأعمال</v>
      </c>
      <c r="H211" s="26">
        <v>5293.9957999999997</v>
      </c>
      <c r="I211">
        <f t="shared" si="2"/>
        <v>2017</v>
      </c>
    </row>
    <row r="212" spans="1:9" ht="15">
      <c r="A212" t="s">
        <v>81</v>
      </c>
      <c r="B212" t="s">
        <v>84</v>
      </c>
      <c r="C212" s="6" t="s">
        <v>19</v>
      </c>
      <c r="D212" s="6" t="s">
        <v>83</v>
      </c>
      <c r="E212" s="7" t="s">
        <v>82</v>
      </c>
      <c r="F212" t="str">
        <f>+'Source Table'!$B$18</f>
        <v>Finance And Insurance  Services</v>
      </c>
      <c r="G212" t="str">
        <f>+'Source Table'!$D$18</f>
        <v>خدمات المال والتأمين وخدمات الأعمال</v>
      </c>
      <c r="H212" s="26">
        <v>2068.8285000000001</v>
      </c>
      <c r="I212">
        <f t="shared" si="2"/>
        <v>2017</v>
      </c>
    </row>
    <row r="213" spans="1:9" ht="15">
      <c r="A213" t="s">
        <v>81</v>
      </c>
      <c r="B213" t="s">
        <v>84</v>
      </c>
      <c r="C213" s="6" t="s">
        <v>19</v>
      </c>
      <c r="D213" s="6" t="s">
        <v>83</v>
      </c>
      <c r="E213" s="7" t="s">
        <v>82</v>
      </c>
      <c r="F213" t="str">
        <f>+'Source Table'!$B$19</f>
        <v>Real Estate</v>
      </c>
      <c r="G213" t="str">
        <f>+'Source Table'!$D$19</f>
        <v>الخدمات العقارية</v>
      </c>
      <c r="H213" s="26">
        <v>3225.1672999999996</v>
      </c>
      <c r="I213">
        <f t="shared" si="2"/>
        <v>2017</v>
      </c>
    </row>
    <row r="214" spans="1:9" ht="15">
      <c r="A214" t="s">
        <v>81</v>
      </c>
      <c r="B214" t="s">
        <v>84</v>
      </c>
      <c r="C214" s="6" t="s">
        <v>19</v>
      </c>
      <c r="D214" s="6" t="s">
        <v>83</v>
      </c>
      <c r="E214" s="7" t="s">
        <v>82</v>
      </c>
      <c r="F214" t="str">
        <f>+'Source Table'!$B$20</f>
        <v>Community,Social And Personal Services</v>
      </c>
      <c r="G214" t="str">
        <f>+'Source Table'!$D$20</f>
        <v>الخدمات الاجتماعية والشخصية</v>
      </c>
      <c r="H214" s="26">
        <v>2576.4254000000001</v>
      </c>
      <c r="I214">
        <f t="shared" si="2"/>
        <v>2017</v>
      </c>
    </row>
    <row r="215" spans="1:9" ht="15">
      <c r="A215" t="s">
        <v>81</v>
      </c>
      <c r="B215" t="s">
        <v>84</v>
      </c>
      <c r="C215" s="6" t="s">
        <v>19</v>
      </c>
      <c r="D215" s="6" t="s">
        <v>83</v>
      </c>
      <c r="E215" s="7" t="s">
        <v>82</v>
      </c>
      <c r="F215" t="str">
        <f>+'Source Table'!$B$21</f>
        <v>Total</v>
      </c>
      <c r="G215" t="str">
        <f>+'Source Table'!$D$21</f>
        <v>المجموع</v>
      </c>
      <c r="H215" s="26">
        <v>21666.4051</v>
      </c>
      <c r="I215">
        <f t="shared" si="2"/>
        <v>2017</v>
      </c>
    </row>
    <row r="216" spans="1:9" ht="15">
      <c r="A216" t="s">
        <v>81</v>
      </c>
      <c r="B216" t="s">
        <v>84</v>
      </c>
      <c r="C216" s="6" t="s">
        <v>19</v>
      </c>
      <c r="D216" s="6" t="s">
        <v>83</v>
      </c>
      <c r="E216" s="7" t="s">
        <v>82</v>
      </c>
      <c r="F216" t="str">
        <f>+'Source Table'!$B$22</f>
        <v>Producers Of Government Services</v>
      </c>
      <c r="G216" t="str">
        <f>+'Source Table'!$D$22</f>
        <v>منتجو الخدمات الحكومية</v>
      </c>
      <c r="H216" s="26">
        <v>4023.1992</v>
      </c>
      <c r="I216">
        <f t="shared" si="2"/>
        <v>2017</v>
      </c>
    </row>
    <row r="217" spans="1:9" ht="15">
      <c r="A217" t="s">
        <v>81</v>
      </c>
      <c r="B217" t="s">
        <v>84</v>
      </c>
      <c r="C217" s="6" t="s">
        <v>19</v>
      </c>
      <c r="D217" s="6" t="s">
        <v>83</v>
      </c>
      <c r="E217" s="7" t="s">
        <v>82</v>
      </c>
      <c r="F217" t="str">
        <f>+'Source Table'!$B$23</f>
        <v>Producers Of Private Non-Profit  Services To Households</v>
      </c>
      <c r="G217" t="str">
        <f>+'Source Table'!$D$23</f>
        <v>منتجو الخدمات الخاصة التي لاتهدف الى الربح وتخدم العائلات</v>
      </c>
      <c r="H217" s="26">
        <v>217.09</v>
      </c>
      <c r="I217">
        <f t="shared" si="2"/>
        <v>2017</v>
      </c>
    </row>
    <row r="218" spans="1:9" ht="15">
      <c r="A218" t="s">
        <v>81</v>
      </c>
      <c r="B218" t="s">
        <v>84</v>
      </c>
      <c r="C218" s="6" t="s">
        <v>19</v>
      </c>
      <c r="D218" s="6" t="s">
        <v>83</v>
      </c>
      <c r="E218" s="7" t="s">
        <v>82</v>
      </c>
      <c r="F218" t="str">
        <f>+'Source Table'!$B$24</f>
        <v>Domestic Services Of Households</v>
      </c>
      <c r="G218" t="str">
        <f>+'Source Table'!$D$24</f>
        <v>الخدمات المنزلية</v>
      </c>
      <c r="H218" s="26">
        <v>481.35899999999998</v>
      </c>
      <c r="I218">
        <f t="shared" si="2"/>
        <v>2017</v>
      </c>
    </row>
    <row r="219" spans="1:9" ht="15">
      <c r="A219" t="s">
        <v>81</v>
      </c>
      <c r="B219" t="s">
        <v>84</v>
      </c>
      <c r="C219" s="6" t="s">
        <v>19</v>
      </c>
      <c r="D219" s="6" t="s">
        <v>83</v>
      </c>
      <c r="E219" s="7" t="s">
        <v>82</v>
      </c>
      <c r="F219" t="str">
        <f>+'Source Table'!$B$25</f>
        <v>Total ( A+B+C + D )</v>
      </c>
      <c r="G219" t="str">
        <f>+'Source Table'!$D$25</f>
        <v>مجموع ( أ + ب + ج + د )</v>
      </c>
      <c r="H219" s="26">
        <v>26388.0533</v>
      </c>
      <c r="I219">
        <f t="shared" ref="I219:I282" si="3">+I197+1</f>
        <v>2017</v>
      </c>
    </row>
    <row r="220" spans="1:9" ht="15">
      <c r="A220" t="s">
        <v>81</v>
      </c>
      <c r="B220" t="s">
        <v>84</v>
      </c>
      <c r="C220" s="6" t="s">
        <v>19</v>
      </c>
      <c r="D220" s="6" t="s">
        <v>83</v>
      </c>
      <c r="E220" s="7" t="s">
        <v>82</v>
      </c>
      <c r="F220" t="str">
        <f>+'Source Table'!$B$26</f>
        <v>Imputed Bank Service Charge</v>
      </c>
      <c r="G220" t="str">
        <f>+'Source Table'!$D$26</f>
        <v>الخدمات المصرفية المحتسبة</v>
      </c>
      <c r="H220" s="26">
        <v>817.18139999999994</v>
      </c>
      <c r="I220">
        <f t="shared" si="3"/>
        <v>2017</v>
      </c>
    </row>
    <row r="221" spans="1:9" ht="15">
      <c r="A221" t="s">
        <v>81</v>
      </c>
      <c r="B221" t="s">
        <v>84</v>
      </c>
      <c r="C221" s="6" t="s">
        <v>19</v>
      </c>
      <c r="D221" s="6" t="s">
        <v>83</v>
      </c>
      <c r="E221" s="7" t="s">
        <v>82</v>
      </c>
      <c r="F221" t="str">
        <f>+'Source Table'!$B$27</f>
        <v>Gross Domestic Product At Basic Prices</v>
      </c>
      <c r="G221" t="str">
        <f>+'Source Table'!$D$27</f>
        <v>الناتج المحلي الاجمالي بالاسعار الاساسية</v>
      </c>
      <c r="H221" s="26">
        <v>25570.871899999998</v>
      </c>
      <c r="I221">
        <f t="shared" si="3"/>
        <v>2017</v>
      </c>
    </row>
    <row r="222" spans="1:9" ht="15">
      <c r="A222" t="s">
        <v>81</v>
      </c>
      <c r="B222" t="s">
        <v>84</v>
      </c>
      <c r="C222" s="6" t="s">
        <v>19</v>
      </c>
      <c r="D222" s="6" t="s">
        <v>83</v>
      </c>
      <c r="E222" s="7" t="s">
        <v>82</v>
      </c>
      <c r="F222" t="str">
        <f>+'Source Table'!$B$28</f>
        <v>Net Taxes On Products</v>
      </c>
      <c r="G222" t="str">
        <f>+'Source Table'!$D$28</f>
        <v>صافي الضرائب على المنتجات</v>
      </c>
      <c r="H222" s="26">
        <v>3971.1176</v>
      </c>
      <c r="I222">
        <f t="shared" si="3"/>
        <v>2017</v>
      </c>
    </row>
    <row r="223" spans="1:9" ht="15">
      <c r="A223" t="s">
        <v>81</v>
      </c>
      <c r="B223" t="s">
        <v>84</v>
      </c>
      <c r="C223" s="6" t="s">
        <v>19</v>
      </c>
      <c r="D223" s="6" t="s">
        <v>83</v>
      </c>
      <c r="E223" s="7" t="s">
        <v>82</v>
      </c>
      <c r="F223" t="str">
        <f>+'Source Table'!$B$29</f>
        <v>Gross Domestic Product At Market Prices</v>
      </c>
      <c r="G223" t="str">
        <f>+'Source Table'!$D$29</f>
        <v>الناتج المحلي الاجمالي باسعار السوق</v>
      </c>
      <c r="H223" s="26">
        <v>29541.9895</v>
      </c>
      <c r="I223">
        <f t="shared" si="3"/>
        <v>2017</v>
      </c>
    </row>
    <row r="224" spans="1:9" ht="15">
      <c r="A224" t="s">
        <v>81</v>
      </c>
      <c r="B224" t="s">
        <v>84</v>
      </c>
      <c r="C224" s="6" t="s">
        <v>19</v>
      </c>
      <c r="D224" s="6" t="s">
        <v>83</v>
      </c>
      <c r="E224" s="7" t="s">
        <v>82</v>
      </c>
      <c r="F224" t="str">
        <f>+'Source Table'!$B$8</f>
        <v>Agriculture,Hunting,Forestry, And Fishing</v>
      </c>
      <c r="G224" t="str">
        <f>+'Source Table'!$D$8</f>
        <v>الزراعة والقنص والغابات وصيد الأسماك</v>
      </c>
      <c r="H224" s="26">
        <v>1349.0068999999999</v>
      </c>
      <c r="I224">
        <f t="shared" si="3"/>
        <v>2018</v>
      </c>
    </row>
    <row r="225" spans="1:9" ht="15">
      <c r="A225" t="s">
        <v>81</v>
      </c>
      <c r="B225" t="s">
        <v>84</v>
      </c>
      <c r="C225" s="6" t="s">
        <v>19</v>
      </c>
      <c r="D225" s="6" t="s">
        <v>83</v>
      </c>
      <c r="E225" s="7" t="s">
        <v>82</v>
      </c>
      <c r="F225" t="str">
        <f>+'Source Table'!$B$9</f>
        <v>Mining And Quarrying</v>
      </c>
      <c r="G225" t="str">
        <f>+'Source Table'!$D$9</f>
        <v>المناجم والمحاجر</v>
      </c>
      <c r="H225" s="26">
        <v>597.25459999999998</v>
      </c>
      <c r="I225">
        <f t="shared" si="3"/>
        <v>2018</v>
      </c>
    </row>
    <row r="226" spans="1:9" ht="15">
      <c r="A226" t="s">
        <v>81</v>
      </c>
      <c r="B226" t="s">
        <v>84</v>
      </c>
      <c r="C226" s="6" t="s">
        <v>19</v>
      </c>
      <c r="D226" s="6" t="s">
        <v>83</v>
      </c>
      <c r="E226" s="7" t="s">
        <v>82</v>
      </c>
      <c r="F226" t="str">
        <f>+'Source Table'!$B$10</f>
        <v>Manufacturing</v>
      </c>
      <c r="G226" t="str">
        <f>+'Source Table'!$D$10</f>
        <v>الصناعات التحويلية</v>
      </c>
      <c r="H226" s="26">
        <v>5447.1952000000001</v>
      </c>
      <c r="I226">
        <f t="shared" si="3"/>
        <v>2018</v>
      </c>
    </row>
    <row r="227" spans="1:9" ht="15">
      <c r="A227" t="s">
        <v>81</v>
      </c>
      <c r="B227" t="s">
        <v>84</v>
      </c>
      <c r="C227" s="6" t="s">
        <v>19</v>
      </c>
      <c r="D227" s="6" t="s">
        <v>83</v>
      </c>
      <c r="E227" s="7" t="s">
        <v>82</v>
      </c>
      <c r="F227" t="str">
        <f>+'Source Table'!$B$11</f>
        <v>Electricity And Water</v>
      </c>
      <c r="G227" t="str">
        <f>+'Source Table'!$D$11</f>
        <v>الكهرباء والمياه</v>
      </c>
      <c r="H227" s="26">
        <v>499.20749999999998</v>
      </c>
      <c r="I227">
        <f t="shared" si="3"/>
        <v>2018</v>
      </c>
    </row>
    <row r="228" spans="1:9" ht="15">
      <c r="A228" t="s">
        <v>81</v>
      </c>
      <c r="B228" t="s">
        <v>84</v>
      </c>
      <c r="C228" s="6" t="s">
        <v>19</v>
      </c>
      <c r="D228" s="6" t="s">
        <v>83</v>
      </c>
      <c r="E228" s="7" t="s">
        <v>82</v>
      </c>
      <c r="F228" t="str">
        <f>+'Source Table'!$B$12</f>
        <v>Construction</v>
      </c>
      <c r="G228" t="str">
        <f>+'Source Table'!$D$12</f>
        <v>الإنشاءات</v>
      </c>
      <c r="H228" s="26">
        <v>870.70479999999998</v>
      </c>
      <c r="I228">
        <f t="shared" si="3"/>
        <v>2018</v>
      </c>
    </row>
    <row r="229" spans="1:9" ht="15">
      <c r="A229" t="s">
        <v>81</v>
      </c>
      <c r="B229" t="s">
        <v>84</v>
      </c>
      <c r="C229" s="6" t="s">
        <v>19</v>
      </c>
      <c r="D229" s="6" t="s">
        <v>83</v>
      </c>
      <c r="E229" s="7" t="s">
        <v>82</v>
      </c>
      <c r="F229" t="str">
        <f>+'Source Table'!$B$13</f>
        <v>Wholesale &amp; Retail Trade, Restuarants&amp; Hotels</v>
      </c>
      <c r="G229" t="str">
        <f>+'Source Table'!$D$13</f>
        <v>تجارة الجملة والتجزئة والمطاعم والفنادق</v>
      </c>
      <c r="H229" s="26">
        <v>2855.4608000000003</v>
      </c>
      <c r="I229">
        <f t="shared" si="3"/>
        <v>2018</v>
      </c>
    </row>
    <row r="230" spans="1:9" ht="15">
      <c r="A230" t="s">
        <v>81</v>
      </c>
      <c r="B230" t="s">
        <v>84</v>
      </c>
      <c r="C230" s="6" t="s">
        <v>19</v>
      </c>
      <c r="D230" s="6" t="s">
        <v>83</v>
      </c>
      <c r="E230" s="7" t="s">
        <v>82</v>
      </c>
      <c r="F230" t="str">
        <f>+'Source Table'!$B$14</f>
        <v>Wholesale And Retail Trade</v>
      </c>
      <c r="G230" t="str">
        <f>+'Source Table'!$D$14</f>
        <v>تجارة الجملة والتجزئة</v>
      </c>
      <c r="H230" s="26">
        <v>2421.7321000000002</v>
      </c>
      <c r="I230">
        <f t="shared" si="3"/>
        <v>2018</v>
      </c>
    </row>
    <row r="231" spans="1:9" ht="15">
      <c r="A231" t="s">
        <v>81</v>
      </c>
      <c r="B231" t="s">
        <v>84</v>
      </c>
      <c r="C231" s="6" t="s">
        <v>19</v>
      </c>
      <c r="D231" s="6" t="s">
        <v>83</v>
      </c>
      <c r="E231" s="7" t="s">
        <v>82</v>
      </c>
      <c r="F231" t="str">
        <f>+'Source Table'!$B$15</f>
        <v>Restaurant And Hotels</v>
      </c>
      <c r="G231" t="str">
        <f>+'Source Table'!$D$15</f>
        <v>الفنادق والمطاعم</v>
      </c>
      <c r="H231" s="26">
        <v>433.72870000000006</v>
      </c>
      <c r="I231">
        <f t="shared" si="3"/>
        <v>2018</v>
      </c>
    </row>
    <row r="232" spans="1:9" ht="15">
      <c r="A232" t="s">
        <v>81</v>
      </c>
      <c r="B232" t="s">
        <v>84</v>
      </c>
      <c r="C232" s="6" t="s">
        <v>19</v>
      </c>
      <c r="D232" s="6" t="s">
        <v>83</v>
      </c>
      <c r="E232" s="7" t="s">
        <v>82</v>
      </c>
      <c r="F232" t="str">
        <f>+'Source Table'!$B$16</f>
        <v>Transport,Storage &amp; Communications</v>
      </c>
      <c r="G232" t="str">
        <f>+'Source Table'!$D$16</f>
        <v>النقل والتخزين والإتصالات</v>
      </c>
      <c r="H232" s="26">
        <v>2509.2013999999999</v>
      </c>
      <c r="I232">
        <f t="shared" si="3"/>
        <v>2018</v>
      </c>
    </row>
    <row r="233" spans="1:9" ht="15">
      <c r="A233" t="s">
        <v>81</v>
      </c>
      <c r="B233" t="s">
        <v>84</v>
      </c>
      <c r="C233" s="6" t="s">
        <v>19</v>
      </c>
      <c r="D233" s="6" t="s">
        <v>83</v>
      </c>
      <c r="E233" s="7" t="s">
        <v>82</v>
      </c>
      <c r="F233" t="str">
        <f>+'Source Table'!$B$17</f>
        <v>Finance,Insurance,Real Estate And Business Services</v>
      </c>
      <c r="G233" t="str">
        <f>+'Source Table'!$D$17</f>
        <v>خدمات المال والتأمين وخدمات العقارات وخدمات الأعمال</v>
      </c>
      <c r="H233" s="26">
        <v>5566.5812000000005</v>
      </c>
      <c r="I233">
        <f t="shared" si="3"/>
        <v>2018</v>
      </c>
    </row>
    <row r="234" spans="1:9" ht="15">
      <c r="A234" t="s">
        <v>81</v>
      </c>
      <c r="B234" t="s">
        <v>84</v>
      </c>
      <c r="C234" s="6" t="s">
        <v>19</v>
      </c>
      <c r="D234" s="6" t="s">
        <v>83</v>
      </c>
      <c r="E234" s="7" t="s">
        <v>82</v>
      </c>
      <c r="F234" t="str">
        <f>+'Source Table'!$B$18</f>
        <v>Finance And Insurance  Services</v>
      </c>
      <c r="G234" t="str">
        <f>+'Source Table'!$D$18</f>
        <v>خدمات المال والتأمين وخدمات الأعمال</v>
      </c>
      <c r="H234" s="26">
        <v>2155.7798000000003</v>
      </c>
      <c r="I234">
        <f t="shared" si="3"/>
        <v>2018</v>
      </c>
    </row>
    <row r="235" spans="1:9" ht="15">
      <c r="A235" t="s">
        <v>81</v>
      </c>
      <c r="B235" t="s">
        <v>84</v>
      </c>
      <c r="C235" s="6" t="s">
        <v>19</v>
      </c>
      <c r="D235" s="6" t="s">
        <v>83</v>
      </c>
      <c r="E235" s="7" t="s">
        <v>82</v>
      </c>
      <c r="F235" t="str">
        <f>+'Source Table'!$B$19</f>
        <v>Real Estate</v>
      </c>
      <c r="G235" t="str">
        <f>+'Source Table'!$D$19</f>
        <v>الخدمات العقارية</v>
      </c>
      <c r="H235" s="26">
        <v>3410.8014000000003</v>
      </c>
      <c r="I235">
        <f t="shared" si="3"/>
        <v>2018</v>
      </c>
    </row>
    <row r="236" spans="1:9" ht="15">
      <c r="A236" t="s">
        <v>81</v>
      </c>
      <c r="B236" t="s">
        <v>84</v>
      </c>
      <c r="C236" s="6" t="s">
        <v>19</v>
      </c>
      <c r="D236" s="6" t="s">
        <v>83</v>
      </c>
      <c r="E236" s="7" t="s">
        <v>82</v>
      </c>
      <c r="F236" t="str">
        <f>+'Source Table'!$B$20</f>
        <v>Community,Social And Personal Services</v>
      </c>
      <c r="G236" t="str">
        <f>+'Source Table'!$D$20</f>
        <v>الخدمات الاجتماعية والشخصية</v>
      </c>
      <c r="H236" s="26">
        <v>2692.5989</v>
      </c>
      <c r="I236">
        <f t="shared" si="3"/>
        <v>2018</v>
      </c>
    </row>
    <row r="237" spans="1:9" ht="15">
      <c r="A237" t="s">
        <v>81</v>
      </c>
      <c r="B237" t="s">
        <v>84</v>
      </c>
      <c r="C237" s="6" t="s">
        <v>19</v>
      </c>
      <c r="D237" s="6" t="s">
        <v>83</v>
      </c>
      <c r="E237" s="7" t="s">
        <v>82</v>
      </c>
      <c r="F237" t="str">
        <f>+'Source Table'!$B$21</f>
        <v>Total</v>
      </c>
      <c r="G237" t="str">
        <f>+'Source Table'!$D$21</f>
        <v>المجموع</v>
      </c>
      <c r="H237" s="26">
        <v>22387.211299999999</v>
      </c>
      <c r="I237">
        <f t="shared" si="3"/>
        <v>2018</v>
      </c>
    </row>
    <row r="238" spans="1:9" ht="15">
      <c r="A238" t="s">
        <v>81</v>
      </c>
      <c r="B238" t="s">
        <v>84</v>
      </c>
      <c r="C238" s="6" t="s">
        <v>19</v>
      </c>
      <c r="D238" s="6" t="s">
        <v>83</v>
      </c>
      <c r="E238" s="7" t="s">
        <v>82</v>
      </c>
      <c r="F238" t="str">
        <f>+'Source Table'!$B$22</f>
        <v>Producers Of Government Services</v>
      </c>
      <c r="G238" t="str">
        <f>+'Source Table'!$D$22</f>
        <v>منتجو الخدمات الحكومية</v>
      </c>
      <c r="H238" s="26">
        <v>4230.2024000000001</v>
      </c>
      <c r="I238">
        <f t="shared" si="3"/>
        <v>2018</v>
      </c>
    </row>
    <row r="239" spans="1:9" ht="15">
      <c r="A239" t="s">
        <v>81</v>
      </c>
      <c r="B239" t="s">
        <v>84</v>
      </c>
      <c r="C239" s="6" t="s">
        <v>19</v>
      </c>
      <c r="D239" s="6" t="s">
        <v>83</v>
      </c>
      <c r="E239" s="7" t="s">
        <v>82</v>
      </c>
      <c r="F239" t="str">
        <f>+'Source Table'!$B$23</f>
        <v>Producers Of Private Non-Profit  Services To Households</v>
      </c>
      <c r="G239" t="str">
        <f>+'Source Table'!$D$23</f>
        <v>منتجو الخدمات الخاصة التي لاتهدف الى الربح وتخدم العائلات</v>
      </c>
      <c r="H239" s="26">
        <v>234.8364</v>
      </c>
      <c r="I239">
        <f t="shared" si="3"/>
        <v>2018</v>
      </c>
    </row>
    <row r="240" spans="1:9" ht="15">
      <c r="A240" t="s">
        <v>81</v>
      </c>
      <c r="B240" t="s">
        <v>84</v>
      </c>
      <c r="C240" s="6" t="s">
        <v>19</v>
      </c>
      <c r="D240" s="6" t="s">
        <v>83</v>
      </c>
      <c r="E240" s="7" t="s">
        <v>82</v>
      </c>
      <c r="F240" t="str">
        <f>+'Source Table'!$B$24</f>
        <v>Domestic Services Of Households</v>
      </c>
      <c r="G240" t="str">
        <f>+'Source Table'!$D$24</f>
        <v>الخدمات المنزلية</v>
      </c>
      <c r="H240" s="26">
        <v>533.88049999999998</v>
      </c>
      <c r="I240">
        <f t="shared" si="3"/>
        <v>2018</v>
      </c>
    </row>
    <row r="241" spans="1:9" ht="15">
      <c r="A241" t="s">
        <v>81</v>
      </c>
      <c r="B241" t="s">
        <v>84</v>
      </c>
      <c r="C241" s="6" t="s">
        <v>19</v>
      </c>
      <c r="D241" s="6" t="s">
        <v>83</v>
      </c>
      <c r="E241" s="7" t="s">
        <v>82</v>
      </c>
      <c r="F241" t="str">
        <f>+'Source Table'!$B$25</f>
        <v>Total ( A+B+C + D )</v>
      </c>
      <c r="G241" t="str">
        <f>+'Source Table'!$D$25</f>
        <v>مجموع ( أ + ب + ج + د )</v>
      </c>
      <c r="H241" s="26">
        <v>27386.130599999997</v>
      </c>
      <c r="I241">
        <f t="shared" si="3"/>
        <v>2018</v>
      </c>
    </row>
    <row r="242" spans="1:9" ht="15">
      <c r="A242" t="s">
        <v>81</v>
      </c>
      <c r="B242" t="s">
        <v>84</v>
      </c>
      <c r="C242" s="6" t="s">
        <v>19</v>
      </c>
      <c r="D242" s="6" t="s">
        <v>83</v>
      </c>
      <c r="E242" s="7" t="s">
        <v>82</v>
      </c>
      <c r="F242" t="str">
        <f>+'Source Table'!$B$26</f>
        <v>Imputed Bank Service Charge</v>
      </c>
      <c r="G242" t="str">
        <f>+'Source Table'!$D$26</f>
        <v>الخدمات المصرفية المحتسبة</v>
      </c>
      <c r="H242" s="26">
        <v>837.32639999999992</v>
      </c>
      <c r="I242">
        <f t="shared" si="3"/>
        <v>2018</v>
      </c>
    </row>
    <row r="243" spans="1:9" ht="15">
      <c r="A243" t="s">
        <v>81</v>
      </c>
      <c r="B243" t="s">
        <v>84</v>
      </c>
      <c r="C243" s="6" t="s">
        <v>19</v>
      </c>
      <c r="D243" s="6" t="s">
        <v>83</v>
      </c>
      <c r="E243" s="7" t="s">
        <v>82</v>
      </c>
      <c r="F243" t="str">
        <f>+'Source Table'!$B$27</f>
        <v>Gross Domestic Product At Basic Prices</v>
      </c>
      <c r="G243" t="str">
        <f>+'Source Table'!$D$27</f>
        <v>الناتج المحلي الاجمالي بالاسعار الاساسية</v>
      </c>
      <c r="H243" s="26">
        <v>26548.804199999999</v>
      </c>
      <c r="I243">
        <f t="shared" si="3"/>
        <v>2018</v>
      </c>
    </row>
    <row r="244" spans="1:9" ht="15">
      <c r="A244" t="s">
        <v>81</v>
      </c>
      <c r="B244" t="s">
        <v>84</v>
      </c>
      <c r="C244" s="6" t="s">
        <v>19</v>
      </c>
      <c r="D244" s="6" t="s">
        <v>83</v>
      </c>
      <c r="E244" s="7" t="s">
        <v>82</v>
      </c>
      <c r="F244" t="str">
        <f>+'Source Table'!$B$28</f>
        <v>Net Taxes On Products</v>
      </c>
      <c r="G244" t="str">
        <f>+'Source Table'!$D$28</f>
        <v>صافي الضرائب على المنتجات</v>
      </c>
      <c r="H244" s="26">
        <v>4244.5069000000003</v>
      </c>
      <c r="I244">
        <f t="shared" si="3"/>
        <v>2018</v>
      </c>
    </row>
    <row r="245" spans="1:9" ht="15">
      <c r="A245" t="s">
        <v>81</v>
      </c>
      <c r="B245" t="s">
        <v>84</v>
      </c>
      <c r="C245" s="6" t="s">
        <v>19</v>
      </c>
      <c r="D245" s="6" t="s">
        <v>83</v>
      </c>
      <c r="E245" s="7" t="s">
        <v>82</v>
      </c>
      <c r="F245" t="str">
        <f>+'Source Table'!$B$29</f>
        <v>Gross Domestic Product At Market Prices</v>
      </c>
      <c r="G245" t="str">
        <f>+'Source Table'!$D$29</f>
        <v>الناتج المحلي الاجمالي باسعار السوق</v>
      </c>
      <c r="H245" s="26">
        <v>30793.311099999999</v>
      </c>
      <c r="I245">
        <f t="shared" si="3"/>
        <v>2018</v>
      </c>
    </row>
    <row r="246" spans="1:9" ht="15">
      <c r="A246" t="s">
        <v>81</v>
      </c>
      <c r="B246" t="s">
        <v>84</v>
      </c>
      <c r="C246" s="6" t="s">
        <v>19</v>
      </c>
      <c r="D246" s="6" t="s">
        <v>83</v>
      </c>
      <c r="E246" s="7" t="s">
        <v>82</v>
      </c>
      <c r="F246" t="str">
        <f>+'Source Table'!$B$8</f>
        <v>Agriculture,Hunting,Forestry, And Fishing</v>
      </c>
      <c r="G246" t="str">
        <f>+'Source Table'!$D$8</f>
        <v>الزراعة والقنص والغابات وصيد الأسماك</v>
      </c>
      <c r="H246" s="26">
        <v>1381.4070999999999</v>
      </c>
      <c r="I246">
        <f t="shared" si="3"/>
        <v>2019</v>
      </c>
    </row>
    <row r="247" spans="1:9" ht="15">
      <c r="A247" t="s">
        <v>81</v>
      </c>
      <c r="B247" t="s">
        <v>84</v>
      </c>
      <c r="C247" s="6" t="s">
        <v>19</v>
      </c>
      <c r="D247" s="6" t="s">
        <v>83</v>
      </c>
      <c r="E247" s="7" t="s">
        <v>82</v>
      </c>
      <c r="F247" t="str">
        <f>+'Source Table'!$B$9</f>
        <v>Mining And Quarrying</v>
      </c>
      <c r="G247" t="str">
        <f>+'Source Table'!$D$9</f>
        <v>المناجم والمحاجر</v>
      </c>
      <c r="H247" s="26">
        <v>683.88839999999993</v>
      </c>
      <c r="I247">
        <f t="shared" si="3"/>
        <v>2019</v>
      </c>
    </row>
    <row r="248" spans="1:9" ht="15">
      <c r="A248" t="s">
        <v>81</v>
      </c>
      <c r="B248" t="s">
        <v>84</v>
      </c>
      <c r="C248" s="6" t="s">
        <v>19</v>
      </c>
      <c r="D248" s="6" t="s">
        <v>83</v>
      </c>
      <c r="E248" s="7" t="s">
        <v>82</v>
      </c>
      <c r="F248" t="str">
        <f>+'Source Table'!$B$10</f>
        <v>Manufacturing</v>
      </c>
      <c r="G248" t="str">
        <f>+'Source Table'!$D$10</f>
        <v>الصناعات التحويلية</v>
      </c>
      <c r="H248" s="26">
        <v>5550.7719999999999</v>
      </c>
      <c r="I248">
        <f t="shared" si="3"/>
        <v>2019</v>
      </c>
    </row>
    <row r="249" spans="1:9" ht="15">
      <c r="A249" t="s">
        <v>81</v>
      </c>
      <c r="B249" t="s">
        <v>84</v>
      </c>
      <c r="C249" s="6" t="s">
        <v>19</v>
      </c>
      <c r="D249" s="6" t="s">
        <v>83</v>
      </c>
      <c r="E249" s="7" t="s">
        <v>82</v>
      </c>
      <c r="F249" t="str">
        <f>+'Source Table'!$B$11</f>
        <v>Electricity And Water</v>
      </c>
      <c r="G249" t="str">
        <f>+'Source Table'!$D$11</f>
        <v>الكهرباء والمياه</v>
      </c>
      <c r="H249" s="26">
        <v>506.95549999999997</v>
      </c>
      <c r="I249">
        <f t="shared" si="3"/>
        <v>2019</v>
      </c>
    </row>
    <row r="250" spans="1:9" ht="15">
      <c r="A250" t="s">
        <v>81</v>
      </c>
      <c r="B250" t="s">
        <v>84</v>
      </c>
      <c r="C250" s="6" t="s">
        <v>19</v>
      </c>
      <c r="D250" s="6" t="s">
        <v>83</v>
      </c>
      <c r="E250" s="7" t="s">
        <v>82</v>
      </c>
      <c r="F250" t="str">
        <f>+'Source Table'!$B$12</f>
        <v>Construction</v>
      </c>
      <c r="G250" t="str">
        <f>+'Source Table'!$D$12</f>
        <v>الإنشاءات</v>
      </c>
      <c r="H250" s="26">
        <v>876.98659999999995</v>
      </c>
      <c r="I250">
        <f t="shared" si="3"/>
        <v>2019</v>
      </c>
    </row>
    <row r="251" spans="1:9" ht="15">
      <c r="A251" t="s">
        <v>81</v>
      </c>
      <c r="B251" t="s">
        <v>84</v>
      </c>
      <c r="C251" s="6" t="s">
        <v>19</v>
      </c>
      <c r="D251" s="6" t="s">
        <v>83</v>
      </c>
      <c r="E251" s="7" t="s">
        <v>82</v>
      </c>
      <c r="F251" t="str">
        <f>+'Source Table'!$B$13</f>
        <v>Wholesale &amp; Retail Trade, Restuarants&amp; Hotels</v>
      </c>
      <c r="G251" t="str">
        <f>+'Source Table'!$D$13</f>
        <v>تجارة الجملة والتجزئة والمطاعم والفنادق</v>
      </c>
      <c r="H251" s="26">
        <v>2930.8802000000005</v>
      </c>
      <c r="I251">
        <f t="shared" si="3"/>
        <v>2019</v>
      </c>
    </row>
    <row r="252" spans="1:9" ht="15">
      <c r="A252" t="s">
        <v>81</v>
      </c>
      <c r="B252" t="s">
        <v>84</v>
      </c>
      <c r="C252" s="6" t="s">
        <v>19</v>
      </c>
      <c r="D252" s="6" t="s">
        <v>83</v>
      </c>
      <c r="E252" s="7" t="s">
        <v>82</v>
      </c>
      <c r="F252" t="str">
        <f>+'Source Table'!$B$14</f>
        <v>Wholesale And Retail Trade</v>
      </c>
      <c r="G252" t="str">
        <f>+'Source Table'!$D$14</f>
        <v>تجارة الجملة والتجزئة</v>
      </c>
      <c r="H252" s="26">
        <v>2469.5069000000003</v>
      </c>
      <c r="I252">
        <f t="shared" si="3"/>
        <v>2019</v>
      </c>
    </row>
    <row r="253" spans="1:9" ht="15">
      <c r="A253" t="s">
        <v>81</v>
      </c>
      <c r="B253" t="s">
        <v>84</v>
      </c>
      <c r="C253" s="6" t="s">
        <v>19</v>
      </c>
      <c r="D253" s="6" t="s">
        <v>83</v>
      </c>
      <c r="E253" s="7" t="s">
        <v>82</v>
      </c>
      <c r="F253" t="str">
        <f>+'Source Table'!$B$15</f>
        <v>Restaurant And Hotels</v>
      </c>
      <c r="G253" t="str">
        <f>+'Source Table'!$D$15</f>
        <v>الفنادق والمطاعم</v>
      </c>
      <c r="H253" s="26">
        <v>461.37329999999997</v>
      </c>
      <c r="I253">
        <f t="shared" si="3"/>
        <v>2019</v>
      </c>
    </row>
    <row r="254" spans="1:9" ht="15">
      <c r="A254" t="s">
        <v>81</v>
      </c>
      <c r="B254" t="s">
        <v>84</v>
      </c>
      <c r="C254" s="6" t="s">
        <v>19</v>
      </c>
      <c r="D254" s="6" t="s">
        <v>83</v>
      </c>
      <c r="E254" s="7" t="s">
        <v>82</v>
      </c>
      <c r="F254" t="str">
        <f>+'Source Table'!$B$16</f>
        <v>Transport,Storage &amp; Communications</v>
      </c>
      <c r="G254" t="str">
        <f>+'Source Table'!$D$16</f>
        <v>النقل والتخزين والإتصالات</v>
      </c>
      <c r="H254" s="26">
        <v>2573.0209</v>
      </c>
      <c r="I254">
        <f t="shared" si="3"/>
        <v>2019</v>
      </c>
    </row>
    <row r="255" spans="1:9" ht="15">
      <c r="A255" t="s">
        <v>81</v>
      </c>
      <c r="B255" t="s">
        <v>84</v>
      </c>
      <c r="C255" s="6" t="s">
        <v>19</v>
      </c>
      <c r="D255" s="6" t="s">
        <v>83</v>
      </c>
      <c r="E255" s="7" t="s">
        <v>82</v>
      </c>
      <c r="F255" t="str">
        <f>+'Source Table'!$B$17</f>
        <v>Finance,Insurance,Real Estate And Business Services</v>
      </c>
      <c r="G255" t="str">
        <f>+'Source Table'!$D$17</f>
        <v>خدمات المال والتأمين وخدمات العقارات وخدمات الأعمال</v>
      </c>
      <c r="H255" s="26">
        <v>5848.2421999999997</v>
      </c>
      <c r="I255">
        <f t="shared" si="3"/>
        <v>2019</v>
      </c>
    </row>
    <row r="256" spans="1:9" ht="15">
      <c r="A256" t="s">
        <v>81</v>
      </c>
      <c r="B256" t="s">
        <v>84</v>
      </c>
      <c r="C256" s="6" t="s">
        <v>19</v>
      </c>
      <c r="D256" s="6" t="s">
        <v>83</v>
      </c>
      <c r="E256" s="7" t="s">
        <v>82</v>
      </c>
      <c r="F256" t="str">
        <f>+'Source Table'!$B$18</f>
        <v>Finance And Insurance  Services</v>
      </c>
      <c r="G256" t="str">
        <f>+'Source Table'!$D$18</f>
        <v>خدمات المال والتأمين وخدمات الأعمال</v>
      </c>
      <c r="H256" s="26">
        <v>2265.6070000000004</v>
      </c>
      <c r="I256">
        <f t="shared" si="3"/>
        <v>2019</v>
      </c>
    </row>
    <row r="257" spans="1:9" ht="15">
      <c r="A257" t="s">
        <v>81</v>
      </c>
      <c r="B257" t="s">
        <v>84</v>
      </c>
      <c r="C257" s="6" t="s">
        <v>19</v>
      </c>
      <c r="D257" s="6" t="s">
        <v>83</v>
      </c>
      <c r="E257" s="7" t="s">
        <v>82</v>
      </c>
      <c r="F257" t="str">
        <f>+'Source Table'!$B$19</f>
        <v>Real Estate</v>
      </c>
      <c r="G257" t="str">
        <f>+'Source Table'!$D$19</f>
        <v>الخدمات العقارية</v>
      </c>
      <c r="H257" s="26">
        <v>3582.6351999999997</v>
      </c>
      <c r="I257">
        <f t="shared" si="3"/>
        <v>2019</v>
      </c>
    </row>
    <row r="258" spans="1:9" ht="15">
      <c r="A258" t="s">
        <v>81</v>
      </c>
      <c r="B258" t="s">
        <v>84</v>
      </c>
      <c r="C258" s="6" t="s">
        <v>19</v>
      </c>
      <c r="D258" s="6" t="s">
        <v>83</v>
      </c>
      <c r="E258" s="7" t="s">
        <v>82</v>
      </c>
      <c r="F258" t="str">
        <f>+'Source Table'!$B$20</f>
        <v>Community,Social And Personal Services</v>
      </c>
      <c r="G258" t="str">
        <f>+'Source Table'!$D$20</f>
        <v>الخدمات الاجتماعية والشخصية</v>
      </c>
      <c r="H258" s="26">
        <v>2859.5046000000002</v>
      </c>
      <c r="I258">
        <f t="shared" si="3"/>
        <v>2019</v>
      </c>
    </row>
    <row r="259" spans="1:9" ht="15">
      <c r="A259" t="s">
        <v>81</v>
      </c>
      <c r="B259" t="s">
        <v>84</v>
      </c>
      <c r="C259" s="6" t="s">
        <v>19</v>
      </c>
      <c r="D259" s="6" t="s">
        <v>83</v>
      </c>
      <c r="E259" s="7" t="s">
        <v>82</v>
      </c>
      <c r="F259" t="str">
        <f>+'Source Table'!$B$21</f>
        <v>Total</v>
      </c>
      <c r="G259" t="str">
        <f>+'Source Table'!$D$21</f>
        <v>المجموع</v>
      </c>
      <c r="H259" s="26">
        <v>23211.657500000001</v>
      </c>
      <c r="I259">
        <f t="shared" si="3"/>
        <v>2019</v>
      </c>
    </row>
    <row r="260" spans="1:9" ht="15">
      <c r="A260" t="s">
        <v>81</v>
      </c>
      <c r="B260" t="s">
        <v>84</v>
      </c>
      <c r="C260" s="6" t="s">
        <v>19</v>
      </c>
      <c r="D260" s="6" t="s">
        <v>83</v>
      </c>
      <c r="E260" s="7" t="s">
        <v>82</v>
      </c>
      <c r="F260" t="str">
        <f>+'Source Table'!$B$22</f>
        <v>Producers Of Government Services</v>
      </c>
      <c r="G260" t="str">
        <f>+'Source Table'!$D$22</f>
        <v>منتجو الخدمات الحكومية</v>
      </c>
      <c r="H260" s="26">
        <v>4275.3171000000002</v>
      </c>
      <c r="I260">
        <f t="shared" si="3"/>
        <v>2019</v>
      </c>
    </row>
    <row r="261" spans="1:9" ht="15">
      <c r="A261" t="s">
        <v>81</v>
      </c>
      <c r="B261" t="s">
        <v>84</v>
      </c>
      <c r="C261" s="6" t="s">
        <v>19</v>
      </c>
      <c r="D261" s="6" t="s">
        <v>83</v>
      </c>
      <c r="E261" s="7" t="s">
        <v>82</v>
      </c>
      <c r="F261" t="str">
        <f>+'Source Table'!$B$23</f>
        <v>Producers Of Private Non-Profit  Services To Households</v>
      </c>
      <c r="G261" t="str">
        <f>+'Source Table'!$D$23</f>
        <v>منتجو الخدمات الخاصة التي لاتهدف الى الربح وتخدم العائلات</v>
      </c>
      <c r="H261" s="26">
        <v>248.3381</v>
      </c>
      <c r="I261">
        <f t="shared" si="3"/>
        <v>2019</v>
      </c>
    </row>
    <row r="262" spans="1:9" ht="15">
      <c r="A262" t="s">
        <v>81</v>
      </c>
      <c r="B262" t="s">
        <v>84</v>
      </c>
      <c r="C262" s="6" t="s">
        <v>19</v>
      </c>
      <c r="D262" s="6" t="s">
        <v>83</v>
      </c>
      <c r="E262" s="7" t="s">
        <v>82</v>
      </c>
      <c r="F262" t="str">
        <f>+'Source Table'!$B$24</f>
        <v>Domestic Services Of Households</v>
      </c>
      <c r="G262" t="str">
        <f>+'Source Table'!$D$24</f>
        <v>الخدمات المنزلية</v>
      </c>
      <c r="H262" s="26">
        <v>609.40110000000004</v>
      </c>
      <c r="I262">
        <f t="shared" si="3"/>
        <v>2019</v>
      </c>
    </row>
    <row r="263" spans="1:9" ht="15">
      <c r="A263" t="s">
        <v>81</v>
      </c>
      <c r="B263" t="s">
        <v>84</v>
      </c>
      <c r="C263" s="6" t="s">
        <v>19</v>
      </c>
      <c r="D263" s="6" t="s">
        <v>83</v>
      </c>
      <c r="E263" s="7" t="s">
        <v>82</v>
      </c>
      <c r="F263" t="str">
        <f>+'Source Table'!$B$25</f>
        <v>Total ( A+B+C + D )</v>
      </c>
      <c r="G263" t="str">
        <f>+'Source Table'!$D$25</f>
        <v>مجموع ( أ + ب + ج + د )</v>
      </c>
      <c r="H263" s="26">
        <v>28344.713799999998</v>
      </c>
      <c r="I263">
        <f t="shared" si="3"/>
        <v>2019</v>
      </c>
    </row>
    <row r="264" spans="1:9" ht="15">
      <c r="A264" t="s">
        <v>81</v>
      </c>
      <c r="B264" t="s">
        <v>84</v>
      </c>
      <c r="C264" s="6" t="s">
        <v>19</v>
      </c>
      <c r="D264" s="6" t="s">
        <v>83</v>
      </c>
      <c r="E264" s="7" t="s">
        <v>82</v>
      </c>
      <c r="F264" t="str">
        <f>+'Source Table'!$B$26</f>
        <v>Imputed Bank Service Charge</v>
      </c>
      <c r="G264" t="str">
        <f>+'Source Table'!$D$26</f>
        <v>الخدمات المصرفية المحتسبة</v>
      </c>
      <c r="H264" s="26">
        <v>870.04229999999995</v>
      </c>
      <c r="I264">
        <f t="shared" si="3"/>
        <v>2019</v>
      </c>
    </row>
    <row r="265" spans="1:9" ht="15">
      <c r="A265" t="s">
        <v>81</v>
      </c>
      <c r="B265" t="s">
        <v>84</v>
      </c>
      <c r="C265" s="6" t="s">
        <v>19</v>
      </c>
      <c r="D265" s="6" t="s">
        <v>83</v>
      </c>
      <c r="E265" s="7" t="s">
        <v>82</v>
      </c>
      <c r="F265" t="str">
        <f>+'Source Table'!$B$27</f>
        <v>Gross Domestic Product At Basic Prices</v>
      </c>
      <c r="G265" t="str">
        <f>+'Source Table'!$D$27</f>
        <v>الناتج المحلي الاجمالي بالاسعار الاساسية</v>
      </c>
      <c r="H265" s="26">
        <v>27474.671499999997</v>
      </c>
      <c r="I265">
        <f t="shared" si="3"/>
        <v>2019</v>
      </c>
    </row>
    <row r="266" spans="1:9" ht="15">
      <c r="A266" t="s">
        <v>81</v>
      </c>
      <c r="B266" t="s">
        <v>84</v>
      </c>
      <c r="C266" s="6" t="s">
        <v>19</v>
      </c>
      <c r="D266" s="6" t="s">
        <v>83</v>
      </c>
      <c r="E266" s="7" t="s">
        <v>82</v>
      </c>
      <c r="F266" t="str">
        <f>+'Source Table'!$B$28</f>
        <v>Net Taxes On Products</v>
      </c>
      <c r="G266" t="str">
        <f>+'Source Table'!$D$28</f>
        <v>صافي الضرائب على المنتجات</v>
      </c>
      <c r="H266" s="26">
        <v>4122.4629999999997</v>
      </c>
      <c r="I266">
        <f t="shared" si="3"/>
        <v>2019</v>
      </c>
    </row>
    <row r="267" spans="1:9" ht="15">
      <c r="A267" t="s">
        <v>81</v>
      </c>
      <c r="B267" t="s">
        <v>84</v>
      </c>
      <c r="C267" s="6" t="s">
        <v>19</v>
      </c>
      <c r="D267" s="6" t="s">
        <v>83</v>
      </c>
      <c r="E267" s="7" t="s">
        <v>82</v>
      </c>
      <c r="F267" t="str">
        <f>+'Source Table'!$B$29</f>
        <v>Gross Domestic Product At Market Prices</v>
      </c>
      <c r="G267" t="str">
        <f>+'Source Table'!$D$29</f>
        <v>الناتج المحلي الاجمالي باسعار السوق</v>
      </c>
      <c r="H267" s="26">
        <v>31597.1345</v>
      </c>
      <c r="I267">
        <f t="shared" si="3"/>
        <v>2019</v>
      </c>
    </row>
    <row r="268" spans="1:9" ht="15">
      <c r="A268" t="s">
        <v>81</v>
      </c>
      <c r="B268" t="s">
        <v>84</v>
      </c>
      <c r="C268" s="6" t="s">
        <v>19</v>
      </c>
      <c r="D268" s="6" t="s">
        <v>83</v>
      </c>
      <c r="E268" s="7" t="s">
        <v>82</v>
      </c>
      <c r="F268" t="str">
        <f>+'Source Table'!$B$8</f>
        <v>Agriculture,Hunting,Forestry, And Fishing</v>
      </c>
      <c r="G268" t="str">
        <f>+'Source Table'!$D$8</f>
        <v>الزراعة والقنص والغابات وصيد الأسماك</v>
      </c>
      <c r="H268" s="26">
        <v>1441.7053000000001</v>
      </c>
      <c r="I268">
        <f t="shared" si="3"/>
        <v>2020</v>
      </c>
    </row>
    <row r="269" spans="1:9" ht="15">
      <c r="A269" t="s">
        <v>81</v>
      </c>
      <c r="B269" t="s">
        <v>84</v>
      </c>
      <c r="C269" s="6" t="s">
        <v>19</v>
      </c>
      <c r="D269" s="6" t="s">
        <v>83</v>
      </c>
      <c r="E269" s="7" t="s">
        <v>82</v>
      </c>
      <c r="F269" t="str">
        <f>+'Source Table'!$B$9</f>
        <v>Mining And Quarrying</v>
      </c>
      <c r="G269" t="str">
        <f>+'Source Table'!$D$9</f>
        <v>المناجم والمحاجر</v>
      </c>
      <c r="H269" s="26">
        <v>664.95209999999997</v>
      </c>
      <c r="I269">
        <f t="shared" si="3"/>
        <v>2020</v>
      </c>
    </row>
    <row r="270" spans="1:9" ht="15">
      <c r="A270" t="s">
        <v>81</v>
      </c>
      <c r="B270" t="s">
        <v>84</v>
      </c>
      <c r="C270" s="6" t="s">
        <v>19</v>
      </c>
      <c r="D270" s="6" t="s">
        <v>83</v>
      </c>
      <c r="E270" s="7" t="s">
        <v>82</v>
      </c>
      <c r="F270" t="str">
        <f>+'Source Table'!$B$10</f>
        <v>Manufacturing</v>
      </c>
      <c r="G270" t="str">
        <f>+'Source Table'!$D$10</f>
        <v>الصناعات التحويلية</v>
      </c>
      <c r="H270" s="26">
        <v>5320.3090000000002</v>
      </c>
      <c r="I270">
        <f t="shared" si="3"/>
        <v>2020</v>
      </c>
    </row>
    <row r="271" spans="1:9" ht="15">
      <c r="A271" t="s">
        <v>81</v>
      </c>
      <c r="B271" t="s">
        <v>84</v>
      </c>
      <c r="C271" s="6" t="s">
        <v>19</v>
      </c>
      <c r="D271" s="6" t="s">
        <v>83</v>
      </c>
      <c r="E271" s="7" t="s">
        <v>82</v>
      </c>
      <c r="F271" t="str">
        <f>+'Source Table'!$B$11</f>
        <v>Electricity And Water</v>
      </c>
      <c r="G271" t="str">
        <f>+'Source Table'!$D$11</f>
        <v>الكهرباء والمياه</v>
      </c>
      <c r="H271" s="26">
        <v>495.88020000000006</v>
      </c>
      <c r="I271">
        <f t="shared" si="3"/>
        <v>2020</v>
      </c>
    </row>
    <row r="272" spans="1:9" ht="15">
      <c r="A272" t="s">
        <v>81</v>
      </c>
      <c r="B272" t="s">
        <v>84</v>
      </c>
      <c r="C272" s="6" t="s">
        <v>19</v>
      </c>
      <c r="D272" s="6" t="s">
        <v>83</v>
      </c>
      <c r="E272" s="7" t="s">
        <v>82</v>
      </c>
      <c r="F272" t="str">
        <f>+'Source Table'!$B$12</f>
        <v>Construction</v>
      </c>
      <c r="G272" t="str">
        <f>+'Source Table'!$D$12</f>
        <v>الإنشاءات</v>
      </c>
      <c r="H272" s="26">
        <v>826.96340000000009</v>
      </c>
      <c r="I272">
        <f t="shared" si="3"/>
        <v>2020</v>
      </c>
    </row>
    <row r="273" spans="1:9" ht="15">
      <c r="A273" t="s">
        <v>81</v>
      </c>
      <c r="B273" t="s">
        <v>84</v>
      </c>
      <c r="C273" s="6" t="s">
        <v>19</v>
      </c>
      <c r="D273" s="6" t="s">
        <v>83</v>
      </c>
      <c r="E273" s="7" t="s">
        <v>82</v>
      </c>
      <c r="F273" t="str">
        <f>+'Source Table'!$B$13</f>
        <v>Wholesale &amp; Retail Trade, Restuarants&amp; Hotels</v>
      </c>
      <c r="G273" t="str">
        <f>+'Source Table'!$D$13</f>
        <v>تجارة الجملة والتجزئة والمطاعم والفنادق</v>
      </c>
      <c r="H273" s="26">
        <v>2854.6451999999999</v>
      </c>
      <c r="I273">
        <f t="shared" si="3"/>
        <v>2020</v>
      </c>
    </row>
    <row r="274" spans="1:9" ht="15">
      <c r="A274" t="s">
        <v>81</v>
      </c>
      <c r="B274" t="s">
        <v>84</v>
      </c>
      <c r="C274" s="6" t="s">
        <v>19</v>
      </c>
      <c r="D274" s="6" t="s">
        <v>83</v>
      </c>
      <c r="E274" s="7" t="s">
        <v>82</v>
      </c>
      <c r="F274" t="str">
        <f>+'Source Table'!$B$14</f>
        <v>Wholesale And Retail Trade</v>
      </c>
      <c r="G274" t="str">
        <f>+'Source Table'!$D$14</f>
        <v>تجارة الجملة والتجزئة</v>
      </c>
      <c r="H274" s="26">
        <v>2421.5736000000002</v>
      </c>
      <c r="I274">
        <f t="shared" si="3"/>
        <v>2020</v>
      </c>
    </row>
    <row r="275" spans="1:9" ht="15">
      <c r="A275" t="s">
        <v>81</v>
      </c>
      <c r="B275" t="s">
        <v>84</v>
      </c>
      <c r="C275" s="6" t="s">
        <v>19</v>
      </c>
      <c r="D275" s="6" t="s">
        <v>83</v>
      </c>
      <c r="E275" s="7" t="s">
        <v>82</v>
      </c>
      <c r="F275" t="str">
        <f>+'Source Table'!$B$15</f>
        <v>Restaurant And Hotels</v>
      </c>
      <c r="G275" t="str">
        <f>+'Source Table'!$D$15</f>
        <v>الفنادق والمطاعم</v>
      </c>
      <c r="H275" s="26">
        <v>433.07159999999999</v>
      </c>
      <c r="I275">
        <f t="shared" si="3"/>
        <v>2020</v>
      </c>
    </row>
    <row r="276" spans="1:9" ht="15">
      <c r="A276" t="s">
        <v>81</v>
      </c>
      <c r="B276" t="s">
        <v>84</v>
      </c>
      <c r="C276" s="6" t="s">
        <v>19</v>
      </c>
      <c r="D276" s="6" t="s">
        <v>83</v>
      </c>
      <c r="E276" s="7" t="s">
        <v>82</v>
      </c>
      <c r="F276" t="str">
        <f>+'Source Table'!$B$16</f>
        <v>Transport,Storage &amp; Communications</v>
      </c>
      <c r="G276" t="str">
        <f>+'Source Table'!$D$16</f>
        <v>النقل والتخزين والإتصالات</v>
      </c>
      <c r="H276" s="26">
        <v>2350.9874</v>
      </c>
      <c r="I276">
        <f t="shared" si="3"/>
        <v>2020</v>
      </c>
    </row>
    <row r="277" spans="1:9" ht="15">
      <c r="A277" t="s">
        <v>81</v>
      </c>
      <c r="B277" t="s">
        <v>84</v>
      </c>
      <c r="C277" s="6" t="s">
        <v>19</v>
      </c>
      <c r="D277" s="6" t="s">
        <v>83</v>
      </c>
      <c r="E277" s="7" t="s">
        <v>82</v>
      </c>
      <c r="F277" t="str">
        <f>+'Source Table'!$B$17</f>
        <v>Finance,Insurance,Real Estate And Business Services</v>
      </c>
      <c r="G277" t="str">
        <f>+'Source Table'!$D$17</f>
        <v>خدمات المال والتأمين وخدمات العقارات وخدمات الأعمال</v>
      </c>
      <c r="H277" s="26">
        <v>5989.9269999999997</v>
      </c>
      <c r="I277">
        <f t="shared" si="3"/>
        <v>2020</v>
      </c>
    </row>
    <row r="278" spans="1:9" ht="15">
      <c r="A278" t="s">
        <v>81</v>
      </c>
      <c r="B278" t="s">
        <v>84</v>
      </c>
      <c r="C278" s="6" t="s">
        <v>19</v>
      </c>
      <c r="D278" s="6" t="s">
        <v>83</v>
      </c>
      <c r="E278" s="7" t="s">
        <v>82</v>
      </c>
      <c r="F278" t="str">
        <f>+'Source Table'!$B$18</f>
        <v>Finance And Insurance  Services</v>
      </c>
      <c r="G278" t="str">
        <f>+'Source Table'!$D$18</f>
        <v>خدمات المال والتأمين وخدمات الأعمال</v>
      </c>
      <c r="H278" s="26">
        <v>2333.5367000000001</v>
      </c>
      <c r="I278">
        <f t="shared" si="3"/>
        <v>2020</v>
      </c>
    </row>
    <row r="279" spans="1:9" ht="15">
      <c r="A279" t="s">
        <v>81</v>
      </c>
      <c r="B279" t="s">
        <v>84</v>
      </c>
      <c r="C279" s="6" t="s">
        <v>19</v>
      </c>
      <c r="D279" s="6" t="s">
        <v>83</v>
      </c>
      <c r="E279" s="7" t="s">
        <v>82</v>
      </c>
      <c r="F279" t="str">
        <f>+'Source Table'!$B$19</f>
        <v>Real Estate</v>
      </c>
      <c r="G279" t="str">
        <f>+'Source Table'!$D$19</f>
        <v>الخدمات العقارية</v>
      </c>
      <c r="H279" s="26">
        <v>3656.3903</v>
      </c>
      <c r="I279">
        <f t="shared" si="3"/>
        <v>2020</v>
      </c>
    </row>
    <row r="280" spans="1:9" ht="15">
      <c r="A280" t="s">
        <v>81</v>
      </c>
      <c r="B280" t="s">
        <v>84</v>
      </c>
      <c r="C280" s="6" t="s">
        <v>19</v>
      </c>
      <c r="D280" s="6" t="s">
        <v>83</v>
      </c>
      <c r="E280" s="7" t="s">
        <v>82</v>
      </c>
      <c r="F280" t="str">
        <f>+'Source Table'!$B$20</f>
        <v>Community,Social And Personal Services</v>
      </c>
      <c r="G280" t="str">
        <f>+'Source Table'!$D$20</f>
        <v>الخدمات الاجتماعية والشخصية</v>
      </c>
      <c r="H280" s="26">
        <v>2797.1673000000001</v>
      </c>
      <c r="I280">
        <f t="shared" si="3"/>
        <v>2020</v>
      </c>
    </row>
    <row r="281" spans="1:9" ht="15">
      <c r="A281" t="s">
        <v>81</v>
      </c>
      <c r="B281" t="s">
        <v>84</v>
      </c>
      <c r="C281" s="6" t="s">
        <v>19</v>
      </c>
      <c r="D281" s="6" t="s">
        <v>83</v>
      </c>
      <c r="E281" s="7" t="s">
        <v>82</v>
      </c>
      <c r="F281" t="str">
        <f>+'Source Table'!$B$21</f>
        <v>Total</v>
      </c>
      <c r="G281" t="str">
        <f>+'Source Table'!$D$21</f>
        <v>المجموع</v>
      </c>
      <c r="H281" s="26">
        <v>22742.536899999999</v>
      </c>
      <c r="I281">
        <f t="shared" si="3"/>
        <v>2020</v>
      </c>
    </row>
    <row r="282" spans="1:9" ht="15">
      <c r="A282" t="s">
        <v>81</v>
      </c>
      <c r="B282" t="s">
        <v>84</v>
      </c>
      <c r="C282" s="6" t="s">
        <v>19</v>
      </c>
      <c r="D282" s="6" t="s">
        <v>83</v>
      </c>
      <c r="E282" s="7" t="s">
        <v>82</v>
      </c>
      <c r="F282" t="str">
        <f>+'Source Table'!$B$22</f>
        <v>Producers Of Government Services</v>
      </c>
      <c r="G282" t="str">
        <f>+'Source Table'!$D$22</f>
        <v>منتجو الخدمات الحكومية</v>
      </c>
      <c r="H282" s="26">
        <v>4466.4937</v>
      </c>
      <c r="I282">
        <f t="shared" si="3"/>
        <v>2020</v>
      </c>
    </row>
    <row r="283" spans="1:9" ht="15">
      <c r="A283" t="s">
        <v>81</v>
      </c>
      <c r="B283" t="s">
        <v>84</v>
      </c>
      <c r="C283" s="6" t="s">
        <v>19</v>
      </c>
      <c r="D283" s="6" t="s">
        <v>83</v>
      </c>
      <c r="E283" s="7" t="s">
        <v>82</v>
      </c>
      <c r="F283" t="str">
        <f>+'Source Table'!$B$23</f>
        <v>Producers Of Private Non-Profit  Services To Households</v>
      </c>
      <c r="G283" t="str">
        <f>+'Source Table'!$D$23</f>
        <v>منتجو الخدمات الخاصة التي لاتهدف الى الربح وتخدم العائلات</v>
      </c>
      <c r="H283" s="26">
        <v>266.37209999999999</v>
      </c>
      <c r="I283">
        <f t="shared" ref="I283:I346" si="4">+I261+1</f>
        <v>2020</v>
      </c>
    </row>
    <row r="284" spans="1:9" ht="15">
      <c r="A284" t="s">
        <v>81</v>
      </c>
      <c r="B284" t="s">
        <v>84</v>
      </c>
      <c r="C284" s="6" t="s">
        <v>19</v>
      </c>
      <c r="D284" s="6" t="s">
        <v>83</v>
      </c>
      <c r="E284" s="7" t="s">
        <v>82</v>
      </c>
      <c r="F284" t="str">
        <f>+'Source Table'!$B$24</f>
        <v>Domestic Services Of Households</v>
      </c>
      <c r="G284" t="str">
        <f>+'Source Table'!$D$24</f>
        <v>الخدمات المنزلية</v>
      </c>
      <c r="H284" s="26">
        <v>441.96520000000004</v>
      </c>
      <c r="I284">
        <f t="shared" si="4"/>
        <v>2020</v>
      </c>
    </row>
    <row r="285" spans="1:9" ht="15">
      <c r="A285" t="s">
        <v>81</v>
      </c>
      <c r="B285" t="s">
        <v>84</v>
      </c>
      <c r="C285" s="6" t="s">
        <v>19</v>
      </c>
      <c r="D285" s="6" t="s">
        <v>83</v>
      </c>
      <c r="E285" s="7" t="s">
        <v>82</v>
      </c>
      <c r="F285" t="str">
        <f>+'Source Table'!$B$25</f>
        <v>Total ( A+B+C + D )</v>
      </c>
      <c r="G285" t="str">
        <f>+'Source Table'!$D$25</f>
        <v>مجموع ( أ + ب + ج + د )</v>
      </c>
      <c r="H285" s="26">
        <v>27917.367900000001</v>
      </c>
      <c r="I285">
        <f t="shared" si="4"/>
        <v>2020</v>
      </c>
    </row>
    <row r="286" spans="1:9" ht="15">
      <c r="A286" t="s">
        <v>81</v>
      </c>
      <c r="B286" t="s">
        <v>84</v>
      </c>
      <c r="C286" s="6" t="s">
        <v>19</v>
      </c>
      <c r="D286" s="6" t="s">
        <v>83</v>
      </c>
      <c r="E286" s="7" t="s">
        <v>82</v>
      </c>
      <c r="F286" t="str">
        <f>+'Source Table'!$B$26</f>
        <v>Imputed Bank Service Charge</v>
      </c>
      <c r="G286" t="str">
        <f>+'Source Table'!$D$26</f>
        <v>الخدمات المصرفية المحتسبة</v>
      </c>
      <c r="H286" s="26">
        <v>836.10709999999995</v>
      </c>
      <c r="I286">
        <f t="shared" si="4"/>
        <v>2020</v>
      </c>
    </row>
    <row r="287" spans="1:9" ht="15">
      <c r="A287" t="s">
        <v>81</v>
      </c>
      <c r="B287" t="s">
        <v>84</v>
      </c>
      <c r="C287" s="6" t="s">
        <v>19</v>
      </c>
      <c r="D287" s="6" t="s">
        <v>83</v>
      </c>
      <c r="E287" s="7" t="s">
        <v>82</v>
      </c>
      <c r="F287" t="str">
        <f>+'Source Table'!$B$27</f>
        <v>Gross Domestic Product At Basic Prices</v>
      </c>
      <c r="G287" t="str">
        <f>+'Source Table'!$D$27</f>
        <v>الناتج المحلي الاجمالي بالاسعار الاساسية</v>
      </c>
      <c r="H287" s="26">
        <v>27081.260800000004</v>
      </c>
      <c r="I287">
        <f t="shared" si="4"/>
        <v>2020</v>
      </c>
    </row>
    <row r="288" spans="1:9" ht="15">
      <c r="A288" t="s">
        <v>81</v>
      </c>
      <c r="B288" t="s">
        <v>84</v>
      </c>
      <c r="C288" s="6" t="s">
        <v>19</v>
      </c>
      <c r="D288" s="6" t="s">
        <v>83</v>
      </c>
      <c r="E288" s="7" t="s">
        <v>82</v>
      </c>
      <c r="F288" t="str">
        <f>+'Source Table'!$B$28</f>
        <v>Net Taxes On Products</v>
      </c>
      <c r="G288" t="str">
        <f>+'Source Table'!$D$28</f>
        <v>صافي الضرائب على المنتجات</v>
      </c>
      <c r="H288" s="26">
        <v>3946.0111999999999</v>
      </c>
      <c r="I288">
        <f t="shared" si="4"/>
        <v>2020</v>
      </c>
    </row>
    <row r="289" spans="1:9" ht="15">
      <c r="A289" t="s">
        <v>81</v>
      </c>
      <c r="B289" t="s">
        <v>84</v>
      </c>
      <c r="C289" s="6" t="s">
        <v>19</v>
      </c>
      <c r="D289" s="6" t="s">
        <v>83</v>
      </c>
      <c r="E289" s="7" t="s">
        <v>82</v>
      </c>
      <c r="F289" t="str">
        <f>+'Source Table'!$B$29</f>
        <v>Gross Domestic Product At Market Prices</v>
      </c>
      <c r="G289" t="str">
        <f>+'Source Table'!$D$29</f>
        <v>الناتج المحلي الاجمالي باسعار السوق</v>
      </c>
      <c r="H289" s="26">
        <v>31027.272000000001</v>
      </c>
      <c r="I289">
        <f t="shared" si="4"/>
        <v>2020</v>
      </c>
    </row>
    <row r="290" spans="1:9" ht="15">
      <c r="A290" t="s">
        <v>81</v>
      </c>
      <c r="B290" t="s">
        <v>84</v>
      </c>
      <c r="C290" s="6" t="s">
        <v>19</v>
      </c>
      <c r="D290" s="6" t="s">
        <v>83</v>
      </c>
      <c r="E290" s="7" t="s">
        <v>82</v>
      </c>
      <c r="F290" t="str">
        <f>+'Source Table'!$B$8</f>
        <v>Agriculture,Hunting,Forestry, And Fishing</v>
      </c>
      <c r="G290" t="str">
        <f>+'Source Table'!$D$8</f>
        <v>الزراعة والقنص والغابات وصيد الأسماك</v>
      </c>
      <c r="H290" s="26">
        <v>1573.4167000000002</v>
      </c>
      <c r="I290">
        <f t="shared" si="4"/>
        <v>2021</v>
      </c>
    </row>
    <row r="291" spans="1:9" ht="15">
      <c r="A291" t="s">
        <v>81</v>
      </c>
      <c r="B291" t="s">
        <v>84</v>
      </c>
      <c r="C291" s="6" t="s">
        <v>19</v>
      </c>
      <c r="D291" s="6" t="s">
        <v>83</v>
      </c>
      <c r="E291" s="7" t="s">
        <v>82</v>
      </c>
      <c r="F291" t="str">
        <f>+'Source Table'!$B$9</f>
        <v>Mining And Quarrying</v>
      </c>
      <c r="G291" t="str">
        <f>+'Source Table'!$D$9</f>
        <v>المناجم والمحاجر</v>
      </c>
      <c r="H291" s="26">
        <v>759.68460000000005</v>
      </c>
      <c r="I291">
        <f t="shared" si="4"/>
        <v>2021</v>
      </c>
    </row>
    <row r="292" spans="1:9" ht="15">
      <c r="A292" t="s">
        <v>81</v>
      </c>
      <c r="B292" t="s">
        <v>84</v>
      </c>
      <c r="C292" s="6" t="s">
        <v>19</v>
      </c>
      <c r="D292" s="6" t="s">
        <v>83</v>
      </c>
      <c r="E292" s="7" t="s">
        <v>82</v>
      </c>
      <c r="F292" t="str">
        <f>+'Source Table'!$B$10</f>
        <v>Manufacturing</v>
      </c>
      <c r="G292" t="str">
        <f>+'Source Table'!$D$10</f>
        <v>الصناعات التحويلية</v>
      </c>
      <c r="H292" s="26">
        <v>5556.1982000000007</v>
      </c>
      <c r="I292">
        <f t="shared" si="4"/>
        <v>2021</v>
      </c>
    </row>
    <row r="293" spans="1:9" ht="15">
      <c r="A293" t="s">
        <v>81</v>
      </c>
      <c r="B293" t="s">
        <v>84</v>
      </c>
      <c r="C293" s="6" t="s">
        <v>19</v>
      </c>
      <c r="D293" s="6" t="s">
        <v>83</v>
      </c>
      <c r="E293" s="7" t="s">
        <v>82</v>
      </c>
      <c r="F293" t="str">
        <f>+'Source Table'!$B$11</f>
        <v>Electricity And Water</v>
      </c>
      <c r="G293" t="str">
        <f>+'Source Table'!$D$11</f>
        <v>الكهرباء والمياه</v>
      </c>
      <c r="H293" s="26">
        <v>501.68399999999997</v>
      </c>
      <c r="I293">
        <f t="shared" si="4"/>
        <v>2021</v>
      </c>
    </row>
    <row r="294" spans="1:9" ht="15">
      <c r="A294" t="s">
        <v>81</v>
      </c>
      <c r="B294" t="s">
        <v>84</v>
      </c>
      <c r="C294" s="6" t="s">
        <v>19</v>
      </c>
      <c r="D294" s="6" t="s">
        <v>83</v>
      </c>
      <c r="E294" s="7" t="s">
        <v>82</v>
      </c>
      <c r="F294" t="str">
        <f>+'Source Table'!$B$12</f>
        <v>Construction</v>
      </c>
      <c r="G294" t="str">
        <f>+'Source Table'!$D$12</f>
        <v>الإنشاءات</v>
      </c>
      <c r="H294" s="26">
        <v>880.78069999999991</v>
      </c>
      <c r="I294">
        <f t="shared" si="4"/>
        <v>2021</v>
      </c>
    </row>
    <row r="295" spans="1:9" ht="15">
      <c r="A295" t="s">
        <v>81</v>
      </c>
      <c r="B295" t="s">
        <v>84</v>
      </c>
      <c r="C295" s="6" t="s">
        <v>19</v>
      </c>
      <c r="D295" s="6" t="s">
        <v>83</v>
      </c>
      <c r="E295" s="7" t="s">
        <v>82</v>
      </c>
      <c r="F295" t="str">
        <f>+'Source Table'!$B$13</f>
        <v>Wholesale &amp; Retail Trade, Restuarants&amp; Hotels</v>
      </c>
      <c r="G295" t="str">
        <f>+'Source Table'!$D$13</f>
        <v>تجارة الجملة والتجزئة والمطاعم والفنادق</v>
      </c>
      <c r="H295" s="26">
        <v>2994.6730000000002</v>
      </c>
      <c r="I295">
        <f t="shared" si="4"/>
        <v>2021</v>
      </c>
    </row>
    <row r="296" spans="1:9" ht="15">
      <c r="A296" t="s">
        <v>81</v>
      </c>
      <c r="B296" t="s">
        <v>84</v>
      </c>
      <c r="C296" s="6" t="s">
        <v>19</v>
      </c>
      <c r="D296" s="6" t="s">
        <v>83</v>
      </c>
      <c r="E296" s="7" t="s">
        <v>82</v>
      </c>
      <c r="F296" t="str">
        <f>+'Source Table'!$B$14</f>
        <v>Wholesale And Retail Trade</v>
      </c>
      <c r="G296" t="str">
        <f>+'Source Table'!$D$14</f>
        <v>تجارة الجملة والتجزئة</v>
      </c>
      <c r="H296" s="26">
        <v>2542.3044</v>
      </c>
      <c r="I296">
        <f t="shared" si="4"/>
        <v>2021</v>
      </c>
    </row>
    <row r="297" spans="1:9" ht="15">
      <c r="A297" t="s">
        <v>81</v>
      </c>
      <c r="B297" t="s">
        <v>84</v>
      </c>
      <c r="C297" s="6" t="s">
        <v>19</v>
      </c>
      <c r="D297" s="6" t="s">
        <v>83</v>
      </c>
      <c r="E297" s="7" t="s">
        <v>82</v>
      </c>
      <c r="F297" t="str">
        <f>+'Source Table'!$B$15</f>
        <v>Restaurant And Hotels</v>
      </c>
      <c r="G297" t="str">
        <f>+'Source Table'!$D$15</f>
        <v>الفنادق والمطاعم</v>
      </c>
      <c r="H297" s="26">
        <v>452.36860000000001</v>
      </c>
      <c r="I297">
        <f t="shared" si="4"/>
        <v>2021</v>
      </c>
    </row>
    <row r="298" spans="1:9" ht="15">
      <c r="A298" t="s">
        <v>81</v>
      </c>
      <c r="B298" t="s">
        <v>84</v>
      </c>
      <c r="C298" s="6" t="s">
        <v>19</v>
      </c>
      <c r="D298" s="6" t="s">
        <v>83</v>
      </c>
      <c r="E298" s="7" t="s">
        <v>82</v>
      </c>
      <c r="F298" t="str">
        <f>+'Source Table'!$B$16</f>
        <v>Transport,Storage &amp; Communications</v>
      </c>
      <c r="G298" t="str">
        <f>+'Source Table'!$D$16</f>
        <v>النقل والتخزين والإتصالات</v>
      </c>
      <c r="H298" s="26">
        <v>2498.3068000000003</v>
      </c>
      <c r="I298">
        <f t="shared" si="4"/>
        <v>2021</v>
      </c>
    </row>
    <row r="299" spans="1:9" ht="15">
      <c r="A299" t="s">
        <v>81</v>
      </c>
      <c r="B299" t="s">
        <v>84</v>
      </c>
      <c r="C299" s="6" t="s">
        <v>19</v>
      </c>
      <c r="D299" s="6" t="s">
        <v>83</v>
      </c>
      <c r="E299" s="7" t="s">
        <v>82</v>
      </c>
      <c r="F299" t="str">
        <f>+'Source Table'!$B$17</f>
        <v>Finance,Insurance,Real Estate And Business Services</v>
      </c>
      <c r="G299" t="str">
        <f>+'Source Table'!$D$17</f>
        <v>خدمات المال والتأمين وخدمات العقارات وخدمات الأعمال</v>
      </c>
      <c r="H299" s="26">
        <v>6167.4700999999986</v>
      </c>
      <c r="I299">
        <f t="shared" si="4"/>
        <v>2021</v>
      </c>
    </row>
    <row r="300" spans="1:9" ht="15">
      <c r="A300" t="s">
        <v>81</v>
      </c>
      <c r="B300" t="s">
        <v>84</v>
      </c>
      <c r="C300" s="6" t="s">
        <v>19</v>
      </c>
      <c r="D300" s="6" t="s">
        <v>83</v>
      </c>
      <c r="E300" s="7" t="s">
        <v>82</v>
      </c>
      <c r="F300" t="str">
        <f>+'Source Table'!$B$18</f>
        <v>Finance And Insurance  Services</v>
      </c>
      <c r="G300" t="str">
        <f>+'Source Table'!$D$18</f>
        <v>خدمات المال والتأمين وخدمات الأعمال</v>
      </c>
      <c r="H300" s="26">
        <v>2432.4529000000002</v>
      </c>
      <c r="I300">
        <f t="shared" si="4"/>
        <v>2021</v>
      </c>
    </row>
    <row r="301" spans="1:9" ht="15">
      <c r="A301" t="s">
        <v>81</v>
      </c>
      <c r="B301" t="s">
        <v>84</v>
      </c>
      <c r="C301" s="6" t="s">
        <v>19</v>
      </c>
      <c r="D301" s="6" t="s">
        <v>83</v>
      </c>
      <c r="E301" s="7" t="s">
        <v>82</v>
      </c>
      <c r="F301" t="str">
        <f>+'Source Table'!$B$19</f>
        <v>Real Estate</v>
      </c>
      <c r="G301" t="str">
        <f>+'Source Table'!$D$19</f>
        <v>الخدمات العقارية</v>
      </c>
      <c r="H301" s="26">
        <v>3735.0171999999998</v>
      </c>
      <c r="I301">
        <f t="shared" si="4"/>
        <v>2021</v>
      </c>
    </row>
    <row r="302" spans="1:9" ht="15">
      <c r="A302" t="s">
        <v>81</v>
      </c>
      <c r="B302" t="s">
        <v>84</v>
      </c>
      <c r="C302" s="6" t="s">
        <v>19</v>
      </c>
      <c r="D302" s="6" t="s">
        <v>83</v>
      </c>
      <c r="E302" s="7" t="s">
        <v>82</v>
      </c>
      <c r="F302" t="str">
        <f>+'Source Table'!$B$20</f>
        <v>Community,Social And Personal Services</v>
      </c>
      <c r="G302" t="str">
        <f>+'Source Table'!$D$20</f>
        <v>الخدمات الاجتماعية والشخصية</v>
      </c>
      <c r="H302" s="26">
        <v>2936.1990999999998</v>
      </c>
      <c r="I302">
        <f t="shared" si="4"/>
        <v>2021</v>
      </c>
    </row>
    <row r="303" spans="1:9" ht="15">
      <c r="A303" t="s">
        <v>81</v>
      </c>
      <c r="B303" t="s">
        <v>84</v>
      </c>
      <c r="C303" s="6" t="s">
        <v>19</v>
      </c>
      <c r="D303" s="6" t="s">
        <v>83</v>
      </c>
      <c r="E303" s="7" t="s">
        <v>82</v>
      </c>
      <c r="F303" t="str">
        <f>+'Source Table'!$B$21</f>
        <v>Total</v>
      </c>
      <c r="G303" t="str">
        <f>+'Source Table'!$D$21</f>
        <v>المجموع</v>
      </c>
      <c r="H303" s="26">
        <v>23868.413199999999</v>
      </c>
      <c r="I303">
        <f t="shared" si="4"/>
        <v>2021</v>
      </c>
    </row>
    <row r="304" spans="1:9" ht="15">
      <c r="A304" t="s">
        <v>81</v>
      </c>
      <c r="B304" t="s">
        <v>84</v>
      </c>
      <c r="C304" s="6" t="s">
        <v>19</v>
      </c>
      <c r="D304" s="6" t="s">
        <v>83</v>
      </c>
      <c r="E304" s="7" t="s">
        <v>82</v>
      </c>
      <c r="F304" t="str">
        <f>+'Source Table'!$B$22</f>
        <v>Producers Of Government Services</v>
      </c>
      <c r="G304" t="str">
        <f>+'Source Table'!$D$22</f>
        <v>منتجو الخدمات الحكومية</v>
      </c>
      <c r="H304" s="26">
        <v>4617.6840000000002</v>
      </c>
      <c r="I304">
        <f t="shared" si="4"/>
        <v>2021</v>
      </c>
    </row>
    <row r="305" spans="1:9" ht="15">
      <c r="A305" t="s">
        <v>81</v>
      </c>
      <c r="B305" t="s">
        <v>84</v>
      </c>
      <c r="C305" s="6" t="s">
        <v>19</v>
      </c>
      <c r="D305" s="6" t="s">
        <v>83</v>
      </c>
      <c r="E305" s="7" t="s">
        <v>82</v>
      </c>
      <c r="F305" t="str">
        <f>+'Source Table'!$B$23</f>
        <v>Producers Of Private Non-Profit  Services To Households</v>
      </c>
      <c r="G305" t="str">
        <f>+'Source Table'!$D$23</f>
        <v>منتجو الخدمات الخاصة التي لاتهدف الى الربح وتخدم العائلات</v>
      </c>
      <c r="H305" s="26">
        <v>285.45600000000002</v>
      </c>
      <c r="I305">
        <f t="shared" si="4"/>
        <v>2021</v>
      </c>
    </row>
    <row r="306" spans="1:9" ht="15">
      <c r="A306" t="s">
        <v>81</v>
      </c>
      <c r="B306" t="s">
        <v>84</v>
      </c>
      <c r="C306" s="6" t="s">
        <v>19</v>
      </c>
      <c r="D306" s="6" t="s">
        <v>83</v>
      </c>
      <c r="E306" s="7" t="s">
        <v>82</v>
      </c>
      <c r="F306" t="str">
        <f>+'Source Table'!$B$24</f>
        <v>Domestic Services Of Households</v>
      </c>
      <c r="G306" t="str">
        <f>+'Source Table'!$D$24</f>
        <v>الخدمات المنزلية</v>
      </c>
      <c r="H306" s="26">
        <v>499.7217</v>
      </c>
      <c r="I306">
        <f t="shared" si="4"/>
        <v>2021</v>
      </c>
    </row>
    <row r="307" spans="1:9" ht="15">
      <c r="A307" t="s">
        <v>81</v>
      </c>
      <c r="B307" t="s">
        <v>84</v>
      </c>
      <c r="C307" s="6" t="s">
        <v>19</v>
      </c>
      <c r="D307" s="6" t="s">
        <v>83</v>
      </c>
      <c r="E307" s="7" t="s">
        <v>82</v>
      </c>
      <c r="F307" t="str">
        <f>+'Source Table'!$B$25</f>
        <v>Total ( A+B+C + D )</v>
      </c>
      <c r="G307" t="str">
        <f>+'Source Table'!$D$25</f>
        <v>مجموع ( أ + ب + ج + د )</v>
      </c>
      <c r="H307" s="26">
        <v>29271.274900000004</v>
      </c>
      <c r="I307">
        <f t="shared" si="4"/>
        <v>2021</v>
      </c>
    </row>
    <row r="308" spans="1:9" ht="15">
      <c r="A308" t="s">
        <v>81</v>
      </c>
      <c r="B308" t="s">
        <v>84</v>
      </c>
      <c r="C308" s="6" t="s">
        <v>19</v>
      </c>
      <c r="D308" s="6" t="s">
        <v>83</v>
      </c>
      <c r="E308" s="7" t="s">
        <v>82</v>
      </c>
      <c r="F308" t="str">
        <f>+'Source Table'!$B$26</f>
        <v>Imputed Bank Service Charge</v>
      </c>
      <c r="G308" t="str">
        <f>+'Source Table'!$D$26</f>
        <v>الخدمات المصرفية المحتسبة</v>
      </c>
      <c r="H308" s="26">
        <v>939.76820000000009</v>
      </c>
      <c r="I308">
        <f t="shared" si="4"/>
        <v>2021</v>
      </c>
    </row>
    <row r="309" spans="1:9" ht="15">
      <c r="A309" t="s">
        <v>81</v>
      </c>
      <c r="B309" t="s">
        <v>84</v>
      </c>
      <c r="C309" s="6" t="s">
        <v>19</v>
      </c>
      <c r="D309" s="6" t="s">
        <v>83</v>
      </c>
      <c r="E309" s="7" t="s">
        <v>82</v>
      </c>
      <c r="F309" t="str">
        <f>+'Source Table'!$B$27</f>
        <v>Gross Domestic Product At Basic Prices</v>
      </c>
      <c r="G309" t="str">
        <f>+'Source Table'!$D$27</f>
        <v>الناتج المحلي الاجمالي بالاسعار الاساسية</v>
      </c>
      <c r="H309" s="26">
        <v>28331.506699999998</v>
      </c>
      <c r="I309">
        <f t="shared" si="4"/>
        <v>2021</v>
      </c>
    </row>
    <row r="310" spans="1:9" ht="15">
      <c r="A310" t="s">
        <v>81</v>
      </c>
      <c r="B310" t="s">
        <v>84</v>
      </c>
      <c r="C310" s="6" t="s">
        <v>19</v>
      </c>
      <c r="D310" s="6" t="s">
        <v>83</v>
      </c>
      <c r="E310" s="7" t="s">
        <v>82</v>
      </c>
      <c r="F310" t="str">
        <f>+'Source Table'!$B$28</f>
        <v>Net Taxes On Products</v>
      </c>
      <c r="G310" t="str">
        <f>+'Source Table'!$D$28</f>
        <v>صافي الضرائب على المنتجات</v>
      </c>
      <c r="H310" s="26">
        <v>4538.7244000000001</v>
      </c>
      <c r="I310">
        <f t="shared" si="4"/>
        <v>2021</v>
      </c>
    </row>
    <row r="311" spans="1:9" ht="15">
      <c r="A311" t="s">
        <v>81</v>
      </c>
      <c r="B311" t="s">
        <v>84</v>
      </c>
      <c r="C311" s="6" t="s">
        <v>19</v>
      </c>
      <c r="D311" s="6" t="s">
        <v>83</v>
      </c>
      <c r="E311" s="7" t="s">
        <v>82</v>
      </c>
      <c r="F311" t="str">
        <f>+'Source Table'!$B$29</f>
        <v>Gross Domestic Product At Market Prices</v>
      </c>
      <c r="G311" t="str">
        <f>+'Source Table'!$D$29</f>
        <v>الناتج المحلي الاجمالي باسعار السوق</v>
      </c>
      <c r="H311" s="26">
        <v>32870.231100000005</v>
      </c>
      <c r="I311">
        <f t="shared" si="4"/>
        <v>2021</v>
      </c>
    </row>
    <row r="312" spans="1:9" ht="15">
      <c r="A312" t="s">
        <v>81</v>
      </c>
      <c r="B312" t="s">
        <v>84</v>
      </c>
      <c r="C312" s="6" t="s">
        <v>19</v>
      </c>
      <c r="D312" s="6" t="s">
        <v>83</v>
      </c>
      <c r="E312" s="7" t="s">
        <v>82</v>
      </c>
      <c r="F312" t="str">
        <f>+'Source Table'!$B$8</f>
        <v>Agriculture,Hunting,Forestry, And Fishing</v>
      </c>
      <c r="G312" t="str">
        <f>+'Source Table'!$D$8</f>
        <v>الزراعة والقنص والغابات وصيد الأسماك</v>
      </c>
      <c r="H312" s="26">
        <v>1668.0882999999999</v>
      </c>
      <c r="I312">
        <f t="shared" si="4"/>
        <v>2022</v>
      </c>
    </row>
    <row r="313" spans="1:9" ht="15">
      <c r="A313" t="s">
        <v>81</v>
      </c>
      <c r="B313" t="s">
        <v>84</v>
      </c>
      <c r="C313" s="6" t="s">
        <v>19</v>
      </c>
      <c r="D313" s="6" t="s">
        <v>83</v>
      </c>
      <c r="E313" s="7" t="s">
        <v>82</v>
      </c>
      <c r="F313" t="str">
        <f>+'Source Table'!$B$9</f>
        <v>Mining And Quarrying</v>
      </c>
      <c r="G313" t="str">
        <f>+'Source Table'!$D$9</f>
        <v>المناجم والمحاجر</v>
      </c>
      <c r="H313" s="26">
        <v>1051.6323</v>
      </c>
      <c r="I313">
        <f t="shared" si="4"/>
        <v>2022</v>
      </c>
    </row>
    <row r="314" spans="1:9" ht="15">
      <c r="A314" t="s">
        <v>81</v>
      </c>
      <c r="B314" t="s">
        <v>84</v>
      </c>
      <c r="C314" s="6" t="s">
        <v>19</v>
      </c>
      <c r="D314" s="6" t="s">
        <v>83</v>
      </c>
      <c r="E314" s="7" t="s">
        <v>82</v>
      </c>
      <c r="F314" t="str">
        <f>+'Source Table'!$B$10</f>
        <v>Manufacturing</v>
      </c>
      <c r="G314" t="str">
        <f>+'Source Table'!$D$10</f>
        <v>الصناعات التحويلية</v>
      </c>
      <c r="H314" s="26">
        <v>5937.3765000000003</v>
      </c>
      <c r="I314">
        <f t="shared" si="4"/>
        <v>2022</v>
      </c>
    </row>
    <row r="315" spans="1:9" ht="15">
      <c r="A315" t="s">
        <v>81</v>
      </c>
      <c r="B315" t="s">
        <v>84</v>
      </c>
      <c r="C315" s="6" t="s">
        <v>19</v>
      </c>
      <c r="D315" s="6" t="s">
        <v>83</v>
      </c>
      <c r="E315" s="7" t="s">
        <v>82</v>
      </c>
      <c r="F315" t="str">
        <f>+'Source Table'!$B$11</f>
        <v>Electricity And Water</v>
      </c>
      <c r="G315" t="str">
        <f>+'Source Table'!$D$11</f>
        <v>الكهرباء والمياه</v>
      </c>
      <c r="H315" s="26">
        <v>541.85820000000001</v>
      </c>
      <c r="I315">
        <f t="shared" si="4"/>
        <v>2022</v>
      </c>
    </row>
    <row r="316" spans="1:9" ht="15">
      <c r="A316" t="s">
        <v>81</v>
      </c>
      <c r="B316" t="s">
        <v>84</v>
      </c>
      <c r="C316" s="6" t="s">
        <v>19</v>
      </c>
      <c r="D316" s="6" t="s">
        <v>83</v>
      </c>
      <c r="E316" s="7" t="s">
        <v>82</v>
      </c>
      <c r="F316" t="str">
        <f>+'Source Table'!$B$12</f>
        <v>Construction</v>
      </c>
      <c r="G316" t="str">
        <f>+'Source Table'!$D$12</f>
        <v>الإنشاءات</v>
      </c>
      <c r="H316" s="26">
        <v>947.71339999999987</v>
      </c>
      <c r="I316">
        <f t="shared" si="4"/>
        <v>2022</v>
      </c>
    </row>
    <row r="317" spans="1:9" ht="15">
      <c r="A317" t="s">
        <v>81</v>
      </c>
      <c r="B317" t="s">
        <v>84</v>
      </c>
      <c r="C317" s="6" t="s">
        <v>19</v>
      </c>
      <c r="D317" s="6" t="s">
        <v>83</v>
      </c>
      <c r="E317" s="7" t="s">
        <v>82</v>
      </c>
      <c r="F317" t="str">
        <f>+'Source Table'!$B$13</f>
        <v>Wholesale &amp; Retail Trade, Restuarants&amp; Hotels</v>
      </c>
      <c r="G317" t="str">
        <f>+'Source Table'!$D$13</f>
        <v>تجارة الجملة والتجزئة والمطاعم والفنادق</v>
      </c>
      <c r="H317" s="26">
        <v>3224.0518999999999</v>
      </c>
      <c r="I317">
        <f t="shared" si="4"/>
        <v>2022</v>
      </c>
    </row>
    <row r="318" spans="1:9" ht="15">
      <c r="A318" t="s">
        <v>81</v>
      </c>
      <c r="B318" t="s">
        <v>84</v>
      </c>
      <c r="C318" s="6" t="s">
        <v>19</v>
      </c>
      <c r="D318" s="6" t="s">
        <v>83</v>
      </c>
      <c r="E318" s="7" t="s">
        <v>82</v>
      </c>
      <c r="F318" t="str">
        <f>+'Source Table'!$B$14</f>
        <v>Wholesale And Retail Trade</v>
      </c>
      <c r="G318" t="str">
        <f>+'Source Table'!$D$14</f>
        <v>تجارة الجملة والتجزئة</v>
      </c>
      <c r="H318" s="26">
        <v>2725.9155000000001</v>
      </c>
      <c r="I318">
        <f t="shared" si="4"/>
        <v>2022</v>
      </c>
    </row>
    <row r="319" spans="1:9" ht="15">
      <c r="A319" t="s">
        <v>81</v>
      </c>
      <c r="B319" t="s">
        <v>84</v>
      </c>
      <c r="C319" s="6" t="s">
        <v>19</v>
      </c>
      <c r="D319" s="6" t="s">
        <v>83</v>
      </c>
      <c r="E319" s="7" t="s">
        <v>82</v>
      </c>
      <c r="F319" t="str">
        <f>+'Source Table'!$B$15</f>
        <v>Restaurant And Hotels</v>
      </c>
      <c r="G319" t="str">
        <f>+'Source Table'!$D$15</f>
        <v>الفنادق والمطاعم</v>
      </c>
      <c r="H319" s="26">
        <v>498.13639999999998</v>
      </c>
      <c r="I319">
        <f t="shared" si="4"/>
        <v>2022</v>
      </c>
    </row>
    <row r="320" spans="1:9" ht="15">
      <c r="A320" t="s">
        <v>81</v>
      </c>
      <c r="B320" t="s">
        <v>84</v>
      </c>
      <c r="C320" s="6" t="s">
        <v>19</v>
      </c>
      <c r="D320" s="6" t="s">
        <v>83</v>
      </c>
      <c r="E320" s="7" t="s">
        <v>82</v>
      </c>
      <c r="F320" t="str">
        <f>+'Source Table'!$B$16</f>
        <v>Transport,Storage &amp; Communications</v>
      </c>
      <c r="G320" t="str">
        <f>+'Source Table'!$D$16</f>
        <v>النقل والتخزين والإتصالات</v>
      </c>
      <c r="H320" s="26">
        <v>2681.3661999999999</v>
      </c>
      <c r="I320">
        <f t="shared" si="4"/>
        <v>2022</v>
      </c>
    </row>
    <row r="321" spans="1:9" ht="15">
      <c r="A321" t="s">
        <v>81</v>
      </c>
      <c r="B321" t="s">
        <v>84</v>
      </c>
      <c r="C321" s="6" t="s">
        <v>19</v>
      </c>
      <c r="D321" s="6" t="s">
        <v>83</v>
      </c>
      <c r="E321" s="7" t="s">
        <v>82</v>
      </c>
      <c r="F321" t="str">
        <f>+'Source Table'!$B$17</f>
        <v>Finance,Insurance,Real Estate And Business Services</v>
      </c>
      <c r="G321" t="str">
        <f>+'Source Table'!$D$17</f>
        <v>خدمات المال والتأمين وخدمات العقارات وخدمات الأعمال</v>
      </c>
      <c r="H321" s="26">
        <v>6353.6046000000006</v>
      </c>
      <c r="I321">
        <f t="shared" si="4"/>
        <v>2022</v>
      </c>
    </row>
    <row r="322" spans="1:9" ht="15">
      <c r="A322" t="s">
        <v>81</v>
      </c>
      <c r="B322" t="s">
        <v>84</v>
      </c>
      <c r="C322" s="6" t="s">
        <v>19</v>
      </c>
      <c r="D322" s="6" t="s">
        <v>83</v>
      </c>
      <c r="E322" s="7" t="s">
        <v>82</v>
      </c>
      <c r="F322" t="str">
        <f>+'Source Table'!$B$18</f>
        <v>Finance And Insurance  Services</v>
      </c>
      <c r="G322" t="str">
        <f>+'Source Table'!$D$18</f>
        <v>خدمات المال والتأمين وخدمات الأعمال</v>
      </c>
      <c r="H322" s="26">
        <v>2509.4250999999999</v>
      </c>
      <c r="I322">
        <f t="shared" si="4"/>
        <v>2022</v>
      </c>
    </row>
    <row r="323" spans="1:9" ht="15">
      <c r="A323" t="s">
        <v>81</v>
      </c>
      <c r="B323" t="s">
        <v>84</v>
      </c>
      <c r="C323" s="6" t="s">
        <v>19</v>
      </c>
      <c r="D323" s="6" t="s">
        <v>83</v>
      </c>
      <c r="E323" s="7" t="s">
        <v>82</v>
      </c>
      <c r="F323" t="str">
        <f>+'Source Table'!$B$19</f>
        <v>Real Estate</v>
      </c>
      <c r="G323" t="str">
        <f>+'Source Table'!$D$19</f>
        <v>الخدمات العقارية</v>
      </c>
      <c r="H323" s="26">
        <v>3844.1795000000002</v>
      </c>
      <c r="I323">
        <f t="shared" si="4"/>
        <v>2022</v>
      </c>
    </row>
    <row r="324" spans="1:9" ht="15">
      <c r="A324" t="s">
        <v>81</v>
      </c>
      <c r="B324" t="s">
        <v>84</v>
      </c>
      <c r="C324" s="6" t="s">
        <v>19</v>
      </c>
      <c r="D324" s="6" t="s">
        <v>83</v>
      </c>
      <c r="E324" s="7" t="s">
        <v>82</v>
      </c>
      <c r="F324" t="str">
        <f>+'Source Table'!$B$20</f>
        <v>Community,Social And Personal Services</v>
      </c>
      <c r="G324" t="str">
        <f>+'Source Table'!$D$20</f>
        <v>الخدمات الاجتماعية والشخصية</v>
      </c>
      <c r="H324" s="26">
        <v>3065.4215999999997</v>
      </c>
      <c r="I324">
        <f t="shared" si="4"/>
        <v>2022</v>
      </c>
    </row>
    <row r="325" spans="1:9" ht="15">
      <c r="A325" t="s">
        <v>81</v>
      </c>
      <c r="B325" t="s">
        <v>84</v>
      </c>
      <c r="C325" s="6" t="s">
        <v>19</v>
      </c>
      <c r="D325" s="6" t="s">
        <v>83</v>
      </c>
      <c r="E325" s="7" t="s">
        <v>82</v>
      </c>
      <c r="F325" t="str">
        <f>+'Source Table'!$B$21</f>
        <v>Total</v>
      </c>
      <c r="G325" t="str">
        <f>+'Source Table'!$D$21</f>
        <v>المجموع</v>
      </c>
      <c r="H325" s="26">
        <v>25471.112999999998</v>
      </c>
      <c r="I325">
        <f t="shared" si="4"/>
        <v>2022</v>
      </c>
    </row>
    <row r="326" spans="1:9" ht="15">
      <c r="A326" t="s">
        <v>81</v>
      </c>
      <c r="B326" t="s">
        <v>84</v>
      </c>
      <c r="C326" s="6" t="s">
        <v>19</v>
      </c>
      <c r="D326" s="6" t="s">
        <v>83</v>
      </c>
      <c r="E326" s="7" t="s">
        <v>82</v>
      </c>
      <c r="F326" t="str">
        <f>+'Source Table'!$B$22</f>
        <v>Producers Of Government Services</v>
      </c>
      <c r="G326" t="str">
        <f>+'Source Table'!$D$22</f>
        <v>منتجو الخدمات الحكومية</v>
      </c>
      <c r="H326" s="26">
        <v>4796.0156000000006</v>
      </c>
      <c r="I326">
        <f t="shared" si="4"/>
        <v>2022</v>
      </c>
    </row>
    <row r="327" spans="1:9" ht="15">
      <c r="A327" t="s">
        <v>81</v>
      </c>
      <c r="B327" t="s">
        <v>84</v>
      </c>
      <c r="C327" s="6" t="s">
        <v>19</v>
      </c>
      <c r="D327" s="6" t="s">
        <v>83</v>
      </c>
      <c r="E327" s="7" t="s">
        <v>82</v>
      </c>
      <c r="F327" t="str">
        <f>+'Source Table'!$B$23</f>
        <v>Producers Of Private Non-Profit  Services To Households</v>
      </c>
      <c r="G327" t="str">
        <f>+'Source Table'!$D$23</f>
        <v>منتجو الخدمات الخاصة التي لاتهدف الى الربح وتخدم العائلات</v>
      </c>
      <c r="H327" s="26">
        <v>308.83840000000004</v>
      </c>
      <c r="I327">
        <f t="shared" si="4"/>
        <v>2022</v>
      </c>
    </row>
    <row r="328" spans="1:9" ht="15">
      <c r="A328" t="s">
        <v>81</v>
      </c>
      <c r="B328" t="s">
        <v>84</v>
      </c>
      <c r="C328" s="6" t="s">
        <v>19</v>
      </c>
      <c r="D328" s="6" t="s">
        <v>83</v>
      </c>
      <c r="E328" s="7" t="s">
        <v>82</v>
      </c>
      <c r="F328" t="str">
        <f>+'Source Table'!$B$24</f>
        <v>Domestic Services Of Households</v>
      </c>
      <c r="G328" t="str">
        <f>+'Source Table'!$D$24</f>
        <v>الخدمات المنزلية</v>
      </c>
      <c r="H328" s="26">
        <v>497.74509999999998</v>
      </c>
      <c r="I328">
        <f t="shared" si="4"/>
        <v>2022</v>
      </c>
    </row>
    <row r="329" spans="1:9" ht="15">
      <c r="A329" t="s">
        <v>81</v>
      </c>
      <c r="B329" t="s">
        <v>84</v>
      </c>
      <c r="C329" s="6" t="s">
        <v>19</v>
      </c>
      <c r="D329" s="6" t="s">
        <v>83</v>
      </c>
      <c r="E329" s="7" t="s">
        <v>82</v>
      </c>
      <c r="F329" t="str">
        <f>+'Source Table'!$B$25</f>
        <v>Total ( A+B+C + D )</v>
      </c>
      <c r="G329" t="str">
        <f>+'Source Table'!$D$25</f>
        <v>مجموع ( أ + ب + ج + د )</v>
      </c>
      <c r="H329" s="26">
        <v>31073.712099999997</v>
      </c>
      <c r="I329">
        <f t="shared" si="4"/>
        <v>2022</v>
      </c>
    </row>
    <row r="330" spans="1:9" ht="15">
      <c r="A330" t="s">
        <v>81</v>
      </c>
      <c r="B330" t="s">
        <v>84</v>
      </c>
      <c r="C330" s="6" t="s">
        <v>19</v>
      </c>
      <c r="D330" s="6" t="s">
        <v>83</v>
      </c>
      <c r="E330" s="7" t="s">
        <v>82</v>
      </c>
      <c r="F330" t="str">
        <f>+'Source Table'!$B$26</f>
        <v>Imputed Bank Service Charge</v>
      </c>
      <c r="G330" t="str">
        <f>+'Source Table'!$D$26</f>
        <v>الخدمات المصرفية المحتسبة</v>
      </c>
      <c r="H330" s="26">
        <v>1075.857</v>
      </c>
      <c r="I330">
        <f t="shared" si="4"/>
        <v>2022</v>
      </c>
    </row>
    <row r="331" spans="1:9" ht="15">
      <c r="A331" t="s">
        <v>81</v>
      </c>
      <c r="B331" t="s">
        <v>84</v>
      </c>
      <c r="C331" s="6" t="s">
        <v>19</v>
      </c>
      <c r="D331" s="6" t="s">
        <v>83</v>
      </c>
      <c r="E331" s="7" t="s">
        <v>82</v>
      </c>
      <c r="F331" t="str">
        <f>+'Source Table'!$B$27</f>
        <v>Gross Domestic Product At Basic Prices</v>
      </c>
      <c r="G331" t="str">
        <f>+'Source Table'!$D$27</f>
        <v>الناتج المحلي الاجمالي بالاسعار الاساسية</v>
      </c>
      <c r="H331" s="26">
        <v>29997.855100000001</v>
      </c>
      <c r="I331">
        <f t="shared" si="4"/>
        <v>2022</v>
      </c>
    </row>
    <row r="332" spans="1:9" ht="15">
      <c r="A332" t="s">
        <v>81</v>
      </c>
      <c r="B332" t="s">
        <v>84</v>
      </c>
      <c r="C332" s="6" t="s">
        <v>19</v>
      </c>
      <c r="D332" s="6" t="s">
        <v>83</v>
      </c>
      <c r="E332" s="7" t="s">
        <v>82</v>
      </c>
      <c r="F332" t="str">
        <f>+'Source Table'!$B$28</f>
        <v>Net Taxes On Products</v>
      </c>
      <c r="G332" t="str">
        <f>+'Source Table'!$D$28</f>
        <v>صافي الضرائب على المنتجات</v>
      </c>
      <c r="H332" s="26">
        <v>4625.2689</v>
      </c>
      <c r="I332">
        <f t="shared" si="4"/>
        <v>2022</v>
      </c>
    </row>
    <row r="333" spans="1:9" ht="15">
      <c r="A333" t="s">
        <v>81</v>
      </c>
      <c r="B333" t="s">
        <v>84</v>
      </c>
      <c r="C333" s="6" t="s">
        <v>19</v>
      </c>
      <c r="D333" s="6" t="s">
        <v>83</v>
      </c>
      <c r="E333" s="7" t="s">
        <v>82</v>
      </c>
      <c r="F333" t="str">
        <f>+'Source Table'!$B$29</f>
        <v>Gross Domestic Product At Market Prices</v>
      </c>
      <c r="G333" t="str">
        <f>+'Source Table'!$D$29</f>
        <v>الناتج المحلي الاجمالي باسعار السوق</v>
      </c>
      <c r="H333" s="26">
        <v>34623.123999999996</v>
      </c>
      <c r="I333">
        <f t="shared" si="4"/>
        <v>2022</v>
      </c>
    </row>
    <row r="334" spans="1:9" ht="15">
      <c r="A334" t="s">
        <v>81</v>
      </c>
      <c r="B334" t="s">
        <v>84</v>
      </c>
      <c r="C334" s="6" t="s">
        <v>19</v>
      </c>
      <c r="D334" s="6" t="s">
        <v>83</v>
      </c>
      <c r="E334" s="7" t="s">
        <v>82</v>
      </c>
      <c r="F334" t="str">
        <f>+'Source Table'!$B$8</f>
        <v>Agriculture,Hunting,Forestry, And Fishing</v>
      </c>
      <c r="G334" t="str">
        <f>+'Source Table'!$D$8</f>
        <v>الزراعة والقنص والغابات وصيد الأسماك</v>
      </c>
      <c r="H334" s="26">
        <v>1740.4637000000002</v>
      </c>
      <c r="I334">
        <f t="shared" si="4"/>
        <v>2023</v>
      </c>
    </row>
    <row r="335" spans="1:9" ht="15">
      <c r="A335" t="s">
        <v>81</v>
      </c>
      <c r="B335" t="s">
        <v>84</v>
      </c>
      <c r="C335" s="6" t="s">
        <v>19</v>
      </c>
      <c r="D335" s="6" t="s">
        <v>83</v>
      </c>
      <c r="E335" s="7" t="s">
        <v>82</v>
      </c>
      <c r="F335" t="str">
        <f>+'Source Table'!$B$9</f>
        <v>Mining And Quarrying</v>
      </c>
      <c r="G335" t="str">
        <f>+'Source Table'!$D$9</f>
        <v>المناجم والمحاجر</v>
      </c>
      <c r="H335" s="26">
        <v>1157.0364000000002</v>
      </c>
      <c r="I335">
        <f t="shared" si="4"/>
        <v>2023</v>
      </c>
    </row>
    <row r="336" spans="1:9" ht="15">
      <c r="A336" t="s">
        <v>81</v>
      </c>
      <c r="B336" t="s">
        <v>84</v>
      </c>
      <c r="C336" s="6" t="s">
        <v>19</v>
      </c>
      <c r="D336" s="6" t="s">
        <v>83</v>
      </c>
      <c r="E336" s="7" t="s">
        <v>82</v>
      </c>
      <c r="F336" t="str">
        <f>+'Source Table'!$B$10</f>
        <v>Manufacturing</v>
      </c>
      <c r="G336" t="str">
        <f>+'Source Table'!$D$10</f>
        <v>الصناعات التحويلية</v>
      </c>
      <c r="H336" s="26">
        <v>6267.3773999999994</v>
      </c>
      <c r="I336">
        <f t="shared" si="4"/>
        <v>2023</v>
      </c>
    </row>
    <row r="337" spans="1:9" ht="15">
      <c r="A337" t="s">
        <v>81</v>
      </c>
      <c r="B337" t="s">
        <v>84</v>
      </c>
      <c r="C337" s="6" t="s">
        <v>19</v>
      </c>
      <c r="D337" s="6" t="s">
        <v>83</v>
      </c>
      <c r="E337" s="7" t="s">
        <v>82</v>
      </c>
      <c r="F337" t="str">
        <f>+'Source Table'!$B$11</f>
        <v>Electricity And Water</v>
      </c>
      <c r="G337" t="str">
        <f>+'Source Table'!$D$11</f>
        <v>الكهرباء والمياه</v>
      </c>
      <c r="H337" s="26">
        <v>573.02510000000007</v>
      </c>
      <c r="I337">
        <f t="shared" si="4"/>
        <v>2023</v>
      </c>
    </row>
    <row r="338" spans="1:9" ht="15">
      <c r="A338" t="s">
        <v>81</v>
      </c>
      <c r="B338" t="s">
        <v>84</v>
      </c>
      <c r="C338" s="6" t="s">
        <v>19</v>
      </c>
      <c r="D338" s="6" t="s">
        <v>83</v>
      </c>
      <c r="E338" s="7" t="s">
        <v>82</v>
      </c>
      <c r="F338" t="str">
        <f>+'Source Table'!$B$12</f>
        <v>Construction</v>
      </c>
      <c r="G338" t="str">
        <f>+'Source Table'!$D$12</f>
        <v>الإنشاءات</v>
      </c>
      <c r="H338" s="26">
        <v>964.3442</v>
      </c>
      <c r="I338">
        <f t="shared" si="4"/>
        <v>2023</v>
      </c>
    </row>
    <row r="339" spans="1:9" ht="15">
      <c r="A339" t="s">
        <v>81</v>
      </c>
      <c r="B339" t="s">
        <v>84</v>
      </c>
      <c r="C339" s="6" t="s">
        <v>19</v>
      </c>
      <c r="D339" s="6" t="s">
        <v>83</v>
      </c>
      <c r="E339" s="7" t="s">
        <v>82</v>
      </c>
      <c r="F339" t="str">
        <f>+'Source Table'!$B$13</f>
        <v>Wholesale &amp; Retail Trade, Restuarants&amp; Hotels</v>
      </c>
      <c r="G339" t="str">
        <f>+'Source Table'!$D$13</f>
        <v>تجارة الجملة والتجزئة والمطاعم والفنادق</v>
      </c>
      <c r="H339" s="26">
        <v>3397.2685000000001</v>
      </c>
      <c r="I339">
        <f t="shared" si="4"/>
        <v>2023</v>
      </c>
    </row>
    <row r="340" spans="1:9" ht="15">
      <c r="A340" t="s">
        <v>81</v>
      </c>
      <c r="B340" t="s">
        <v>84</v>
      </c>
      <c r="C340" s="6" t="s">
        <v>19</v>
      </c>
      <c r="D340" s="6" t="s">
        <v>83</v>
      </c>
      <c r="E340" s="7" t="s">
        <v>82</v>
      </c>
      <c r="F340" t="str">
        <f>+'Source Table'!$B$14</f>
        <v>Wholesale And Retail Trade</v>
      </c>
      <c r="G340" t="str">
        <f>+'Source Table'!$D$14</f>
        <v>تجارة الجملة والتجزئة</v>
      </c>
      <c r="H340" s="26">
        <v>2859.8991999999998</v>
      </c>
      <c r="I340">
        <f t="shared" si="4"/>
        <v>2023</v>
      </c>
    </row>
    <row r="341" spans="1:9" ht="15">
      <c r="A341" t="s">
        <v>81</v>
      </c>
      <c r="B341" t="s">
        <v>84</v>
      </c>
      <c r="C341" s="6" t="s">
        <v>19</v>
      </c>
      <c r="D341" s="6" t="s">
        <v>83</v>
      </c>
      <c r="E341" s="7" t="s">
        <v>82</v>
      </c>
      <c r="F341" t="str">
        <f>+'Source Table'!$B$15</f>
        <v>Restaurant And Hotels</v>
      </c>
      <c r="G341" t="str">
        <f>+'Source Table'!$D$15</f>
        <v>الفنادق والمطاعم</v>
      </c>
      <c r="H341" s="26">
        <v>537.36929999999995</v>
      </c>
      <c r="I341">
        <f t="shared" si="4"/>
        <v>2023</v>
      </c>
    </row>
    <row r="342" spans="1:9" ht="15">
      <c r="A342" t="s">
        <v>81</v>
      </c>
      <c r="B342" t="s">
        <v>84</v>
      </c>
      <c r="C342" s="6" t="s">
        <v>19</v>
      </c>
      <c r="D342" s="6" t="s">
        <v>83</v>
      </c>
      <c r="E342" s="7" t="s">
        <v>82</v>
      </c>
      <c r="F342" t="str">
        <f>+'Source Table'!$B$16</f>
        <v>Transport,Storage &amp; Communications</v>
      </c>
      <c r="G342" t="str">
        <f>+'Source Table'!$D$16</f>
        <v>النقل والتخزين والإتصالات</v>
      </c>
      <c r="H342" s="26">
        <v>2871.7847000000002</v>
      </c>
      <c r="I342">
        <f t="shared" si="4"/>
        <v>2023</v>
      </c>
    </row>
    <row r="343" spans="1:9" ht="15">
      <c r="A343" t="s">
        <v>81</v>
      </c>
      <c r="B343" t="s">
        <v>84</v>
      </c>
      <c r="C343" s="6" t="s">
        <v>19</v>
      </c>
      <c r="D343" s="6" t="s">
        <v>83</v>
      </c>
      <c r="E343" s="7" t="s">
        <v>82</v>
      </c>
      <c r="F343" t="str">
        <f>+'Source Table'!$B$17</f>
        <v>Finance,Insurance,Real Estate And Business Services</v>
      </c>
      <c r="G343" t="str">
        <f>+'Source Table'!$D$17</f>
        <v>خدمات المال والتأمين وخدمات العقارات وخدمات الأعمال</v>
      </c>
      <c r="H343" s="26">
        <v>6595.2951999999996</v>
      </c>
      <c r="I343">
        <f t="shared" si="4"/>
        <v>2023</v>
      </c>
    </row>
    <row r="344" spans="1:9" ht="15">
      <c r="A344" t="s">
        <v>81</v>
      </c>
      <c r="B344" t="s">
        <v>84</v>
      </c>
      <c r="C344" s="6" t="s">
        <v>19</v>
      </c>
      <c r="D344" s="6" t="s">
        <v>83</v>
      </c>
      <c r="E344" s="7" t="s">
        <v>82</v>
      </c>
      <c r="F344" t="str">
        <f>+'Source Table'!$B$18</f>
        <v>Finance And Insurance  Services</v>
      </c>
      <c r="G344" t="str">
        <f>+'Source Table'!$D$18</f>
        <v>خدمات المال والتأمين وخدمات الأعمال</v>
      </c>
      <c r="H344" s="26">
        <v>2622.1462999999999</v>
      </c>
      <c r="I344">
        <f t="shared" si="4"/>
        <v>2023</v>
      </c>
    </row>
    <row r="345" spans="1:9" ht="15">
      <c r="A345" t="s">
        <v>81</v>
      </c>
      <c r="B345" t="s">
        <v>84</v>
      </c>
      <c r="C345" s="6" t="s">
        <v>19</v>
      </c>
      <c r="D345" s="6" t="s">
        <v>83</v>
      </c>
      <c r="E345" s="7" t="s">
        <v>82</v>
      </c>
      <c r="F345" t="str">
        <f>+'Source Table'!$B$19</f>
        <v>Real Estate</v>
      </c>
      <c r="G345" t="str">
        <f>+'Source Table'!$D$19</f>
        <v>الخدمات العقارية</v>
      </c>
      <c r="H345" s="26">
        <v>3973.1489000000001</v>
      </c>
      <c r="I345">
        <f t="shared" si="4"/>
        <v>2023</v>
      </c>
    </row>
    <row r="346" spans="1:9" ht="15">
      <c r="A346" t="s">
        <v>81</v>
      </c>
      <c r="B346" t="s">
        <v>84</v>
      </c>
      <c r="C346" s="6" t="s">
        <v>19</v>
      </c>
      <c r="D346" s="6" t="s">
        <v>83</v>
      </c>
      <c r="E346" s="7" t="s">
        <v>82</v>
      </c>
      <c r="F346" t="str">
        <f>+'Source Table'!$B$20</f>
        <v>Community,Social And Personal Services</v>
      </c>
      <c r="G346" t="str">
        <f>+'Source Table'!$D$20</f>
        <v>الخدمات الاجتماعية والشخصية</v>
      </c>
      <c r="H346" s="26">
        <v>3228.8454999999999</v>
      </c>
      <c r="I346">
        <f t="shared" si="4"/>
        <v>2023</v>
      </c>
    </row>
    <row r="347" spans="1:9" ht="15">
      <c r="A347" t="s">
        <v>81</v>
      </c>
      <c r="B347" t="s">
        <v>84</v>
      </c>
      <c r="C347" s="6" t="s">
        <v>19</v>
      </c>
      <c r="D347" s="6" t="s">
        <v>83</v>
      </c>
      <c r="E347" s="7" t="s">
        <v>82</v>
      </c>
      <c r="F347" t="str">
        <f>+'Source Table'!$B$21</f>
        <v>Total</v>
      </c>
      <c r="G347" t="str">
        <f>+'Source Table'!$D$21</f>
        <v>المجموع</v>
      </c>
      <c r="H347" s="26">
        <v>26795.440700000003</v>
      </c>
      <c r="I347">
        <f t="shared" ref="I347:I355" si="5">+I325+1</f>
        <v>2023</v>
      </c>
    </row>
    <row r="348" spans="1:9" ht="15">
      <c r="A348" t="s">
        <v>81</v>
      </c>
      <c r="B348" t="s">
        <v>84</v>
      </c>
      <c r="C348" s="6" t="s">
        <v>19</v>
      </c>
      <c r="D348" s="6" t="s">
        <v>83</v>
      </c>
      <c r="E348" s="7" t="s">
        <v>82</v>
      </c>
      <c r="F348" t="str">
        <f>+'Source Table'!$B$22</f>
        <v>Producers Of Government Services</v>
      </c>
      <c r="G348" t="str">
        <f>+'Source Table'!$D$22</f>
        <v>منتجو الخدمات الحكومية</v>
      </c>
      <c r="H348" s="26">
        <v>5044.3701999999994</v>
      </c>
      <c r="I348">
        <f t="shared" si="5"/>
        <v>2023</v>
      </c>
    </row>
    <row r="349" spans="1:9" ht="15">
      <c r="A349" t="s">
        <v>81</v>
      </c>
      <c r="B349" t="s">
        <v>84</v>
      </c>
      <c r="C349" s="6" t="s">
        <v>19</v>
      </c>
      <c r="D349" s="6" t="s">
        <v>83</v>
      </c>
      <c r="E349" s="7" t="s">
        <v>82</v>
      </c>
      <c r="F349" t="str">
        <f>+'Source Table'!$B$23</f>
        <v>Producers Of Private Non-Profit  Services To Households</v>
      </c>
      <c r="G349" t="str">
        <f>+'Source Table'!$D$23</f>
        <v>منتجو الخدمات الخاصة التي لاتهدف الى الربح وتخدم العائلات</v>
      </c>
      <c r="H349" s="26">
        <v>324.5788</v>
      </c>
      <c r="I349">
        <f t="shared" si="5"/>
        <v>2023</v>
      </c>
    </row>
    <row r="350" spans="1:9" ht="15">
      <c r="A350" t="s">
        <v>81</v>
      </c>
      <c r="B350" t="s">
        <v>84</v>
      </c>
      <c r="C350" s="6" t="s">
        <v>19</v>
      </c>
      <c r="D350" s="6" t="s">
        <v>83</v>
      </c>
      <c r="E350" s="7" t="s">
        <v>82</v>
      </c>
      <c r="F350" t="str">
        <f>+'Source Table'!$B$24</f>
        <v>Domestic Services Of Households</v>
      </c>
      <c r="G350" t="str">
        <f>+'Source Table'!$D$24</f>
        <v>الخدمات المنزلية</v>
      </c>
      <c r="H350" s="26">
        <v>503.75389999999993</v>
      </c>
      <c r="I350">
        <f t="shared" si="5"/>
        <v>2023</v>
      </c>
    </row>
    <row r="351" spans="1:9" ht="15">
      <c r="A351" t="s">
        <v>81</v>
      </c>
      <c r="B351" t="s">
        <v>84</v>
      </c>
      <c r="C351" s="6" t="s">
        <v>19</v>
      </c>
      <c r="D351" s="6" t="s">
        <v>83</v>
      </c>
      <c r="E351" s="7" t="s">
        <v>82</v>
      </c>
      <c r="F351" t="str">
        <f>+'Source Table'!$B$25</f>
        <v>Total ( A+B+C + D )</v>
      </c>
      <c r="G351" t="str">
        <f>+'Source Table'!$D$25</f>
        <v>مجموع ( أ + ب + ج + د )</v>
      </c>
      <c r="H351" s="26">
        <v>32668.143599999999</v>
      </c>
      <c r="I351">
        <f t="shared" si="5"/>
        <v>2023</v>
      </c>
    </row>
    <row r="352" spans="1:9" ht="15">
      <c r="A352" t="s">
        <v>81</v>
      </c>
      <c r="B352" t="s">
        <v>84</v>
      </c>
      <c r="C352" s="6" t="s">
        <v>19</v>
      </c>
      <c r="D352" s="6" t="s">
        <v>83</v>
      </c>
      <c r="E352" s="7" t="s">
        <v>82</v>
      </c>
      <c r="F352" t="str">
        <f>+'Source Table'!$B$26</f>
        <v>Imputed Bank Service Charge</v>
      </c>
      <c r="G352" t="str">
        <f>+'Source Table'!$D$26</f>
        <v>الخدمات المصرفية المحتسبة</v>
      </c>
      <c r="H352" s="26">
        <v>1144.1343999999999</v>
      </c>
      <c r="I352">
        <f t="shared" si="5"/>
        <v>2023</v>
      </c>
    </row>
    <row r="353" spans="1:9" ht="15">
      <c r="A353" t="s">
        <v>81</v>
      </c>
      <c r="B353" t="s">
        <v>84</v>
      </c>
      <c r="C353" s="6" t="s">
        <v>19</v>
      </c>
      <c r="D353" s="6" t="s">
        <v>83</v>
      </c>
      <c r="E353" s="7" t="s">
        <v>82</v>
      </c>
      <c r="F353" t="str">
        <f>+'Source Table'!$B$27</f>
        <v>Gross Domestic Product At Basic Prices</v>
      </c>
      <c r="G353" t="str">
        <f>+'Source Table'!$D$27</f>
        <v>الناتج المحلي الاجمالي بالاسعار الاساسية</v>
      </c>
      <c r="H353" s="26">
        <v>31524.0092</v>
      </c>
      <c r="I353">
        <f t="shared" si="5"/>
        <v>2023</v>
      </c>
    </row>
    <row r="354" spans="1:9" ht="15">
      <c r="A354" t="s">
        <v>81</v>
      </c>
      <c r="B354" t="s">
        <v>84</v>
      </c>
      <c r="C354" s="6" t="s">
        <v>19</v>
      </c>
      <c r="D354" s="6" t="s">
        <v>83</v>
      </c>
      <c r="E354" s="7" t="s">
        <v>82</v>
      </c>
      <c r="F354" t="str">
        <f>+'Source Table'!$B$28</f>
        <v>Net Taxes On Products</v>
      </c>
      <c r="G354" t="str">
        <f>+'Source Table'!$D$28</f>
        <v>صافي الضرائب على المنتجات</v>
      </c>
      <c r="H354" s="26">
        <v>4662.8982999999998</v>
      </c>
      <c r="I354">
        <f t="shared" si="5"/>
        <v>2023</v>
      </c>
    </row>
    <row r="355" spans="1:9" ht="15">
      <c r="A355" t="s">
        <v>81</v>
      </c>
      <c r="B355" t="s">
        <v>84</v>
      </c>
      <c r="C355" s="6" t="s">
        <v>19</v>
      </c>
      <c r="D355" s="6" t="s">
        <v>83</v>
      </c>
      <c r="E355" s="7" t="s">
        <v>82</v>
      </c>
      <c r="F355" t="str">
        <f>+'Source Table'!$B$29</f>
        <v>Gross Domestic Product At Market Prices</v>
      </c>
      <c r="G355" t="str">
        <f>+'Source Table'!$D$29</f>
        <v>الناتج المحلي الاجمالي باسعار السوق</v>
      </c>
      <c r="H355" s="26">
        <v>36186.907500000001</v>
      </c>
      <c r="I355">
        <f t="shared" si="5"/>
        <v>2023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C25" sqref="C25"/>
    </sheetView>
  </sheetViews>
  <sheetFormatPr defaultRowHeight="14.25"/>
  <cols>
    <col min="1" max="12" width="24.375" customWidth="1"/>
    <col min="13" max="14" width="15" bestFit="1" customWidth="1"/>
    <col min="15" max="15" width="8.75" bestFit="1" customWidth="1"/>
    <col min="16" max="16" width="11.375" bestFit="1" customWidth="1"/>
    <col min="17" max="17" width="12" bestFit="1" customWidth="1"/>
    <col min="18" max="18" width="9.875" bestFit="1" customWidth="1"/>
    <col min="19" max="19" width="7.375" bestFit="1" customWidth="1"/>
  </cols>
  <sheetData>
    <row r="1" spans="1:10" ht="15">
      <c r="A1" s="8" t="s">
        <v>30</v>
      </c>
      <c r="B1" s="4">
        <f>DATE(B2,B3,1)</f>
        <v>44927</v>
      </c>
    </row>
    <row r="2" spans="1:10" ht="15">
      <c r="A2" s="8" t="s">
        <v>3</v>
      </c>
      <c r="B2">
        <v>2023</v>
      </c>
      <c r="D2" s="4"/>
    </row>
    <row r="3" spans="1:10" ht="15">
      <c r="A3" s="8" t="s">
        <v>5</v>
      </c>
      <c r="B3">
        <v>1</v>
      </c>
    </row>
    <row r="4" spans="1:10" s="1" customFormat="1" ht="18" customHeight="1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24" t="s">
        <v>136</v>
      </c>
      <c r="G4" s="24" t="s">
        <v>137</v>
      </c>
      <c r="H4" s="5" t="s">
        <v>12</v>
      </c>
      <c r="I4" s="5" t="s">
        <v>13</v>
      </c>
      <c r="J4" s="5" t="s">
        <v>14</v>
      </c>
    </row>
    <row r="5" spans="1:10" s="1" customFormat="1" ht="18" customHeight="1">
      <c r="A5" s="5" t="s">
        <v>20</v>
      </c>
      <c r="B5" s="5" t="s">
        <v>21</v>
      </c>
      <c r="C5" s="5" t="s">
        <v>15</v>
      </c>
      <c r="D5" s="5" t="s">
        <v>22</v>
      </c>
      <c r="E5" s="5" t="s">
        <v>23</v>
      </c>
      <c r="F5" s="24" t="s">
        <v>135</v>
      </c>
      <c r="G5" s="24" t="s">
        <v>133</v>
      </c>
      <c r="H5" s="5" t="s">
        <v>16</v>
      </c>
      <c r="I5" s="5" t="s">
        <v>17</v>
      </c>
      <c r="J5" s="5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workbookViewId="0">
      <selection activeCell="F5" sqref="F5"/>
    </sheetView>
  </sheetViews>
  <sheetFormatPr defaultColWidth="8.875" defaultRowHeight="14.25"/>
  <cols>
    <col min="1" max="1" width="90" style="14" customWidth="1"/>
    <col min="2" max="2" width="2.625" style="13" customWidth="1"/>
    <col min="3" max="3" width="87.25" style="16" customWidth="1"/>
    <col min="4" max="16384" width="8.875" style="12"/>
  </cols>
  <sheetData>
    <row r="2" spans="1:3" ht="17.25">
      <c r="A2" s="9" t="s">
        <v>31</v>
      </c>
      <c r="C2" s="15" t="s">
        <v>66</v>
      </c>
    </row>
    <row r="3" spans="1:3">
      <c r="A3" s="10"/>
    </row>
    <row r="4" spans="1:3" ht="28.5">
      <c r="A4" s="10" t="s">
        <v>49</v>
      </c>
      <c r="C4" s="16" t="s">
        <v>52</v>
      </c>
    </row>
    <row r="6" spans="1:3" ht="17.25">
      <c r="A6" s="9" t="s">
        <v>32</v>
      </c>
      <c r="C6" s="15" t="s">
        <v>53</v>
      </c>
    </row>
    <row r="7" spans="1:3">
      <c r="A7" s="10"/>
    </row>
    <row r="8" spans="1:3" ht="30">
      <c r="A8" s="11" t="s">
        <v>48</v>
      </c>
      <c r="C8" s="16" t="s">
        <v>73</v>
      </c>
    </row>
    <row r="10" spans="1:3" ht="17.25">
      <c r="A10" s="9" t="s">
        <v>33</v>
      </c>
      <c r="C10" s="15" t="s">
        <v>54</v>
      </c>
    </row>
    <row r="11" spans="1:3">
      <c r="A11" s="10"/>
    </row>
    <row r="12" spans="1:3">
      <c r="A12" s="10" t="s">
        <v>50</v>
      </c>
      <c r="C12" s="16" t="s">
        <v>55</v>
      </c>
    </row>
    <row r="13" spans="1:3" ht="29.25">
      <c r="A13" s="11" t="s">
        <v>34</v>
      </c>
      <c r="C13" s="17" t="s">
        <v>56</v>
      </c>
    </row>
    <row r="14" spans="1:3" ht="29.25">
      <c r="A14" s="11" t="s">
        <v>35</v>
      </c>
      <c r="C14" s="17" t="s">
        <v>74</v>
      </c>
    </row>
    <row r="15" spans="1:3" ht="15">
      <c r="A15" s="11" t="s">
        <v>36</v>
      </c>
      <c r="C15" s="17" t="s">
        <v>57</v>
      </c>
    </row>
    <row r="16" spans="1:3" ht="15">
      <c r="A16" s="11" t="s">
        <v>37</v>
      </c>
      <c r="C16" s="17" t="s">
        <v>75</v>
      </c>
    </row>
    <row r="17" spans="1:3" ht="15">
      <c r="A17" s="11" t="s">
        <v>38</v>
      </c>
      <c r="C17" s="17" t="s">
        <v>58</v>
      </c>
    </row>
    <row r="18" spans="1:3">
      <c r="A18" s="10" t="s">
        <v>39</v>
      </c>
      <c r="C18" s="16" t="s">
        <v>59</v>
      </c>
    </row>
    <row r="19" spans="1:3">
      <c r="A19" s="10" t="s">
        <v>40</v>
      </c>
      <c r="C19" s="16" t="s">
        <v>76</v>
      </c>
    </row>
    <row r="20" spans="1:3" ht="29.25">
      <c r="A20" s="11" t="s">
        <v>77</v>
      </c>
      <c r="C20" s="17" t="s">
        <v>78</v>
      </c>
    </row>
    <row r="22" spans="1:3" ht="17.25">
      <c r="A22" s="9" t="s">
        <v>41</v>
      </c>
      <c r="C22" s="15" t="s">
        <v>60</v>
      </c>
    </row>
    <row r="23" spans="1:3">
      <c r="A23" s="10"/>
    </row>
    <row r="24" spans="1:3" ht="29.25">
      <c r="A24" s="10" t="s">
        <v>51</v>
      </c>
      <c r="C24" s="16" t="s">
        <v>67</v>
      </c>
    </row>
    <row r="25" spans="1:3" ht="29.25">
      <c r="A25" s="10" t="s">
        <v>42</v>
      </c>
      <c r="C25" s="16" t="s">
        <v>68</v>
      </c>
    </row>
    <row r="27" spans="1:3" ht="17.25">
      <c r="A27" s="9" t="s">
        <v>43</v>
      </c>
      <c r="C27" s="15" t="s">
        <v>61</v>
      </c>
    </row>
    <row r="28" spans="1:3">
      <c r="A28" s="10"/>
    </row>
    <row r="29" spans="1:3" ht="15">
      <c r="A29" s="10" t="s">
        <v>44</v>
      </c>
      <c r="C29" s="16" t="s">
        <v>62</v>
      </c>
    </row>
    <row r="30" spans="1:3">
      <c r="A30" s="10" t="s">
        <v>45</v>
      </c>
      <c r="C30" s="16" t="s">
        <v>63</v>
      </c>
    </row>
    <row r="32" spans="1:3" ht="17.25">
      <c r="A32" s="9" t="s">
        <v>46</v>
      </c>
      <c r="C32" s="15" t="s">
        <v>64</v>
      </c>
    </row>
    <row r="33" spans="1:3">
      <c r="A33" s="10"/>
    </row>
    <row r="34" spans="1:3" ht="15">
      <c r="A34" s="11" t="s">
        <v>70</v>
      </c>
      <c r="C34" s="16" t="s">
        <v>69</v>
      </c>
    </row>
    <row r="36" spans="1:3" ht="17.25">
      <c r="A36" s="9" t="s">
        <v>47</v>
      </c>
      <c r="C36" s="15" t="s">
        <v>65</v>
      </c>
    </row>
    <row r="37" spans="1:3">
      <c r="A37" s="10"/>
    </row>
    <row r="38" spans="1:3">
      <c r="A38" s="10" t="s">
        <v>71</v>
      </c>
      <c r="C38" s="16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9D8868F97254F9E5095DCA93C6B5E" ma:contentTypeVersion="4" ma:contentTypeDescription="Create a new document." ma:contentTypeScope="" ma:versionID="c382a7e8560abba42d9175972971dca4">
  <xsd:schema xmlns:xsd="http://www.w3.org/2001/XMLSchema" xmlns:xs="http://www.w3.org/2001/XMLSchema" xmlns:p="http://schemas.microsoft.com/office/2006/metadata/properties" xmlns:ns2="5f3aa2a1-f742-4cb3-874a-b3631849deb5" targetNamespace="http://schemas.microsoft.com/office/2006/metadata/properties" ma:root="true" ma:fieldsID="dff2fb13bd7f76f9795f131d17ef348c" ns2:_="">
    <xsd:import namespace="5f3aa2a1-f742-4cb3-874a-b3631849d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aa2a1-f742-4cb3-874a-b3631849d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6B0781-3F54-40BC-A068-7F5A2310ECAB}">
  <ds:schemaRefs>
    <ds:schemaRef ds:uri="http://schemas.microsoft.com/office/2006/metadata/properties"/>
    <ds:schemaRef ds:uri="http://schemas.microsoft.com/office/infopath/2007/PartnerControls"/>
    <ds:schemaRef ds:uri="9e2ee8df-7f46-4126-8e69-ac276bfc5b66"/>
    <ds:schemaRef ds:uri="1eca1254-de44-4dbc-a0e3-13eda993f25c"/>
  </ds:schemaRefs>
</ds:datastoreItem>
</file>

<file path=customXml/itemProps2.xml><?xml version="1.0" encoding="utf-8"?>
<ds:datastoreItem xmlns:ds="http://schemas.openxmlformats.org/officeDocument/2006/customXml" ds:itemID="{3517F994-C603-46B5-AEAB-E4EEDEDA8C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aa2a1-f742-4cb3-874a-b3631849de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FB3727-0098-41DB-9DEB-08A099D40A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'Source Table'!Print_Area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Omar Mihyar</dc:creator>
  <cp:keywords/>
  <dc:description/>
  <cp:lastModifiedBy>Walaa Gharram</cp:lastModifiedBy>
  <cp:revision/>
  <dcterms:created xsi:type="dcterms:W3CDTF">2024-08-13T06:49:58Z</dcterms:created>
  <dcterms:modified xsi:type="dcterms:W3CDTF">2025-01-19T12:14:33Z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</Properties>
</file>