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البيانات التفاعلية\Template\historical\"/>
    </mc:Choice>
  </mc:AlternateContent>
  <workbookProtection workbookAlgorithmName="SHA-512" workbookHashValue="a16L+PQX86/jEcAtwMlE/UAw6CLybKPP8Yp352Jw0NSe2xt7YxjQQuG+aT066CIjHnsl0r71jguCtIxsUEvLlA==" workbookSaltValue="qeOIzaM6MDfRsw2Vgood7A==" workbookSpinCount="100000" lockStructure="1"/>
  <bookViews>
    <workbookView xWindow="0" yWindow="0" windowWidth="28800" windowHeight="12300" firstSheet="1" activeTab="1"/>
  </bookViews>
  <sheets>
    <sheet name="Cover Page" sheetId="1" state="hidden" r:id="rId1"/>
    <sheet name="Source Table" sheetId="2" r:id="rId2"/>
    <sheet name="Relational DB" sheetId="3" r:id="rId3"/>
    <sheet name="Template Data" sheetId="4" state="hidden" r:id="rId4"/>
    <sheet name="Help" sheetId="6" state="hidden" r:id="rId5"/>
  </sheets>
  <definedNames>
    <definedName name="_xlnm.Print_Area" localSheetId="1">'Source Table'!$B$2:$D$19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83" i="3" l="1"/>
  <c r="I183" i="3"/>
  <c r="H183" i="3"/>
  <c r="K182" i="3"/>
  <c r="I182" i="3"/>
  <c r="H182" i="3"/>
  <c r="K181" i="3"/>
  <c r="I181" i="3"/>
  <c r="H181" i="3"/>
  <c r="K180" i="3"/>
  <c r="I180" i="3"/>
  <c r="H180" i="3"/>
  <c r="K179" i="3"/>
  <c r="I179" i="3"/>
  <c r="H179" i="3"/>
  <c r="K178" i="3"/>
  <c r="I178" i="3"/>
  <c r="H178" i="3"/>
  <c r="K177" i="3"/>
  <c r="I177" i="3"/>
  <c r="H177" i="3"/>
  <c r="K176" i="3"/>
  <c r="G176" i="3"/>
  <c r="F176" i="3"/>
  <c r="K175" i="3"/>
  <c r="G175" i="3"/>
  <c r="F175" i="3"/>
  <c r="K174" i="3"/>
  <c r="G174" i="3"/>
  <c r="F174" i="3"/>
  <c r="K173" i="3"/>
  <c r="G173" i="3"/>
  <c r="F173" i="3"/>
  <c r="K172" i="3"/>
  <c r="G172" i="3"/>
  <c r="F172" i="3"/>
  <c r="K171" i="3"/>
  <c r="I171" i="3"/>
  <c r="H171" i="3"/>
  <c r="K170" i="3"/>
  <c r="I170" i="3"/>
  <c r="H170" i="3"/>
  <c r="K169" i="3"/>
  <c r="I169" i="3"/>
  <c r="H169" i="3"/>
  <c r="K168" i="3"/>
  <c r="I168" i="3"/>
  <c r="H168" i="3"/>
  <c r="K167" i="3"/>
  <c r="I167" i="3"/>
  <c r="H167" i="3"/>
  <c r="K166" i="3"/>
  <c r="I166" i="3"/>
  <c r="H166" i="3"/>
  <c r="K165" i="3"/>
  <c r="I165" i="3"/>
  <c r="H165" i="3"/>
  <c r="K164" i="3"/>
  <c r="G164" i="3"/>
  <c r="F164" i="3"/>
  <c r="K163" i="3"/>
  <c r="G163" i="3"/>
  <c r="F163" i="3"/>
  <c r="K162" i="3"/>
  <c r="G162" i="3"/>
  <c r="F162" i="3"/>
  <c r="K161" i="3"/>
  <c r="G161" i="3"/>
  <c r="F161" i="3"/>
  <c r="K160" i="3"/>
  <c r="G160" i="3"/>
  <c r="F160" i="3"/>
  <c r="K159" i="3"/>
  <c r="I159" i="3"/>
  <c r="H159" i="3"/>
  <c r="K158" i="3"/>
  <c r="I158" i="3"/>
  <c r="H158" i="3"/>
  <c r="K157" i="3"/>
  <c r="I157" i="3"/>
  <c r="H157" i="3"/>
  <c r="K156" i="3"/>
  <c r="I156" i="3"/>
  <c r="H156" i="3"/>
  <c r="K155" i="3"/>
  <c r="I155" i="3"/>
  <c r="H155" i="3"/>
  <c r="K154" i="3"/>
  <c r="I154" i="3"/>
  <c r="H154" i="3"/>
  <c r="K153" i="3"/>
  <c r="I153" i="3"/>
  <c r="H153" i="3"/>
  <c r="K152" i="3"/>
  <c r="G152" i="3"/>
  <c r="F152" i="3"/>
  <c r="K151" i="3"/>
  <c r="G151" i="3"/>
  <c r="F151" i="3"/>
  <c r="K150" i="3"/>
  <c r="G150" i="3"/>
  <c r="F150" i="3"/>
  <c r="K149" i="3"/>
  <c r="G149" i="3"/>
  <c r="F149" i="3"/>
  <c r="K148" i="3"/>
  <c r="G148" i="3"/>
  <c r="F148" i="3"/>
  <c r="K147" i="3"/>
  <c r="I147" i="3"/>
  <c r="H147" i="3"/>
  <c r="K146" i="3"/>
  <c r="I146" i="3"/>
  <c r="H146" i="3"/>
  <c r="K145" i="3"/>
  <c r="I145" i="3"/>
  <c r="H145" i="3"/>
  <c r="K144" i="3"/>
  <c r="I144" i="3"/>
  <c r="H144" i="3"/>
  <c r="K143" i="3"/>
  <c r="I143" i="3"/>
  <c r="H143" i="3"/>
  <c r="K142" i="3"/>
  <c r="I142" i="3"/>
  <c r="H142" i="3"/>
  <c r="K141" i="3"/>
  <c r="I141" i="3"/>
  <c r="H141" i="3"/>
  <c r="K140" i="3"/>
  <c r="G140" i="3"/>
  <c r="F140" i="3"/>
  <c r="K139" i="3"/>
  <c r="G139" i="3"/>
  <c r="F139" i="3"/>
  <c r="K138" i="3"/>
  <c r="G138" i="3"/>
  <c r="F138" i="3"/>
  <c r="K137" i="3"/>
  <c r="G137" i="3"/>
  <c r="F137" i="3"/>
  <c r="K136" i="3"/>
  <c r="G136" i="3"/>
  <c r="F136" i="3"/>
  <c r="K135" i="3"/>
  <c r="I135" i="3"/>
  <c r="H135" i="3"/>
  <c r="K134" i="3"/>
  <c r="I134" i="3"/>
  <c r="H134" i="3"/>
  <c r="K133" i="3"/>
  <c r="I133" i="3"/>
  <c r="H133" i="3"/>
  <c r="K132" i="3"/>
  <c r="I132" i="3"/>
  <c r="H132" i="3"/>
  <c r="K131" i="3"/>
  <c r="I131" i="3"/>
  <c r="H131" i="3"/>
  <c r="K130" i="3"/>
  <c r="I130" i="3"/>
  <c r="H130" i="3"/>
  <c r="K129" i="3"/>
  <c r="I129" i="3"/>
  <c r="H129" i="3"/>
  <c r="K128" i="3"/>
  <c r="G128" i="3"/>
  <c r="F128" i="3"/>
  <c r="K127" i="3"/>
  <c r="G127" i="3"/>
  <c r="F127" i="3"/>
  <c r="K126" i="3"/>
  <c r="G126" i="3"/>
  <c r="F126" i="3"/>
  <c r="K125" i="3"/>
  <c r="G125" i="3"/>
  <c r="F125" i="3"/>
  <c r="K124" i="3"/>
  <c r="G124" i="3"/>
  <c r="F124" i="3"/>
  <c r="K123" i="3"/>
  <c r="I123" i="3"/>
  <c r="H123" i="3"/>
  <c r="K122" i="3"/>
  <c r="I122" i="3"/>
  <c r="H122" i="3"/>
  <c r="K121" i="3"/>
  <c r="I121" i="3"/>
  <c r="H121" i="3"/>
  <c r="K120" i="3"/>
  <c r="I120" i="3"/>
  <c r="H120" i="3"/>
  <c r="K119" i="3"/>
  <c r="I119" i="3"/>
  <c r="H119" i="3"/>
  <c r="K118" i="3"/>
  <c r="I118" i="3"/>
  <c r="H118" i="3"/>
  <c r="K117" i="3"/>
  <c r="I117" i="3"/>
  <c r="H117" i="3"/>
  <c r="K116" i="3"/>
  <c r="G116" i="3"/>
  <c r="F116" i="3"/>
  <c r="K115" i="3"/>
  <c r="G115" i="3"/>
  <c r="F115" i="3"/>
  <c r="K114" i="3"/>
  <c r="G114" i="3"/>
  <c r="F114" i="3"/>
  <c r="K113" i="3"/>
  <c r="G113" i="3"/>
  <c r="F113" i="3"/>
  <c r="K112" i="3"/>
  <c r="G112" i="3"/>
  <c r="F112" i="3"/>
  <c r="K111" i="3"/>
  <c r="I111" i="3"/>
  <c r="H111" i="3"/>
  <c r="K110" i="3"/>
  <c r="I110" i="3"/>
  <c r="H110" i="3"/>
  <c r="K109" i="3"/>
  <c r="I109" i="3"/>
  <c r="H109" i="3"/>
  <c r="K108" i="3"/>
  <c r="I108" i="3"/>
  <c r="H108" i="3"/>
  <c r="K107" i="3"/>
  <c r="I107" i="3"/>
  <c r="H107" i="3"/>
  <c r="K106" i="3"/>
  <c r="I106" i="3"/>
  <c r="H106" i="3"/>
  <c r="K105" i="3"/>
  <c r="I105" i="3"/>
  <c r="H105" i="3"/>
  <c r="K104" i="3"/>
  <c r="G104" i="3"/>
  <c r="F104" i="3"/>
  <c r="K103" i="3"/>
  <c r="G103" i="3"/>
  <c r="F103" i="3"/>
  <c r="K102" i="3"/>
  <c r="G102" i="3"/>
  <c r="F102" i="3"/>
  <c r="K101" i="3"/>
  <c r="G101" i="3"/>
  <c r="F101" i="3"/>
  <c r="K100" i="3"/>
  <c r="G100" i="3"/>
  <c r="F100" i="3"/>
  <c r="K99" i="3"/>
  <c r="I99" i="3"/>
  <c r="H99" i="3"/>
  <c r="K98" i="3"/>
  <c r="I98" i="3"/>
  <c r="H98" i="3"/>
  <c r="K97" i="3"/>
  <c r="I97" i="3"/>
  <c r="H97" i="3"/>
  <c r="K96" i="3"/>
  <c r="I96" i="3"/>
  <c r="H96" i="3"/>
  <c r="K95" i="3"/>
  <c r="I95" i="3"/>
  <c r="H95" i="3"/>
  <c r="K94" i="3"/>
  <c r="I94" i="3"/>
  <c r="H94" i="3"/>
  <c r="K93" i="3"/>
  <c r="I93" i="3"/>
  <c r="H93" i="3"/>
  <c r="K92" i="3"/>
  <c r="G92" i="3"/>
  <c r="F92" i="3"/>
  <c r="K91" i="3"/>
  <c r="G91" i="3"/>
  <c r="F91" i="3"/>
  <c r="K90" i="3"/>
  <c r="G90" i="3"/>
  <c r="F90" i="3"/>
  <c r="K89" i="3"/>
  <c r="G89" i="3"/>
  <c r="F89" i="3"/>
  <c r="K88" i="3"/>
  <c r="G88" i="3"/>
  <c r="F88" i="3"/>
  <c r="K87" i="3"/>
  <c r="I87" i="3"/>
  <c r="H87" i="3"/>
  <c r="K86" i="3"/>
  <c r="I86" i="3"/>
  <c r="H86" i="3"/>
  <c r="K85" i="3"/>
  <c r="I85" i="3"/>
  <c r="H85" i="3"/>
  <c r="K84" i="3"/>
  <c r="I84" i="3"/>
  <c r="H84" i="3"/>
  <c r="K83" i="3"/>
  <c r="I83" i="3"/>
  <c r="H83" i="3"/>
  <c r="K82" i="3"/>
  <c r="I82" i="3"/>
  <c r="H82" i="3"/>
  <c r="K81" i="3"/>
  <c r="I81" i="3"/>
  <c r="H81" i="3"/>
  <c r="K80" i="3"/>
  <c r="G80" i="3"/>
  <c r="F80" i="3"/>
  <c r="K79" i="3"/>
  <c r="G79" i="3"/>
  <c r="F79" i="3"/>
  <c r="K78" i="3"/>
  <c r="G78" i="3"/>
  <c r="F78" i="3"/>
  <c r="K77" i="3"/>
  <c r="G77" i="3"/>
  <c r="F77" i="3"/>
  <c r="K76" i="3"/>
  <c r="G76" i="3"/>
  <c r="F76" i="3"/>
  <c r="K75" i="3"/>
  <c r="I75" i="3"/>
  <c r="H75" i="3"/>
  <c r="K74" i="3"/>
  <c r="I74" i="3"/>
  <c r="H74" i="3"/>
  <c r="K73" i="3"/>
  <c r="I73" i="3"/>
  <c r="H73" i="3"/>
  <c r="K72" i="3"/>
  <c r="I72" i="3"/>
  <c r="H72" i="3"/>
  <c r="K71" i="3"/>
  <c r="I71" i="3"/>
  <c r="H71" i="3"/>
  <c r="K70" i="3"/>
  <c r="I70" i="3"/>
  <c r="H70" i="3"/>
  <c r="K69" i="3"/>
  <c r="I69" i="3"/>
  <c r="H69" i="3"/>
  <c r="K68" i="3"/>
  <c r="G68" i="3"/>
  <c r="F68" i="3"/>
  <c r="K67" i="3"/>
  <c r="G67" i="3"/>
  <c r="F67" i="3"/>
  <c r="K66" i="3"/>
  <c r="G66" i="3"/>
  <c r="F66" i="3"/>
  <c r="K65" i="3"/>
  <c r="G65" i="3"/>
  <c r="F65" i="3"/>
  <c r="K64" i="3"/>
  <c r="G64" i="3"/>
  <c r="F64" i="3"/>
  <c r="K63" i="3"/>
  <c r="I63" i="3"/>
  <c r="H63" i="3"/>
  <c r="K62" i="3"/>
  <c r="I62" i="3"/>
  <c r="H62" i="3"/>
  <c r="K61" i="3"/>
  <c r="I61" i="3"/>
  <c r="H61" i="3"/>
  <c r="K60" i="3"/>
  <c r="I60" i="3"/>
  <c r="H60" i="3"/>
  <c r="K59" i="3"/>
  <c r="I59" i="3"/>
  <c r="H59" i="3"/>
  <c r="K58" i="3"/>
  <c r="I58" i="3"/>
  <c r="H58" i="3"/>
  <c r="K57" i="3"/>
  <c r="I57" i="3"/>
  <c r="H57" i="3"/>
  <c r="K56" i="3"/>
  <c r="G56" i="3"/>
  <c r="F56" i="3"/>
  <c r="K55" i="3"/>
  <c r="G55" i="3"/>
  <c r="F55" i="3"/>
  <c r="K54" i="3"/>
  <c r="G54" i="3"/>
  <c r="F54" i="3"/>
  <c r="K53" i="3"/>
  <c r="G53" i="3"/>
  <c r="F53" i="3"/>
  <c r="K52" i="3"/>
  <c r="G52" i="3"/>
  <c r="F52" i="3"/>
  <c r="K29" i="3"/>
  <c r="K30" i="3"/>
  <c r="K31" i="3"/>
  <c r="K32" i="3"/>
  <c r="K33" i="3"/>
  <c r="K34" i="3"/>
  <c r="K35" i="3"/>
  <c r="K36" i="3"/>
  <c r="K37" i="3"/>
  <c r="K49" i="3" s="1"/>
  <c r="K38" i="3"/>
  <c r="K50" i="3" s="1"/>
  <c r="K39" i="3"/>
  <c r="K51" i="3" s="1"/>
  <c r="K40" i="3"/>
  <c r="K41" i="3"/>
  <c r="K42" i="3"/>
  <c r="K43" i="3"/>
  <c r="K44" i="3"/>
  <c r="K45" i="3"/>
  <c r="K46" i="3"/>
  <c r="K47" i="3"/>
  <c r="K48" i="3"/>
  <c r="K17" i="3"/>
  <c r="K18" i="3"/>
  <c r="K19" i="3"/>
  <c r="K20" i="3"/>
  <c r="K21" i="3"/>
  <c r="K22" i="3"/>
  <c r="K23" i="3"/>
  <c r="K24" i="3"/>
  <c r="K25" i="3"/>
  <c r="K26" i="3"/>
  <c r="K27" i="3"/>
  <c r="K28" i="3"/>
  <c r="K16" i="3"/>
  <c r="I51" i="3"/>
  <c r="H51" i="3"/>
  <c r="I50" i="3"/>
  <c r="H50" i="3"/>
  <c r="I49" i="3"/>
  <c r="H49" i="3"/>
  <c r="I48" i="3"/>
  <c r="H48" i="3"/>
  <c r="I47" i="3"/>
  <c r="H47" i="3"/>
  <c r="I46" i="3"/>
  <c r="H46" i="3"/>
  <c r="I45" i="3"/>
  <c r="H45" i="3"/>
  <c r="G44" i="3"/>
  <c r="F44" i="3"/>
  <c r="G43" i="3"/>
  <c r="F43" i="3"/>
  <c r="G42" i="3"/>
  <c r="F42" i="3"/>
  <c r="G41" i="3"/>
  <c r="F41" i="3"/>
  <c r="G40" i="3"/>
  <c r="F40" i="3"/>
  <c r="I39" i="3"/>
  <c r="H39" i="3"/>
  <c r="I38" i="3"/>
  <c r="H38" i="3"/>
  <c r="I37" i="3"/>
  <c r="H37" i="3"/>
  <c r="I36" i="3"/>
  <c r="H36" i="3"/>
  <c r="I35" i="3"/>
  <c r="H35" i="3"/>
  <c r="I34" i="3"/>
  <c r="H34" i="3"/>
  <c r="I33" i="3"/>
  <c r="H33" i="3"/>
  <c r="G32" i="3"/>
  <c r="F32" i="3"/>
  <c r="G31" i="3"/>
  <c r="F31" i="3"/>
  <c r="G30" i="3"/>
  <c r="F30" i="3"/>
  <c r="G29" i="3"/>
  <c r="F29" i="3"/>
  <c r="G28" i="3"/>
  <c r="F28" i="3"/>
  <c r="I27" i="3"/>
  <c r="H27" i="3"/>
  <c r="I26" i="3"/>
  <c r="H26" i="3"/>
  <c r="I25" i="3"/>
  <c r="H25" i="3"/>
  <c r="I24" i="3"/>
  <c r="H24" i="3"/>
  <c r="I23" i="3"/>
  <c r="H23" i="3"/>
  <c r="I22" i="3"/>
  <c r="H22" i="3"/>
  <c r="I21" i="3"/>
  <c r="H21" i="3"/>
  <c r="G20" i="3"/>
  <c r="F20" i="3"/>
  <c r="G19" i="3"/>
  <c r="F19" i="3"/>
  <c r="G18" i="3"/>
  <c r="F18" i="3"/>
  <c r="G17" i="3"/>
  <c r="F17" i="3"/>
  <c r="G16" i="3"/>
  <c r="F16" i="3"/>
  <c r="I15" i="3"/>
  <c r="I14" i="3"/>
  <c r="I13" i="3"/>
  <c r="I12" i="3"/>
  <c r="I11" i="3"/>
  <c r="I10" i="3"/>
  <c r="I9" i="3"/>
  <c r="H15" i="3"/>
  <c r="H14" i="3"/>
  <c r="H13" i="3"/>
  <c r="H12" i="3"/>
  <c r="H11" i="3"/>
  <c r="H10" i="3"/>
  <c r="H9" i="3"/>
  <c r="G8" i="3"/>
  <c r="G7" i="3"/>
  <c r="G6" i="3"/>
  <c r="G5" i="3"/>
  <c r="G4" i="3"/>
  <c r="F8" i="3"/>
  <c r="F7" i="3"/>
  <c r="F6" i="3"/>
  <c r="F5" i="3"/>
  <c r="F4" i="3"/>
  <c r="B2" i="2" l="1"/>
  <c r="B3" i="2"/>
  <c r="B1" i="4" l="1"/>
</calcChain>
</file>

<file path=xl/sharedStrings.xml><?xml version="1.0" encoding="utf-8"?>
<sst xmlns="http://schemas.openxmlformats.org/spreadsheetml/2006/main" count="1404" uniqueCount="126">
  <si>
    <t>Code</t>
  </si>
  <si>
    <t>Version</t>
  </si>
  <si>
    <t>V1</t>
  </si>
  <si>
    <t>Year</t>
  </si>
  <si>
    <t>السنة</t>
  </si>
  <si>
    <t>Month</t>
  </si>
  <si>
    <t>Relational Sheet</t>
  </si>
  <si>
    <t>Measure_Name_Ar</t>
  </si>
  <si>
    <t>Measure_Name_En</t>
  </si>
  <si>
    <t>Measure_ID</t>
  </si>
  <si>
    <t>Unit_EN</t>
  </si>
  <si>
    <t>Unit_AR</t>
  </si>
  <si>
    <t>Obs_Value</t>
  </si>
  <si>
    <t>Time_Period_Y</t>
  </si>
  <si>
    <t>Time_Period_M</t>
  </si>
  <si>
    <t>رمز المؤشر</t>
  </si>
  <si>
    <t>قيمة المؤشر</t>
  </si>
  <si>
    <t>سنة فترة القياس</t>
  </si>
  <si>
    <t>شهر فترة القياس</t>
  </si>
  <si>
    <t>M1</t>
  </si>
  <si>
    <t xml:space="preserve">اسم المؤشر </t>
  </si>
  <si>
    <t xml:space="preserve">Measure Name </t>
  </si>
  <si>
    <t>Unit</t>
  </si>
  <si>
    <t xml:space="preserve">الوحدة </t>
  </si>
  <si>
    <t>Template Name</t>
  </si>
  <si>
    <t>اسم القالب</t>
  </si>
  <si>
    <t>Data Frequency</t>
  </si>
  <si>
    <t>دورية البيانات</t>
  </si>
  <si>
    <t>Data Source</t>
  </si>
  <si>
    <t>الجهة المصدرية</t>
  </si>
  <si>
    <t>Date</t>
  </si>
  <si>
    <t>Step 1: Cover Page</t>
  </si>
  <si>
    <t>Step 2: Source Table</t>
  </si>
  <si>
    <t>Step 3: Relational Sheet</t>
  </si>
  <si>
    <r>
      <t>1. Blue Columns</t>
    </r>
    <r>
      <rPr>
        <sz val="11"/>
        <color theme="1"/>
        <rFont val="Aptos Narrow"/>
        <family val="2"/>
        <scheme val="minor"/>
      </rPr>
      <t>: Do not change the names of the blue columns. Update the data as per the current template.</t>
    </r>
  </si>
  <si>
    <r>
      <t>2. Code Lists</t>
    </r>
    <r>
      <rPr>
        <sz val="11"/>
        <color theme="1"/>
        <rFont val="Aptos Narrow"/>
        <family val="2"/>
        <scheme val="minor"/>
      </rPr>
      <t xml:space="preserve">: Use the naming convention </t>
    </r>
    <r>
      <rPr>
        <sz val="10"/>
        <color theme="1"/>
        <rFont val="Arial Unicode MS"/>
      </rPr>
      <t>CL_XXX_EN_V#</t>
    </r>
    <r>
      <rPr>
        <sz val="11"/>
        <color theme="1"/>
        <rFont val="Aptos Narrow"/>
        <family val="2"/>
        <scheme val="minor"/>
      </rPr>
      <t xml:space="preserve"> for code lists, where </t>
    </r>
    <r>
      <rPr>
        <sz val="10"/>
        <color theme="1"/>
        <rFont val="Arial Unicode MS"/>
      </rPr>
      <t>XXX</t>
    </r>
    <r>
      <rPr>
        <sz val="11"/>
        <color theme="1"/>
        <rFont val="Aptos Narrow"/>
        <family val="2"/>
        <scheme val="minor"/>
      </rPr>
      <t xml:space="preserve"> is the name, and </t>
    </r>
    <r>
      <rPr>
        <sz val="10"/>
        <color theme="1"/>
        <rFont val="Arial Unicode MS"/>
      </rPr>
      <t>V#</t>
    </r>
    <r>
      <rPr>
        <sz val="11"/>
        <color theme="1"/>
        <rFont val="Aptos Narrow"/>
        <family val="2"/>
        <scheme val="minor"/>
      </rPr>
      <t xml:space="preserve"> is the version, conforming with the definitions in the data dictionary.</t>
    </r>
  </si>
  <si>
    <r>
      <t>3. Code List Values</t>
    </r>
    <r>
      <rPr>
        <sz val="11"/>
        <color theme="1"/>
        <rFont val="Aptos Narrow"/>
        <family val="2"/>
        <scheme val="minor"/>
      </rPr>
      <t>: Ensure the code list values match the definitions in the data dictionary.</t>
    </r>
  </si>
  <si>
    <r>
      <t>4. Time_Period_M</t>
    </r>
    <r>
      <rPr>
        <sz val="11"/>
        <color theme="1"/>
        <rFont val="Aptos Narrow"/>
        <family val="2"/>
        <scheme val="minor"/>
      </rPr>
      <t>: Leave empty if the data frequency is yearly.</t>
    </r>
  </si>
  <si>
    <r>
      <t>5. Time_Period_M Format</t>
    </r>
    <r>
      <rPr>
        <sz val="11"/>
        <color theme="1"/>
        <rFont val="Aptos Narrow"/>
        <family val="2"/>
        <scheme val="minor"/>
      </rPr>
      <t>: Use one of these formats:</t>
    </r>
  </si>
  <si>
    <r>
      <t xml:space="preserve">Numeric: </t>
    </r>
    <r>
      <rPr>
        <sz val="10"/>
        <color theme="1"/>
        <rFont val="Arial Unicode MS"/>
      </rPr>
      <t>(1, 2, 3, ..., 12)</t>
    </r>
    <r>
      <rPr>
        <sz val="11"/>
        <color theme="1"/>
        <rFont val="Aptos Narrow"/>
        <family val="2"/>
        <scheme val="minor"/>
      </rPr>
      <t xml:space="preserve"> for months.</t>
    </r>
  </si>
  <si>
    <r>
      <t xml:space="preserve">Text: </t>
    </r>
    <r>
      <rPr>
        <sz val="10"/>
        <color theme="1"/>
        <rFont val="Arial Unicode MS"/>
      </rPr>
      <t>(Jan, Feb, Mar, ..., Dec)</t>
    </r>
    <r>
      <rPr>
        <sz val="11"/>
        <color theme="1"/>
        <rFont val="Aptos Narrow"/>
        <family val="2"/>
        <scheme val="minor"/>
      </rPr>
      <t>.</t>
    </r>
  </si>
  <si>
    <t>Step 4: Template Data</t>
  </si>
  <si>
    <r>
      <t xml:space="preserve">The system will update this sheet with data from the previous data upload, which can be used in the </t>
    </r>
    <r>
      <rPr>
        <b/>
        <sz val="11"/>
        <color theme="1"/>
        <rFont val="Aptos Narrow"/>
        <family val="2"/>
        <scheme val="minor"/>
      </rPr>
      <t>Source Table</t>
    </r>
    <r>
      <rPr>
        <sz val="11"/>
        <color theme="1"/>
        <rFont val="Aptos Narrow"/>
        <family val="2"/>
        <scheme val="minor"/>
      </rPr>
      <t xml:space="preserve"> sheet.</t>
    </r>
  </si>
  <si>
    <t>Step 5: Source Table Formatting</t>
  </si>
  <si>
    <r>
      <t xml:space="preserve">1. Format individual cells in the </t>
    </r>
    <r>
      <rPr>
        <b/>
        <sz val="11"/>
        <color theme="1"/>
        <rFont val="Aptos Narrow"/>
        <family val="2"/>
        <scheme val="minor"/>
      </rPr>
      <t>Source Table</t>
    </r>
    <r>
      <rPr>
        <sz val="11"/>
        <color theme="1"/>
        <rFont val="Aptos Narrow"/>
        <family val="2"/>
        <scheme val="minor"/>
      </rPr>
      <t xml:space="preserve"> sheet to protect cells that are not dedicated to data entry.</t>
    </r>
  </si>
  <si>
    <t>2. Protect the sheet to prevent any accidental changes to protected cells.</t>
  </si>
  <si>
    <t>Step 6: Hide Sheets</t>
  </si>
  <si>
    <t>Step 7: Protect Workbook</t>
  </si>
  <si>
    <r>
      <rPr>
        <sz val="11"/>
        <color theme="1"/>
        <rFont val="Aptos Narrow"/>
        <family val="2"/>
        <scheme val="minor"/>
      </rPr>
      <t xml:space="preserve">Design your template, ensuring that the time period is mapped correctly to the date information in rows 1-3 of the </t>
    </r>
    <r>
      <rPr>
        <b/>
        <sz val="11"/>
        <color theme="1"/>
        <rFont val="Aptos Narrow"/>
        <family val="2"/>
        <scheme val="minor"/>
      </rPr>
      <t>Template Data Sheet</t>
    </r>
    <r>
      <rPr>
        <sz val="11"/>
        <color theme="1"/>
        <rFont val="Aptos Narrow"/>
        <family val="2"/>
        <scheme val="minor"/>
      </rPr>
      <t>.</t>
    </r>
  </si>
  <si>
    <t>Update the template information, to ensure that any meta-information about the template, such as the title, version, and description, is accurate and up-to-date.</t>
  </si>
  <si>
    <t>Unpivot the data in the source table into a flat format. Follow these guidelines:</t>
  </si>
  <si>
    <r>
      <t xml:space="preserve">Copy rows 2 and 3 from the </t>
    </r>
    <r>
      <rPr>
        <b/>
        <sz val="11"/>
        <color theme="1"/>
        <rFont val="Aptos Narrow"/>
        <family val="2"/>
        <scheme val="minor"/>
      </rPr>
      <t>Relational DB</t>
    </r>
    <r>
      <rPr>
        <sz val="11"/>
        <color theme="1"/>
        <rFont val="Aptos Narrow"/>
        <family val="2"/>
        <scheme val="minor"/>
      </rPr>
      <t xml:space="preserve"> sheet and paste them into rows 4 and 5 of the </t>
    </r>
    <r>
      <rPr>
        <b/>
        <sz val="11"/>
        <color theme="1"/>
        <rFont val="Aptos Narrow"/>
        <family val="2"/>
        <scheme val="minor"/>
      </rPr>
      <t>Template Data</t>
    </r>
    <r>
      <rPr>
        <sz val="11"/>
        <color theme="1"/>
        <rFont val="Aptos Narrow"/>
        <family val="2"/>
        <scheme val="minor"/>
      </rPr>
      <t xml:space="preserve"> sheet.</t>
    </r>
  </si>
  <si>
    <t>قم بتحديث معلومات القالب للتأكد من أن أي معلومات وصفية حول القالب، مثل العنوان والإصدار والوصف، دقيقة ومحدثة.</t>
  </si>
  <si>
    <t>الخطوة 2: Source Table</t>
  </si>
  <si>
    <t>الخطوة 3: Relational Sheet</t>
  </si>
  <si>
    <t>قم بتحويل البيانات في جدول المصدر إلى تنسيق مسطح. اتبع هذه الإرشادات:</t>
  </si>
  <si>
    <r>
      <t>1. الأعمدة الزرقاء</t>
    </r>
    <r>
      <rPr>
        <sz val="11"/>
        <color theme="1"/>
        <rFont val="Aptos Narrow"/>
        <family val="2"/>
        <scheme val="minor"/>
      </rPr>
      <t>: لا تقم بتغيير أسماء الأعمدة الزرقاء. قم بتحديث البيانات وفقًا للقالب الحالي.</t>
    </r>
  </si>
  <si>
    <r>
      <t>3. قيم قائمة الرموز</t>
    </r>
    <r>
      <rPr>
        <sz val="11"/>
        <color theme="1"/>
        <rFont val="Aptos Narrow"/>
        <family val="2"/>
        <scheme val="minor"/>
      </rPr>
      <t>: تأكد من أن قيم قائمة الرموز تتوافق مع التعريفات في قاموس البيانات.</t>
    </r>
  </si>
  <si>
    <r>
      <t>5. تنسيق Time_Period_M</t>
    </r>
    <r>
      <rPr>
        <sz val="11"/>
        <color theme="1"/>
        <rFont val="Aptos Narrow"/>
        <family val="2"/>
        <scheme val="minor"/>
      </rPr>
      <t>: استخدم أحد التنسيقات التالية:</t>
    </r>
  </si>
  <si>
    <t>رقمي: (1، 2، 3، ...، 12) للأشهر.</t>
  </si>
  <si>
    <t>الخطوة 4: Template Data</t>
  </si>
  <si>
    <t>الخطوة 5: Source Table Formatting</t>
  </si>
  <si>
    <t>1. قم بتنسيق الخلايا الفردية في ورقة Source Table لحماية الخلايا التي ليست مخصصة لإدخال البيانات.</t>
  </si>
  <si>
    <t>2. قم بحماية الورقة لمنع أي تغييرات غير مقصودة على الخلايا المحمية.</t>
  </si>
  <si>
    <t>الخطوة 6: Hide Sheets</t>
  </si>
  <si>
    <t>الخطوة 7: Protect Workbook</t>
  </si>
  <si>
    <t>الخطوة 1: Cover Page</t>
  </si>
  <si>
    <t>قم بنسخ الصفوف 2 و 3 من ورقة Relational DB والصقها في الصفوف 4 و 5 من ورقة Template Data.</t>
  </si>
  <si>
    <t>سيقوم النظام بتحديث هذه الورقة بالبيانات من التحميل السابق للبيانات، والتي يمكن استخدامها في ورقة Source Table.</t>
  </si>
  <si>
    <t>قم بإخفاء جميع الأوراق باستثناء ورقة Source Table.</t>
  </si>
  <si>
    <r>
      <rPr>
        <sz val="11"/>
        <color theme="1"/>
        <rFont val="Aptos Narrow"/>
        <family val="2"/>
        <scheme val="minor"/>
      </rPr>
      <t xml:space="preserve">Hide all sheets except for the </t>
    </r>
    <r>
      <rPr>
        <b/>
        <sz val="11"/>
        <color theme="1"/>
        <rFont val="Aptos Narrow"/>
        <family val="2"/>
        <scheme val="minor"/>
      </rPr>
      <t>Source Table</t>
    </r>
    <r>
      <rPr>
        <sz val="11"/>
        <color theme="1"/>
        <rFont val="Aptos Narrow"/>
        <family val="2"/>
        <scheme val="minor"/>
      </rPr>
      <t xml:space="preserve"> sheet.</t>
    </r>
  </si>
  <si>
    <t>Protect the entire workbook to prevent unauthorized or accidental changes to the structure of the file.</t>
  </si>
  <si>
    <t>قم بحماية الكتاب بأكمله لمنع التغييرات غير المصرح بها أو غير المقصودة على هيكل الملف.</t>
  </si>
  <si>
    <r>
      <t>قم بتصميم القالب الخاص بك، مع التأكد من أن فترة الوقت مرتبطة بشكل صحيح مع معلومات التاريخ في الصفوف 1-3 في ورقة</t>
    </r>
    <r>
      <rPr>
        <b/>
        <sz val="11"/>
        <color theme="1"/>
        <rFont val="Aptos Narrow"/>
        <family val="2"/>
        <scheme val="minor"/>
      </rPr>
      <t xml:space="preserve"> Template Data</t>
    </r>
    <r>
      <rPr>
        <sz val="11"/>
        <color theme="1"/>
        <rFont val="Aptos Narrow"/>
        <family val="2"/>
        <scheme val="minor"/>
      </rPr>
      <t>.</t>
    </r>
  </si>
  <si>
    <r>
      <t>2. قوائم الرموز</t>
    </r>
    <r>
      <rPr>
        <sz val="11"/>
        <color theme="1"/>
        <rFont val="Aptos Narrow"/>
        <family val="2"/>
        <scheme val="minor"/>
      </rPr>
      <t xml:space="preserve">: استخدم قاعدة التسمية </t>
    </r>
    <r>
      <rPr>
        <sz val="10"/>
        <color theme="1"/>
        <rFont val="Arial Unicode MS"/>
      </rPr>
      <t xml:space="preserve">CL_XXX_EN_V# </t>
    </r>
    <r>
      <rPr>
        <sz val="11"/>
        <color theme="1"/>
        <rFont val="Aptos Narrow"/>
        <family val="2"/>
        <scheme val="minor"/>
      </rPr>
      <t xml:space="preserve">لقوائم الرموز، حيث أن </t>
    </r>
    <r>
      <rPr>
        <sz val="10"/>
        <color theme="1"/>
        <rFont val="Arial Unicode MS"/>
      </rPr>
      <t>XXX</t>
    </r>
    <r>
      <rPr>
        <sz val="11"/>
        <color theme="1"/>
        <rFont val="Aptos Narrow"/>
        <family val="2"/>
        <scheme val="minor"/>
      </rPr>
      <t xml:space="preserve"> هو الاسم و </t>
    </r>
    <r>
      <rPr>
        <sz val="10"/>
        <color theme="1"/>
        <rFont val="Arial Unicode MS"/>
      </rPr>
      <t>V#</t>
    </r>
    <r>
      <rPr>
        <sz val="11"/>
        <color theme="1"/>
        <rFont val="Aptos Narrow"/>
        <family val="2"/>
        <scheme val="minor"/>
      </rPr>
      <t xml:space="preserve"> هو الإصدار، وفقًا للتعريفات في قاموس البيانات.</t>
    </r>
  </si>
  <si>
    <r>
      <t>4. Time_Period_M</t>
    </r>
    <r>
      <rPr>
        <sz val="11"/>
        <color theme="1"/>
        <rFont val="Aptos Narrow"/>
        <family val="2"/>
        <scheme val="minor"/>
      </rPr>
      <t>: اتركها فارغة إذا كانت دورية البيانات سنوية.</t>
    </r>
  </si>
  <si>
    <t>نصي:(Jan, Feb, Mar, ..., Dec)</t>
  </si>
  <si>
    <r>
      <t>6. Obs_Value</t>
    </r>
    <r>
      <rPr>
        <sz val="11"/>
        <color theme="1"/>
        <rFont val="Aptos Narrow"/>
        <family val="2"/>
        <scheme val="minor"/>
      </rPr>
      <t>: It is recommended to use the formula =IF('Source Table'!XX="","",'Source Table'!XX) to handle empty data values correctly.</t>
    </r>
  </si>
  <si>
    <r>
      <t xml:space="preserve">6. Obs_Value: </t>
    </r>
    <r>
      <rPr>
        <sz val="11"/>
        <color theme="1"/>
        <rFont val="Aptos Narrow"/>
        <family val="2"/>
        <scheme val="minor"/>
      </rPr>
      <t>يُوصى باستخدام الصيغة =IF('Source Table'!XX="","",'Source Table'!XX) للتعامل بشكل صحيح مع القيم الفارغة في البيانات.</t>
    </r>
  </si>
  <si>
    <t>SYB_23_1</t>
  </si>
  <si>
    <t>سنوي</t>
  </si>
  <si>
    <t>Annual</t>
  </si>
  <si>
    <t>البند</t>
  </si>
  <si>
    <t>تعويضات العاملين</t>
  </si>
  <si>
    <t>اجمالي فائض التشغيل والدخل المختلط</t>
  </si>
  <si>
    <t>الضرائب على الإنتاج والمنتجات</t>
  </si>
  <si>
    <t>ناقص : الإعانات</t>
  </si>
  <si>
    <t>الإنفاق الاستهلاكي النهائي الحكومي</t>
  </si>
  <si>
    <t>الإنفاق الاستهلاكي النهائي الخاص</t>
  </si>
  <si>
    <t>التكوين الرأسمالي الثابت</t>
  </si>
  <si>
    <t>صادرات السلع والخدمات</t>
  </si>
  <si>
    <t>ناقص: واردات السلع والخدمات</t>
  </si>
  <si>
    <t>Compensation of  Employees</t>
  </si>
  <si>
    <t>Operating Surplus</t>
  </si>
  <si>
    <t>Taxes on Production and Products</t>
  </si>
  <si>
    <t>Less: Subsidies</t>
  </si>
  <si>
    <t>Gov. Final Consumption Expenditures</t>
  </si>
  <si>
    <t>Private Final Consumption Expenditures</t>
  </si>
  <si>
    <t xml:space="preserve"> Fixed Capital Formation</t>
  </si>
  <si>
    <t>Exports of  Goods and Services</t>
  </si>
  <si>
    <t>Less: Imports of Goods and Services</t>
  </si>
  <si>
    <t>Items</t>
  </si>
  <si>
    <t>CL_EXPENDITURE_EN_V1</t>
  </si>
  <si>
    <t>Not Applicable</t>
  </si>
  <si>
    <t>لا ينطبق</t>
  </si>
  <si>
    <t>الناتج المحلي الإجمالي بالأسعار الجارية</t>
  </si>
  <si>
    <t>مليون دينار</t>
  </si>
  <si>
    <t>Million JD</t>
  </si>
  <si>
    <t>Gross Domestic Product at Current Prices</t>
  </si>
  <si>
    <t>CL_INCOME_APPROACH_EN_V1</t>
  </si>
  <si>
    <t>INCOME APPROACH</t>
  </si>
  <si>
    <t>EXPENDITURE APPROACH</t>
  </si>
  <si>
    <t>CL_INCOME_APPROACH_AR_V1</t>
  </si>
  <si>
    <t>CL_EXPENDITURE_APPROACH_AR_V1</t>
  </si>
  <si>
    <t>طريقة الدخل</t>
  </si>
  <si>
    <t>طريقة الانفاق</t>
  </si>
  <si>
    <t>دائرة الإحصاءات العامة / الحسابات القومية</t>
  </si>
  <si>
    <t>Department of Statistics/ National Account</t>
  </si>
  <si>
    <t xml:space="preserve"> التغير في المخزون</t>
  </si>
  <si>
    <t>Changes in Stocks</t>
  </si>
  <si>
    <t xml:space="preserve"> الناتج المحلي الإجمالي باسعار السوق طريقة الدخل</t>
  </si>
  <si>
    <t>الناتج المحلي الاجمالي بأسعار السوق طريقة الإنفاق</t>
  </si>
  <si>
    <t>Gross Domestic Product at Market prices Income Approach</t>
  </si>
  <si>
    <t>Gross Domestic Product at Market Prices  Expenditure Approach</t>
  </si>
  <si>
    <t>الناتج المحلي الإجمالي حسب طريقة الدخل والإنفاق بالأسعار الجارية</t>
  </si>
  <si>
    <t>Gross Domestic Product by Income and Expenditure Approach at Current 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</si>
</sst>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4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rgb="FFFFFFFF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b/>
      <sz val="14"/>
      <color indexed="12"/>
      <name val="Arial"/>
      <family val="2"/>
    </font>
    <font>
      <b/>
      <sz val="12"/>
      <color indexed="12"/>
      <name val="Arial"/>
      <family val="2"/>
    </font>
    <font>
      <b/>
      <sz val="12"/>
      <name val="Arial"/>
      <family val="2"/>
    </font>
    <font>
      <b/>
      <sz val="11"/>
      <name val="Arial"/>
      <family val="2"/>
      <charset val="178"/>
    </font>
    <font>
      <b/>
      <sz val="8"/>
      <name val="Arial"/>
      <family val="2"/>
    </font>
    <font>
      <b/>
      <sz val="12"/>
      <name val="Arial"/>
      <family val="2"/>
      <charset val="178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rgb="FF0776AD"/>
      <name val="Aptos Narrow"/>
      <family val="2"/>
      <scheme val="minor"/>
    </font>
    <font>
      <b/>
      <sz val="14"/>
      <color theme="0"/>
      <name val="Aptos"/>
      <family val="2"/>
    </font>
    <font>
      <sz val="14"/>
      <color theme="1"/>
      <name val="Aptos"/>
      <family val="2"/>
    </font>
    <font>
      <sz val="11"/>
      <color rgb="FFFFFFFF"/>
      <name val="Aptos Narrow"/>
      <family val="2"/>
      <scheme val="minor"/>
    </font>
    <font>
      <sz val="11"/>
      <color rgb="FF0776AD"/>
      <name val="Aptos Narrow"/>
      <family val="2"/>
      <scheme val="minor"/>
    </font>
    <font>
      <b/>
      <sz val="14"/>
      <color theme="7" tint="-0.249977111117893"/>
      <name val="Aptos"/>
      <family val="2"/>
    </font>
    <font>
      <b/>
      <sz val="11"/>
      <color rgb="FF0776AD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</font>
    <font>
      <b/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776AD"/>
        <bgColor indexed="64"/>
      </patternFill>
    </fill>
    <fill>
      <patternFill patternType="solid">
        <fgColor theme="3" tint="0.89999084444715716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/>
      <top style="thin">
        <color theme="7" tint="-0.499984740745262"/>
      </top>
      <bottom style="thin">
        <color theme="7" tint="-0.499984740745262"/>
      </bottom>
      <diagonal/>
    </border>
    <border>
      <left/>
      <right/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/>
      <bottom style="thin">
        <color theme="7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7" tint="-0.499984740745262"/>
      </right>
      <top style="thin">
        <color theme="7" tint="-0.499984740745262"/>
      </top>
      <bottom/>
      <diagonal/>
    </border>
    <border>
      <left/>
      <right style="thin">
        <color theme="7" tint="-0.499984740745262"/>
      </right>
      <top/>
      <bottom/>
      <diagonal/>
    </border>
    <border>
      <left/>
      <right style="thin">
        <color theme="7" tint="-0.499984740745262"/>
      </right>
      <top/>
      <bottom style="thin">
        <color indexed="64"/>
      </bottom>
      <diagonal/>
    </border>
    <border>
      <left/>
      <right/>
      <top/>
      <bottom style="thin">
        <color theme="7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9">
    <xf numFmtId="0" fontId="0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9" fontId="4" fillId="0" borderId="0"/>
    <xf numFmtId="0" fontId="4" fillId="0" borderId="0"/>
    <xf numFmtId="0" fontId="3" fillId="0" borderId="0"/>
    <xf numFmtId="0" fontId="4" fillId="0" borderId="0"/>
    <xf numFmtId="9" fontId="4" fillId="0" borderId="0"/>
    <xf numFmtId="0" fontId="5" fillId="0" borderId="0">
      <alignment horizontal="centerContinuous" vertical="center"/>
    </xf>
    <xf numFmtId="0" fontId="6" fillId="0" borderId="0">
      <alignment horizontal="centerContinuous" vertical="center"/>
    </xf>
    <xf numFmtId="0" fontId="7" fillId="0" borderId="0">
      <alignment horizontal="right" vertical="center"/>
    </xf>
    <xf numFmtId="0" fontId="8" fillId="3" borderId="1">
      <alignment horizontal="center" vertical="center" wrapText="1"/>
    </xf>
    <xf numFmtId="0" fontId="3" fillId="0" borderId="0">
      <alignment horizontal="left" vertical="center"/>
    </xf>
    <xf numFmtId="0" fontId="9" fillId="3" borderId="1">
      <alignment horizontal="center" vertical="center" wrapText="1"/>
    </xf>
    <xf numFmtId="1" fontId="10" fillId="3" borderId="1">
      <alignment horizontal="center" vertical="center"/>
    </xf>
    <xf numFmtId="43" fontId="4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0" fontId="2" fillId="5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14" fontId="0" fillId="0" borderId="0" xfId="0" applyNumberFormat="1"/>
    <xf numFmtId="0" fontId="17" fillId="5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 readingOrder="2"/>
    </xf>
    <xf numFmtId="0" fontId="18" fillId="7" borderId="0" xfId="0" applyFont="1" applyFill="1" applyAlignment="1">
      <alignment horizontal="center" vertical="center"/>
    </xf>
    <xf numFmtId="0" fontId="20" fillId="0" borderId="0" xfId="0" applyFont="1" applyAlignment="1">
      <alignment horizontal="center"/>
    </xf>
    <xf numFmtId="0" fontId="21" fillId="4" borderId="0" xfId="0" applyFont="1" applyFill="1" applyAlignment="1">
      <alignment vertical="center" wrapText="1"/>
    </xf>
    <xf numFmtId="0" fontId="0" fillId="4" borderId="0" xfId="0" applyFill="1" applyAlignment="1">
      <alignment horizontal="left" vertical="center" wrapText="1"/>
    </xf>
    <xf numFmtId="0" fontId="13" fillId="4" borderId="0" xfId="0" applyFont="1" applyFill="1" applyAlignment="1">
      <alignment horizontal="left" vertical="center" wrapText="1"/>
    </xf>
    <xf numFmtId="0" fontId="0" fillId="4" borderId="0" xfId="0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vertical="center" wrapText="1"/>
    </xf>
    <xf numFmtId="0" fontId="21" fillId="4" borderId="0" xfId="0" applyFont="1" applyFill="1" applyAlignment="1">
      <alignment horizontal="right" vertical="center" wrapText="1" readingOrder="2"/>
    </xf>
    <xf numFmtId="0" fontId="0" fillId="4" borderId="0" xfId="0" applyFill="1" applyAlignment="1">
      <alignment horizontal="right" vertical="center" wrapText="1" readingOrder="2"/>
    </xf>
    <xf numFmtId="0" fontId="13" fillId="4" borderId="0" xfId="0" applyFont="1" applyFill="1" applyAlignment="1">
      <alignment horizontal="right" vertical="center" wrapText="1" readingOrder="2"/>
    </xf>
    <xf numFmtId="164" fontId="16" fillId="0" borderId="2" xfId="18" applyNumberFormat="1" applyFont="1" applyBorder="1" applyAlignment="1" applyProtection="1">
      <alignment horizontal="center" vertical="center"/>
      <protection locked="0"/>
    </xf>
    <xf numFmtId="164" fontId="16" fillId="0" borderId="5" xfId="18" applyNumberFormat="1" applyFont="1" applyBorder="1" applyAlignment="1" applyProtection="1">
      <alignment horizontal="center" vertical="center"/>
      <protection locked="0"/>
    </xf>
    <xf numFmtId="0" fontId="19" fillId="2" borderId="10" xfId="0" applyFont="1" applyFill="1" applyBorder="1" applyAlignment="1">
      <alignment vertical="center"/>
    </xf>
    <xf numFmtId="0" fontId="14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/>
    </xf>
    <xf numFmtId="0" fontId="14" fillId="0" borderId="0" xfId="0" applyFont="1" applyFill="1" applyAlignment="1">
      <alignment horizontal="center" wrapText="1"/>
    </xf>
    <xf numFmtId="0" fontId="14" fillId="0" borderId="0" xfId="0" applyFont="1" applyFill="1" applyAlignment="1">
      <alignment horizontal="center" readingOrder="2"/>
    </xf>
    <xf numFmtId="164" fontId="0" fillId="0" borderId="0" xfId="18" applyNumberFormat="1" applyFont="1"/>
    <xf numFmtId="0" fontId="19" fillId="9" borderId="11" xfId="0" applyFont="1" applyFill="1" applyBorder="1" applyAlignment="1">
      <alignment horizontal="center" vertical="center"/>
    </xf>
    <xf numFmtId="0" fontId="19" fillId="9" borderId="12" xfId="0" applyFont="1" applyFill="1" applyBorder="1" applyAlignment="1">
      <alignment horizontal="center" vertical="center"/>
    </xf>
    <xf numFmtId="0" fontId="19" fillId="9" borderId="13" xfId="0" applyFont="1" applyFill="1" applyBorder="1" applyAlignment="1">
      <alignment horizontal="center" vertical="center"/>
    </xf>
    <xf numFmtId="0" fontId="19" fillId="6" borderId="7" xfId="0" applyFont="1" applyFill="1" applyBorder="1" applyAlignment="1">
      <alignment horizontal="center" vertical="center" readingOrder="2"/>
    </xf>
    <xf numFmtId="0" fontId="19" fillId="6" borderId="8" xfId="0" applyFont="1" applyFill="1" applyBorder="1" applyAlignment="1">
      <alignment horizontal="center" vertical="center" readingOrder="2"/>
    </xf>
    <xf numFmtId="0" fontId="19" fillId="6" borderId="9" xfId="0" applyFont="1" applyFill="1" applyBorder="1" applyAlignment="1">
      <alignment horizontal="center" vertical="center" readingOrder="2"/>
    </xf>
    <xf numFmtId="0" fontId="19" fillId="6" borderId="3" xfId="0" applyFont="1" applyFill="1" applyBorder="1" applyAlignment="1">
      <alignment horizontal="center" vertical="center" readingOrder="2"/>
    </xf>
    <xf numFmtId="0" fontId="15" fillId="8" borderId="0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right" vertical="center"/>
    </xf>
    <xf numFmtId="0" fontId="23" fillId="9" borderId="6" xfId="0" applyFont="1" applyFill="1" applyBorder="1" applyProtection="1"/>
    <xf numFmtId="0" fontId="23" fillId="9" borderId="6" xfId="0" applyFont="1" applyFill="1" applyBorder="1" applyAlignment="1" applyProtection="1">
      <alignment horizontal="right"/>
    </xf>
    <xf numFmtId="0" fontId="23" fillId="9" borderId="6" xfId="3" applyFont="1" applyFill="1" applyBorder="1" applyProtection="1"/>
    <xf numFmtId="164" fontId="16" fillId="10" borderId="2" xfId="18" applyNumberFormat="1" applyFont="1" applyFill="1" applyBorder="1" applyAlignment="1" applyProtection="1">
      <alignment horizontal="center" vertical="center"/>
      <protection locked="0"/>
    </xf>
  </cellXfs>
  <cellStyles count="19">
    <cellStyle name="‏_x001d_ً'_x000c_ï‏÷_x000c__x001c_" xfId="2"/>
    <cellStyle name="‏_x001d_ً'_x000c_ï‏÷_x000c__x001c_ 2" xfId="8"/>
    <cellStyle name="Comma" xfId="18" builtinId="3"/>
    <cellStyle name="H1" xfId="11"/>
    <cellStyle name="H2" xfId="12"/>
    <cellStyle name="Had1" xfId="17"/>
    <cellStyle name="Had2" xfId="14"/>
    <cellStyle name="Had3" xfId="16"/>
    <cellStyle name="Normal" xfId="0" builtinId="0"/>
    <cellStyle name="Normal 2" xfId="3"/>
    <cellStyle name="Normal 3" xfId="1"/>
    <cellStyle name="Normal 4" xfId="4"/>
    <cellStyle name="Normal 4 2" xfId="9"/>
    <cellStyle name="Normal 5" xfId="5"/>
    <cellStyle name="Normal 6" xfId="7"/>
    <cellStyle name="Percent 2" xfId="6"/>
    <cellStyle name="Percent 2 2" xfId="10"/>
    <cellStyle name="T1" xfId="13"/>
    <cellStyle name="T2" xfId="15"/>
  </cellStyles>
  <dxfs count="0"/>
  <tableStyles count="0" defaultTableStyle="TableStyleMedium2" defaultPivotStyle="PivotStyleLight16"/>
  <colors>
    <mruColors>
      <color rgb="FF0776AD"/>
      <color rgb="FFBCE7FC"/>
      <color rgb="FF098B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18" sqref="B18"/>
    </sheetView>
  </sheetViews>
  <sheetFormatPr defaultRowHeight="14.25"/>
  <cols>
    <col min="1" max="1" width="32.375" bestFit="1" customWidth="1"/>
    <col min="2" max="2" width="115.75" customWidth="1"/>
  </cols>
  <sheetData>
    <row r="1" spans="1:2" ht="21" customHeight="1">
      <c r="A1" s="2" t="s">
        <v>0</v>
      </c>
      <c r="B1" s="22" t="s">
        <v>79</v>
      </c>
    </row>
    <row r="2" spans="1:2" ht="21" customHeight="1">
      <c r="A2" s="2" t="s">
        <v>1</v>
      </c>
      <c r="B2" s="22" t="s">
        <v>2</v>
      </c>
    </row>
    <row r="3" spans="1:2" ht="21" customHeight="1">
      <c r="A3" s="2" t="s">
        <v>25</v>
      </c>
      <c r="B3" s="23" t="s">
        <v>124</v>
      </c>
    </row>
    <row r="4" spans="1:2" ht="21" customHeight="1">
      <c r="A4" s="2" t="s">
        <v>24</v>
      </c>
      <c r="B4" s="24" t="s">
        <v>125</v>
      </c>
    </row>
    <row r="5" spans="1:2" ht="21" customHeight="1">
      <c r="A5" s="2" t="s">
        <v>27</v>
      </c>
      <c r="B5" s="25" t="s">
        <v>80</v>
      </c>
    </row>
    <row r="6" spans="1:2" ht="21" customHeight="1">
      <c r="A6" s="2" t="s">
        <v>26</v>
      </c>
      <c r="B6" s="25" t="s">
        <v>81</v>
      </c>
    </row>
    <row r="7" spans="1:2" ht="21" customHeight="1">
      <c r="A7" s="2" t="s">
        <v>29</v>
      </c>
      <c r="B7" s="22" t="s">
        <v>116</v>
      </c>
    </row>
    <row r="8" spans="1:2" ht="21" customHeight="1">
      <c r="A8" s="2" t="s">
        <v>28</v>
      </c>
      <c r="B8" s="22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9"/>
  <sheetViews>
    <sheetView tabSelected="1" view="pageBreakPreview" zoomScaleNormal="100" zoomScaleSheetLayoutView="100" workbookViewId="0">
      <selection activeCell="B19" sqref="B19"/>
    </sheetView>
  </sheetViews>
  <sheetFormatPr defaultColWidth="16.75" defaultRowHeight="14.25"/>
  <cols>
    <col min="2" max="2" width="51.375" bestFit="1" customWidth="1"/>
    <col min="3" max="3" width="15.125" customWidth="1"/>
    <col min="4" max="4" width="34.375" customWidth="1"/>
  </cols>
  <sheetData>
    <row r="2" spans="2:4" ht="28.15" customHeight="1">
      <c r="B2" s="34" t="str">
        <f>'Cover Page'!B4</f>
        <v>Gross Domestic Product by Income and Expenditure Approach at Current Prices</v>
      </c>
      <c r="C2" s="34"/>
      <c r="D2" s="34"/>
    </row>
    <row r="3" spans="2:4" ht="28.15" customHeight="1">
      <c r="B3" s="34" t="str">
        <f>'Cover Page'!B3</f>
        <v>الناتج المحلي الإجمالي حسب طريقة الدخل والإنفاق بالأسعار الجارية</v>
      </c>
      <c r="C3" s="34"/>
      <c r="D3" s="34"/>
    </row>
    <row r="4" spans="2:4" ht="28.15" customHeight="1">
      <c r="B4" s="21" t="s">
        <v>3</v>
      </c>
      <c r="C4" s="27">
        <v>2023</v>
      </c>
      <c r="D4" s="35" t="s">
        <v>4</v>
      </c>
    </row>
    <row r="5" spans="2:4" ht="28.15" customHeight="1">
      <c r="B5" s="33" t="s">
        <v>101</v>
      </c>
      <c r="C5" s="28"/>
      <c r="D5" s="30" t="s">
        <v>82</v>
      </c>
    </row>
    <row r="6" spans="2:4" ht="19.899999999999999" customHeight="1">
      <c r="B6" s="33"/>
      <c r="C6" s="28"/>
      <c r="D6" s="31"/>
    </row>
    <row r="7" spans="2:4" ht="19.899999999999999" customHeight="1">
      <c r="B7" s="33"/>
      <c r="C7" s="29"/>
      <c r="D7" s="32"/>
    </row>
    <row r="8" spans="2:4" ht="22.15" customHeight="1">
      <c r="B8" s="38" t="s">
        <v>92</v>
      </c>
      <c r="C8" s="20"/>
      <c r="D8" s="36" t="s">
        <v>83</v>
      </c>
    </row>
    <row r="9" spans="2:4" ht="22.15" customHeight="1">
      <c r="B9" s="38" t="s">
        <v>93</v>
      </c>
      <c r="C9" s="19"/>
      <c r="D9" s="36" t="s">
        <v>84</v>
      </c>
    </row>
    <row r="10" spans="2:4" ht="22.15" customHeight="1">
      <c r="B10" s="38" t="s">
        <v>94</v>
      </c>
      <c r="C10" s="19"/>
      <c r="D10" s="36" t="s">
        <v>85</v>
      </c>
    </row>
    <row r="11" spans="2:4" ht="22.15" customHeight="1">
      <c r="B11" s="38" t="s">
        <v>95</v>
      </c>
      <c r="C11" s="19"/>
      <c r="D11" s="36" t="s">
        <v>86</v>
      </c>
    </row>
    <row r="12" spans="2:4" ht="22.15" customHeight="1">
      <c r="B12" s="38" t="s">
        <v>122</v>
      </c>
      <c r="C12" s="39"/>
      <c r="D12" s="36" t="s">
        <v>120</v>
      </c>
    </row>
    <row r="13" spans="2:4" ht="22.15" customHeight="1">
      <c r="B13" s="38" t="s">
        <v>96</v>
      </c>
      <c r="C13" s="19"/>
      <c r="D13" s="36" t="s">
        <v>87</v>
      </c>
    </row>
    <row r="14" spans="2:4" ht="22.15" customHeight="1">
      <c r="B14" s="38" t="s">
        <v>97</v>
      </c>
      <c r="C14" s="19"/>
      <c r="D14" s="36" t="s">
        <v>88</v>
      </c>
    </row>
    <row r="15" spans="2:4" ht="22.15" customHeight="1">
      <c r="B15" s="38" t="s">
        <v>98</v>
      </c>
      <c r="C15" s="19"/>
      <c r="D15" s="36" t="s">
        <v>89</v>
      </c>
    </row>
    <row r="16" spans="2:4" ht="22.15" customHeight="1">
      <c r="B16" s="38" t="s">
        <v>119</v>
      </c>
      <c r="C16" s="19"/>
      <c r="D16" s="37" t="s">
        <v>118</v>
      </c>
    </row>
    <row r="17" spans="2:4" ht="22.15" customHeight="1">
      <c r="B17" s="38" t="s">
        <v>99</v>
      </c>
      <c r="C17" s="19"/>
      <c r="D17" s="36" t="s">
        <v>90</v>
      </c>
    </row>
    <row r="18" spans="2:4" ht="22.15" customHeight="1">
      <c r="B18" s="38" t="s">
        <v>100</v>
      </c>
      <c r="C18" s="19"/>
      <c r="D18" s="36" t="s">
        <v>91</v>
      </c>
    </row>
    <row r="19" spans="2:4" ht="22.15" customHeight="1">
      <c r="B19" s="38" t="s">
        <v>123</v>
      </c>
      <c r="C19" s="39"/>
      <c r="D19" s="36" t="s">
        <v>121</v>
      </c>
    </row>
  </sheetData>
  <sheetProtection algorithmName="SHA-512" hashValue="RMlaO2EXnUfo7JnqQvO15VGDS3XV46l2fIghzlNsjtILoW99CsSCClC2FD0BO97Ytn3qFOOXnzLn48OUqXVIxw==" saltValue="thWGitd55e3nQ3VpHxD5iQ==" spinCount="100000" sheet="1" objects="1" scenarios="1"/>
  <mergeCells count="5">
    <mergeCell ref="C4:C7"/>
    <mergeCell ref="D5:D7"/>
    <mergeCell ref="B5:B7"/>
    <mergeCell ref="B2:D2"/>
    <mergeCell ref="B3:D3"/>
  </mergeCells>
  <pageMargins left="0.7" right="0.7" top="0.75" bottom="0.75" header="0.3" footer="0.3"/>
  <pageSetup scale="3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3"/>
  <sheetViews>
    <sheetView topLeftCell="B2" zoomScaleNormal="98" workbookViewId="0">
      <selection activeCell="J26" sqref="J26"/>
    </sheetView>
  </sheetViews>
  <sheetFormatPr defaultColWidth="9" defaultRowHeight="14.25"/>
  <cols>
    <col min="1" max="1" width="66.25" customWidth="1"/>
    <col min="2" max="2" width="36.25" bestFit="1" customWidth="1"/>
    <col min="3" max="3" width="9.75" bestFit="1" customWidth="1"/>
    <col min="4" max="5" width="18.125" customWidth="1"/>
    <col min="6" max="6" width="28.375" customWidth="1"/>
    <col min="7" max="7" width="24.75" customWidth="1"/>
    <col min="8" max="8" width="23.25" bestFit="1" customWidth="1"/>
    <col min="9" max="9" width="23.75" customWidth="1"/>
    <col min="10" max="10" width="15.375" style="26" customWidth="1"/>
    <col min="11" max="12" width="15.375" customWidth="1"/>
  </cols>
  <sheetData>
    <row r="1" spans="1:12" ht="20.25">
      <c r="A1" s="3" t="s">
        <v>6</v>
      </c>
      <c r="J1"/>
    </row>
    <row r="2" spans="1:12" s="1" customFormat="1" ht="18" customHeight="1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8" t="s">
        <v>109</v>
      </c>
      <c r="G2" s="8" t="s">
        <v>112</v>
      </c>
      <c r="H2" s="8" t="s">
        <v>102</v>
      </c>
      <c r="I2" s="8" t="s">
        <v>113</v>
      </c>
      <c r="J2" s="5" t="s">
        <v>12</v>
      </c>
      <c r="K2" s="5" t="s">
        <v>13</v>
      </c>
      <c r="L2" s="5" t="s">
        <v>14</v>
      </c>
    </row>
    <row r="3" spans="1:12" s="1" customFormat="1" ht="18" customHeight="1">
      <c r="A3" s="5" t="s">
        <v>20</v>
      </c>
      <c r="B3" s="5" t="s">
        <v>21</v>
      </c>
      <c r="C3" s="5" t="s">
        <v>15</v>
      </c>
      <c r="D3" s="5" t="s">
        <v>22</v>
      </c>
      <c r="E3" s="5" t="s">
        <v>23</v>
      </c>
      <c r="F3" s="8" t="s">
        <v>110</v>
      </c>
      <c r="G3" s="8" t="s">
        <v>114</v>
      </c>
      <c r="H3" s="8" t="s">
        <v>111</v>
      </c>
      <c r="I3" s="8" t="s">
        <v>115</v>
      </c>
      <c r="J3" s="5" t="s">
        <v>16</v>
      </c>
      <c r="K3" s="5" t="s">
        <v>17</v>
      </c>
      <c r="L3" s="5" t="s">
        <v>18</v>
      </c>
    </row>
    <row r="4" spans="1:12" ht="15">
      <c r="A4" t="s">
        <v>105</v>
      </c>
      <c r="B4" t="s">
        <v>108</v>
      </c>
      <c r="C4" s="6" t="s">
        <v>19</v>
      </c>
      <c r="D4" s="6" t="s">
        <v>107</v>
      </c>
      <c r="E4" s="7" t="s">
        <v>106</v>
      </c>
      <c r="F4" t="str">
        <f>+'Source Table'!$B$8</f>
        <v>Compensation of  Employees</v>
      </c>
      <c r="G4" t="str">
        <f>+'Source Table'!$D$8</f>
        <v>تعويضات العاملين</v>
      </c>
      <c r="H4" t="s">
        <v>103</v>
      </c>
      <c r="I4" t="s">
        <v>104</v>
      </c>
      <c r="J4" s="26">
        <v>5932.6570009999996</v>
      </c>
      <c r="K4">
        <v>2008</v>
      </c>
    </row>
    <row r="5" spans="1:12" ht="15">
      <c r="A5" t="s">
        <v>105</v>
      </c>
      <c r="B5" t="s">
        <v>108</v>
      </c>
      <c r="C5" s="6" t="s">
        <v>19</v>
      </c>
      <c r="D5" s="6" t="s">
        <v>107</v>
      </c>
      <c r="E5" s="7" t="s">
        <v>106</v>
      </c>
      <c r="F5" t="str">
        <f>+'Source Table'!$B$9</f>
        <v>Operating Surplus</v>
      </c>
      <c r="G5" t="str">
        <f>+'Source Table'!$D$9</f>
        <v>اجمالي فائض التشغيل والدخل المختلط</v>
      </c>
      <c r="H5" t="s">
        <v>103</v>
      </c>
      <c r="I5" t="s">
        <v>104</v>
      </c>
      <c r="J5" s="26">
        <v>8055.296609</v>
      </c>
      <c r="K5">
        <v>2008</v>
      </c>
    </row>
    <row r="6" spans="1:12" ht="15">
      <c r="A6" t="s">
        <v>105</v>
      </c>
      <c r="B6" t="s">
        <v>108</v>
      </c>
      <c r="C6" s="6" t="s">
        <v>19</v>
      </c>
      <c r="D6" s="6" t="s">
        <v>107</v>
      </c>
      <c r="E6" s="7" t="s">
        <v>106</v>
      </c>
      <c r="F6" t="str">
        <f>+'Source Table'!$B$10</f>
        <v>Taxes on Production and Products</v>
      </c>
      <c r="G6" t="str">
        <f>+'Source Table'!$D$10</f>
        <v>الضرائب على الإنتاج والمنتجات</v>
      </c>
      <c r="H6" t="s">
        <v>103</v>
      </c>
      <c r="I6" t="s">
        <v>104</v>
      </c>
      <c r="J6" s="26">
        <v>2511.1893909999999</v>
      </c>
      <c r="K6">
        <v>2008</v>
      </c>
    </row>
    <row r="7" spans="1:12" ht="15">
      <c r="A7" t="s">
        <v>105</v>
      </c>
      <c r="B7" t="s">
        <v>108</v>
      </c>
      <c r="C7" s="6" t="s">
        <v>19</v>
      </c>
      <c r="D7" s="6" t="s">
        <v>107</v>
      </c>
      <c r="E7" s="7" t="s">
        <v>106</v>
      </c>
      <c r="F7" t="str">
        <f>+'Source Table'!$B$11</f>
        <v>Less: Subsidies</v>
      </c>
      <c r="G7" t="str">
        <f>+'Source Table'!$D$11</f>
        <v>ناقص : الإعانات</v>
      </c>
      <c r="H7" t="s">
        <v>103</v>
      </c>
      <c r="I7" t="s">
        <v>104</v>
      </c>
      <c r="J7" s="26">
        <v>419</v>
      </c>
      <c r="K7">
        <v>2008</v>
      </c>
    </row>
    <row r="8" spans="1:12" ht="15">
      <c r="A8" t="s">
        <v>105</v>
      </c>
      <c r="B8" t="s">
        <v>108</v>
      </c>
      <c r="C8" s="6" t="s">
        <v>19</v>
      </c>
      <c r="D8" s="6" t="s">
        <v>107</v>
      </c>
      <c r="E8" s="7" t="s">
        <v>106</v>
      </c>
      <c r="F8" t="str">
        <f>+'Source Table'!$B$12</f>
        <v>Gross Domestic Product at Market prices Income Approach</v>
      </c>
      <c r="G8" t="str">
        <f>+'Source Table'!$D$12</f>
        <v xml:space="preserve"> الناتج المحلي الإجمالي باسعار السوق طريقة الدخل</v>
      </c>
      <c r="H8" t="s">
        <v>103</v>
      </c>
      <c r="I8" t="s">
        <v>104</v>
      </c>
      <c r="J8" s="26">
        <v>16080.143002000001</v>
      </c>
      <c r="K8">
        <v>2008</v>
      </c>
    </row>
    <row r="9" spans="1:12" ht="15">
      <c r="A9" t="s">
        <v>105</v>
      </c>
      <c r="B9" t="s">
        <v>108</v>
      </c>
      <c r="C9" s="6" t="s">
        <v>19</v>
      </c>
      <c r="D9" s="6" t="s">
        <v>107</v>
      </c>
      <c r="E9" s="7" t="s">
        <v>106</v>
      </c>
      <c r="F9" t="s">
        <v>103</v>
      </c>
      <c r="G9" t="s">
        <v>104</v>
      </c>
      <c r="H9" t="str">
        <f>+'Source Table'!$B$13</f>
        <v>Gov. Final Consumption Expenditures</v>
      </c>
      <c r="I9" t="str">
        <f>+'Source Table'!$D$13</f>
        <v>الإنفاق الاستهلاكي النهائي الحكومي</v>
      </c>
      <c r="J9" s="26">
        <v>2954.5672669999999</v>
      </c>
      <c r="K9">
        <v>2008</v>
      </c>
    </row>
    <row r="10" spans="1:12" ht="15">
      <c r="A10" t="s">
        <v>105</v>
      </c>
      <c r="B10" t="s">
        <v>108</v>
      </c>
      <c r="C10" s="6" t="s">
        <v>19</v>
      </c>
      <c r="D10" s="6" t="s">
        <v>107</v>
      </c>
      <c r="E10" s="7" t="s">
        <v>106</v>
      </c>
      <c r="F10" t="s">
        <v>103</v>
      </c>
      <c r="G10" t="s">
        <v>104</v>
      </c>
      <c r="H10" t="str">
        <f>+'Source Table'!$B$14</f>
        <v>Private Final Consumption Expenditures</v>
      </c>
      <c r="I10" t="str">
        <f>+'Source Table'!$D$14</f>
        <v>الإنفاق الاستهلاكي النهائي الخاص</v>
      </c>
      <c r="J10" s="26">
        <v>11961.861364</v>
      </c>
      <c r="K10">
        <v>2008</v>
      </c>
    </row>
    <row r="11" spans="1:12" ht="15">
      <c r="A11" t="s">
        <v>105</v>
      </c>
      <c r="B11" t="s">
        <v>108</v>
      </c>
      <c r="C11" s="6" t="s">
        <v>19</v>
      </c>
      <c r="D11" s="6" t="s">
        <v>107</v>
      </c>
      <c r="E11" s="7" t="s">
        <v>106</v>
      </c>
      <c r="F11" t="s">
        <v>103</v>
      </c>
      <c r="G11" t="s">
        <v>104</v>
      </c>
      <c r="H11" t="str">
        <f>+'Source Table'!$B$15</f>
        <v xml:space="preserve"> Fixed Capital Formation</v>
      </c>
      <c r="I11" t="str">
        <f>+'Source Table'!$D$15</f>
        <v>التكوين الرأسمالي الثابت</v>
      </c>
      <c r="J11" s="26">
        <v>728.833215</v>
      </c>
      <c r="K11">
        <v>2008</v>
      </c>
    </row>
    <row r="12" spans="1:12" ht="15">
      <c r="A12" t="s">
        <v>105</v>
      </c>
      <c r="B12" t="s">
        <v>108</v>
      </c>
      <c r="C12" s="6" t="s">
        <v>19</v>
      </c>
      <c r="D12" s="6" t="s">
        <v>107</v>
      </c>
      <c r="E12" s="7" t="s">
        <v>106</v>
      </c>
      <c r="F12" t="s">
        <v>103</v>
      </c>
      <c r="G12" t="s">
        <v>104</v>
      </c>
      <c r="H12" t="str">
        <f>+'Source Table'!$B$16</f>
        <v>Changes in Stocks</v>
      </c>
      <c r="I12" t="str">
        <f>+'Source Table'!$D$16</f>
        <v xml:space="preserve"> التغير في المخزون</v>
      </c>
      <c r="J12" s="26">
        <v>5067.8811560000004</v>
      </c>
      <c r="K12">
        <v>2008</v>
      </c>
    </row>
    <row r="13" spans="1:12" ht="15">
      <c r="A13" t="s">
        <v>105</v>
      </c>
      <c r="B13" t="s">
        <v>108</v>
      </c>
      <c r="C13" s="6" t="s">
        <v>19</v>
      </c>
      <c r="D13" s="6" t="s">
        <v>107</v>
      </c>
      <c r="E13" s="7" t="s">
        <v>106</v>
      </c>
      <c r="F13" t="s">
        <v>103</v>
      </c>
      <c r="G13" t="s">
        <v>104</v>
      </c>
      <c r="H13" t="str">
        <f>+'Source Table'!$B$17</f>
        <v>Exports of  Goods and Services</v>
      </c>
      <c r="I13" t="str">
        <f>+'Source Table'!$D$17</f>
        <v>صادرات السلع والخدمات</v>
      </c>
      <c r="J13" s="26">
        <v>9013</v>
      </c>
      <c r="K13">
        <v>2008</v>
      </c>
    </row>
    <row r="14" spans="1:12" ht="15">
      <c r="A14" t="s">
        <v>105</v>
      </c>
      <c r="B14" t="s">
        <v>108</v>
      </c>
      <c r="C14" s="6" t="s">
        <v>19</v>
      </c>
      <c r="D14" s="6" t="s">
        <v>107</v>
      </c>
      <c r="E14" s="7" t="s">
        <v>106</v>
      </c>
      <c r="F14" t="s">
        <v>103</v>
      </c>
      <c r="G14" t="s">
        <v>104</v>
      </c>
      <c r="H14" t="str">
        <f>+'Source Table'!$B$18</f>
        <v>Less: Imports of Goods and Services</v>
      </c>
      <c r="I14" t="str">
        <f>+'Source Table'!$D$18</f>
        <v>ناقص: واردات السلع والخدمات</v>
      </c>
      <c r="J14" s="26">
        <v>13646</v>
      </c>
      <c r="K14">
        <v>2008</v>
      </c>
    </row>
    <row r="15" spans="1:12" ht="15">
      <c r="A15" t="s">
        <v>105</v>
      </c>
      <c r="B15" t="s">
        <v>108</v>
      </c>
      <c r="C15" s="6" t="s">
        <v>19</v>
      </c>
      <c r="D15" s="6" t="s">
        <v>107</v>
      </c>
      <c r="E15" s="7" t="s">
        <v>106</v>
      </c>
      <c r="F15" t="s">
        <v>103</v>
      </c>
      <c r="G15" t="s">
        <v>104</v>
      </c>
      <c r="H15" t="str">
        <f>+'Source Table'!$B$19</f>
        <v>Gross Domestic Product at Market Prices  Expenditure Approach</v>
      </c>
      <c r="I15" t="str">
        <f>+'Source Table'!$D$19</f>
        <v>الناتج المحلي الاجمالي بأسعار السوق طريقة الإنفاق</v>
      </c>
      <c r="J15" s="26">
        <v>16080.143002000001</v>
      </c>
      <c r="K15">
        <v>2008</v>
      </c>
    </row>
    <row r="16" spans="1:12" ht="15">
      <c r="A16" t="s">
        <v>105</v>
      </c>
      <c r="B16" t="s">
        <v>108</v>
      </c>
      <c r="C16" s="6" t="s">
        <v>19</v>
      </c>
      <c r="D16" s="6" t="s">
        <v>107</v>
      </c>
      <c r="E16" s="7" t="s">
        <v>106</v>
      </c>
      <c r="F16" t="str">
        <f>+'Source Table'!$B$8</f>
        <v>Compensation of  Employees</v>
      </c>
      <c r="G16" t="str">
        <f>+'Source Table'!$D$8</f>
        <v>تعويضات العاملين</v>
      </c>
      <c r="H16" t="s">
        <v>103</v>
      </c>
      <c r="I16" t="s">
        <v>104</v>
      </c>
      <c r="J16" s="26">
        <v>6784.1082379999998</v>
      </c>
      <c r="K16">
        <f>+K4+1</f>
        <v>2009</v>
      </c>
    </row>
    <row r="17" spans="1:11" ht="15">
      <c r="A17" t="s">
        <v>105</v>
      </c>
      <c r="B17" t="s">
        <v>108</v>
      </c>
      <c r="C17" s="6" t="s">
        <v>19</v>
      </c>
      <c r="D17" s="6" t="s">
        <v>107</v>
      </c>
      <c r="E17" s="7" t="s">
        <v>106</v>
      </c>
      <c r="F17" t="str">
        <f>+'Source Table'!$B$9</f>
        <v>Operating Surplus</v>
      </c>
      <c r="G17" t="str">
        <f>+'Source Table'!$D$9</f>
        <v>اجمالي فائض التشغيل والدخل المختلط</v>
      </c>
      <c r="H17" t="s">
        <v>103</v>
      </c>
      <c r="I17" t="s">
        <v>104</v>
      </c>
      <c r="J17" s="26">
        <v>8309.1607050000002</v>
      </c>
      <c r="K17">
        <f t="shared" ref="K17:K80" si="0">+K5+1</f>
        <v>2009</v>
      </c>
    </row>
    <row r="18" spans="1:11" ht="15">
      <c r="A18" t="s">
        <v>105</v>
      </c>
      <c r="B18" t="s">
        <v>108</v>
      </c>
      <c r="C18" s="6" t="s">
        <v>19</v>
      </c>
      <c r="D18" s="6" t="s">
        <v>107</v>
      </c>
      <c r="E18" s="7" t="s">
        <v>106</v>
      </c>
      <c r="F18" t="str">
        <f>+'Source Table'!$B$10</f>
        <v>Taxes on Production and Products</v>
      </c>
      <c r="G18" t="str">
        <f>+'Source Table'!$D$10</f>
        <v>الضرائب على الإنتاج والمنتجات</v>
      </c>
      <c r="H18" t="s">
        <v>103</v>
      </c>
      <c r="I18" t="s">
        <v>104</v>
      </c>
      <c r="J18" s="26">
        <v>2514.6231050000001</v>
      </c>
      <c r="K18">
        <f t="shared" si="0"/>
        <v>2009</v>
      </c>
    </row>
    <row r="19" spans="1:11" ht="15">
      <c r="A19" t="s">
        <v>105</v>
      </c>
      <c r="B19" t="s">
        <v>108</v>
      </c>
      <c r="C19" s="6" t="s">
        <v>19</v>
      </c>
      <c r="D19" s="6" t="s">
        <v>107</v>
      </c>
      <c r="E19" s="7" t="s">
        <v>106</v>
      </c>
      <c r="F19" t="str">
        <f>+'Source Table'!$B$11</f>
        <v>Less: Subsidies</v>
      </c>
      <c r="G19" t="str">
        <f>+'Source Table'!$D$11</f>
        <v>ناقص : الإعانات</v>
      </c>
      <c r="H19" t="s">
        <v>103</v>
      </c>
      <c r="I19" t="s">
        <v>104</v>
      </c>
      <c r="J19" s="26">
        <v>186</v>
      </c>
      <c r="K19">
        <f t="shared" si="0"/>
        <v>2009</v>
      </c>
    </row>
    <row r="20" spans="1:11" ht="15">
      <c r="A20" t="s">
        <v>105</v>
      </c>
      <c r="B20" t="s">
        <v>108</v>
      </c>
      <c r="C20" s="6" t="s">
        <v>19</v>
      </c>
      <c r="D20" s="6" t="s">
        <v>107</v>
      </c>
      <c r="E20" s="7" t="s">
        <v>106</v>
      </c>
      <c r="F20" t="str">
        <f>+'Source Table'!$B$12</f>
        <v>Gross Domestic Product at Market prices Income Approach</v>
      </c>
      <c r="G20" t="str">
        <f>+'Source Table'!$D$12</f>
        <v xml:space="preserve"> الناتج المحلي الإجمالي باسعار السوق طريقة الدخل</v>
      </c>
      <c r="H20" t="s">
        <v>103</v>
      </c>
      <c r="I20" t="s">
        <v>104</v>
      </c>
      <c r="J20" s="26">
        <v>17421.892048000002</v>
      </c>
      <c r="K20">
        <f t="shared" si="0"/>
        <v>2009</v>
      </c>
    </row>
    <row r="21" spans="1:11" ht="15">
      <c r="A21" t="s">
        <v>105</v>
      </c>
      <c r="B21" t="s">
        <v>108</v>
      </c>
      <c r="C21" s="6" t="s">
        <v>19</v>
      </c>
      <c r="D21" s="6" t="s">
        <v>107</v>
      </c>
      <c r="E21" s="7" t="s">
        <v>106</v>
      </c>
      <c r="F21" t="s">
        <v>103</v>
      </c>
      <c r="G21" t="s">
        <v>104</v>
      </c>
      <c r="H21" t="str">
        <f>+'Source Table'!$B$13</f>
        <v>Gov. Final Consumption Expenditures</v>
      </c>
      <c r="I21" t="str">
        <f>+'Source Table'!$D$13</f>
        <v>الإنفاق الاستهلاكي النهائي الحكومي</v>
      </c>
      <c r="J21" s="26">
        <v>3645.0551569999998</v>
      </c>
      <c r="K21">
        <f t="shared" si="0"/>
        <v>2009</v>
      </c>
    </row>
    <row r="22" spans="1:11" ht="15">
      <c r="A22" t="s">
        <v>105</v>
      </c>
      <c r="B22" t="s">
        <v>108</v>
      </c>
      <c r="C22" s="6" t="s">
        <v>19</v>
      </c>
      <c r="D22" s="6" t="s">
        <v>107</v>
      </c>
      <c r="E22" s="7" t="s">
        <v>106</v>
      </c>
      <c r="F22" t="s">
        <v>103</v>
      </c>
      <c r="G22" t="s">
        <v>104</v>
      </c>
      <c r="H22" t="str">
        <f>+'Source Table'!$B$14</f>
        <v>Private Final Consumption Expenditures</v>
      </c>
      <c r="I22" t="str">
        <f>+'Source Table'!$D$14</f>
        <v>الإنفاق الاستهلاكي النهائي الخاص</v>
      </c>
      <c r="J22" s="26">
        <v>11940.927088</v>
      </c>
      <c r="K22">
        <f t="shared" si="0"/>
        <v>2009</v>
      </c>
    </row>
    <row r="23" spans="1:11" ht="15">
      <c r="A23" t="s">
        <v>105</v>
      </c>
      <c r="B23" t="s">
        <v>108</v>
      </c>
      <c r="C23" s="6" t="s">
        <v>19</v>
      </c>
      <c r="D23" s="6" t="s">
        <v>107</v>
      </c>
      <c r="E23" s="7" t="s">
        <v>106</v>
      </c>
      <c r="F23" t="s">
        <v>103</v>
      </c>
      <c r="G23" t="s">
        <v>104</v>
      </c>
      <c r="H23" t="str">
        <f>+'Source Table'!$B$15</f>
        <v xml:space="preserve"> Fixed Capital Formation</v>
      </c>
      <c r="I23" t="str">
        <f>+'Source Table'!$D$15</f>
        <v>التكوين الرأسمالي الثابت</v>
      </c>
      <c r="J23" s="26">
        <v>314.189099</v>
      </c>
      <c r="K23">
        <f t="shared" si="0"/>
        <v>2009</v>
      </c>
    </row>
    <row r="24" spans="1:11" ht="15">
      <c r="A24" t="s">
        <v>105</v>
      </c>
      <c r="B24" t="s">
        <v>108</v>
      </c>
      <c r="C24" s="6" t="s">
        <v>19</v>
      </c>
      <c r="D24" s="6" t="s">
        <v>107</v>
      </c>
      <c r="E24" s="7" t="s">
        <v>106</v>
      </c>
      <c r="F24" t="s">
        <v>103</v>
      </c>
      <c r="G24" t="s">
        <v>104</v>
      </c>
      <c r="H24" t="str">
        <f>+'Source Table'!$B$16</f>
        <v>Changes in Stocks</v>
      </c>
      <c r="I24" t="str">
        <f>+'Source Table'!$D$16</f>
        <v xml:space="preserve"> التغير في المخزون</v>
      </c>
      <c r="J24" s="26">
        <v>5354.7207049999997</v>
      </c>
      <c r="K24">
        <f t="shared" si="0"/>
        <v>2009</v>
      </c>
    </row>
    <row r="25" spans="1:11" ht="15">
      <c r="A25" t="s">
        <v>105</v>
      </c>
      <c r="B25" t="s">
        <v>108</v>
      </c>
      <c r="C25" s="6" t="s">
        <v>19</v>
      </c>
      <c r="D25" s="6" t="s">
        <v>107</v>
      </c>
      <c r="E25" s="7" t="s">
        <v>106</v>
      </c>
      <c r="F25" t="s">
        <v>103</v>
      </c>
      <c r="G25" t="s">
        <v>104</v>
      </c>
      <c r="H25" t="str">
        <f>+'Source Table'!$B$17</f>
        <v>Exports of  Goods and Services</v>
      </c>
      <c r="I25" t="str">
        <f>+'Source Table'!$D$17</f>
        <v>صادرات السلع والخدمات</v>
      </c>
      <c r="J25" s="26">
        <v>7853</v>
      </c>
      <c r="K25">
        <f t="shared" si="0"/>
        <v>2009</v>
      </c>
    </row>
    <row r="26" spans="1:11" ht="15">
      <c r="A26" t="s">
        <v>105</v>
      </c>
      <c r="B26" t="s">
        <v>108</v>
      </c>
      <c r="C26" s="6" t="s">
        <v>19</v>
      </c>
      <c r="D26" s="6" t="s">
        <v>107</v>
      </c>
      <c r="E26" s="7" t="s">
        <v>106</v>
      </c>
      <c r="F26" t="s">
        <v>103</v>
      </c>
      <c r="G26" t="s">
        <v>104</v>
      </c>
      <c r="H26" t="str">
        <f>+'Source Table'!$B$18</f>
        <v>Less: Imports of Goods and Services</v>
      </c>
      <c r="I26" t="str">
        <f>+'Source Table'!$D$18</f>
        <v>ناقص: واردات السلع والخدمات</v>
      </c>
      <c r="J26" s="26">
        <v>11686</v>
      </c>
      <c r="K26">
        <f t="shared" si="0"/>
        <v>2009</v>
      </c>
    </row>
    <row r="27" spans="1:11" ht="15">
      <c r="A27" t="s">
        <v>105</v>
      </c>
      <c r="B27" t="s">
        <v>108</v>
      </c>
      <c r="C27" s="6" t="s">
        <v>19</v>
      </c>
      <c r="D27" s="6" t="s">
        <v>107</v>
      </c>
      <c r="E27" s="7" t="s">
        <v>106</v>
      </c>
      <c r="F27" t="s">
        <v>103</v>
      </c>
      <c r="G27" t="s">
        <v>104</v>
      </c>
      <c r="H27" t="str">
        <f>+'Source Table'!$B$19</f>
        <v>Gross Domestic Product at Market Prices  Expenditure Approach</v>
      </c>
      <c r="I27" t="str">
        <f>+'Source Table'!$D$19</f>
        <v>الناتج المحلي الاجمالي بأسعار السوق طريقة الإنفاق</v>
      </c>
      <c r="J27" s="26">
        <v>17421.892048000002</v>
      </c>
      <c r="K27">
        <f t="shared" si="0"/>
        <v>2009</v>
      </c>
    </row>
    <row r="28" spans="1:11" ht="15">
      <c r="A28" t="s">
        <v>105</v>
      </c>
      <c r="B28" t="s">
        <v>108</v>
      </c>
      <c r="C28" s="6" t="s">
        <v>19</v>
      </c>
      <c r="D28" s="6" t="s">
        <v>107</v>
      </c>
      <c r="E28" s="7" t="s">
        <v>106</v>
      </c>
      <c r="F28" t="str">
        <f>+'Source Table'!$B$8</f>
        <v>Compensation of  Employees</v>
      </c>
      <c r="G28" t="str">
        <f>+'Source Table'!$D$8</f>
        <v>تعويضات العاملين</v>
      </c>
      <c r="H28" t="s">
        <v>103</v>
      </c>
      <c r="I28" t="s">
        <v>104</v>
      </c>
      <c r="J28" s="26">
        <v>7108.6277659999996</v>
      </c>
      <c r="K28">
        <f t="shared" si="0"/>
        <v>2010</v>
      </c>
    </row>
    <row r="29" spans="1:11" ht="15">
      <c r="A29" t="s">
        <v>105</v>
      </c>
      <c r="B29" t="s">
        <v>108</v>
      </c>
      <c r="C29" s="6" t="s">
        <v>19</v>
      </c>
      <c r="D29" s="6" t="s">
        <v>107</v>
      </c>
      <c r="E29" s="7" t="s">
        <v>106</v>
      </c>
      <c r="F29" t="str">
        <f>+'Source Table'!$B$9</f>
        <v>Operating Surplus</v>
      </c>
      <c r="G29" t="str">
        <f>+'Source Table'!$D$9</f>
        <v>اجمالي فائض التشغيل والدخل المختلط</v>
      </c>
      <c r="H29" t="s">
        <v>103</v>
      </c>
      <c r="I29" t="s">
        <v>104</v>
      </c>
      <c r="J29" s="26">
        <v>9300.2353540000004</v>
      </c>
      <c r="K29">
        <f t="shared" si="0"/>
        <v>2010</v>
      </c>
    </row>
    <row r="30" spans="1:11" ht="15">
      <c r="A30" t="s">
        <v>105</v>
      </c>
      <c r="B30" t="s">
        <v>108</v>
      </c>
      <c r="C30" s="6" t="s">
        <v>19</v>
      </c>
      <c r="D30" s="6" t="s">
        <v>107</v>
      </c>
      <c r="E30" s="7" t="s">
        <v>106</v>
      </c>
      <c r="F30" t="str">
        <f>+'Source Table'!$B$10</f>
        <v>Taxes on Production and Products</v>
      </c>
      <c r="G30" t="str">
        <f>+'Source Table'!$D$10</f>
        <v>الضرائب على الإنتاج والمنتجات</v>
      </c>
      <c r="H30" t="s">
        <v>103</v>
      </c>
      <c r="I30" t="s">
        <v>104</v>
      </c>
      <c r="J30" s="26">
        <v>3049.1378930000001</v>
      </c>
      <c r="K30">
        <f t="shared" si="0"/>
        <v>2010</v>
      </c>
    </row>
    <row r="31" spans="1:11" ht="15">
      <c r="A31" t="s">
        <v>105</v>
      </c>
      <c r="B31" t="s">
        <v>108</v>
      </c>
      <c r="C31" s="6" t="s">
        <v>19</v>
      </c>
      <c r="D31" s="6" t="s">
        <v>107</v>
      </c>
      <c r="E31" s="7" t="s">
        <v>106</v>
      </c>
      <c r="F31" t="str">
        <f>+'Source Table'!$B$11</f>
        <v>Less: Subsidies</v>
      </c>
      <c r="G31" t="str">
        <f>+'Source Table'!$D$11</f>
        <v>ناقص : الإعانات</v>
      </c>
      <c r="H31" t="s">
        <v>103</v>
      </c>
      <c r="I31" t="s">
        <v>104</v>
      </c>
      <c r="J31" s="26">
        <v>193</v>
      </c>
      <c r="K31">
        <f t="shared" si="0"/>
        <v>2010</v>
      </c>
    </row>
    <row r="32" spans="1:11" ht="15">
      <c r="A32" t="s">
        <v>105</v>
      </c>
      <c r="B32" t="s">
        <v>108</v>
      </c>
      <c r="C32" s="6" t="s">
        <v>19</v>
      </c>
      <c r="D32" s="6" t="s">
        <v>107</v>
      </c>
      <c r="E32" s="7" t="s">
        <v>106</v>
      </c>
      <c r="F32" t="str">
        <f>+'Source Table'!$B$12</f>
        <v>Gross Domestic Product at Market prices Income Approach</v>
      </c>
      <c r="G32" t="str">
        <f>+'Source Table'!$D$12</f>
        <v xml:space="preserve"> الناتج المحلي الإجمالي باسعار السوق طريقة الدخل</v>
      </c>
      <c r="H32" t="s">
        <v>103</v>
      </c>
      <c r="I32" t="s">
        <v>104</v>
      </c>
      <c r="J32" s="26">
        <v>19265.001014000001</v>
      </c>
      <c r="K32">
        <f t="shared" si="0"/>
        <v>2010</v>
      </c>
    </row>
    <row r="33" spans="1:11" ht="15">
      <c r="A33" t="s">
        <v>105</v>
      </c>
      <c r="B33" t="s">
        <v>108</v>
      </c>
      <c r="C33" s="6" t="s">
        <v>19</v>
      </c>
      <c r="D33" s="6" t="s">
        <v>107</v>
      </c>
      <c r="E33" s="7" t="s">
        <v>106</v>
      </c>
      <c r="F33" t="s">
        <v>103</v>
      </c>
      <c r="G33" t="s">
        <v>104</v>
      </c>
      <c r="H33" t="str">
        <f>+'Source Table'!$B$13</f>
        <v>Gov. Final Consumption Expenditures</v>
      </c>
      <c r="I33" t="str">
        <f>+'Source Table'!$D$13</f>
        <v>الإنفاق الاستهلاكي النهائي الحكومي</v>
      </c>
      <c r="J33" s="26">
        <v>3708.1339849999999</v>
      </c>
      <c r="K33">
        <f t="shared" si="0"/>
        <v>2010</v>
      </c>
    </row>
    <row r="34" spans="1:11" ht="15">
      <c r="A34" t="s">
        <v>105</v>
      </c>
      <c r="B34" t="s">
        <v>108</v>
      </c>
      <c r="C34" s="6" t="s">
        <v>19</v>
      </c>
      <c r="D34" s="6" t="s">
        <v>107</v>
      </c>
      <c r="E34" s="7" t="s">
        <v>106</v>
      </c>
      <c r="F34" t="s">
        <v>103</v>
      </c>
      <c r="G34" t="s">
        <v>104</v>
      </c>
      <c r="H34" t="str">
        <f>+'Source Table'!$B$14</f>
        <v>Private Final Consumption Expenditures</v>
      </c>
      <c r="I34" t="str">
        <f>+'Source Table'!$D$14</f>
        <v>الإنفاق الاستهلاكي النهائي الخاص</v>
      </c>
      <c r="J34" s="26">
        <v>12703.626726</v>
      </c>
      <c r="K34">
        <f t="shared" si="0"/>
        <v>2010</v>
      </c>
    </row>
    <row r="35" spans="1:11" ht="15">
      <c r="A35" t="s">
        <v>105</v>
      </c>
      <c r="B35" t="s">
        <v>108</v>
      </c>
      <c r="C35" s="6" t="s">
        <v>19</v>
      </c>
      <c r="D35" s="6" t="s">
        <v>107</v>
      </c>
      <c r="E35" s="7" t="s">
        <v>106</v>
      </c>
      <c r="F35" t="s">
        <v>103</v>
      </c>
      <c r="G35" t="s">
        <v>104</v>
      </c>
      <c r="H35" t="str">
        <f>+'Source Table'!$B$15</f>
        <v xml:space="preserve"> Fixed Capital Formation</v>
      </c>
      <c r="I35" t="str">
        <f>+'Source Table'!$D$15</f>
        <v>التكوين الرأسمالي الثابت</v>
      </c>
      <c r="J35" s="26">
        <v>805.77748399999996</v>
      </c>
      <c r="K35">
        <f t="shared" si="0"/>
        <v>2010</v>
      </c>
    </row>
    <row r="36" spans="1:11" ht="15">
      <c r="A36" t="s">
        <v>105</v>
      </c>
      <c r="B36" t="s">
        <v>108</v>
      </c>
      <c r="C36" s="6" t="s">
        <v>19</v>
      </c>
      <c r="D36" s="6" t="s">
        <v>107</v>
      </c>
      <c r="E36" s="7" t="s">
        <v>106</v>
      </c>
      <c r="F36" t="s">
        <v>103</v>
      </c>
      <c r="G36" t="s">
        <v>104</v>
      </c>
      <c r="H36" t="str">
        <f>+'Source Table'!$B$16</f>
        <v>Changes in Stocks</v>
      </c>
      <c r="I36" t="str">
        <f>+'Source Table'!$D$16</f>
        <v xml:space="preserve"> التغير في المخزون</v>
      </c>
      <c r="J36" s="26">
        <v>5944.462818</v>
      </c>
      <c r="K36">
        <f t="shared" si="0"/>
        <v>2010</v>
      </c>
    </row>
    <row r="37" spans="1:11" ht="15">
      <c r="A37" t="s">
        <v>105</v>
      </c>
      <c r="B37" t="s">
        <v>108</v>
      </c>
      <c r="C37" s="6" t="s">
        <v>19</v>
      </c>
      <c r="D37" s="6" t="s">
        <v>107</v>
      </c>
      <c r="E37" s="7" t="s">
        <v>106</v>
      </c>
      <c r="F37" t="s">
        <v>103</v>
      </c>
      <c r="G37" t="s">
        <v>104</v>
      </c>
      <c r="H37" t="str">
        <f>+'Source Table'!$B$17</f>
        <v>Exports of  Goods and Services</v>
      </c>
      <c r="I37" t="str">
        <f>+'Source Table'!$D$17</f>
        <v>صادرات السلع والخدمات</v>
      </c>
      <c r="J37" s="26">
        <v>9054</v>
      </c>
      <c r="K37">
        <f t="shared" si="0"/>
        <v>2010</v>
      </c>
    </row>
    <row r="38" spans="1:11" ht="15">
      <c r="A38" t="s">
        <v>105</v>
      </c>
      <c r="B38" t="s">
        <v>108</v>
      </c>
      <c r="C38" s="6" t="s">
        <v>19</v>
      </c>
      <c r="D38" s="6" t="s">
        <v>107</v>
      </c>
      <c r="E38" s="7" t="s">
        <v>106</v>
      </c>
      <c r="F38" t="s">
        <v>103</v>
      </c>
      <c r="G38" t="s">
        <v>104</v>
      </c>
      <c r="H38" t="str">
        <f>+'Source Table'!$B$18</f>
        <v>Less: Imports of Goods and Services</v>
      </c>
      <c r="I38" t="str">
        <f>+'Source Table'!$D$18</f>
        <v>ناقص: واردات السلع والخدمات</v>
      </c>
      <c r="J38" s="26">
        <v>12951</v>
      </c>
      <c r="K38">
        <f t="shared" si="0"/>
        <v>2010</v>
      </c>
    </row>
    <row r="39" spans="1:11" ht="15">
      <c r="A39" t="s">
        <v>105</v>
      </c>
      <c r="B39" t="s">
        <v>108</v>
      </c>
      <c r="C39" s="6" t="s">
        <v>19</v>
      </c>
      <c r="D39" s="6" t="s">
        <v>107</v>
      </c>
      <c r="E39" s="7" t="s">
        <v>106</v>
      </c>
      <c r="F39" t="s">
        <v>103</v>
      </c>
      <c r="G39" t="s">
        <v>104</v>
      </c>
      <c r="H39" t="str">
        <f>+'Source Table'!$B$19</f>
        <v>Gross Domestic Product at Market Prices  Expenditure Approach</v>
      </c>
      <c r="I39" t="str">
        <f>+'Source Table'!$D$19</f>
        <v>الناتج المحلي الاجمالي بأسعار السوق طريقة الإنفاق</v>
      </c>
      <c r="J39" s="26">
        <v>19265.001014000001</v>
      </c>
      <c r="K39">
        <f t="shared" si="0"/>
        <v>2010</v>
      </c>
    </row>
    <row r="40" spans="1:11" ht="15">
      <c r="A40" t="s">
        <v>105</v>
      </c>
      <c r="B40" t="s">
        <v>108</v>
      </c>
      <c r="C40" s="6" t="s">
        <v>19</v>
      </c>
      <c r="D40" s="6" t="s">
        <v>107</v>
      </c>
      <c r="E40" s="7" t="s">
        <v>106</v>
      </c>
      <c r="F40" t="str">
        <f>+'Source Table'!$B$8</f>
        <v>Compensation of  Employees</v>
      </c>
      <c r="G40" t="str">
        <f>+'Source Table'!$D$8</f>
        <v>تعويضات العاملين</v>
      </c>
      <c r="H40" t="s">
        <v>103</v>
      </c>
      <c r="I40" t="s">
        <v>104</v>
      </c>
      <c r="J40" s="26">
        <v>7866.5733760000003</v>
      </c>
      <c r="K40">
        <f t="shared" si="0"/>
        <v>2011</v>
      </c>
    </row>
    <row r="41" spans="1:11" ht="15">
      <c r="A41" t="s">
        <v>105</v>
      </c>
      <c r="B41" t="s">
        <v>108</v>
      </c>
      <c r="C41" s="6" t="s">
        <v>19</v>
      </c>
      <c r="D41" s="6" t="s">
        <v>107</v>
      </c>
      <c r="E41" s="7" t="s">
        <v>106</v>
      </c>
      <c r="F41" t="str">
        <f>+'Source Table'!$B$9</f>
        <v>Operating Surplus</v>
      </c>
      <c r="G41" t="str">
        <f>+'Source Table'!$D$9</f>
        <v>اجمالي فائض التشغيل والدخل المختلط</v>
      </c>
      <c r="H41" t="s">
        <v>103</v>
      </c>
      <c r="I41" t="s">
        <v>104</v>
      </c>
      <c r="J41" s="26">
        <v>9947.2353239999993</v>
      </c>
      <c r="K41">
        <f t="shared" si="0"/>
        <v>2011</v>
      </c>
    </row>
    <row r="42" spans="1:11" ht="15">
      <c r="A42" t="s">
        <v>105</v>
      </c>
      <c r="B42" t="s">
        <v>108</v>
      </c>
      <c r="C42" s="6" t="s">
        <v>19</v>
      </c>
      <c r="D42" s="6" t="s">
        <v>107</v>
      </c>
      <c r="E42" s="7" t="s">
        <v>106</v>
      </c>
      <c r="F42" t="str">
        <f>+'Source Table'!$B$10</f>
        <v>Taxes on Production and Products</v>
      </c>
      <c r="G42" t="str">
        <f>+'Source Table'!$D$10</f>
        <v>الضرائب على الإنتاج والمنتجات</v>
      </c>
      <c r="H42" t="s">
        <v>103</v>
      </c>
      <c r="I42" t="s">
        <v>104</v>
      </c>
      <c r="J42" s="26">
        <v>3945.337207</v>
      </c>
      <c r="K42">
        <f t="shared" si="0"/>
        <v>2011</v>
      </c>
    </row>
    <row r="43" spans="1:11" ht="15">
      <c r="A43" t="s">
        <v>105</v>
      </c>
      <c r="B43" t="s">
        <v>108</v>
      </c>
      <c r="C43" s="6" t="s">
        <v>19</v>
      </c>
      <c r="D43" s="6" t="s">
        <v>107</v>
      </c>
      <c r="E43" s="7" t="s">
        <v>106</v>
      </c>
      <c r="F43" t="str">
        <f>+'Source Table'!$B$11</f>
        <v>Less: Subsidies</v>
      </c>
      <c r="G43" t="str">
        <f>+'Source Table'!$D$11</f>
        <v>ناقص : الإعانات</v>
      </c>
      <c r="H43" t="s">
        <v>103</v>
      </c>
      <c r="I43" t="s">
        <v>104</v>
      </c>
      <c r="J43" s="26">
        <v>797</v>
      </c>
      <c r="K43">
        <f t="shared" si="0"/>
        <v>2011</v>
      </c>
    </row>
    <row r="44" spans="1:11" ht="15">
      <c r="A44" t="s">
        <v>105</v>
      </c>
      <c r="B44" t="s">
        <v>108</v>
      </c>
      <c r="C44" s="6" t="s">
        <v>19</v>
      </c>
      <c r="D44" s="6" t="s">
        <v>107</v>
      </c>
      <c r="E44" s="7" t="s">
        <v>106</v>
      </c>
      <c r="F44" t="str">
        <f>+'Source Table'!$B$12</f>
        <v>Gross Domestic Product at Market prices Income Approach</v>
      </c>
      <c r="G44" t="str">
        <f>+'Source Table'!$D$12</f>
        <v xml:space="preserve"> الناتج المحلي الإجمالي باسعار السوق طريقة الدخل</v>
      </c>
      <c r="H44" t="s">
        <v>103</v>
      </c>
      <c r="I44" t="s">
        <v>104</v>
      </c>
      <c r="J44" s="26">
        <v>20962.145906999998</v>
      </c>
      <c r="K44">
        <f t="shared" si="0"/>
        <v>2011</v>
      </c>
    </row>
    <row r="45" spans="1:11" ht="15">
      <c r="A45" t="s">
        <v>105</v>
      </c>
      <c r="B45" t="s">
        <v>108</v>
      </c>
      <c r="C45" s="6" t="s">
        <v>19</v>
      </c>
      <c r="D45" s="6" t="s">
        <v>107</v>
      </c>
      <c r="E45" s="7" t="s">
        <v>106</v>
      </c>
      <c r="F45" t="s">
        <v>103</v>
      </c>
      <c r="G45" t="s">
        <v>104</v>
      </c>
      <c r="H45" t="str">
        <f>+'Source Table'!$B$13</f>
        <v>Gov. Final Consumption Expenditures</v>
      </c>
      <c r="I45" t="str">
        <f>+'Source Table'!$D$13</f>
        <v>الإنفاق الاستهلاكي النهائي الحكومي</v>
      </c>
      <c r="J45" s="26">
        <v>4206.0061669999996</v>
      </c>
      <c r="K45">
        <f t="shared" si="0"/>
        <v>2011</v>
      </c>
    </row>
    <row r="46" spans="1:11" ht="15">
      <c r="A46" t="s">
        <v>105</v>
      </c>
      <c r="B46" t="s">
        <v>108</v>
      </c>
      <c r="C46" s="6" t="s">
        <v>19</v>
      </c>
      <c r="D46" s="6" t="s">
        <v>107</v>
      </c>
      <c r="E46" s="7" t="s">
        <v>106</v>
      </c>
      <c r="F46" t="s">
        <v>103</v>
      </c>
      <c r="G46" t="s">
        <v>104</v>
      </c>
      <c r="H46" t="str">
        <f>+'Source Table'!$B$14</f>
        <v>Private Final Consumption Expenditures</v>
      </c>
      <c r="I46" t="str">
        <f>+'Source Table'!$D$14</f>
        <v>الإنفاق الاستهلاكي النهائي الخاص</v>
      </c>
      <c r="J46" s="26">
        <v>15466.82077</v>
      </c>
      <c r="K46">
        <f t="shared" si="0"/>
        <v>2011</v>
      </c>
    </row>
    <row r="47" spans="1:11" ht="15">
      <c r="A47" t="s">
        <v>105</v>
      </c>
      <c r="B47" t="s">
        <v>108</v>
      </c>
      <c r="C47" s="6" t="s">
        <v>19</v>
      </c>
      <c r="D47" s="6" t="s">
        <v>107</v>
      </c>
      <c r="E47" s="7" t="s">
        <v>106</v>
      </c>
      <c r="F47" t="s">
        <v>103</v>
      </c>
      <c r="G47" t="s">
        <v>104</v>
      </c>
      <c r="H47" t="str">
        <f>+'Source Table'!$B$15</f>
        <v xml:space="preserve"> Fixed Capital Formation</v>
      </c>
      <c r="I47" t="str">
        <f>+'Source Table'!$D$15</f>
        <v>التكوين الرأسمالي الثابت</v>
      </c>
      <c r="J47" s="26">
        <v>692.49842200000001</v>
      </c>
      <c r="K47">
        <f t="shared" si="0"/>
        <v>2011</v>
      </c>
    </row>
    <row r="48" spans="1:11" ht="15">
      <c r="A48" t="s">
        <v>105</v>
      </c>
      <c r="B48" t="s">
        <v>108</v>
      </c>
      <c r="C48" s="6" t="s">
        <v>19</v>
      </c>
      <c r="D48" s="6" t="s">
        <v>107</v>
      </c>
      <c r="E48" s="7" t="s">
        <v>106</v>
      </c>
      <c r="F48" t="s">
        <v>103</v>
      </c>
      <c r="G48" t="s">
        <v>104</v>
      </c>
      <c r="H48" t="str">
        <f>+'Source Table'!$B$16</f>
        <v>Changes in Stocks</v>
      </c>
      <c r="I48" t="str">
        <f>+'Source Table'!$D$16</f>
        <v xml:space="preserve"> التغير في المخزون</v>
      </c>
      <c r="J48" s="26">
        <v>5962.820549</v>
      </c>
      <c r="K48">
        <f t="shared" si="0"/>
        <v>2011</v>
      </c>
    </row>
    <row r="49" spans="1:11" ht="15">
      <c r="A49" t="s">
        <v>105</v>
      </c>
      <c r="B49" t="s">
        <v>108</v>
      </c>
      <c r="C49" s="6" t="s">
        <v>19</v>
      </c>
      <c r="D49" s="6" t="s">
        <v>107</v>
      </c>
      <c r="E49" s="7" t="s">
        <v>106</v>
      </c>
      <c r="F49" t="s">
        <v>103</v>
      </c>
      <c r="G49" t="s">
        <v>104</v>
      </c>
      <c r="H49" t="str">
        <f>+'Source Table'!$B$17</f>
        <v>Exports of  Goods and Services</v>
      </c>
      <c r="I49" t="str">
        <f>+'Source Table'!$D$17</f>
        <v>صادرات السلع والخدمات</v>
      </c>
      <c r="J49" s="26">
        <v>9758</v>
      </c>
      <c r="K49">
        <f t="shared" si="0"/>
        <v>2011</v>
      </c>
    </row>
    <row r="50" spans="1:11" ht="15">
      <c r="A50" t="s">
        <v>105</v>
      </c>
      <c r="B50" t="s">
        <v>108</v>
      </c>
      <c r="C50" s="6" t="s">
        <v>19</v>
      </c>
      <c r="D50" s="6" t="s">
        <v>107</v>
      </c>
      <c r="E50" s="7" t="s">
        <v>106</v>
      </c>
      <c r="F50" t="s">
        <v>103</v>
      </c>
      <c r="G50" t="s">
        <v>104</v>
      </c>
      <c r="H50" t="str">
        <f>+'Source Table'!$B$18</f>
        <v>Less: Imports of Goods and Services</v>
      </c>
      <c r="I50" t="str">
        <f>+'Source Table'!$D$18</f>
        <v>ناقص: واردات السلع والخدمات</v>
      </c>
      <c r="J50" s="26">
        <v>15124</v>
      </c>
      <c r="K50">
        <f t="shared" si="0"/>
        <v>2011</v>
      </c>
    </row>
    <row r="51" spans="1:11" ht="15">
      <c r="A51" t="s">
        <v>105</v>
      </c>
      <c r="B51" t="s">
        <v>108</v>
      </c>
      <c r="C51" s="6" t="s">
        <v>19</v>
      </c>
      <c r="D51" s="6" t="s">
        <v>107</v>
      </c>
      <c r="E51" s="7" t="s">
        <v>106</v>
      </c>
      <c r="F51" t="s">
        <v>103</v>
      </c>
      <c r="G51" t="s">
        <v>104</v>
      </c>
      <c r="H51" t="str">
        <f>+'Source Table'!$B$19</f>
        <v>Gross Domestic Product at Market Prices  Expenditure Approach</v>
      </c>
      <c r="I51" t="str">
        <f>+'Source Table'!$D$19</f>
        <v>الناتج المحلي الاجمالي بأسعار السوق طريقة الإنفاق</v>
      </c>
      <c r="J51" s="26">
        <v>20962.145906999998</v>
      </c>
      <c r="K51">
        <f t="shared" si="0"/>
        <v>2011</v>
      </c>
    </row>
    <row r="52" spans="1:11" ht="15">
      <c r="A52" t="s">
        <v>105</v>
      </c>
      <c r="B52" t="s">
        <v>108</v>
      </c>
      <c r="C52" s="6" t="s">
        <v>19</v>
      </c>
      <c r="D52" s="6" t="s">
        <v>107</v>
      </c>
      <c r="E52" s="7" t="s">
        <v>106</v>
      </c>
      <c r="F52" t="str">
        <f>+'Source Table'!$B$8</f>
        <v>Compensation of  Employees</v>
      </c>
      <c r="G52" t="str">
        <f>+'Source Table'!$D$8</f>
        <v>تعويضات العاملين</v>
      </c>
      <c r="H52" t="s">
        <v>103</v>
      </c>
      <c r="I52" t="s">
        <v>104</v>
      </c>
      <c r="J52" s="26">
        <v>8514.5123660000008</v>
      </c>
      <c r="K52">
        <f t="shared" si="0"/>
        <v>2012</v>
      </c>
    </row>
    <row r="53" spans="1:11" ht="15">
      <c r="A53" t="s">
        <v>105</v>
      </c>
      <c r="B53" t="s">
        <v>108</v>
      </c>
      <c r="C53" s="6" t="s">
        <v>19</v>
      </c>
      <c r="D53" s="6" t="s">
        <v>107</v>
      </c>
      <c r="E53" s="7" t="s">
        <v>106</v>
      </c>
      <c r="F53" t="str">
        <f>+'Source Table'!$B$9</f>
        <v>Operating Surplus</v>
      </c>
      <c r="G53" t="str">
        <f>+'Source Table'!$D$9</f>
        <v>اجمالي فائض التشغيل والدخل المختلط</v>
      </c>
      <c r="H53" t="s">
        <v>103</v>
      </c>
      <c r="I53" t="s">
        <v>104</v>
      </c>
      <c r="J53" s="26">
        <v>10598.968107999999</v>
      </c>
      <c r="K53">
        <f t="shared" si="0"/>
        <v>2012</v>
      </c>
    </row>
    <row r="54" spans="1:11" ht="15">
      <c r="A54" t="s">
        <v>105</v>
      </c>
      <c r="B54" t="s">
        <v>108</v>
      </c>
      <c r="C54" s="6" t="s">
        <v>19</v>
      </c>
      <c r="D54" s="6" t="s">
        <v>107</v>
      </c>
      <c r="E54" s="7" t="s">
        <v>106</v>
      </c>
      <c r="F54" t="str">
        <f>+'Source Table'!$B$10</f>
        <v>Taxes on Production and Products</v>
      </c>
      <c r="G54" t="str">
        <f>+'Source Table'!$D$10</f>
        <v>الضرائب على الإنتاج والمنتجات</v>
      </c>
      <c r="H54" t="s">
        <v>103</v>
      </c>
      <c r="I54" t="s">
        <v>104</v>
      </c>
      <c r="J54" s="26">
        <v>4236.0583120000001</v>
      </c>
      <c r="K54">
        <f t="shared" si="0"/>
        <v>2012</v>
      </c>
    </row>
    <row r="55" spans="1:11" ht="15">
      <c r="A55" t="s">
        <v>105</v>
      </c>
      <c r="B55" t="s">
        <v>108</v>
      </c>
      <c r="C55" s="6" t="s">
        <v>19</v>
      </c>
      <c r="D55" s="6" t="s">
        <v>107</v>
      </c>
      <c r="E55" s="7" t="s">
        <v>106</v>
      </c>
      <c r="F55" t="str">
        <f>+'Source Table'!$B$11</f>
        <v>Less: Subsidies</v>
      </c>
      <c r="G55" t="str">
        <f>+'Source Table'!$D$11</f>
        <v>ناقص : الإعانات</v>
      </c>
      <c r="H55" t="s">
        <v>103</v>
      </c>
      <c r="I55" t="s">
        <v>104</v>
      </c>
      <c r="J55" s="26">
        <v>889</v>
      </c>
      <c r="K55">
        <f t="shared" si="0"/>
        <v>2012</v>
      </c>
    </row>
    <row r="56" spans="1:11" ht="15">
      <c r="A56" t="s">
        <v>105</v>
      </c>
      <c r="B56" t="s">
        <v>108</v>
      </c>
      <c r="C56" s="6" t="s">
        <v>19</v>
      </c>
      <c r="D56" s="6" t="s">
        <v>107</v>
      </c>
      <c r="E56" s="7" t="s">
        <v>106</v>
      </c>
      <c r="F56" t="str">
        <f>+'Source Table'!$B$12</f>
        <v>Gross Domestic Product at Market prices Income Approach</v>
      </c>
      <c r="G56" t="str">
        <f>+'Source Table'!$D$12</f>
        <v xml:space="preserve"> الناتج المحلي الإجمالي باسعار السوق طريقة الدخل</v>
      </c>
      <c r="H56" t="s">
        <v>103</v>
      </c>
      <c r="I56" t="s">
        <v>104</v>
      </c>
      <c r="J56" s="26">
        <v>22460.538786000001</v>
      </c>
      <c r="K56">
        <f t="shared" si="0"/>
        <v>2012</v>
      </c>
    </row>
    <row r="57" spans="1:11" ht="15">
      <c r="A57" t="s">
        <v>105</v>
      </c>
      <c r="B57" t="s">
        <v>108</v>
      </c>
      <c r="C57" s="6" t="s">
        <v>19</v>
      </c>
      <c r="D57" s="6" t="s">
        <v>107</v>
      </c>
      <c r="E57" s="7" t="s">
        <v>106</v>
      </c>
      <c r="F57" t="s">
        <v>103</v>
      </c>
      <c r="G57" t="s">
        <v>104</v>
      </c>
      <c r="H57" t="str">
        <f>+'Source Table'!$B$13</f>
        <v>Gov. Final Consumption Expenditures</v>
      </c>
      <c r="I57" t="str">
        <f>+'Source Table'!$D$13</f>
        <v>الإنفاق الاستهلاكي النهائي الحكومي</v>
      </c>
      <c r="J57" s="26">
        <v>4292.7395560000004</v>
      </c>
      <c r="K57">
        <f t="shared" si="0"/>
        <v>2012</v>
      </c>
    </row>
    <row r="58" spans="1:11" ht="15">
      <c r="A58" t="s">
        <v>105</v>
      </c>
      <c r="B58" t="s">
        <v>108</v>
      </c>
      <c r="C58" s="6" t="s">
        <v>19</v>
      </c>
      <c r="D58" s="6" t="s">
        <v>107</v>
      </c>
      <c r="E58" s="7" t="s">
        <v>106</v>
      </c>
      <c r="F58" t="s">
        <v>103</v>
      </c>
      <c r="G58" t="s">
        <v>104</v>
      </c>
      <c r="H58" t="str">
        <f>+'Source Table'!$B$14</f>
        <v>Private Final Consumption Expenditures</v>
      </c>
      <c r="I58" t="str">
        <f>+'Source Table'!$D$14</f>
        <v>الإنفاق الاستهلاكي النهائي الخاص</v>
      </c>
      <c r="J58" s="26">
        <v>17353.401586</v>
      </c>
      <c r="K58">
        <f t="shared" si="0"/>
        <v>2012</v>
      </c>
    </row>
    <row r="59" spans="1:11" ht="15">
      <c r="A59" t="s">
        <v>105</v>
      </c>
      <c r="B59" t="s">
        <v>108</v>
      </c>
      <c r="C59" s="6" t="s">
        <v>19</v>
      </c>
      <c r="D59" s="6" t="s">
        <v>107</v>
      </c>
      <c r="E59" s="7" t="s">
        <v>106</v>
      </c>
      <c r="F59" t="s">
        <v>103</v>
      </c>
      <c r="G59" t="s">
        <v>104</v>
      </c>
      <c r="H59" t="str">
        <f>+'Source Table'!$B$15</f>
        <v xml:space="preserve"> Fixed Capital Formation</v>
      </c>
      <c r="I59" t="str">
        <f>+'Source Table'!$D$15</f>
        <v>التكوين الرأسمالي الثابت</v>
      </c>
      <c r="J59" s="26">
        <v>1506.8252689999999</v>
      </c>
      <c r="K59">
        <f t="shared" si="0"/>
        <v>2012</v>
      </c>
    </row>
    <row r="60" spans="1:11" ht="15">
      <c r="A60" t="s">
        <v>105</v>
      </c>
      <c r="B60" t="s">
        <v>108</v>
      </c>
      <c r="C60" s="6" t="s">
        <v>19</v>
      </c>
      <c r="D60" s="6" t="s">
        <v>107</v>
      </c>
      <c r="E60" s="7" t="s">
        <v>106</v>
      </c>
      <c r="F60" t="s">
        <v>103</v>
      </c>
      <c r="G60" t="s">
        <v>104</v>
      </c>
      <c r="H60" t="str">
        <f>+'Source Table'!$B$16</f>
        <v>Changes in Stocks</v>
      </c>
      <c r="I60" t="str">
        <f>+'Source Table'!$D$16</f>
        <v xml:space="preserve"> التغير في المخزون</v>
      </c>
      <c r="J60" s="26">
        <v>5462.5723749999997</v>
      </c>
      <c r="K60">
        <f t="shared" si="0"/>
        <v>2012</v>
      </c>
    </row>
    <row r="61" spans="1:11" ht="15">
      <c r="A61" t="s">
        <v>105</v>
      </c>
      <c r="B61" t="s">
        <v>108</v>
      </c>
      <c r="C61" s="6" t="s">
        <v>19</v>
      </c>
      <c r="D61" s="6" t="s">
        <v>107</v>
      </c>
      <c r="E61" s="7" t="s">
        <v>106</v>
      </c>
      <c r="F61" t="s">
        <v>103</v>
      </c>
      <c r="G61" t="s">
        <v>104</v>
      </c>
      <c r="H61" t="str">
        <f>+'Source Table'!$B$17</f>
        <v>Exports of  Goods and Services</v>
      </c>
      <c r="I61" t="str">
        <f>+'Source Table'!$D$17</f>
        <v>صادرات السلع والخدمات</v>
      </c>
      <c r="J61" s="26">
        <v>10158</v>
      </c>
      <c r="K61">
        <f t="shared" si="0"/>
        <v>2012</v>
      </c>
    </row>
    <row r="62" spans="1:11" ht="15">
      <c r="A62" t="s">
        <v>105</v>
      </c>
      <c r="B62" t="s">
        <v>108</v>
      </c>
      <c r="C62" s="6" t="s">
        <v>19</v>
      </c>
      <c r="D62" s="6" t="s">
        <v>107</v>
      </c>
      <c r="E62" s="7" t="s">
        <v>106</v>
      </c>
      <c r="F62" t="s">
        <v>103</v>
      </c>
      <c r="G62" t="s">
        <v>104</v>
      </c>
      <c r="H62" t="str">
        <f>+'Source Table'!$B$18</f>
        <v>Less: Imports of Goods and Services</v>
      </c>
      <c r="I62" t="str">
        <f>+'Source Table'!$D$18</f>
        <v>ناقص: واردات السلع والخدمات</v>
      </c>
      <c r="J62" s="26">
        <v>16313</v>
      </c>
      <c r="K62">
        <f t="shared" si="0"/>
        <v>2012</v>
      </c>
    </row>
    <row r="63" spans="1:11" ht="15">
      <c r="A63" t="s">
        <v>105</v>
      </c>
      <c r="B63" t="s">
        <v>108</v>
      </c>
      <c r="C63" s="6" t="s">
        <v>19</v>
      </c>
      <c r="D63" s="6" t="s">
        <v>107</v>
      </c>
      <c r="E63" s="7" t="s">
        <v>106</v>
      </c>
      <c r="F63" t="s">
        <v>103</v>
      </c>
      <c r="G63" t="s">
        <v>104</v>
      </c>
      <c r="H63" t="str">
        <f>+'Source Table'!$B$19</f>
        <v>Gross Domestic Product at Market Prices  Expenditure Approach</v>
      </c>
      <c r="I63" t="str">
        <f>+'Source Table'!$D$19</f>
        <v>الناتج المحلي الاجمالي بأسعار السوق طريقة الإنفاق</v>
      </c>
      <c r="J63" s="26">
        <v>22460.538786000001</v>
      </c>
      <c r="K63">
        <f t="shared" si="0"/>
        <v>2012</v>
      </c>
    </row>
    <row r="64" spans="1:11" ht="15">
      <c r="A64" t="s">
        <v>105</v>
      </c>
      <c r="B64" t="s">
        <v>108</v>
      </c>
      <c r="C64" s="6" t="s">
        <v>19</v>
      </c>
      <c r="D64" s="6" t="s">
        <v>107</v>
      </c>
      <c r="E64" s="7" t="s">
        <v>106</v>
      </c>
      <c r="F64" t="str">
        <f>+'Source Table'!$B$8</f>
        <v>Compensation of  Employees</v>
      </c>
      <c r="G64" t="str">
        <f>+'Source Table'!$D$8</f>
        <v>تعويضات العاملين</v>
      </c>
      <c r="H64" t="s">
        <v>103</v>
      </c>
      <c r="I64" t="s">
        <v>104</v>
      </c>
      <c r="J64" s="26">
        <v>9181.1524819999995</v>
      </c>
      <c r="K64">
        <f t="shared" si="0"/>
        <v>2013</v>
      </c>
    </row>
    <row r="65" spans="1:11" ht="15">
      <c r="A65" t="s">
        <v>105</v>
      </c>
      <c r="B65" t="s">
        <v>108</v>
      </c>
      <c r="C65" s="6" t="s">
        <v>19</v>
      </c>
      <c r="D65" s="6" t="s">
        <v>107</v>
      </c>
      <c r="E65" s="7" t="s">
        <v>106</v>
      </c>
      <c r="F65" t="str">
        <f>+'Source Table'!$B$9</f>
        <v>Operating Surplus</v>
      </c>
      <c r="G65" t="str">
        <f>+'Source Table'!$D$9</f>
        <v>اجمالي فائض التشغيل والدخل المختلط</v>
      </c>
      <c r="H65" t="s">
        <v>103</v>
      </c>
      <c r="I65" t="s">
        <v>104</v>
      </c>
      <c r="J65" s="26">
        <v>11755.258248</v>
      </c>
      <c r="K65">
        <f t="shared" si="0"/>
        <v>2013</v>
      </c>
    </row>
    <row r="66" spans="1:11" ht="15">
      <c r="A66" t="s">
        <v>105</v>
      </c>
      <c r="B66" t="s">
        <v>108</v>
      </c>
      <c r="C66" s="6" t="s">
        <v>19</v>
      </c>
      <c r="D66" s="6" t="s">
        <v>107</v>
      </c>
      <c r="E66" s="7" t="s">
        <v>106</v>
      </c>
      <c r="F66" t="str">
        <f>+'Source Table'!$B$10</f>
        <v>Taxes on Production and Products</v>
      </c>
      <c r="G66" t="str">
        <f>+'Source Table'!$D$10</f>
        <v>الضرائب على الإنتاج والمنتجات</v>
      </c>
      <c r="H66" t="s">
        <v>103</v>
      </c>
      <c r="I66" t="s">
        <v>104</v>
      </c>
      <c r="J66" s="26">
        <v>3786.2417989999999</v>
      </c>
      <c r="K66">
        <f t="shared" si="0"/>
        <v>2013</v>
      </c>
    </row>
    <row r="67" spans="1:11" ht="15">
      <c r="A67" t="s">
        <v>105</v>
      </c>
      <c r="B67" t="s">
        <v>108</v>
      </c>
      <c r="C67" s="6" t="s">
        <v>19</v>
      </c>
      <c r="D67" s="6" t="s">
        <v>107</v>
      </c>
      <c r="E67" s="7" t="s">
        <v>106</v>
      </c>
      <c r="F67" t="str">
        <f>+'Source Table'!$B$11</f>
        <v>Less: Subsidies</v>
      </c>
      <c r="G67" t="str">
        <f>+'Source Table'!$D$11</f>
        <v>ناقص : الإعانات</v>
      </c>
      <c r="H67" t="s">
        <v>103</v>
      </c>
      <c r="I67" t="s">
        <v>104</v>
      </c>
      <c r="J67" s="26">
        <v>260</v>
      </c>
      <c r="K67">
        <f t="shared" si="0"/>
        <v>2013</v>
      </c>
    </row>
    <row r="68" spans="1:11" ht="15">
      <c r="A68" t="s">
        <v>105</v>
      </c>
      <c r="B68" t="s">
        <v>108</v>
      </c>
      <c r="C68" s="6" t="s">
        <v>19</v>
      </c>
      <c r="D68" s="6" t="s">
        <v>107</v>
      </c>
      <c r="E68" s="7" t="s">
        <v>106</v>
      </c>
      <c r="F68" t="str">
        <f>+'Source Table'!$B$12</f>
        <v>Gross Domestic Product at Market prices Income Approach</v>
      </c>
      <c r="G68" t="str">
        <f>+'Source Table'!$D$12</f>
        <v xml:space="preserve"> الناتج المحلي الإجمالي باسعار السوق طريقة الدخل</v>
      </c>
      <c r="H68" t="s">
        <v>103</v>
      </c>
      <c r="I68" t="s">
        <v>104</v>
      </c>
      <c r="J68" s="26">
        <v>24462.652527999999</v>
      </c>
      <c r="K68">
        <f t="shared" si="0"/>
        <v>2013</v>
      </c>
    </row>
    <row r="69" spans="1:11" ht="15">
      <c r="A69" t="s">
        <v>105</v>
      </c>
      <c r="B69" t="s">
        <v>108</v>
      </c>
      <c r="C69" s="6" t="s">
        <v>19</v>
      </c>
      <c r="D69" s="6" t="s">
        <v>107</v>
      </c>
      <c r="E69" s="7" t="s">
        <v>106</v>
      </c>
      <c r="F69" t="s">
        <v>103</v>
      </c>
      <c r="G69" t="s">
        <v>104</v>
      </c>
      <c r="H69" t="str">
        <f>+'Source Table'!$B$13</f>
        <v>Gov. Final Consumption Expenditures</v>
      </c>
      <c r="I69" t="str">
        <f>+'Source Table'!$D$13</f>
        <v>الإنفاق الاستهلاكي النهائي الحكومي</v>
      </c>
      <c r="J69" s="26">
        <v>4468.4591490000003</v>
      </c>
      <c r="K69">
        <f t="shared" si="0"/>
        <v>2013</v>
      </c>
    </row>
    <row r="70" spans="1:11" ht="15">
      <c r="A70" t="s">
        <v>105</v>
      </c>
      <c r="B70" t="s">
        <v>108</v>
      </c>
      <c r="C70" s="6" t="s">
        <v>19</v>
      </c>
      <c r="D70" s="6" t="s">
        <v>107</v>
      </c>
      <c r="E70" s="7" t="s">
        <v>106</v>
      </c>
      <c r="F70" t="s">
        <v>103</v>
      </c>
      <c r="G70" t="s">
        <v>104</v>
      </c>
      <c r="H70" t="str">
        <f>+'Source Table'!$B$14</f>
        <v>Private Final Consumption Expenditures</v>
      </c>
      <c r="I70" t="str">
        <f>+'Source Table'!$D$14</f>
        <v>الإنفاق الاستهلاكي النهائي الخاص</v>
      </c>
      <c r="J70" s="26">
        <v>20547.055638000002</v>
      </c>
      <c r="K70">
        <f t="shared" si="0"/>
        <v>2013</v>
      </c>
    </row>
    <row r="71" spans="1:11" ht="15">
      <c r="A71" t="s">
        <v>105</v>
      </c>
      <c r="B71" t="s">
        <v>108</v>
      </c>
      <c r="C71" s="6" t="s">
        <v>19</v>
      </c>
      <c r="D71" s="6" t="s">
        <v>107</v>
      </c>
      <c r="E71" s="7" t="s">
        <v>106</v>
      </c>
      <c r="F71" t="s">
        <v>103</v>
      </c>
      <c r="G71" t="s">
        <v>104</v>
      </c>
      <c r="H71" t="str">
        <f>+'Source Table'!$B$15</f>
        <v xml:space="preserve"> Fixed Capital Formation</v>
      </c>
      <c r="I71" t="str">
        <f>+'Source Table'!$D$15</f>
        <v>التكوين الرأسمالي الثابت</v>
      </c>
      <c r="J71" s="26">
        <v>1038.7476320000001</v>
      </c>
      <c r="K71">
        <f t="shared" si="0"/>
        <v>2013</v>
      </c>
    </row>
    <row r="72" spans="1:11" ht="15">
      <c r="A72" t="s">
        <v>105</v>
      </c>
      <c r="B72" t="s">
        <v>108</v>
      </c>
      <c r="C72" s="6" t="s">
        <v>19</v>
      </c>
      <c r="D72" s="6" t="s">
        <v>107</v>
      </c>
      <c r="E72" s="7" t="s">
        <v>106</v>
      </c>
      <c r="F72" t="s">
        <v>103</v>
      </c>
      <c r="G72" t="s">
        <v>104</v>
      </c>
      <c r="H72" t="str">
        <f>+'Source Table'!$B$16</f>
        <v>Changes in Stocks</v>
      </c>
      <c r="I72" t="str">
        <f>+'Source Table'!$D$16</f>
        <v xml:space="preserve"> التغير في المخزون</v>
      </c>
      <c r="J72" s="26">
        <v>5468.3901089999999</v>
      </c>
      <c r="K72">
        <f t="shared" si="0"/>
        <v>2013</v>
      </c>
    </row>
    <row r="73" spans="1:11" ht="15">
      <c r="A73" t="s">
        <v>105</v>
      </c>
      <c r="B73" t="s">
        <v>108</v>
      </c>
      <c r="C73" s="6" t="s">
        <v>19</v>
      </c>
      <c r="D73" s="6" t="s">
        <v>107</v>
      </c>
      <c r="E73" s="7" t="s">
        <v>106</v>
      </c>
      <c r="F73" t="s">
        <v>103</v>
      </c>
      <c r="G73" t="s">
        <v>104</v>
      </c>
      <c r="H73" t="str">
        <f>+'Source Table'!$B$17</f>
        <v>Exports of  Goods and Services</v>
      </c>
      <c r="I73" t="str">
        <f>+'Source Table'!$D$17</f>
        <v>صادرات السلع والخدمات</v>
      </c>
      <c r="J73" s="26">
        <v>10102</v>
      </c>
      <c r="K73">
        <f t="shared" si="0"/>
        <v>2013</v>
      </c>
    </row>
    <row r="74" spans="1:11" ht="15">
      <c r="A74" t="s">
        <v>105</v>
      </c>
      <c r="B74" t="s">
        <v>108</v>
      </c>
      <c r="C74" s="6" t="s">
        <v>19</v>
      </c>
      <c r="D74" s="6" t="s">
        <v>107</v>
      </c>
      <c r="E74" s="7" t="s">
        <v>106</v>
      </c>
      <c r="F74" t="s">
        <v>103</v>
      </c>
      <c r="G74" t="s">
        <v>104</v>
      </c>
      <c r="H74" t="str">
        <f>+'Source Table'!$B$18</f>
        <v>Less: Imports of Goods and Services</v>
      </c>
      <c r="I74" t="str">
        <f>+'Source Table'!$D$18</f>
        <v>ناقص: واردات السلع والخدمات</v>
      </c>
      <c r="J74" s="26">
        <v>17162</v>
      </c>
      <c r="K74">
        <f t="shared" si="0"/>
        <v>2013</v>
      </c>
    </row>
    <row r="75" spans="1:11" ht="15">
      <c r="A75" t="s">
        <v>105</v>
      </c>
      <c r="B75" t="s">
        <v>108</v>
      </c>
      <c r="C75" s="6" t="s">
        <v>19</v>
      </c>
      <c r="D75" s="6" t="s">
        <v>107</v>
      </c>
      <c r="E75" s="7" t="s">
        <v>106</v>
      </c>
      <c r="F75" t="s">
        <v>103</v>
      </c>
      <c r="G75" t="s">
        <v>104</v>
      </c>
      <c r="H75" t="str">
        <f>+'Source Table'!$B$19</f>
        <v>Gross Domestic Product at Market Prices  Expenditure Approach</v>
      </c>
      <c r="I75" t="str">
        <f>+'Source Table'!$D$19</f>
        <v>الناتج المحلي الاجمالي بأسعار السوق طريقة الإنفاق</v>
      </c>
      <c r="J75" s="26">
        <v>24462.652527999999</v>
      </c>
      <c r="K75">
        <f t="shared" si="0"/>
        <v>2013</v>
      </c>
    </row>
    <row r="76" spans="1:11" ht="15">
      <c r="A76" t="s">
        <v>105</v>
      </c>
      <c r="B76" t="s">
        <v>108</v>
      </c>
      <c r="C76" s="6" t="s">
        <v>19</v>
      </c>
      <c r="D76" s="6" t="s">
        <v>107</v>
      </c>
      <c r="E76" s="7" t="s">
        <v>106</v>
      </c>
      <c r="F76" t="str">
        <f>+'Source Table'!$B$8</f>
        <v>Compensation of  Employees</v>
      </c>
      <c r="G76" t="str">
        <f>+'Source Table'!$D$8</f>
        <v>تعويضات العاملين</v>
      </c>
      <c r="H76" t="s">
        <v>103</v>
      </c>
      <c r="I76" t="s">
        <v>104</v>
      </c>
      <c r="J76" s="26">
        <v>9716.88472</v>
      </c>
      <c r="K76">
        <f t="shared" si="0"/>
        <v>2014</v>
      </c>
    </row>
    <row r="77" spans="1:11" ht="15">
      <c r="A77" t="s">
        <v>105</v>
      </c>
      <c r="B77" t="s">
        <v>108</v>
      </c>
      <c r="C77" s="6" t="s">
        <v>19</v>
      </c>
      <c r="D77" s="6" t="s">
        <v>107</v>
      </c>
      <c r="E77" s="7" t="s">
        <v>106</v>
      </c>
      <c r="F77" t="str">
        <f>+'Source Table'!$B$9</f>
        <v>Operating Surplus</v>
      </c>
      <c r="G77" t="str">
        <f>+'Source Table'!$D$9</f>
        <v>اجمالي فائض التشغيل والدخل المختلط</v>
      </c>
      <c r="H77" t="s">
        <v>103</v>
      </c>
      <c r="I77" t="s">
        <v>104</v>
      </c>
      <c r="J77" s="26">
        <v>12666.099313000001</v>
      </c>
      <c r="K77">
        <f t="shared" si="0"/>
        <v>2014</v>
      </c>
    </row>
    <row r="78" spans="1:11" ht="15">
      <c r="A78" t="s">
        <v>105</v>
      </c>
      <c r="B78" t="s">
        <v>108</v>
      </c>
      <c r="C78" s="6" t="s">
        <v>19</v>
      </c>
      <c r="D78" s="6" t="s">
        <v>107</v>
      </c>
      <c r="E78" s="7" t="s">
        <v>106</v>
      </c>
      <c r="F78" t="str">
        <f>+'Source Table'!$B$10</f>
        <v>Taxes on Production and Products</v>
      </c>
      <c r="G78" t="str">
        <f>+'Source Table'!$D$10</f>
        <v>الضرائب على الإنتاج والمنتجات</v>
      </c>
      <c r="H78" t="s">
        <v>103</v>
      </c>
      <c r="I78" t="s">
        <v>104</v>
      </c>
      <c r="J78" s="26">
        <v>3996.8429139999998</v>
      </c>
      <c r="K78">
        <f t="shared" si="0"/>
        <v>2014</v>
      </c>
    </row>
    <row r="79" spans="1:11" ht="15">
      <c r="A79" t="s">
        <v>105</v>
      </c>
      <c r="B79" t="s">
        <v>108</v>
      </c>
      <c r="C79" s="6" t="s">
        <v>19</v>
      </c>
      <c r="D79" s="6" t="s">
        <v>107</v>
      </c>
      <c r="E79" s="7" t="s">
        <v>106</v>
      </c>
      <c r="F79" t="str">
        <f>+'Source Table'!$B$11</f>
        <v>Less: Subsidies</v>
      </c>
      <c r="G79" t="str">
        <f>+'Source Table'!$D$11</f>
        <v>ناقص : الإعانات</v>
      </c>
      <c r="H79" t="s">
        <v>103</v>
      </c>
      <c r="I79" t="s">
        <v>104</v>
      </c>
      <c r="J79" s="26">
        <v>218</v>
      </c>
      <c r="K79">
        <f t="shared" si="0"/>
        <v>2014</v>
      </c>
    </row>
    <row r="80" spans="1:11" ht="15">
      <c r="A80" t="s">
        <v>105</v>
      </c>
      <c r="B80" t="s">
        <v>108</v>
      </c>
      <c r="C80" s="6" t="s">
        <v>19</v>
      </c>
      <c r="D80" s="6" t="s">
        <v>107</v>
      </c>
      <c r="E80" s="7" t="s">
        <v>106</v>
      </c>
      <c r="F80" t="str">
        <f>+'Source Table'!$B$12</f>
        <v>Gross Domestic Product at Market prices Income Approach</v>
      </c>
      <c r="G80" t="str">
        <f>+'Source Table'!$D$12</f>
        <v xml:space="preserve"> الناتج المحلي الإجمالي باسعار السوق طريقة الدخل</v>
      </c>
      <c r="H80" t="s">
        <v>103</v>
      </c>
      <c r="I80" t="s">
        <v>104</v>
      </c>
      <c r="J80" s="26">
        <v>26161.826947000001</v>
      </c>
      <c r="K80">
        <f t="shared" si="0"/>
        <v>2014</v>
      </c>
    </row>
    <row r="81" spans="1:11" ht="15">
      <c r="A81" t="s">
        <v>105</v>
      </c>
      <c r="B81" t="s">
        <v>108</v>
      </c>
      <c r="C81" s="6" t="s">
        <v>19</v>
      </c>
      <c r="D81" s="6" t="s">
        <v>107</v>
      </c>
      <c r="E81" s="7" t="s">
        <v>106</v>
      </c>
      <c r="F81" t="s">
        <v>103</v>
      </c>
      <c r="G81" t="s">
        <v>104</v>
      </c>
      <c r="H81" t="str">
        <f>+'Source Table'!$B$13</f>
        <v>Gov. Final Consumption Expenditures</v>
      </c>
      <c r="I81" t="str">
        <f>+'Source Table'!$D$13</f>
        <v>الإنفاق الاستهلاكي النهائي الحكومي</v>
      </c>
      <c r="J81" s="26">
        <v>4766.9571759999999</v>
      </c>
      <c r="K81">
        <f t="shared" ref="K81:K144" si="1">+K69+1</f>
        <v>2014</v>
      </c>
    </row>
    <row r="82" spans="1:11" ht="15">
      <c r="A82" t="s">
        <v>105</v>
      </c>
      <c r="B82" t="s">
        <v>108</v>
      </c>
      <c r="C82" s="6" t="s">
        <v>19</v>
      </c>
      <c r="D82" s="6" t="s">
        <v>107</v>
      </c>
      <c r="E82" s="7" t="s">
        <v>106</v>
      </c>
      <c r="F82" t="s">
        <v>103</v>
      </c>
      <c r="G82" t="s">
        <v>104</v>
      </c>
      <c r="H82" t="str">
        <f>+'Source Table'!$B$14</f>
        <v>Private Final Consumption Expenditures</v>
      </c>
      <c r="I82" t="str">
        <f>+'Source Table'!$D$14</f>
        <v>الإنفاق الاستهلاكي النهائي الخاص</v>
      </c>
      <c r="J82" s="26">
        <v>21358.738965</v>
      </c>
      <c r="K82">
        <f t="shared" si="1"/>
        <v>2014</v>
      </c>
    </row>
    <row r="83" spans="1:11" ht="15">
      <c r="A83" t="s">
        <v>105</v>
      </c>
      <c r="B83" t="s">
        <v>108</v>
      </c>
      <c r="C83" s="6" t="s">
        <v>19</v>
      </c>
      <c r="D83" s="6" t="s">
        <v>107</v>
      </c>
      <c r="E83" s="7" t="s">
        <v>106</v>
      </c>
      <c r="F83" t="s">
        <v>103</v>
      </c>
      <c r="G83" t="s">
        <v>104</v>
      </c>
      <c r="H83" t="str">
        <f>+'Source Table'!$B$15</f>
        <v xml:space="preserve"> Fixed Capital Formation</v>
      </c>
      <c r="I83" t="str">
        <f>+'Source Table'!$D$15</f>
        <v>التكوين الرأسمالي الثابت</v>
      </c>
      <c r="J83" s="26">
        <v>936.15527399999996</v>
      </c>
      <c r="K83">
        <f t="shared" si="1"/>
        <v>2014</v>
      </c>
    </row>
    <row r="84" spans="1:11" ht="15">
      <c r="A84" t="s">
        <v>105</v>
      </c>
      <c r="B84" t="s">
        <v>108</v>
      </c>
      <c r="C84" s="6" t="s">
        <v>19</v>
      </c>
      <c r="D84" s="6" t="s">
        <v>107</v>
      </c>
      <c r="E84" s="7" t="s">
        <v>106</v>
      </c>
      <c r="F84" t="s">
        <v>103</v>
      </c>
      <c r="G84" t="s">
        <v>104</v>
      </c>
      <c r="H84" t="str">
        <f>+'Source Table'!$B$16</f>
        <v>Changes in Stocks</v>
      </c>
      <c r="I84" t="str">
        <f>+'Source Table'!$D$16</f>
        <v xml:space="preserve"> التغير في المخزون</v>
      </c>
      <c r="J84" s="26">
        <v>5815.9755320000004</v>
      </c>
      <c r="K84">
        <f t="shared" si="1"/>
        <v>2014</v>
      </c>
    </row>
    <row r="85" spans="1:11" ht="15">
      <c r="A85" t="s">
        <v>105</v>
      </c>
      <c r="B85" t="s">
        <v>108</v>
      </c>
      <c r="C85" s="6" t="s">
        <v>19</v>
      </c>
      <c r="D85" s="6" t="s">
        <v>107</v>
      </c>
      <c r="E85" s="7" t="s">
        <v>106</v>
      </c>
      <c r="F85" t="s">
        <v>103</v>
      </c>
      <c r="G85" t="s">
        <v>104</v>
      </c>
      <c r="H85" t="str">
        <f>+'Source Table'!$B$17</f>
        <v>Exports of  Goods and Services</v>
      </c>
      <c r="I85" t="str">
        <f>+'Source Table'!$D$17</f>
        <v>صادرات السلع والخدمات</v>
      </c>
      <c r="J85" s="26">
        <v>11023</v>
      </c>
      <c r="K85">
        <f t="shared" si="1"/>
        <v>2014</v>
      </c>
    </row>
    <row r="86" spans="1:11" ht="15">
      <c r="A86" t="s">
        <v>105</v>
      </c>
      <c r="B86" t="s">
        <v>108</v>
      </c>
      <c r="C86" s="6" t="s">
        <v>19</v>
      </c>
      <c r="D86" s="6" t="s">
        <v>107</v>
      </c>
      <c r="E86" s="7" t="s">
        <v>106</v>
      </c>
      <c r="F86" t="s">
        <v>103</v>
      </c>
      <c r="G86" t="s">
        <v>104</v>
      </c>
      <c r="H86" t="str">
        <f>+'Source Table'!$B$18</f>
        <v>Less: Imports of Goods and Services</v>
      </c>
      <c r="I86" t="str">
        <f>+'Source Table'!$D$18</f>
        <v>ناقص: واردات السلع والخدمات</v>
      </c>
      <c r="J86" s="26">
        <v>17739</v>
      </c>
      <c r="K86">
        <f t="shared" si="1"/>
        <v>2014</v>
      </c>
    </row>
    <row r="87" spans="1:11" ht="15">
      <c r="A87" t="s">
        <v>105</v>
      </c>
      <c r="B87" t="s">
        <v>108</v>
      </c>
      <c r="C87" s="6" t="s">
        <v>19</v>
      </c>
      <c r="D87" s="6" t="s">
        <v>107</v>
      </c>
      <c r="E87" s="7" t="s">
        <v>106</v>
      </c>
      <c r="F87" t="s">
        <v>103</v>
      </c>
      <c r="G87" t="s">
        <v>104</v>
      </c>
      <c r="H87" t="str">
        <f>+'Source Table'!$B$19</f>
        <v>Gross Domestic Product at Market Prices  Expenditure Approach</v>
      </c>
      <c r="I87" t="str">
        <f>+'Source Table'!$D$19</f>
        <v>الناتج المحلي الاجمالي بأسعار السوق طريقة الإنفاق</v>
      </c>
      <c r="J87" s="26">
        <v>26161.826947000001</v>
      </c>
      <c r="K87">
        <f t="shared" si="1"/>
        <v>2014</v>
      </c>
    </row>
    <row r="88" spans="1:11" ht="15">
      <c r="A88" t="s">
        <v>105</v>
      </c>
      <c r="B88" t="s">
        <v>108</v>
      </c>
      <c r="C88" s="6" t="s">
        <v>19</v>
      </c>
      <c r="D88" s="6" t="s">
        <v>107</v>
      </c>
      <c r="E88" s="7" t="s">
        <v>106</v>
      </c>
      <c r="F88" t="str">
        <f>+'Source Table'!$B$8</f>
        <v>Compensation of  Employees</v>
      </c>
      <c r="G88" t="str">
        <f>+'Source Table'!$D$8</f>
        <v>تعويضات العاملين</v>
      </c>
      <c r="H88" t="s">
        <v>103</v>
      </c>
      <c r="I88" t="s">
        <v>104</v>
      </c>
      <c r="J88" s="26">
        <v>10345.022518</v>
      </c>
      <c r="K88">
        <f t="shared" si="1"/>
        <v>2015</v>
      </c>
    </row>
    <row r="89" spans="1:11" ht="15">
      <c r="A89" t="s">
        <v>105</v>
      </c>
      <c r="B89" t="s">
        <v>108</v>
      </c>
      <c r="C89" s="6" t="s">
        <v>19</v>
      </c>
      <c r="D89" s="6" t="s">
        <v>107</v>
      </c>
      <c r="E89" s="7" t="s">
        <v>106</v>
      </c>
      <c r="F89" t="str">
        <f>+'Source Table'!$B$9</f>
        <v>Operating Surplus</v>
      </c>
      <c r="G89" t="str">
        <f>+'Source Table'!$D$9</f>
        <v>اجمالي فائض التشغيل والدخل المختلط</v>
      </c>
      <c r="H89" t="s">
        <v>103</v>
      </c>
      <c r="I89" t="s">
        <v>104</v>
      </c>
      <c r="J89" s="26">
        <v>13204.134457</v>
      </c>
      <c r="K89">
        <f t="shared" si="1"/>
        <v>2015</v>
      </c>
    </row>
    <row r="90" spans="1:11" ht="15">
      <c r="A90" t="s">
        <v>105</v>
      </c>
      <c r="B90" t="s">
        <v>108</v>
      </c>
      <c r="C90" s="6" t="s">
        <v>19</v>
      </c>
      <c r="D90" s="6" t="s">
        <v>107</v>
      </c>
      <c r="E90" s="7" t="s">
        <v>106</v>
      </c>
      <c r="F90" t="str">
        <f>+'Source Table'!$B$10</f>
        <v>Taxes on Production and Products</v>
      </c>
      <c r="G90" t="str">
        <f>+'Source Table'!$D$10</f>
        <v>الضرائب على الإنتاج والمنتجات</v>
      </c>
      <c r="H90" t="s">
        <v>103</v>
      </c>
      <c r="I90" t="s">
        <v>104</v>
      </c>
      <c r="J90" s="26">
        <v>4042.6257660000001</v>
      </c>
      <c r="K90">
        <f t="shared" si="1"/>
        <v>2015</v>
      </c>
    </row>
    <row r="91" spans="1:11" ht="15">
      <c r="A91" t="s">
        <v>105</v>
      </c>
      <c r="B91" t="s">
        <v>108</v>
      </c>
      <c r="C91" s="6" t="s">
        <v>19</v>
      </c>
      <c r="D91" s="6" t="s">
        <v>107</v>
      </c>
      <c r="E91" s="7" t="s">
        <v>106</v>
      </c>
      <c r="F91" t="str">
        <f>+'Source Table'!$B$11</f>
        <v>Less: Subsidies</v>
      </c>
      <c r="G91" t="str">
        <f>+'Source Table'!$D$11</f>
        <v>ناقص : الإعانات</v>
      </c>
      <c r="H91" t="s">
        <v>103</v>
      </c>
      <c r="I91" t="s">
        <v>104</v>
      </c>
      <c r="J91" s="26">
        <v>195</v>
      </c>
      <c r="K91">
        <f t="shared" si="1"/>
        <v>2015</v>
      </c>
    </row>
    <row r="92" spans="1:11" ht="15">
      <c r="A92" t="s">
        <v>105</v>
      </c>
      <c r="B92" t="s">
        <v>108</v>
      </c>
      <c r="C92" s="6" t="s">
        <v>19</v>
      </c>
      <c r="D92" s="6" t="s">
        <v>107</v>
      </c>
      <c r="E92" s="7" t="s">
        <v>106</v>
      </c>
      <c r="F92" t="str">
        <f>+'Source Table'!$B$12</f>
        <v>Gross Domestic Product at Market prices Income Approach</v>
      </c>
      <c r="G92" t="str">
        <f>+'Source Table'!$D$12</f>
        <v xml:space="preserve"> الناتج المحلي الإجمالي باسعار السوق طريقة الدخل</v>
      </c>
      <c r="H92" t="s">
        <v>103</v>
      </c>
      <c r="I92" t="s">
        <v>104</v>
      </c>
      <c r="J92" s="26">
        <v>27396.782739999999</v>
      </c>
      <c r="K92">
        <f t="shared" si="1"/>
        <v>2015</v>
      </c>
    </row>
    <row r="93" spans="1:11" ht="15">
      <c r="A93" t="s">
        <v>105</v>
      </c>
      <c r="B93" t="s">
        <v>108</v>
      </c>
      <c r="C93" s="6" t="s">
        <v>19</v>
      </c>
      <c r="D93" s="6" t="s">
        <v>107</v>
      </c>
      <c r="E93" s="7" t="s">
        <v>106</v>
      </c>
      <c r="F93" t="s">
        <v>103</v>
      </c>
      <c r="G93" t="s">
        <v>104</v>
      </c>
      <c r="H93" t="str">
        <f>+'Source Table'!$B$13</f>
        <v>Gov. Final Consumption Expenditures</v>
      </c>
      <c r="I93" t="str">
        <f>+'Source Table'!$D$13</f>
        <v>الإنفاق الاستهلاكي النهائي الحكومي</v>
      </c>
      <c r="J93" s="26">
        <v>4882.9771639999999</v>
      </c>
      <c r="K93">
        <f t="shared" si="1"/>
        <v>2015</v>
      </c>
    </row>
    <row r="94" spans="1:11" ht="15">
      <c r="A94" t="s">
        <v>105</v>
      </c>
      <c r="B94" t="s">
        <v>108</v>
      </c>
      <c r="C94" s="6" t="s">
        <v>19</v>
      </c>
      <c r="D94" s="6" t="s">
        <v>107</v>
      </c>
      <c r="E94" s="7" t="s">
        <v>106</v>
      </c>
      <c r="F94" t="s">
        <v>103</v>
      </c>
      <c r="G94" t="s">
        <v>104</v>
      </c>
      <c r="H94" t="str">
        <f>+'Source Table'!$B$14</f>
        <v>Private Final Consumption Expenditures</v>
      </c>
      <c r="I94" t="str">
        <f>+'Source Table'!$D$14</f>
        <v>الإنفاق الاستهلاكي النهائي الخاص</v>
      </c>
      <c r="J94" s="26">
        <v>21810.877605000001</v>
      </c>
      <c r="K94">
        <f t="shared" si="1"/>
        <v>2015</v>
      </c>
    </row>
    <row r="95" spans="1:11" ht="15">
      <c r="A95" t="s">
        <v>105</v>
      </c>
      <c r="B95" t="s">
        <v>108</v>
      </c>
      <c r="C95" s="6" t="s">
        <v>19</v>
      </c>
      <c r="D95" s="6" t="s">
        <v>107</v>
      </c>
      <c r="E95" s="7" t="s">
        <v>106</v>
      </c>
      <c r="F95" t="s">
        <v>103</v>
      </c>
      <c r="G95" t="s">
        <v>104</v>
      </c>
      <c r="H95" t="str">
        <f>+'Source Table'!$B$15</f>
        <v xml:space="preserve"> Fixed Capital Formation</v>
      </c>
      <c r="I95" t="str">
        <f>+'Source Table'!$D$15</f>
        <v>التكوين الرأسمالي الثابت</v>
      </c>
      <c r="J95" s="26">
        <v>822.87621100000001</v>
      </c>
      <c r="K95">
        <f t="shared" si="1"/>
        <v>2015</v>
      </c>
    </row>
    <row r="96" spans="1:11" ht="15">
      <c r="A96" t="s">
        <v>105</v>
      </c>
      <c r="B96" t="s">
        <v>108</v>
      </c>
      <c r="C96" s="6" t="s">
        <v>19</v>
      </c>
      <c r="D96" s="6" t="s">
        <v>107</v>
      </c>
      <c r="E96" s="7" t="s">
        <v>106</v>
      </c>
      <c r="F96" t="s">
        <v>103</v>
      </c>
      <c r="G96" t="s">
        <v>104</v>
      </c>
      <c r="H96" t="str">
        <f>+'Source Table'!$B$16</f>
        <v>Changes in Stocks</v>
      </c>
      <c r="I96" t="str">
        <f>+'Source Table'!$D$16</f>
        <v xml:space="preserve"> التغير في المخزون</v>
      </c>
      <c r="J96" s="26">
        <v>5981.0517609999997</v>
      </c>
      <c r="K96">
        <f t="shared" si="1"/>
        <v>2015</v>
      </c>
    </row>
    <row r="97" spans="1:11" ht="15">
      <c r="A97" t="s">
        <v>105</v>
      </c>
      <c r="B97" t="s">
        <v>108</v>
      </c>
      <c r="C97" s="6" t="s">
        <v>19</v>
      </c>
      <c r="D97" s="6" t="s">
        <v>107</v>
      </c>
      <c r="E97" s="7" t="s">
        <v>106</v>
      </c>
      <c r="F97" t="s">
        <v>103</v>
      </c>
      <c r="G97" t="s">
        <v>104</v>
      </c>
      <c r="H97" t="str">
        <f>+'Source Table'!$B$17</f>
        <v>Exports of  Goods and Services</v>
      </c>
      <c r="I97" t="str">
        <f>+'Source Table'!$D$17</f>
        <v>صادرات السلع والخدمات</v>
      </c>
      <c r="J97" s="26">
        <v>10012</v>
      </c>
      <c r="K97">
        <f t="shared" si="1"/>
        <v>2015</v>
      </c>
    </row>
    <row r="98" spans="1:11" ht="15">
      <c r="A98" t="s">
        <v>105</v>
      </c>
      <c r="B98" t="s">
        <v>108</v>
      </c>
      <c r="C98" s="6" t="s">
        <v>19</v>
      </c>
      <c r="D98" s="6" t="s">
        <v>107</v>
      </c>
      <c r="E98" s="7" t="s">
        <v>106</v>
      </c>
      <c r="F98" t="s">
        <v>103</v>
      </c>
      <c r="G98" t="s">
        <v>104</v>
      </c>
      <c r="H98" t="str">
        <f>+'Source Table'!$B$18</f>
        <v>Less: Imports of Goods and Services</v>
      </c>
      <c r="I98" t="str">
        <f>+'Source Table'!$D$18</f>
        <v>ناقص: واردات السلع والخدمات</v>
      </c>
      <c r="J98" s="26">
        <v>16113</v>
      </c>
      <c r="K98">
        <f t="shared" si="1"/>
        <v>2015</v>
      </c>
    </row>
    <row r="99" spans="1:11" ht="15">
      <c r="A99" t="s">
        <v>105</v>
      </c>
      <c r="B99" t="s">
        <v>108</v>
      </c>
      <c r="C99" s="6" t="s">
        <v>19</v>
      </c>
      <c r="D99" s="6" t="s">
        <v>107</v>
      </c>
      <c r="E99" s="7" t="s">
        <v>106</v>
      </c>
      <c r="F99" t="s">
        <v>103</v>
      </c>
      <c r="G99" t="s">
        <v>104</v>
      </c>
      <c r="H99" t="str">
        <f>+'Source Table'!$B$19</f>
        <v>Gross Domestic Product at Market Prices  Expenditure Approach</v>
      </c>
      <c r="I99" t="str">
        <f>+'Source Table'!$D$19</f>
        <v>الناتج المحلي الاجمالي بأسعار السوق طريقة الإنفاق</v>
      </c>
      <c r="J99" s="26">
        <v>27396.782739999999</v>
      </c>
      <c r="K99">
        <f t="shared" si="1"/>
        <v>2015</v>
      </c>
    </row>
    <row r="100" spans="1:11" ht="15">
      <c r="A100" t="s">
        <v>105</v>
      </c>
      <c r="B100" t="s">
        <v>108</v>
      </c>
      <c r="C100" s="6" t="s">
        <v>19</v>
      </c>
      <c r="D100" s="6" t="s">
        <v>107</v>
      </c>
      <c r="E100" s="7" t="s">
        <v>106</v>
      </c>
      <c r="F100" t="str">
        <f>+'Source Table'!$B$8</f>
        <v>Compensation of  Employees</v>
      </c>
      <c r="G100" t="str">
        <f>+'Source Table'!$D$8</f>
        <v>تعويضات العاملين</v>
      </c>
      <c r="H100" t="s">
        <v>103</v>
      </c>
      <c r="I100" t="s">
        <v>104</v>
      </c>
      <c r="J100" s="26">
        <v>10855.977601000001</v>
      </c>
      <c r="K100">
        <f t="shared" si="1"/>
        <v>2016</v>
      </c>
    </row>
    <row r="101" spans="1:11" ht="15">
      <c r="A101" t="s">
        <v>105</v>
      </c>
      <c r="B101" t="s">
        <v>108</v>
      </c>
      <c r="C101" s="6" t="s">
        <v>19</v>
      </c>
      <c r="D101" s="6" t="s">
        <v>107</v>
      </c>
      <c r="E101" s="7" t="s">
        <v>106</v>
      </c>
      <c r="F101" t="str">
        <f>+'Source Table'!$B$9</f>
        <v>Operating Surplus</v>
      </c>
      <c r="G101" t="str">
        <f>+'Source Table'!$D$9</f>
        <v>اجمالي فائض التشغيل والدخل المختلط</v>
      </c>
      <c r="H101" t="s">
        <v>103</v>
      </c>
      <c r="I101" t="s">
        <v>104</v>
      </c>
      <c r="J101" s="26">
        <v>13521.344668</v>
      </c>
      <c r="K101">
        <f t="shared" si="1"/>
        <v>2016</v>
      </c>
    </row>
    <row r="102" spans="1:11" ht="15">
      <c r="A102" t="s">
        <v>105</v>
      </c>
      <c r="B102" t="s">
        <v>108</v>
      </c>
      <c r="C102" s="6" t="s">
        <v>19</v>
      </c>
      <c r="D102" s="6" t="s">
        <v>107</v>
      </c>
      <c r="E102" s="7" t="s">
        <v>106</v>
      </c>
      <c r="F102" t="str">
        <f>+'Source Table'!$B$10</f>
        <v>Taxes on Production and Products</v>
      </c>
      <c r="G102" t="str">
        <f>+'Source Table'!$D$10</f>
        <v>الضرائب على الإنتاج والمنتجات</v>
      </c>
      <c r="H102" t="s">
        <v>103</v>
      </c>
      <c r="I102" t="s">
        <v>104</v>
      </c>
      <c r="J102" s="26">
        <v>4079.2520469999999</v>
      </c>
      <c r="K102">
        <f t="shared" si="1"/>
        <v>2016</v>
      </c>
    </row>
    <row r="103" spans="1:11" ht="15">
      <c r="A103" t="s">
        <v>105</v>
      </c>
      <c r="B103" t="s">
        <v>108</v>
      </c>
      <c r="C103" s="6" t="s">
        <v>19</v>
      </c>
      <c r="D103" s="6" t="s">
        <v>107</v>
      </c>
      <c r="E103" s="7" t="s">
        <v>106</v>
      </c>
      <c r="F103" t="str">
        <f>+'Source Table'!$B$11</f>
        <v>Less: Subsidies</v>
      </c>
      <c r="G103" t="str">
        <f>+'Source Table'!$D$11</f>
        <v>ناقص : الإعانات</v>
      </c>
      <c r="H103" t="s">
        <v>103</v>
      </c>
      <c r="I103" t="s">
        <v>104</v>
      </c>
      <c r="J103" s="26">
        <v>132.863</v>
      </c>
      <c r="K103">
        <f t="shared" si="1"/>
        <v>2016</v>
      </c>
    </row>
    <row r="104" spans="1:11" ht="15">
      <c r="A104" t="s">
        <v>105</v>
      </c>
      <c r="B104" t="s">
        <v>108</v>
      </c>
      <c r="C104" s="6" t="s">
        <v>19</v>
      </c>
      <c r="D104" s="6" t="s">
        <v>107</v>
      </c>
      <c r="E104" s="7" t="s">
        <v>106</v>
      </c>
      <c r="F104" t="str">
        <f>+'Source Table'!$B$12</f>
        <v>Gross Domestic Product at Market prices Income Approach</v>
      </c>
      <c r="G104" t="str">
        <f>+'Source Table'!$D$12</f>
        <v xml:space="preserve"> الناتج المحلي الإجمالي باسعار السوق طريقة الدخل</v>
      </c>
      <c r="H104" t="s">
        <v>103</v>
      </c>
      <c r="I104" t="s">
        <v>104</v>
      </c>
      <c r="J104" s="26">
        <v>28323.711316000001</v>
      </c>
      <c r="K104">
        <f t="shared" si="1"/>
        <v>2016</v>
      </c>
    </row>
    <row r="105" spans="1:11" ht="15">
      <c r="A105" t="s">
        <v>105</v>
      </c>
      <c r="B105" t="s">
        <v>108</v>
      </c>
      <c r="C105" s="6" t="s">
        <v>19</v>
      </c>
      <c r="D105" s="6" t="s">
        <v>107</v>
      </c>
      <c r="E105" s="7" t="s">
        <v>106</v>
      </c>
      <c r="F105" t="s">
        <v>103</v>
      </c>
      <c r="G105" t="s">
        <v>104</v>
      </c>
      <c r="H105" t="str">
        <f>+'Source Table'!$B$13</f>
        <v>Gov. Final Consumption Expenditures</v>
      </c>
      <c r="I105" t="str">
        <f>+'Source Table'!$D$13</f>
        <v>الإنفاق الاستهلاكي النهائي الحكومي</v>
      </c>
      <c r="J105" s="26">
        <v>4886.3563869999998</v>
      </c>
      <c r="K105">
        <f t="shared" si="1"/>
        <v>2016</v>
      </c>
    </row>
    <row r="106" spans="1:11" ht="15">
      <c r="A106" t="s">
        <v>105</v>
      </c>
      <c r="B106" t="s">
        <v>108</v>
      </c>
      <c r="C106" s="6" t="s">
        <v>19</v>
      </c>
      <c r="D106" s="6" t="s">
        <v>107</v>
      </c>
      <c r="E106" s="7" t="s">
        <v>106</v>
      </c>
      <c r="F106" t="s">
        <v>103</v>
      </c>
      <c r="G106" t="s">
        <v>104</v>
      </c>
      <c r="H106" t="str">
        <f>+'Source Table'!$B$14</f>
        <v>Private Final Consumption Expenditures</v>
      </c>
      <c r="I106" t="str">
        <f>+'Source Table'!$D$14</f>
        <v>الإنفاق الاستهلاكي النهائي الخاص</v>
      </c>
      <c r="J106" s="26">
        <v>22452.223470000001</v>
      </c>
      <c r="K106">
        <f t="shared" si="1"/>
        <v>2016</v>
      </c>
    </row>
    <row r="107" spans="1:11" ht="15">
      <c r="A107" t="s">
        <v>105</v>
      </c>
      <c r="B107" t="s">
        <v>108</v>
      </c>
      <c r="C107" s="6" t="s">
        <v>19</v>
      </c>
      <c r="D107" s="6" t="s">
        <v>107</v>
      </c>
      <c r="E107" s="7" t="s">
        <v>106</v>
      </c>
      <c r="F107" t="s">
        <v>103</v>
      </c>
      <c r="G107" t="s">
        <v>104</v>
      </c>
      <c r="H107" t="str">
        <f>+'Source Table'!$B$15</f>
        <v xml:space="preserve"> Fixed Capital Formation</v>
      </c>
      <c r="I107" t="str">
        <f>+'Source Table'!$D$15</f>
        <v>التكوين الرأسمالي الثابت</v>
      </c>
      <c r="J107" s="26">
        <v>953.25400000000002</v>
      </c>
      <c r="K107">
        <f t="shared" si="1"/>
        <v>2016</v>
      </c>
    </row>
    <row r="108" spans="1:11" ht="15">
      <c r="A108" t="s">
        <v>105</v>
      </c>
      <c r="B108" t="s">
        <v>108</v>
      </c>
      <c r="C108" s="6" t="s">
        <v>19</v>
      </c>
      <c r="D108" s="6" t="s">
        <v>107</v>
      </c>
      <c r="E108" s="7" t="s">
        <v>106</v>
      </c>
      <c r="F108" t="s">
        <v>103</v>
      </c>
      <c r="G108" t="s">
        <v>104</v>
      </c>
      <c r="H108" t="str">
        <f>+'Source Table'!$B$16</f>
        <v>Changes in Stocks</v>
      </c>
      <c r="I108" t="str">
        <f>+'Source Table'!$D$16</f>
        <v xml:space="preserve"> التغير في المخزون</v>
      </c>
      <c r="J108" s="26">
        <v>5676.2550780000001</v>
      </c>
      <c r="K108">
        <f t="shared" si="1"/>
        <v>2016</v>
      </c>
    </row>
    <row r="109" spans="1:11" ht="15">
      <c r="A109" t="s">
        <v>105</v>
      </c>
      <c r="B109" t="s">
        <v>108</v>
      </c>
      <c r="C109" s="6" t="s">
        <v>19</v>
      </c>
      <c r="D109" s="6" t="s">
        <v>107</v>
      </c>
      <c r="E109" s="7" t="s">
        <v>106</v>
      </c>
      <c r="F109" t="s">
        <v>103</v>
      </c>
      <c r="G109" t="s">
        <v>104</v>
      </c>
      <c r="H109" t="str">
        <f>+'Source Table'!$B$17</f>
        <v>Exports of  Goods and Services</v>
      </c>
      <c r="I109" t="str">
        <f>+'Source Table'!$D$17</f>
        <v>صادرات السلع والخدمات</v>
      </c>
      <c r="J109" s="26">
        <v>9742.2908559999996</v>
      </c>
      <c r="K109">
        <f t="shared" si="1"/>
        <v>2016</v>
      </c>
    </row>
    <row r="110" spans="1:11" ht="15">
      <c r="A110" t="s">
        <v>105</v>
      </c>
      <c r="B110" t="s">
        <v>108</v>
      </c>
      <c r="C110" s="6" t="s">
        <v>19</v>
      </c>
      <c r="D110" s="6" t="s">
        <v>107</v>
      </c>
      <c r="E110" s="7" t="s">
        <v>106</v>
      </c>
      <c r="F110" t="s">
        <v>103</v>
      </c>
      <c r="G110" t="s">
        <v>104</v>
      </c>
      <c r="H110" t="str">
        <f>+'Source Table'!$B$18</f>
        <v>Less: Imports of Goods and Services</v>
      </c>
      <c r="I110" t="str">
        <f>+'Source Table'!$D$18</f>
        <v>ناقص: واردات السلع والخدمات</v>
      </c>
      <c r="J110" s="26">
        <v>15386.668476000001</v>
      </c>
      <c r="K110">
        <f t="shared" si="1"/>
        <v>2016</v>
      </c>
    </row>
    <row r="111" spans="1:11" ht="15">
      <c r="A111" t="s">
        <v>105</v>
      </c>
      <c r="B111" t="s">
        <v>108</v>
      </c>
      <c r="C111" s="6" t="s">
        <v>19</v>
      </c>
      <c r="D111" s="6" t="s">
        <v>107</v>
      </c>
      <c r="E111" s="7" t="s">
        <v>106</v>
      </c>
      <c r="F111" t="s">
        <v>103</v>
      </c>
      <c r="G111" t="s">
        <v>104</v>
      </c>
      <c r="H111" t="str">
        <f>+'Source Table'!$B$19</f>
        <v>Gross Domestic Product at Market Prices  Expenditure Approach</v>
      </c>
      <c r="I111" t="str">
        <f>+'Source Table'!$D$19</f>
        <v>الناتج المحلي الاجمالي بأسعار السوق طريقة الإنفاق</v>
      </c>
      <c r="J111" s="26">
        <v>28323.711316000001</v>
      </c>
      <c r="K111">
        <f t="shared" si="1"/>
        <v>2016</v>
      </c>
    </row>
    <row r="112" spans="1:11" ht="15">
      <c r="A112" t="s">
        <v>105</v>
      </c>
      <c r="B112" t="s">
        <v>108</v>
      </c>
      <c r="C112" s="6" t="s">
        <v>19</v>
      </c>
      <c r="D112" s="6" t="s">
        <v>107</v>
      </c>
      <c r="E112" s="7" t="s">
        <v>106</v>
      </c>
      <c r="F112" t="str">
        <f>+'Source Table'!$B$8</f>
        <v>Compensation of  Employees</v>
      </c>
      <c r="G112" t="str">
        <f>+'Source Table'!$D$8</f>
        <v>تعويضات العاملين</v>
      </c>
      <c r="H112" t="s">
        <v>103</v>
      </c>
      <c r="I112" t="s">
        <v>104</v>
      </c>
      <c r="J112" s="26">
        <v>11564.892806</v>
      </c>
      <c r="K112">
        <f t="shared" si="1"/>
        <v>2017</v>
      </c>
    </row>
    <row r="113" spans="1:11" ht="15">
      <c r="A113" t="s">
        <v>105</v>
      </c>
      <c r="B113" t="s">
        <v>108</v>
      </c>
      <c r="C113" s="6" t="s">
        <v>19</v>
      </c>
      <c r="D113" s="6" t="s">
        <v>107</v>
      </c>
      <c r="E113" s="7" t="s">
        <v>106</v>
      </c>
      <c r="F113" t="str">
        <f>+'Source Table'!$B$9</f>
        <v>Operating Surplus</v>
      </c>
      <c r="G113" t="str">
        <f>+'Source Table'!$D$9</f>
        <v>اجمالي فائض التشغيل والدخل المختلط</v>
      </c>
      <c r="H113" t="s">
        <v>103</v>
      </c>
      <c r="I113" t="s">
        <v>104</v>
      </c>
      <c r="J113" s="26">
        <v>13667.278394000001</v>
      </c>
      <c r="K113">
        <f t="shared" si="1"/>
        <v>2017</v>
      </c>
    </row>
    <row r="114" spans="1:11" ht="15">
      <c r="A114" t="s">
        <v>105</v>
      </c>
      <c r="B114" t="s">
        <v>108</v>
      </c>
      <c r="C114" s="6" t="s">
        <v>19</v>
      </c>
      <c r="D114" s="6" t="s">
        <v>107</v>
      </c>
      <c r="E114" s="7" t="s">
        <v>106</v>
      </c>
      <c r="F114" t="str">
        <f>+'Source Table'!$B$10</f>
        <v>Taxes on Production and Products</v>
      </c>
      <c r="G114" t="str">
        <f>+'Source Table'!$D$10</f>
        <v>الضرائب على الإنتاج والمنتجات</v>
      </c>
      <c r="H114" t="s">
        <v>103</v>
      </c>
      <c r="I114" t="s">
        <v>104</v>
      </c>
      <c r="J114" s="26">
        <v>4429.0172389999998</v>
      </c>
      <c r="K114">
        <f t="shared" si="1"/>
        <v>2017</v>
      </c>
    </row>
    <row r="115" spans="1:11" ht="15">
      <c r="A115" t="s">
        <v>105</v>
      </c>
      <c r="B115" t="s">
        <v>108</v>
      </c>
      <c r="C115" s="6" t="s">
        <v>19</v>
      </c>
      <c r="D115" s="6" t="s">
        <v>107</v>
      </c>
      <c r="E115" s="7" t="s">
        <v>106</v>
      </c>
      <c r="F115" t="str">
        <f>+'Source Table'!$B$11</f>
        <v>Less: Subsidies</v>
      </c>
      <c r="G115" t="str">
        <f>+'Source Table'!$D$11</f>
        <v>ناقص : الإعانات</v>
      </c>
      <c r="H115" t="s">
        <v>103</v>
      </c>
      <c r="I115" t="s">
        <v>104</v>
      </c>
      <c r="J115" s="26">
        <v>119.19893399999999</v>
      </c>
      <c r="K115">
        <f t="shared" si="1"/>
        <v>2017</v>
      </c>
    </row>
    <row r="116" spans="1:11" ht="15">
      <c r="A116" t="s">
        <v>105</v>
      </c>
      <c r="B116" t="s">
        <v>108</v>
      </c>
      <c r="C116" s="6" t="s">
        <v>19</v>
      </c>
      <c r="D116" s="6" t="s">
        <v>107</v>
      </c>
      <c r="E116" s="7" t="s">
        <v>106</v>
      </c>
      <c r="F116" t="str">
        <f>+'Source Table'!$B$12</f>
        <v>Gross Domestic Product at Market prices Income Approach</v>
      </c>
      <c r="G116" t="str">
        <f>+'Source Table'!$D$12</f>
        <v xml:space="preserve"> الناتج المحلي الإجمالي باسعار السوق طريقة الدخل</v>
      </c>
      <c r="H116" t="s">
        <v>103</v>
      </c>
      <c r="I116" t="s">
        <v>104</v>
      </c>
      <c r="J116" s="26">
        <v>29541.989504000001</v>
      </c>
      <c r="K116">
        <f t="shared" si="1"/>
        <v>2017</v>
      </c>
    </row>
    <row r="117" spans="1:11" ht="15">
      <c r="A117" t="s">
        <v>105</v>
      </c>
      <c r="B117" t="s">
        <v>108</v>
      </c>
      <c r="C117" s="6" t="s">
        <v>19</v>
      </c>
      <c r="D117" s="6" t="s">
        <v>107</v>
      </c>
      <c r="E117" s="7" t="s">
        <v>106</v>
      </c>
      <c r="F117" t="s">
        <v>103</v>
      </c>
      <c r="G117" t="s">
        <v>104</v>
      </c>
      <c r="H117" t="str">
        <f>+'Source Table'!$B$13</f>
        <v>Gov. Final Consumption Expenditures</v>
      </c>
      <c r="I117" t="str">
        <f>+'Source Table'!$D$13</f>
        <v>الإنفاق الاستهلاكي النهائي الحكومي</v>
      </c>
      <c r="J117" s="26">
        <v>5006.3774700000004</v>
      </c>
      <c r="K117">
        <f t="shared" si="1"/>
        <v>2017</v>
      </c>
    </row>
    <row r="118" spans="1:11" ht="15">
      <c r="A118" t="s">
        <v>105</v>
      </c>
      <c r="B118" t="s">
        <v>108</v>
      </c>
      <c r="C118" s="6" t="s">
        <v>19</v>
      </c>
      <c r="D118" s="6" t="s">
        <v>107</v>
      </c>
      <c r="E118" s="7" t="s">
        <v>106</v>
      </c>
      <c r="F118" t="s">
        <v>103</v>
      </c>
      <c r="G118" t="s">
        <v>104</v>
      </c>
      <c r="H118" t="str">
        <f>+'Source Table'!$B$14</f>
        <v>Private Final Consumption Expenditures</v>
      </c>
      <c r="I118" t="str">
        <f>+'Source Table'!$D$14</f>
        <v>الإنفاق الاستهلاكي النهائي الخاص</v>
      </c>
      <c r="J118" s="26">
        <v>23335.634715</v>
      </c>
      <c r="K118">
        <f t="shared" si="1"/>
        <v>2017</v>
      </c>
    </row>
    <row r="119" spans="1:11" ht="15">
      <c r="A119" t="s">
        <v>105</v>
      </c>
      <c r="B119" t="s">
        <v>108</v>
      </c>
      <c r="C119" s="6" t="s">
        <v>19</v>
      </c>
      <c r="D119" s="6" t="s">
        <v>107</v>
      </c>
      <c r="E119" s="7" t="s">
        <v>106</v>
      </c>
      <c r="F119" t="s">
        <v>103</v>
      </c>
      <c r="G119" t="s">
        <v>104</v>
      </c>
      <c r="H119" t="str">
        <f>+'Source Table'!$B$15</f>
        <v xml:space="preserve"> Fixed Capital Formation</v>
      </c>
      <c r="I119" t="str">
        <f>+'Source Table'!$D$15</f>
        <v>التكوين الرأسمالي الثابت</v>
      </c>
      <c r="J119" s="26">
        <v>1350.351308</v>
      </c>
      <c r="K119">
        <f t="shared" si="1"/>
        <v>2017</v>
      </c>
    </row>
    <row r="120" spans="1:11" ht="15">
      <c r="A120" t="s">
        <v>105</v>
      </c>
      <c r="B120" t="s">
        <v>108</v>
      </c>
      <c r="C120" s="6" t="s">
        <v>19</v>
      </c>
      <c r="D120" s="6" t="s">
        <v>107</v>
      </c>
      <c r="E120" s="7" t="s">
        <v>106</v>
      </c>
      <c r="F120" t="s">
        <v>103</v>
      </c>
      <c r="G120" t="s">
        <v>104</v>
      </c>
      <c r="H120" t="str">
        <f>+'Source Table'!$B$16</f>
        <v>Changes in Stocks</v>
      </c>
      <c r="I120" t="str">
        <f>+'Source Table'!$D$16</f>
        <v xml:space="preserve"> التغير في المخزون</v>
      </c>
      <c r="J120" s="26">
        <v>5951.8278300000002</v>
      </c>
      <c r="K120">
        <f t="shared" si="1"/>
        <v>2017</v>
      </c>
    </row>
    <row r="121" spans="1:11" ht="15">
      <c r="A121" t="s">
        <v>105</v>
      </c>
      <c r="B121" t="s">
        <v>108</v>
      </c>
      <c r="C121" s="6" t="s">
        <v>19</v>
      </c>
      <c r="D121" s="6" t="s">
        <v>107</v>
      </c>
      <c r="E121" s="7" t="s">
        <v>106</v>
      </c>
      <c r="F121" t="s">
        <v>103</v>
      </c>
      <c r="G121" t="s">
        <v>104</v>
      </c>
      <c r="H121" t="str">
        <f>+'Source Table'!$B$17</f>
        <v>Exports of  Goods and Services</v>
      </c>
      <c r="I121" t="str">
        <f>+'Source Table'!$D$17</f>
        <v>صادرات السلع والخدمات</v>
      </c>
      <c r="J121" s="26">
        <v>10253.198181</v>
      </c>
      <c r="K121">
        <f t="shared" si="1"/>
        <v>2017</v>
      </c>
    </row>
    <row r="122" spans="1:11" ht="15">
      <c r="A122" t="s">
        <v>105</v>
      </c>
      <c r="B122" t="s">
        <v>108</v>
      </c>
      <c r="C122" s="6" t="s">
        <v>19</v>
      </c>
      <c r="D122" s="6" t="s">
        <v>107</v>
      </c>
      <c r="E122" s="7" t="s">
        <v>106</v>
      </c>
      <c r="F122" t="s">
        <v>103</v>
      </c>
      <c r="G122" t="s">
        <v>104</v>
      </c>
      <c r="H122" t="str">
        <f>+'Source Table'!$B$18</f>
        <v>Less: Imports of Goods and Services</v>
      </c>
      <c r="I122" t="str">
        <f>+'Source Table'!$D$18</f>
        <v>ناقص: واردات السلع والخدمات</v>
      </c>
      <c r="J122" s="26">
        <v>16355.4</v>
      </c>
      <c r="K122">
        <f t="shared" si="1"/>
        <v>2017</v>
      </c>
    </row>
    <row r="123" spans="1:11" ht="15">
      <c r="A123" t="s">
        <v>105</v>
      </c>
      <c r="B123" t="s">
        <v>108</v>
      </c>
      <c r="C123" s="6" t="s">
        <v>19</v>
      </c>
      <c r="D123" s="6" t="s">
        <v>107</v>
      </c>
      <c r="E123" s="7" t="s">
        <v>106</v>
      </c>
      <c r="F123" t="s">
        <v>103</v>
      </c>
      <c r="G123" t="s">
        <v>104</v>
      </c>
      <c r="H123" t="str">
        <f>+'Source Table'!$B$19</f>
        <v>Gross Domestic Product at Market Prices  Expenditure Approach</v>
      </c>
      <c r="I123" t="str">
        <f>+'Source Table'!$D$19</f>
        <v>الناتج المحلي الاجمالي بأسعار السوق طريقة الإنفاق</v>
      </c>
      <c r="J123" s="26">
        <v>29541.989504000001</v>
      </c>
      <c r="K123">
        <f t="shared" si="1"/>
        <v>2017</v>
      </c>
    </row>
    <row r="124" spans="1:11" ht="15">
      <c r="A124" t="s">
        <v>105</v>
      </c>
      <c r="B124" t="s">
        <v>108</v>
      </c>
      <c r="C124" s="6" t="s">
        <v>19</v>
      </c>
      <c r="D124" s="6" t="s">
        <v>107</v>
      </c>
      <c r="E124" s="7" t="s">
        <v>106</v>
      </c>
      <c r="F124" t="str">
        <f>+'Source Table'!$B$8</f>
        <v>Compensation of  Employees</v>
      </c>
      <c r="G124" t="str">
        <f>+'Source Table'!$D$8</f>
        <v>تعويضات العاملين</v>
      </c>
      <c r="H124" t="s">
        <v>103</v>
      </c>
      <c r="I124" t="s">
        <v>104</v>
      </c>
      <c r="J124" s="26">
        <v>12147.677329</v>
      </c>
      <c r="K124">
        <f t="shared" si="1"/>
        <v>2018</v>
      </c>
    </row>
    <row r="125" spans="1:11" ht="15">
      <c r="A125" t="s">
        <v>105</v>
      </c>
      <c r="B125" t="s">
        <v>108</v>
      </c>
      <c r="C125" s="6" t="s">
        <v>19</v>
      </c>
      <c r="D125" s="6" t="s">
        <v>107</v>
      </c>
      <c r="E125" s="7" t="s">
        <v>106</v>
      </c>
      <c r="F125" t="str">
        <f>+'Source Table'!$B$9</f>
        <v>Operating Surplus</v>
      </c>
      <c r="G125" t="str">
        <f>+'Source Table'!$D$9</f>
        <v>اجمالي فائض التشغيل والدخل المختلط</v>
      </c>
      <c r="H125" t="s">
        <v>103</v>
      </c>
      <c r="I125" t="s">
        <v>104</v>
      </c>
      <c r="J125" s="26">
        <v>14047.874102</v>
      </c>
      <c r="K125">
        <f t="shared" si="1"/>
        <v>2018</v>
      </c>
    </row>
    <row r="126" spans="1:11" ht="15">
      <c r="A126" t="s">
        <v>105</v>
      </c>
      <c r="B126" t="s">
        <v>108</v>
      </c>
      <c r="C126" s="6" t="s">
        <v>19</v>
      </c>
      <c r="D126" s="6" t="s">
        <v>107</v>
      </c>
      <c r="E126" s="7" t="s">
        <v>106</v>
      </c>
      <c r="F126" t="str">
        <f>+'Source Table'!$B$10</f>
        <v>Taxes on Production and Products</v>
      </c>
      <c r="G126" t="str">
        <f>+'Source Table'!$D$10</f>
        <v>الضرائب على الإنتاج والمنتجات</v>
      </c>
      <c r="H126" t="s">
        <v>103</v>
      </c>
      <c r="I126" t="s">
        <v>104</v>
      </c>
      <c r="J126" s="26">
        <v>4653.4531699999998</v>
      </c>
      <c r="K126">
        <f t="shared" si="1"/>
        <v>2018</v>
      </c>
    </row>
    <row r="127" spans="1:11" ht="15">
      <c r="A127" t="s">
        <v>105</v>
      </c>
      <c r="B127" t="s">
        <v>108</v>
      </c>
      <c r="C127" s="6" t="s">
        <v>19</v>
      </c>
      <c r="D127" s="6" t="s">
        <v>107</v>
      </c>
      <c r="E127" s="7" t="s">
        <v>106</v>
      </c>
      <c r="F127" t="str">
        <f>+'Source Table'!$B$11</f>
        <v>Less: Subsidies</v>
      </c>
      <c r="G127" t="str">
        <f>+'Source Table'!$D$11</f>
        <v>ناقص : الإعانات</v>
      </c>
      <c r="H127" t="s">
        <v>103</v>
      </c>
      <c r="I127" t="s">
        <v>104</v>
      </c>
      <c r="J127" s="26">
        <v>55.693610999999997</v>
      </c>
      <c r="K127">
        <f t="shared" si="1"/>
        <v>2018</v>
      </c>
    </row>
    <row r="128" spans="1:11" ht="15">
      <c r="A128" t="s">
        <v>105</v>
      </c>
      <c r="B128" t="s">
        <v>108</v>
      </c>
      <c r="C128" s="6" t="s">
        <v>19</v>
      </c>
      <c r="D128" s="6" t="s">
        <v>107</v>
      </c>
      <c r="E128" s="7" t="s">
        <v>106</v>
      </c>
      <c r="F128" t="str">
        <f>+'Source Table'!$B$12</f>
        <v>Gross Domestic Product at Market prices Income Approach</v>
      </c>
      <c r="G128" t="str">
        <f>+'Source Table'!$D$12</f>
        <v xml:space="preserve"> الناتج المحلي الإجمالي باسعار السوق طريقة الدخل</v>
      </c>
      <c r="H128" t="s">
        <v>103</v>
      </c>
      <c r="I128" t="s">
        <v>104</v>
      </c>
      <c r="J128" s="26">
        <v>30793.310990000002</v>
      </c>
      <c r="K128">
        <f t="shared" si="1"/>
        <v>2018</v>
      </c>
    </row>
    <row r="129" spans="1:11" ht="15">
      <c r="A129" t="s">
        <v>105</v>
      </c>
      <c r="B129" t="s">
        <v>108</v>
      </c>
      <c r="C129" s="6" t="s">
        <v>19</v>
      </c>
      <c r="D129" s="6" t="s">
        <v>107</v>
      </c>
      <c r="E129" s="7" t="s">
        <v>106</v>
      </c>
      <c r="F129" t="s">
        <v>103</v>
      </c>
      <c r="G129" t="s">
        <v>104</v>
      </c>
      <c r="H129" t="str">
        <f>+'Source Table'!$B$13</f>
        <v>Gov. Final Consumption Expenditures</v>
      </c>
      <c r="I129" t="str">
        <f>+'Source Table'!$D$13</f>
        <v>الإنفاق الاستهلاكي النهائي الحكومي</v>
      </c>
      <c r="J129" s="26">
        <v>5155.8947829999997</v>
      </c>
      <c r="K129">
        <f t="shared" si="1"/>
        <v>2018</v>
      </c>
    </row>
    <row r="130" spans="1:11" ht="15">
      <c r="A130" t="s">
        <v>105</v>
      </c>
      <c r="B130" t="s">
        <v>108</v>
      </c>
      <c r="C130" s="6" t="s">
        <v>19</v>
      </c>
      <c r="D130" s="6" t="s">
        <v>107</v>
      </c>
      <c r="E130" s="7" t="s">
        <v>106</v>
      </c>
      <c r="F130" t="s">
        <v>103</v>
      </c>
      <c r="G130" t="s">
        <v>104</v>
      </c>
      <c r="H130" t="str">
        <f>+'Source Table'!$B$14</f>
        <v>Private Final Consumption Expenditures</v>
      </c>
      <c r="I130" t="str">
        <f>+'Source Table'!$D$14</f>
        <v>الإنفاق الاستهلاكي النهائي الخاص</v>
      </c>
      <c r="J130" s="26">
        <v>23589.482180999999</v>
      </c>
      <c r="K130">
        <f t="shared" si="1"/>
        <v>2018</v>
      </c>
    </row>
    <row r="131" spans="1:11" ht="15">
      <c r="A131" t="s">
        <v>105</v>
      </c>
      <c r="B131" t="s">
        <v>108</v>
      </c>
      <c r="C131" s="6" t="s">
        <v>19</v>
      </c>
      <c r="D131" s="6" t="s">
        <v>107</v>
      </c>
      <c r="E131" s="7" t="s">
        <v>106</v>
      </c>
      <c r="F131" t="s">
        <v>103</v>
      </c>
      <c r="G131" t="s">
        <v>104</v>
      </c>
      <c r="H131" t="str">
        <f>+'Source Table'!$B$15</f>
        <v xml:space="preserve"> Fixed Capital Formation</v>
      </c>
      <c r="I131" t="str">
        <f>+'Source Table'!$D$15</f>
        <v>التكوين الرأسمالي الثابت</v>
      </c>
      <c r="J131" s="26">
        <v>1222.654</v>
      </c>
      <c r="K131">
        <f t="shared" si="1"/>
        <v>2018</v>
      </c>
    </row>
    <row r="132" spans="1:11" ht="15">
      <c r="A132" t="s">
        <v>105</v>
      </c>
      <c r="B132" t="s">
        <v>108</v>
      </c>
      <c r="C132" s="6" t="s">
        <v>19</v>
      </c>
      <c r="D132" s="6" t="s">
        <v>107</v>
      </c>
      <c r="E132" s="7" t="s">
        <v>106</v>
      </c>
      <c r="F132" t="s">
        <v>103</v>
      </c>
      <c r="G132" t="s">
        <v>104</v>
      </c>
      <c r="H132" t="str">
        <f>+'Source Table'!$B$16</f>
        <v>Changes in Stocks</v>
      </c>
      <c r="I132" t="str">
        <f>+'Source Table'!$D$16</f>
        <v xml:space="preserve"> التغير في المخزون</v>
      </c>
      <c r="J132" s="26">
        <v>6278.7829110000002</v>
      </c>
      <c r="K132">
        <f t="shared" si="1"/>
        <v>2018</v>
      </c>
    </row>
    <row r="133" spans="1:11" ht="15">
      <c r="A133" t="s">
        <v>105</v>
      </c>
      <c r="B133" t="s">
        <v>108</v>
      </c>
      <c r="C133" s="6" t="s">
        <v>19</v>
      </c>
      <c r="D133" s="6" t="s">
        <v>107</v>
      </c>
      <c r="E133" s="7" t="s">
        <v>106</v>
      </c>
      <c r="F133" t="s">
        <v>103</v>
      </c>
      <c r="G133" t="s">
        <v>104</v>
      </c>
      <c r="H133" t="str">
        <f>+'Source Table'!$B$17</f>
        <v>Exports of  Goods and Services</v>
      </c>
      <c r="I133" t="str">
        <f>+'Source Table'!$D$17</f>
        <v>صادرات السلع والخدمات</v>
      </c>
      <c r="J133" s="26">
        <v>10816.697115000001</v>
      </c>
      <c r="K133">
        <f t="shared" si="1"/>
        <v>2018</v>
      </c>
    </row>
    <row r="134" spans="1:11" ht="15">
      <c r="A134" t="s">
        <v>105</v>
      </c>
      <c r="B134" t="s">
        <v>108</v>
      </c>
      <c r="C134" s="6" t="s">
        <v>19</v>
      </c>
      <c r="D134" s="6" t="s">
        <v>107</v>
      </c>
      <c r="E134" s="7" t="s">
        <v>106</v>
      </c>
      <c r="F134" t="s">
        <v>103</v>
      </c>
      <c r="G134" t="s">
        <v>104</v>
      </c>
      <c r="H134" t="str">
        <f>+'Source Table'!$B$18</f>
        <v>Less: Imports of Goods and Services</v>
      </c>
      <c r="I134" t="str">
        <f>+'Source Table'!$D$18</f>
        <v>ناقص: واردات السلع والخدمات</v>
      </c>
      <c r="J134" s="26">
        <v>16270.2</v>
      </c>
      <c r="K134">
        <f t="shared" si="1"/>
        <v>2018</v>
      </c>
    </row>
    <row r="135" spans="1:11" ht="15">
      <c r="A135" t="s">
        <v>105</v>
      </c>
      <c r="B135" t="s">
        <v>108</v>
      </c>
      <c r="C135" s="6" t="s">
        <v>19</v>
      </c>
      <c r="D135" s="6" t="s">
        <v>107</v>
      </c>
      <c r="E135" s="7" t="s">
        <v>106</v>
      </c>
      <c r="F135" t="s">
        <v>103</v>
      </c>
      <c r="G135" t="s">
        <v>104</v>
      </c>
      <c r="H135" t="str">
        <f>+'Source Table'!$B$19</f>
        <v>Gross Domestic Product at Market Prices  Expenditure Approach</v>
      </c>
      <c r="I135" t="str">
        <f>+'Source Table'!$D$19</f>
        <v>الناتج المحلي الاجمالي بأسعار السوق طريقة الإنفاق</v>
      </c>
      <c r="J135" s="26">
        <v>30793.310990000002</v>
      </c>
      <c r="K135">
        <f t="shared" si="1"/>
        <v>2018</v>
      </c>
    </row>
    <row r="136" spans="1:11" ht="15">
      <c r="A136" t="s">
        <v>105</v>
      </c>
      <c r="B136" t="s">
        <v>108</v>
      </c>
      <c r="C136" s="6" t="s">
        <v>19</v>
      </c>
      <c r="D136" s="6" t="s">
        <v>107</v>
      </c>
      <c r="E136" s="7" t="s">
        <v>106</v>
      </c>
      <c r="F136" t="str">
        <f>+'Source Table'!$B$8</f>
        <v>Compensation of  Employees</v>
      </c>
      <c r="G136" t="str">
        <f>+'Source Table'!$D$8</f>
        <v>تعويضات العاملين</v>
      </c>
      <c r="H136" t="s">
        <v>103</v>
      </c>
      <c r="I136" t="s">
        <v>104</v>
      </c>
      <c r="J136" s="26">
        <v>12612.188663999999</v>
      </c>
      <c r="K136">
        <f t="shared" si="1"/>
        <v>2019</v>
      </c>
    </row>
    <row r="137" spans="1:11" ht="15">
      <c r="A137" t="s">
        <v>105</v>
      </c>
      <c r="B137" t="s">
        <v>108</v>
      </c>
      <c r="C137" s="6" t="s">
        <v>19</v>
      </c>
      <c r="D137" s="6" t="s">
        <v>107</v>
      </c>
      <c r="E137" s="7" t="s">
        <v>106</v>
      </c>
      <c r="F137" t="str">
        <f>+'Source Table'!$B$9</f>
        <v>Operating Surplus</v>
      </c>
      <c r="G137" t="str">
        <f>+'Source Table'!$D$9</f>
        <v>اجمالي فائض التشغيل والدخل المختلط</v>
      </c>
      <c r="H137" t="s">
        <v>103</v>
      </c>
      <c r="I137" t="s">
        <v>104</v>
      </c>
      <c r="J137" s="26">
        <v>14590.158715</v>
      </c>
      <c r="K137">
        <f t="shared" si="1"/>
        <v>2019</v>
      </c>
    </row>
    <row r="138" spans="1:11" ht="15">
      <c r="A138" t="s">
        <v>105</v>
      </c>
      <c r="B138" t="s">
        <v>108</v>
      </c>
      <c r="C138" s="6" t="s">
        <v>19</v>
      </c>
      <c r="D138" s="6" t="s">
        <v>107</v>
      </c>
      <c r="E138" s="7" t="s">
        <v>106</v>
      </c>
      <c r="F138" t="str">
        <f>+'Source Table'!$B$10</f>
        <v>Taxes on Production and Products</v>
      </c>
      <c r="G138" t="str">
        <f>+'Source Table'!$D$10</f>
        <v>الضرائب على الإنتاج والمنتجات</v>
      </c>
      <c r="H138" t="s">
        <v>103</v>
      </c>
      <c r="I138" t="s">
        <v>104</v>
      </c>
      <c r="J138" s="26">
        <v>4554.7869810000002</v>
      </c>
      <c r="K138">
        <f t="shared" si="1"/>
        <v>2019</v>
      </c>
    </row>
    <row r="139" spans="1:11" ht="15">
      <c r="A139" t="s">
        <v>105</v>
      </c>
      <c r="B139" t="s">
        <v>108</v>
      </c>
      <c r="C139" s="6" t="s">
        <v>19</v>
      </c>
      <c r="D139" s="6" t="s">
        <v>107</v>
      </c>
      <c r="E139" s="7" t="s">
        <v>106</v>
      </c>
      <c r="F139" t="str">
        <f>+'Source Table'!$B$11</f>
        <v>Less: Subsidies</v>
      </c>
      <c r="G139" t="str">
        <f>+'Source Table'!$D$11</f>
        <v>ناقص : الإعانات</v>
      </c>
      <c r="H139" t="s">
        <v>103</v>
      </c>
      <c r="I139" t="s">
        <v>104</v>
      </c>
      <c r="J139" s="26">
        <v>160</v>
      </c>
      <c r="K139">
        <f t="shared" si="1"/>
        <v>2019</v>
      </c>
    </row>
    <row r="140" spans="1:11" ht="15">
      <c r="A140" t="s">
        <v>105</v>
      </c>
      <c r="B140" t="s">
        <v>108</v>
      </c>
      <c r="C140" s="6" t="s">
        <v>19</v>
      </c>
      <c r="D140" s="6" t="s">
        <v>107</v>
      </c>
      <c r="E140" s="7" t="s">
        <v>106</v>
      </c>
      <c r="F140" t="str">
        <f>+'Source Table'!$B$12</f>
        <v>Gross Domestic Product at Market prices Income Approach</v>
      </c>
      <c r="G140" t="str">
        <f>+'Source Table'!$D$12</f>
        <v xml:space="preserve"> الناتج المحلي الإجمالي باسعار السوق طريقة الدخل</v>
      </c>
      <c r="H140" t="s">
        <v>103</v>
      </c>
      <c r="I140" t="s">
        <v>104</v>
      </c>
      <c r="J140" s="26">
        <v>31597.134359</v>
      </c>
      <c r="K140">
        <f t="shared" si="1"/>
        <v>2019</v>
      </c>
    </row>
    <row r="141" spans="1:11" ht="15">
      <c r="A141" t="s">
        <v>105</v>
      </c>
      <c r="B141" t="s">
        <v>108</v>
      </c>
      <c r="C141" s="6" t="s">
        <v>19</v>
      </c>
      <c r="D141" s="6" t="s">
        <v>107</v>
      </c>
      <c r="E141" s="7" t="s">
        <v>106</v>
      </c>
      <c r="F141" t="s">
        <v>103</v>
      </c>
      <c r="G141" t="s">
        <v>104</v>
      </c>
      <c r="H141" t="str">
        <f>+'Source Table'!$B$13</f>
        <v>Gov. Final Consumption Expenditures</v>
      </c>
      <c r="I141" t="str">
        <f>+'Source Table'!$D$13</f>
        <v>الإنفاق الاستهلاكي النهائي الحكومي</v>
      </c>
      <c r="J141" s="26">
        <v>5173.4210160000002</v>
      </c>
      <c r="K141">
        <f t="shared" si="1"/>
        <v>2019</v>
      </c>
    </row>
    <row r="142" spans="1:11" ht="15">
      <c r="A142" t="s">
        <v>105</v>
      </c>
      <c r="B142" t="s">
        <v>108</v>
      </c>
      <c r="C142" s="6" t="s">
        <v>19</v>
      </c>
      <c r="D142" s="6" t="s">
        <v>107</v>
      </c>
      <c r="E142" s="7" t="s">
        <v>106</v>
      </c>
      <c r="F142" t="s">
        <v>103</v>
      </c>
      <c r="G142" t="s">
        <v>104</v>
      </c>
      <c r="H142" t="str">
        <f>+'Source Table'!$B$14</f>
        <v>Private Final Consumption Expenditures</v>
      </c>
      <c r="I142" t="str">
        <f>+'Source Table'!$D$14</f>
        <v>الإنفاق الاستهلاكي النهائي الخاص</v>
      </c>
      <c r="J142" s="26">
        <v>23601.034003000001</v>
      </c>
      <c r="K142">
        <f t="shared" si="1"/>
        <v>2019</v>
      </c>
    </row>
    <row r="143" spans="1:11" ht="15">
      <c r="A143" t="s">
        <v>105</v>
      </c>
      <c r="B143" t="s">
        <v>108</v>
      </c>
      <c r="C143" s="6" t="s">
        <v>19</v>
      </c>
      <c r="D143" s="6" t="s">
        <v>107</v>
      </c>
      <c r="E143" s="7" t="s">
        <v>106</v>
      </c>
      <c r="F143" t="s">
        <v>103</v>
      </c>
      <c r="G143" t="s">
        <v>104</v>
      </c>
      <c r="H143" t="str">
        <f>+'Source Table'!$B$15</f>
        <v xml:space="preserve"> Fixed Capital Formation</v>
      </c>
      <c r="I143" t="str">
        <f>+'Source Table'!$D$15</f>
        <v>التكوين الرأسمالي الثابت</v>
      </c>
      <c r="J143" s="26">
        <v>961.834564</v>
      </c>
      <c r="K143">
        <f t="shared" si="1"/>
        <v>2019</v>
      </c>
    </row>
    <row r="144" spans="1:11" ht="15">
      <c r="A144" t="s">
        <v>105</v>
      </c>
      <c r="B144" t="s">
        <v>108</v>
      </c>
      <c r="C144" s="6" t="s">
        <v>19</v>
      </c>
      <c r="D144" s="6" t="s">
        <v>107</v>
      </c>
      <c r="E144" s="7" t="s">
        <v>106</v>
      </c>
      <c r="F144" t="s">
        <v>103</v>
      </c>
      <c r="G144" t="s">
        <v>104</v>
      </c>
      <c r="H144" t="str">
        <f>+'Source Table'!$B$16</f>
        <v>Changes in Stocks</v>
      </c>
      <c r="I144" t="str">
        <f>+'Source Table'!$D$16</f>
        <v xml:space="preserve"> التغير في المخزون</v>
      </c>
      <c r="J144" s="26">
        <v>5804.494522</v>
      </c>
      <c r="K144">
        <f t="shared" si="1"/>
        <v>2019</v>
      </c>
    </row>
    <row r="145" spans="1:11" ht="15">
      <c r="A145" t="s">
        <v>105</v>
      </c>
      <c r="B145" t="s">
        <v>108</v>
      </c>
      <c r="C145" s="6" t="s">
        <v>19</v>
      </c>
      <c r="D145" s="6" t="s">
        <v>107</v>
      </c>
      <c r="E145" s="7" t="s">
        <v>106</v>
      </c>
      <c r="F145" t="s">
        <v>103</v>
      </c>
      <c r="G145" t="s">
        <v>104</v>
      </c>
      <c r="H145" t="str">
        <f>+'Source Table'!$B$17</f>
        <v>Exports of  Goods and Services</v>
      </c>
      <c r="I145" t="str">
        <f>+'Source Table'!$D$17</f>
        <v>صادرات السلع والخدمات</v>
      </c>
      <c r="J145" s="26">
        <v>11586.702071</v>
      </c>
      <c r="K145">
        <f t="shared" ref="K145:K183" si="2">+K133+1</f>
        <v>2019</v>
      </c>
    </row>
    <row r="146" spans="1:11" ht="15">
      <c r="A146" t="s">
        <v>105</v>
      </c>
      <c r="B146" t="s">
        <v>108</v>
      </c>
      <c r="C146" s="6" t="s">
        <v>19</v>
      </c>
      <c r="D146" s="6" t="s">
        <v>107</v>
      </c>
      <c r="E146" s="7" t="s">
        <v>106</v>
      </c>
      <c r="F146" t="s">
        <v>103</v>
      </c>
      <c r="G146" t="s">
        <v>104</v>
      </c>
      <c r="H146" t="str">
        <f>+'Source Table'!$B$18</f>
        <v>Less: Imports of Goods and Services</v>
      </c>
      <c r="I146" t="str">
        <f>+'Source Table'!$D$18</f>
        <v>ناقص: واردات السلع والخدمات</v>
      </c>
      <c r="J146" s="26">
        <v>15530.351815</v>
      </c>
      <c r="K146">
        <f t="shared" si="2"/>
        <v>2019</v>
      </c>
    </row>
    <row r="147" spans="1:11" ht="15">
      <c r="A147" t="s">
        <v>105</v>
      </c>
      <c r="B147" t="s">
        <v>108</v>
      </c>
      <c r="C147" s="6" t="s">
        <v>19</v>
      </c>
      <c r="D147" s="6" t="s">
        <v>107</v>
      </c>
      <c r="E147" s="7" t="s">
        <v>106</v>
      </c>
      <c r="F147" t="s">
        <v>103</v>
      </c>
      <c r="G147" t="s">
        <v>104</v>
      </c>
      <c r="H147" t="str">
        <f>+'Source Table'!$B$19</f>
        <v>Gross Domestic Product at Market Prices  Expenditure Approach</v>
      </c>
      <c r="I147" t="str">
        <f>+'Source Table'!$D$19</f>
        <v>الناتج المحلي الاجمالي بأسعار السوق طريقة الإنفاق</v>
      </c>
      <c r="J147" s="26">
        <v>31597.134359</v>
      </c>
      <c r="K147">
        <f t="shared" si="2"/>
        <v>2019</v>
      </c>
    </row>
    <row r="148" spans="1:11" ht="15">
      <c r="A148" t="s">
        <v>105</v>
      </c>
      <c r="B148" t="s">
        <v>108</v>
      </c>
      <c r="C148" s="6" t="s">
        <v>19</v>
      </c>
      <c r="D148" s="6" t="s">
        <v>107</v>
      </c>
      <c r="E148" s="7" t="s">
        <v>106</v>
      </c>
      <c r="F148" t="str">
        <f>+'Source Table'!$B$8</f>
        <v>Compensation of  Employees</v>
      </c>
      <c r="G148" t="str">
        <f>+'Source Table'!$D$8</f>
        <v>تعويضات العاملين</v>
      </c>
      <c r="H148" t="s">
        <v>103</v>
      </c>
      <c r="I148" t="s">
        <v>104</v>
      </c>
      <c r="J148" s="26">
        <v>12800.928405000001</v>
      </c>
      <c r="K148">
        <f t="shared" si="2"/>
        <v>2020</v>
      </c>
    </row>
    <row r="149" spans="1:11" ht="15">
      <c r="A149" t="s">
        <v>105</v>
      </c>
      <c r="B149" t="s">
        <v>108</v>
      </c>
      <c r="C149" s="6" t="s">
        <v>19</v>
      </c>
      <c r="D149" s="6" t="s">
        <v>107</v>
      </c>
      <c r="E149" s="7" t="s">
        <v>106</v>
      </c>
      <c r="F149" t="str">
        <f>+'Source Table'!$B$9</f>
        <v>Operating Surplus</v>
      </c>
      <c r="G149" t="str">
        <f>+'Source Table'!$D$9</f>
        <v>اجمالي فائض التشغيل والدخل المختلط</v>
      </c>
      <c r="H149" t="s">
        <v>103</v>
      </c>
      <c r="I149" t="s">
        <v>104</v>
      </c>
      <c r="J149" s="26">
        <v>14050.279805</v>
      </c>
      <c r="K149">
        <f t="shared" si="2"/>
        <v>2020</v>
      </c>
    </row>
    <row r="150" spans="1:11" ht="15">
      <c r="A150" t="s">
        <v>105</v>
      </c>
      <c r="B150" t="s">
        <v>108</v>
      </c>
      <c r="C150" s="6" t="s">
        <v>19</v>
      </c>
      <c r="D150" s="6" t="s">
        <v>107</v>
      </c>
      <c r="E150" s="7" t="s">
        <v>106</v>
      </c>
      <c r="F150" t="str">
        <f>+'Source Table'!$B$10</f>
        <v>Taxes on Production and Products</v>
      </c>
      <c r="G150" t="str">
        <f>+'Source Table'!$D$10</f>
        <v>الضرائب على الإنتاج والمنتجات</v>
      </c>
      <c r="H150" t="s">
        <v>103</v>
      </c>
      <c r="I150" t="s">
        <v>104</v>
      </c>
      <c r="J150" s="26">
        <v>4289.1852099999996</v>
      </c>
      <c r="K150">
        <f t="shared" si="2"/>
        <v>2020</v>
      </c>
    </row>
    <row r="151" spans="1:11" ht="15">
      <c r="A151" t="s">
        <v>105</v>
      </c>
      <c r="B151" t="s">
        <v>108</v>
      </c>
      <c r="C151" s="6" t="s">
        <v>19</v>
      </c>
      <c r="D151" s="6" t="s">
        <v>107</v>
      </c>
      <c r="E151" s="7" t="s">
        <v>106</v>
      </c>
      <c r="F151" t="str">
        <f>+'Source Table'!$B$11</f>
        <v>Less: Subsidies</v>
      </c>
      <c r="G151" t="str">
        <f>+'Source Table'!$D$11</f>
        <v>ناقص : الإعانات</v>
      </c>
      <c r="H151" t="s">
        <v>103</v>
      </c>
      <c r="I151" t="s">
        <v>104</v>
      </c>
      <c r="J151" s="26">
        <v>113.12166000000001</v>
      </c>
      <c r="K151">
        <f t="shared" si="2"/>
        <v>2020</v>
      </c>
    </row>
    <row r="152" spans="1:11" ht="15">
      <c r="A152" t="s">
        <v>105</v>
      </c>
      <c r="B152" t="s">
        <v>108</v>
      </c>
      <c r="C152" s="6" t="s">
        <v>19</v>
      </c>
      <c r="D152" s="6" t="s">
        <v>107</v>
      </c>
      <c r="E152" s="7" t="s">
        <v>106</v>
      </c>
      <c r="F152" t="str">
        <f>+'Source Table'!$B$12</f>
        <v>Gross Domestic Product at Market prices Income Approach</v>
      </c>
      <c r="G152" t="str">
        <f>+'Source Table'!$D$12</f>
        <v xml:space="preserve"> الناتج المحلي الإجمالي باسعار السوق طريقة الدخل</v>
      </c>
      <c r="H152" t="s">
        <v>103</v>
      </c>
      <c r="I152" t="s">
        <v>104</v>
      </c>
      <c r="J152" s="26">
        <v>31027.27176</v>
      </c>
      <c r="K152">
        <f t="shared" si="2"/>
        <v>2020</v>
      </c>
    </row>
    <row r="153" spans="1:11" ht="15">
      <c r="A153" t="s">
        <v>105</v>
      </c>
      <c r="B153" t="s">
        <v>108</v>
      </c>
      <c r="C153" s="6" t="s">
        <v>19</v>
      </c>
      <c r="D153" s="6" t="s">
        <v>107</v>
      </c>
      <c r="E153" s="7" t="s">
        <v>106</v>
      </c>
      <c r="F153" t="s">
        <v>103</v>
      </c>
      <c r="G153" t="s">
        <v>104</v>
      </c>
      <c r="H153" t="str">
        <f>+'Source Table'!$B$13</f>
        <v>Gov. Final Consumption Expenditures</v>
      </c>
      <c r="I153" t="str">
        <f>+'Source Table'!$D$13</f>
        <v>الإنفاق الاستهلاكي النهائي الحكومي</v>
      </c>
      <c r="J153" s="26">
        <v>5135.2664130000003</v>
      </c>
      <c r="K153">
        <f t="shared" si="2"/>
        <v>2020</v>
      </c>
    </row>
    <row r="154" spans="1:11" ht="15">
      <c r="A154" t="s">
        <v>105</v>
      </c>
      <c r="B154" t="s">
        <v>108</v>
      </c>
      <c r="C154" s="6" t="s">
        <v>19</v>
      </c>
      <c r="D154" s="6" t="s">
        <v>107</v>
      </c>
      <c r="E154" s="7" t="s">
        <v>106</v>
      </c>
      <c r="F154" t="s">
        <v>103</v>
      </c>
      <c r="G154" t="s">
        <v>104</v>
      </c>
      <c r="H154" t="str">
        <f>+'Source Table'!$B$14</f>
        <v>Private Final Consumption Expenditures</v>
      </c>
      <c r="I154" t="str">
        <f>+'Source Table'!$D$14</f>
        <v>الإنفاق الاستهلاكي النهائي الخاص</v>
      </c>
      <c r="J154" s="26">
        <v>24763.575124999999</v>
      </c>
      <c r="K154">
        <f t="shared" si="2"/>
        <v>2020</v>
      </c>
    </row>
    <row r="155" spans="1:11" ht="15">
      <c r="A155" t="s">
        <v>105</v>
      </c>
      <c r="B155" t="s">
        <v>108</v>
      </c>
      <c r="C155" s="6" t="s">
        <v>19</v>
      </c>
      <c r="D155" s="6" t="s">
        <v>107</v>
      </c>
      <c r="E155" s="7" t="s">
        <v>106</v>
      </c>
      <c r="F155" t="s">
        <v>103</v>
      </c>
      <c r="G155" t="s">
        <v>104</v>
      </c>
      <c r="H155" t="str">
        <f>+'Source Table'!$B$15</f>
        <v xml:space="preserve"> Fixed Capital Formation</v>
      </c>
      <c r="I155" t="str">
        <f>+'Source Table'!$D$15</f>
        <v>التكوين الرأسمالي الثابت</v>
      </c>
      <c r="J155" s="26">
        <v>797.069928</v>
      </c>
      <c r="K155">
        <f t="shared" si="2"/>
        <v>2020</v>
      </c>
    </row>
    <row r="156" spans="1:11" ht="15">
      <c r="A156" t="s">
        <v>105</v>
      </c>
      <c r="B156" t="s">
        <v>108</v>
      </c>
      <c r="C156" s="6" t="s">
        <v>19</v>
      </c>
      <c r="D156" s="6" t="s">
        <v>107</v>
      </c>
      <c r="E156" s="7" t="s">
        <v>106</v>
      </c>
      <c r="F156" t="s">
        <v>103</v>
      </c>
      <c r="G156" t="s">
        <v>104</v>
      </c>
      <c r="H156" t="str">
        <f>+'Source Table'!$B$16</f>
        <v>Changes in Stocks</v>
      </c>
      <c r="I156" t="str">
        <f>+'Source Table'!$D$16</f>
        <v xml:space="preserve"> التغير في المخزون</v>
      </c>
      <c r="J156" s="26">
        <v>5861.3558329999996</v>
      </c>
      <c r="K156">
        <f t="shared" si="2"/>
        <v>2020</v>
      </c>
    </row>
    <row r="157" spans="1:11" ht="15">
      <c r="A157" t="s">
        <v>105</v>
      </c>
      <c r="B157" t="s">
        <v>108</v>
      </c>
      <c r="C157" s="6" t="s">
        <v>19</v>
      </c>
      <c r="D157" s="6" t="s">
        <v>107</v>
      </c>
      <c r="E157" s="7" t="s">
        <v>106</v>
      </c>
      <c r="F157" t="s">
        <v>103</v>
      </c>
      <c r="G157" t="s">
        <v>104</v>
      </c>
      <c r="H157" t="str">
        <f>+'Source Table'!$B$17</f>
        <v>Exports of  Goods and Services</v>
      </c>
      <c r="I157" t="str">
        <f>+'Source Table'!$D$17</f>
        <v>صادرات السلع والخدمات</v>
      </c>
      <c r="J157" s="26">
        <v>7516.5265470000004</v>
      </c>
      <c r="K157">
        <f t="shared" si="2"/>
        <v>2020</v>
      </c>
    </row>
    <row r="158" spans="1:11" ht="15">
      <c r="A158" t="s">
        <v>105</v>
      </c>
      <c r="B158" t="s">
        <v>108</v>
      </c>
      <c r="C158" s="6" t="s">
        <v>19</v>
      </c>
      <c r="D158" s="6" t="s">
        <v>107</v>
      </c>
      <c r="E158" s="7" t="s">
        <v>106</v>
      </c>
      <c r="F158" t="s">
        <v>103</v>
      </c>
      <c r="G158" t="s">
        <v>104</v>
      </c>
      <c r="H158" t="str">
        <f>+'Source Table'!$B$18</f>
        <v>Less: Imports of Goods and Services</v>
      </c>
      <c r="I158" t="str">
        <f>+'Source Table'!$D$18</f>
        <v>ناقص: واردات السلع والخدمات</v>
      </c>
      <c r="J158" s="26">
        <v>13046.522085000001</v>
      </c>
      <c r="K158">
        <f t="shared" si="2"/>
        <v>2020</v>
      </c>
    </row>
    <row r="159" spans="1:11" ht="15">
      <c r="A159" t="s">
        <v>105</v>
      </c>
      <c r="B159" t="s">
        <v>108</v>
      </c>
      <c r="C159" s="6" t="s">
        <v>19</v>
      </c>
      <c r="D159" s="6" t="s">
        <v>107</v>
      </c>
      <c r="E159" s="7" t="s">
        <v>106</v>
      </c>
      <c r="F159" t="s">
        <v>103</v>
      </c>
      <c r="G159" t="s">
        <v>104</v>
      </c>
      <c r="H159" t="str">
        <f>+'Source Table'!$B$19</f>
        <v>Gross Domestic Product at Market Prices  Expenditure Approach</v>
      </c>
      <c r="I159" t="str">
        <f>+'Source Table'!$D$19</f>
        <v>الناتج المحلي الاجمالي بأسعار السوق طريقة الإنفاق</v>
      </c>
      <c r="J159" s="26">
        <v>31027.27176</v>
      </c>
      <c r="K159">
        <f t="shared" si="2"/>
        <v>2020</v>
      </c>
    </row>
    <row r="160" spans="1:11" ht="15">
      <c r="A160" t="s">
        <v>105</v>
      </c>
      <c r="B160" t="s">
        <v>108</v>
      </c>
      <c r="C160" s="6" t="s">
        <v>19</v>
      </c>
      <c r="D160" s="6" t="s">
        <v>107</v>
      </c>
      <c r="E160" s="7" t="s">
        <v>106</v>
      </c>
      <c r="F160" t="str">
        <f>+'Source Table'!$B$8</f>
        <v>Compensation of  Employees</v>
      </c>
      <c r="G160" t="str">
        <f>+'Source Table'!$D$8</f>
        <v>تعويضات العاملين</v>
      </c>
      <c r="H160" t="s">
        <v>103</v>
      </c>
      <c r="I160" t="s">
        <v>104</v>
      </c>
      <c r="J160" s="26">
        <v>13282.313813000001</v>
      </c>
      <c r="K160">
        <f t="shared" si="2"/>
        <v>2021</v>
      </c>
    </row>
    <row r="161" spans="1:11" ht="15">
      <c r="A161" t="s">
        <v>105</v>
      </c>
      <c r="B161" t="s">
        <v>108</v>
      </c>
      <c r="C161" s="6" t="s">
        <v>19</v>
      </c>
      <c r="D161" s="6" t="s">
        <v>107</v>
      </c>
      <c r="E161" s="7" t="s">
        <v>106</v>
      </c>
      <c r="F161" t="str">
        <f>+'Source Table'!$B$9</f>
        <v>Operating Surplus</v>
      </c>
      <c r="G161" t="str">
        <f>+'Source Table'!$D$9</f>
        <v>اجمالي فائض التشغيل والدخل المختلط</v>
      </c>
      <c r="H161" t="s">
        <v>103</v>
      </c>
      <c r="I161" t="s">
        <v>104</v>
      </c>
      <c r="J161" s="26">
        <v>14692.976433</v>
      </c>
      <c r="K161">
        <f t="shared" si="2"/>
        <v>2021</v>
      </c>
    </row>
    <row r="162" spans="1:11" ht="15">
      <c r="A162" t="s">
        <v>105</v>
      </c>
      <c r="B162" t="s">
        <v>108</v>
      </c>
      <c r="C162" s="6" t="s">
        <v>19</v>
      </c>
      <c r="D162" s="6" t="s">
        <v>107</v>
      </c>
      <c r="E162" s="7" t="s">
        <v>106</v>
      </c>
      <c r="F162" t="str">
        <f>+'Source Table'!$B$10</f>
        <v>Taxes on Production and Products</v>
      </c>
      <c r="G162" t="str">
        <f>+'Source Table'!$D$10</f>
        <v>الضرائب على الإنتاج والمنتجات</v>
      </c>
      <c r="H162" t="s">
        <v>103</v>
      </c>
      <c r="I162" t="s">
        <v>104</v>
      </c>
      <c r="J162" s="26">
        <v>4949.9405420000003</v>
      </c>
      <c r="K162">
        <f t="shared" si="2"/>
        <v>2021</v>
      </c>
    </row>
    <row r="163" spans="1:11" ht="15">
      <c r="A163" t="s">
        <v>105</v>
      </c>
      <c r="B163" t="s">
        <v>108</v>
      </c>
      <c r="C163" s="6" t="s">
        <v>19</v>
      </c>
      <c r="D163" s="6" t="s">
        <v>107</v>
      </c>
      <c r="E163" s="7" t="s">
        <v>106</v>
      </c>
      <c r="F163" t="str">
        <f>+'Source Table'!$B$11</f>
        <v>Less: Subsidies</v>
      </c>
      <c r="G163" t="str">
        <f>+'Source Table'!$D$11</f>
        <v>ناقص : الإعانات</v>
      </c>
      <c r="H163" t="s">
        <v>103</v>
      </c>
      <c r="I163" t="s">
        <v>104</v>
      </c>
      <c r="J163" s="26">
        <v>55</v>
      </c>
      <c r="K163">
        <f t="shared" si="2"/>
        <v>2021</v>
      </c>
    </row>
    <row r="164" spans="1:11" ht="15">
      <c r="A164" t="s">
        <v>105</v>
      </c>
      <c r="B164" t="s">
        <v>108</v>
      </c>
      <c r="C164" s="6" t="s">
        <v>19</v>
      </c>
      <c r="D164" s="6" t="s">
        <v>107</v>
      </c>
      <c r="E164" s="7" t="s">
        <v>106</v>
      </c>
      <c r="F164" t="str">
        <f>+'Source Table'!$B$12</f>
        <v>Gross Domestic Product at Market prices Income Approach</v>
      </c>
      <c r="G164" t="str">
        <f>+'Source Table'!$D$12</f>
        <v xml:space="preserve"> الناتج المحلي الإجمالي باسعار السوق طريقة الدخل</v>
      </c>
      <c r="H164" t="s">
        <v>103</v>
      </c>
      <c r="I164" t="s">
        <v>104</v>
      </c>
      <c r="J164" s="26">
        <v>32870.230788000001</v>
      </c>
      <c r="K164">
        <f t="shared" si="2"/>
        <v>2021</v>
      </c>
    </row>
    <row r="165" spans="1:11" ht="15">
      <c r="A165" t="s">
        <v>105</v>
      </c>
      <c r="B165" t="s">
        <v>108</v>
      </c>
      <c r="C165" s="6" t="s">
        <v>19</v>
      </c>
      <c r="D165" s="6" t="s">
        <v>107</v>
      </c>
      <c r="E165" s="7" t="s">
        <v>106</v>
      </c>
      <c r="F165" t="s">
        <v>103</v>
      </c>
      <c r="G165" t="s">
        <v>104</v>
      </c>
      <c r="H165" t="str">
        <f>+'Source Table'!$B$13</f>
        <v>Gov. Final Consumption Expenditures</v>
      </c>
      <c r="I165" t="str">
        <f>+'Source Table'!$D$13</f>
        <v>الإنفاق الاستهلاكي النهائي الحكومي</v>
      </c>
      <c r="J165" s="26">
        <v>5207.1408540000002</v>
      </c>
      <c r="K165">
        <f t="shared" si="2"/>
        <v>2021</v>
      </c>
    </row>
    <row r="166" spans="1:11" ht="15">
      <c r="A166" t="s">
        <v>105</v>
      </c>
      <c r="B166" t="s">
        <v>108</v>
      </c>
      <c r="C166" s="6" t="s">
        <v>19</v>
      </c>
      <c r="D166" s="6" t="s">
        <v>107</v>
      </c>
      <c r="E166" s="7" t="s">
        <v>106</v>
      </c>
      <c r="F166" t="s">
        <v>103</v>
      </c>
      <c r="G166" t="s">
        <v>104</v>
      </c>
      <c r="H166" t="str">
        <f>+'Source Table'!$B$14</f>
        <v>Private Final Consumption Expenditures</v>
      </c>
      <c r="I166" t="str">
        <f>+'Source Table'!$D$14</f>
        <v>الإنفاق الاستهلاكي النهائي الخاص</v>
      </c>
      <c r="J166" s="26">
        <v>25920.374334</v>
      </c>
      <c r="K166">
        <f t="shared" si="2"/>
        <v>2021</v>
      </c>
    </row>
    <row r="167" spans="1:11" ht="15">
      <c r="A167" t="s">
        <v>105</v>
      </c>
      <c r="B167" t="s">
        <v>108</v>
      </c>
      <c r="C167" s="6" t="s">
        <v>19</v>
      </c>
      <c r="D167" s="6" t="s">
        <v>107</v>
      </c>
      <c r="E167" s="7" t="s">
        <v>106</v>
      </c>
      <c r="F167" t="s">
        <v>103</v>
      </c>
      <c r="G167" t="s">
        <v>104</v>
      </c>
      <c r="H167" t="str">
        <f>+'Source Table'!$B$15</f>
        <v xml:space="preserve"> Fixed Capital Formation</v>
      </c>
      <c r="I167" t="str">
        <f>+'Source Table'!$D$15</f>
        <v>التكوين الرأسمالي الثابت</v>
      </c>
      <c r="J167" s="26">
        <v>990.61867299999994</v>
      </c>
      <c r="K167">
        <f t="shared" si="2"/>
        <v>2021</v>
      </c>
    </row>
    <row r="168" spans="1:11" ht="15">
      <c r="A168" t="s">
        <v>105</v>
      </c>
      <c r="B168" t="s">
        <v>108</v>
      </c>
      <c r="C168" s="6" t="s">
        <v>19</v>
      </c>
      <c r="D168" s="6" t="s">
        <v>107</v>
      </c>
      <c r="E168" s="7" t="s">
        <v>106</v>
      </c>
      <c r="F168" t="s">
        <v>103</v>
      </c>
      <c r="G168" t="s">
        <v>104</v>
      </c>
      <c r="H168" t="str">
        <f>+'Source Table'!$B$16</f>
        <v>Changes in Stocks</v>
      </c>
      <c r="I168" t="str">
        <f>+'Source Table'!$D$16</f>
        <v xml:space="preserve"> التغير في المخزون</v>
      </c>
      <c r="J168" s="26">
        <v>7284.6421319999999</v>
      </c>
      <c r="K168">
        <f t="shared" si="2"/>
        <v>2021</v>
      </c>
    </row>
    <row r="169" spans="1:11" ht="15">
      <c r="A169" t="s">
        <v>105</v>
      </c>
      <c r="B169" t="s">
        <v>108</v>
      </c>
      <c r="C169" s="6" t="s">
        <v>19</v>
      </c>
      <c r="D169" s="6" t="s">
        <v>107</v>
      </c>
      <c r="E169" s="7" t="s">
        <v>106</v>
      </c>
      <c r="F169" t="s">
        <v>103</v>
      </c>
      <c r="G169" t="s">
        <v>104</v>
      </c>
      <c r="H169" t="str">
        <f>+'Source Table'!$B$17</f>
        <v>Exports of  Goods and Services</v>
      </c>
      <c r="I169" t="str">
        <f>+'Source Table'!$D$17</f>
        <v>صادرات السلع والخدمات</v>
      </c>
      <c r="J169" s="26">
        <v>9962.1833839999999</v>
      </c>
      <c r="K169">
        <f t="shared" si="2"/>
        <v>2021</v>
      </c>
    </row>
    <row r="170" spans="1:11" ht="15">
      <c r="A170" t="s">
        <v>105</v>
      </c>
      <c r="B170" t="s">
        <v>108</v>
      </c>
      <c r="C170" s="6" t="s">
        <v>19</v>
      </c>
      <c r="D170" s="6" t="s">
        <v>107</v>
      </c>
      <c r="E170" s="7" t="s">
        <v>106</v>
      </c>
      <c r="F170" t="s">
        <v>103</v>
      </c>
      <c r="G170" t="s">
        <v>104</v>
      </c>
      <c r="H170" t="str">
        <f>+'Source Table'!$B$18</f>
        <v>Less: Imports of Goods and Services</v>
      </c>
      <c r="I170" t="str">
        <f>+'Source Table'!$D$18</f>
        <v>ناقص: واردات السلع والخدمات</v>
      </c>
      <c r="J170" s="26">
        <v>16494.728588999998</v>
      </c>
      <c r="K170">
        <f t="shared" si="2"/>
        <v>2021</v>
      </c>
    </row>
    <row r="171" spans="1:11" ht="15">
      <c r="A171" t="s">
        <v>105</v>
      </c>
      <c r="B171" t="s">
        <v>108</v>
      </c>
      <c r="C171" s="6" t="s">
        <v>19</v>
      </c>
      <c r="D171" s="6" t="s">
        <v>107</v>
      </c>
      <c r="E171" s="7" t="s">
        <v>106</v>
      </c>
      <c r="F171" t="s">
        <v>103</v>
      </c>
      <c r="G171" t="s">
        <v>104</v>
      </c>
      <c r="H171" t="str">
        <f>+'Source Table'!$B$19</f>
        <v>Gross Domestic Product at Market Prices  Expenditure Approach</v>
      </c>
      <c r="I171" t="str">
        <f>+'Source Table'!$D$19</f>
        <v>الناتج المحلي الاجمالي بأسعار السوق طريقة الإنفاق</v>
      </c>
      <c r="J171" s="26">
        <v>32870.230788000001</v>
      </c>
      <c r="K171">
        <f t="shared" si="2"/>
        <v>2021</v>
      </c>
    </row>
    <row r="172" spans="1:11" ht="15">
      <c r="A172" t="s">
        <v>105</v>
      </c>
      <c r="B172" t="s">
        <v>108</v>
      </c>
      <c r="C172" s="6" t="s">
        <v>19</v>
      </c>
      <c r="D172" s="6" t="s">
        <v>107</v>
      </c>
      <c r="E172" s="7" t="s">
        <v>106</v>
      </c>
      <c r="F172" t="str">
        <f>+'Source Table'!$B$8</f>
        <v>Compensation of  Employees</v>
      </c>
      <c r="G172" t="str">
        <f>+'Source Table'!$D$8</f>
        <v>تعويضات العاملين</v>
      </c>
      <c r="H172" t="s">
        <v>103</v>
      </c>
      <c r="I172" t="s">
        <v>104</v>
      </c>
      <c r="J172" s="26">
        <v>14026</v>
      </c>
      <c r="K172">
        <f t="shared" si="2"/>
        <v>2022</v>
      </c>
    </row>
    <row r="173" spans="1:11" ht="15">
      <c r="A173" t="s">
        <v>105</v>
      </c>
      <c r="B173" t="s">
        <v>108</v>
      </c>
      <c r="C173" s="6" t="s">
        <v>19</v>
      </c>
      <c r="D173" s="6" t="s">
        <v>107</v>
      </c>
      <c r="E173" s="7" t="s">
        <v>106</v>
      </c>
      <c r="F173" t="str">
        <f>+'Source Table'!$B$9</f>
        <v>Operating Surplus</v>
      </c>
      <c r="G173" t="str">
        <f>+'Source Table'!$D$9</f>
        <v>اجمالي فائض التشغيل والدخل المختلط</v>
      </c>
      <c r="H173" t="s">
        <v>103</v>
      </c>
      <c r="I173" t="s">
        <v>104</v>
      </c>
      <c r="J173" s="26">
        <v>15555.730149999999</v>
      </c>
      <c r="K173">
        <f t="shared" si="2"/>
        <v>2022</v>
      </c>
    </row>
    <row r="174" spans="1:11" ht="15">
      <c r="A174" t="s">
        <v>105</v>
      </c>
      <c r="B174" t="s">
        <v>108</v>
      </c>
      <c r="C174" s="6" t="s">
        <v>19</v>
      </c>
      <c r="D174" s="6" t="s">
        <v>107</v>
      </c>
      <c r="E174" s="7" t="s">
        <v>106</v>
      </c>
      <c r="F174" t="str">
        <f>+'Source Table'!$B$10</f>
        <v>Taxes on Production and Products</v>
      </c>
      <c r="G174" t="str">
        <f>+'Source Table'!$D$10</f>
        <v>الضرائب على الإنتاج والمنتجات</v>
      </c>
      <c r="H174" t="s">
        <v>103</v>
      </c>
      <c r="I174" t="s">
        <v>104</v>
      </c>
      <c r="J174" s="26">
        <v>5101.3942909999996</v>
      </c>
      <c r="K174">
        <f t="shared" si="2"/>
        <v>2022</v>
      </c>
    </row>
    <row r="175" spans="1:11" ht="15">
      <c r="A175" t="s">
        <v>105</v>
      </c>
      <c r="B175" t="s">
        <v>108</v>
      </c>
      <c r="C175" s="6" t="s">
        <v>19</v>
      </c>
      <c r="D175" s="6" t="s">
        <v>107</v>
      </c>
      <c r="E175" s="7" t="s">
        <v>106</v>
      </c>
      <c r="F175" t="str">
        <f>+'Source Table'!$B$11</f>
        <v>Less: Subsidies</v>
      </c>
      <c r="G175" t="str">
        <f>+'Source Table'!$D$11</f>
        <v>ناقص : الإعانات</v>
      </c>
      <c r="H175" t="s">
        <v>103</v>
      </c>
      <c r="I175" t="s">
        <v>104</v>
      </c>
      <c r="J175" s="26">
        <v>60</v>
      </c>
      <c r="K175">
        <f t="shared" si="2"/>
        <v>2022</v>
      </c>
    </row>
    <row r="176" spans="1:11" ht="15">
      <c r="A176" t="s">
        <v>105</v>
      </c>
      <c r="B176" t="s">
        <v>108</v>
      </c>
      <c r="C176" s="6" t="s">
        <v>19</v>
      </c>
      <c r="D176" s="6" t="s">
        <v>107</v>
      </c>
      <c r="E176" s="7" t="s">
        <v>106</v>
      </c>
      <c r="F176" t="str">
        <f>+'Source Table'!$B$12</f>
        <v>Gross Domestic Product at Market prices Income Approach</v>
      </c>
      <c r="G176" t="str">
        <f>+'Source Table'!$D$12</f>
        <v xml:space="preserve"> الناتج المحلي الإجمالي باسعار السوق طريقة الدخل</v>
      </c>
      <c r="H176" t="s">
        <v>103</v>
      </c>
      <c r="I176" t="s">
        <v>104</v>
      </c>
      <c r="J176" s="26">
        <v>34623.124441</v>
      </c>
      <c r="K176">
        <f t="shared" si="2"/>
        <v>2022</v>
      </c>
    </row>
    <row r="177" spans="1:11" ht="15">
      <c r="A177" t="s">
        <v>105</v>
      </c>
      <c r="B177" t="s">
        <v>108</v>
      </c>
      <c r="C177" s="6" t="s">
        <v>19</v>
      </c>
      <c r="D177" s="6" t="s">
        <v>107</v>
      </c>
      <c r="E177" s="7" t="s">
        <v>106</v>
      </c>
      <c r="F177" t="s">
        <v>103</v>
      </c>
      <c r="G177" t="s">
        <v>104</v>
      </c>
      <c r="H177" t="str">
        <f>+'Source Table'!$B$13</f>
        <v>Gov. Final Consumption Expenditures</v>
      </c>
      <c r="I177" t="str">
        <f>+'Source Table'!$D$13</f>
        <v>الإنفاق الاستهلاكي النهائي الحكومي</v>
      </c>
      <c r="J177" s="26">
        <v>5478.9381460000004</v>
      </c>
      <c r="K177">
        <f t="shared" si="2"/>
        <v>2022</v>
      </c>
    </row>
    <row r="178" spans="1:11" ht="15">
      <c r="A178" t="s">
        <v>105</v>
      </c>
      <c r="B178" t="s">
        <v>108</v>
      </c>
      <c r="C178" s="6" t="s">
        <v>19</v>
      </c>
      <c r="D178" s="6" t="s">
        <v>107</v>
      </c>
      <c r="E178" s="7" t="s">
        <v>106</v>
      </c>
      <c r="F178" t="s">
        <v>103</v>
      </c>
      <c r="G178" t="s">
        <v>104</v>
      </c>
      <c r="H178" t="str">
        <f>+'Source Table'!$B$14</f>
        <v>Private Final Consumption Expenditures</v>
      </c>
      <c r="I178" t="str">
        <f>+'Source Table'!$D$14</f>
        <v>الإنفاق الاستهلاكي النهائي الخاص</v>
      </c>
      <c r="J178" s="26">
        <v>26670.65394</v>
      </c>
      <c r="K178">
        <f t="shared" si="2"/>
        <v>2022</v>
      </c>
    </row>
    <row r="179" spans="1:11" ht="15">
      <c r="A179" t="s">
        <v>105</v>
      </c>
      <c r="B179" t="s">
        <v>108</v>
      </c>
      <c r="C179" s="6" t="s">
        <v>19</v>
      </c>
      <c r="D179" s="6" t="s">
        <v>107</v>
      </c>
      <c r="E179" s="7" t="s">
        <v>106</v>
      </c>
      <c r="F179" t="s">
        <v>103</v>
      </c>
      <c r="G179" t="s">
        <v>104</v>
      </c>
      <c r="H179" t="str">
        <f>+'Source Table'!$B$15</f>
        <v xml:space="preserve"> Fixed Capital Formation</v>
      </c>
      <c r="I179" t="str">
        <f>+'Source Table'!$D$15</f>
        <v>التكوين الرأسمالي الثابت</v>
      </c>
      <c r="J179" s="26">
        <v>1024</v>
      </c>
      <c r="K179">
        <f t="shared" si="2"/>
        <v>2022</v>
      </c>
    </row>
    <row r="180" spans="1:11" ht="15">
      <c r="A180" t="s">
        <v>105</v>
      </c>
      <c r="B180" t="s">
        <v>108</v>
      </c>
      <c r="C180" s="6" t="s">
        <v>19</v>
      </c>
      <c r="D180" s="6" t="s">
        <v>107</v>
      </c>
      <c r="E180" s="7" t="s">
        <v>106</v>
      </c>
      <c r="F180" t="s">
        <v>103</v>
      </c>
      <c r="G180" t="s">
        <v>104</v>
      </c>
      <c r="H180" t="str">
        <f>+'Source Table'!$B$16</f>
        <v>Changes in Stocks</v>
      </c>
      <c r="I180" t="str">
        <f>+'Source Table'!$D$16</f>
        <v xml:space="preserve"> التغير في المخزون</v>
      </c>
      <c r="J180" s="26">
        <v>7702.6243160000004</v>
      </c>
      <c r="K180">
        <f t="shared" si="2"/>
        <v>2022</v>
      </c>
    </row>
    <row r="181" spans="1:11" ht="15">
      <c r="A181" t="s">
        <v>105</v>
      </c>
      <c r="B181" t="s">
        <v>108</v>
      </c>
      <c r="C181" s="6" t="s">
        <v>19</v>
      </c>
      <c r="D181" s="6" t="s">
        <v>107</v>
      </c>
      <c r="E181" s="7" t="s">
        <v>106</v>
      </c>
      <c r="F181" t="s">
        <v>103</v>
      </c>
      <c r="G181" t="s">
        <v>104</v>
      </c>
      <c r="H181" t="str">
        <f>+'Source Table'!$B$17</f>
        <v>Exports of  Goods and Services</v>
      </c>
      <c r="I181" t="str">
        <f>+'Source Table'!$D$17</f>
        <v>صادرات السلع والخدمات</v>
      </c>
      <c r="J181" s="26">
        <v>14857.788549999999</v>
      </c>
      <c r="K181">
        <f t="shared" si="2"/>
        <v>2022</v>
      </c>
    </row>
    <row r="182" spans="1:11" ht="15">
      <c r="A182" t="s">
        <v>105</v>
      </c>
      <c r="B182" t="s">
        <v>108</v>
      </c>
      <c r="C182" s="6" t="s">
        <v>19</v>
      </c>
      <c r="D182" s="6" t="s">
        <v>107</v>
      </c>
      <c r="E182" s="7" t="s">
        <v>106</v>
      </c>
      <c r="F182" t="s">
        <v>103</v>
      </c>
      <c r="G182" t="s">
        <v>104</v>
      </c>
      <c r="H182" t="str">
        <f>+'Source Table'!$B$18</f>
        <v>Less: Imports of Goods and Services</v>
      </c>
      <c r="I182" t="str">
        <f>+'Source Table'!$D$18</f>
        <v>ناقص: واردات السلع والخدمات</v>
      </c>
      <c r="J182" s="26">
        <v>21110.880510999999</v>
      </c>
      <c r="K182">
        <f t="shared" si="2"/>
        <v>2022</v>
      </c>
    </row>
    <row r="183" spans="1:11" ht="15">
      <c r="A183" t="s">
        <v>105</v>
      </c>
      <c r="B183" t="s">
        <v>108</v>
      </c>
      <c r="C183" s="6" t="s">
        <v>19</v>
      </c>
      <c r="D183" s="6" t="s">
        <v>107</v>
      </c>
      <c r="E183" s="7" t="s">
        <v>106</v>
      </c>
      <c r="F183" t="s">
        <v>103</v>
      </c>
      <c r="G183" t="s">
        <v>104</v>
      </c>
      <c r="H183" t="str">
        <f>+'Source Table'!$B$19</f>
        <v>Gross Domestic Product at Market Prices  Expenditure Approach</v>
      </c>
      <c r="I183" t="str">
        <f>+'Source Table'!$D$19</f>
        <v>الناتج المحلي الاجمالي بأسعار السوق طريقة الإنفاق</v>
      </c>
      <c r="J183" s="26">
        <v>34623.124441</v>
      </c>
      <c r="K183">
        <f t="shared" si="2"/>
        <v>2022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>
      <selection activeCell="B18" sqref="B18"/>
    </sheetView>
  </sheetViews>
  <sheetFormatPr defaultRowHeight="14.25"/>
  <cols>
    <col min="1" max="14" width="24.375" customWidth="1"/>
    <col min="15" max="16" width="15" bestFit="1" customWidth="1"/>
    <col min="17" max="17" width="8.75" bestFit="1" customWidth="1"/>
    <col min="18" max="18" width="11.375" bestFit="1" customWidth="1"/>
    <col min="19" max="19" width="12" bestFit="1" customWidth="1"/>
    <col min="20" max="20" width="9.875" bestFit="1" customWidth="1"/>
    <col min="21" max="21" width="7.375" bestFit="1" customWidth="1"/>
  </cols>
  <sheetData>
    <row r="1" spans="1:12" ht="15">
      <c r="A1" s="9" t="s">
        <v>30</v>
      </c>
      <c r="B1" s="4">
        <f>DATE(B2,B3,1)</f>
        <v>44927</v>
      </c>
    </row>
    <row r="2" spans="1:12" ht="15">
      <c r="A2" s="9" t="s">
        <v>3</v>
      </c>
      <c r="B2">
        <v>2023</v>
      </c>
      <c r="D2" s="4"/>
    </row>
    <row r="3" spans="1:12" ht="15">
      <c r="A3" s="9" t="s">
        <v>5</v>
      </c>
      <c r="B3">
        <v>1</v>
      </c>
    </row>
    <row r="4" spans="1:12" s="1" customFormat="1" ht="18" customHeight="1">
      <c r="A4" s="5" t="s">
        <v>7</v>
      </c>
      <c r="B4" s="5" t="s">
        <v>8</v>
      </c>
      <c r="C4" s="5" t="s">
        <v>9</v>
      </c>
      <c r="D4" s="5" t="s">
        <v>10</v>
      </c>
      <c r="E4" s="5" t="s">
        <v>11</v>
      </c>
      <c r="F4" s="8" t="s">
        <v>109</v>
      </c>
      <c r="G4" s="8" t="s">
        <v>112</v>
      </c>
      <c r="H4" s="8" t="s">
        <v>102</v>
      </c>
      <c r="I4" s="8" t="s">
        <v>113</v>
      </c>
      <c r="J4" s="5" t="s">
        <v>12</v>
      </c>
      <c r="K4" s="5" t="s">
        <v>13</v>
      </c>
      <c r="L4" s="5" t="s">
        <v>14</v>
      </c>
    </row>
    <row r="5" spans="1:12" s="1" customFormat="1" ht="18" customHeight="1">
      <c r="A5" s="5" t="s">
        <v>20</v>
      </c>
      <c r="B5" s="5" t="s">
        <v>21</v>
      </c>
      <c r="C5" s="5" t="s">
        <v>15</v>
      </c>
      <c r="D5" s="5" t="s">
        <v>22</v>
      </c>
      <c r="E5" s="5" t="s">
        <v>23</v>
      </c>
      <c r="F5" s="8" t="s">
        <v>110</v>
      </c>
      <c r="G5" s="8" t="s">
        <v>114</v>
      </c>
      <c r="H5" s="8" t="s">
        <v>111</v>
      </c>
      <c r="I5" s="8" t="s">
        <v>115</v>
      </c>
      <c r="J5" s="5" t="s">
        <v>16</v>
      </c>
      <c r="K5" s="5" t="s">
        <v>17</v>
      </c>
      <c r="L5" s="5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8"/>
  <sheetViews>
    <sheetView workbookViewId="0">
      <selection activeCell="B18" sqref="B18"/>
    </sheetView>
  </sheetViews>
  <sheetFormatPr defaultColWidth="8.875" defaultRowHeight="14.25"/>
  <cols>
    <col min="1" max="1" width="90" style="15" customWidth="1"/>
    <col min="2" max="2" width="2.625" style="14" customWidth="1"/>
    <col min="3" max="3" width="87.25" style="17" customWidth="1"/>
    <col min="4" max="16384" width="8.875" style="13"/>
  </cols>
  <sheetData>
    <row r="2" spans="1:3" ht="17.25">
      <c r="A2" s="10" t="s">
        <v>31</v>
      </c>
      <c r="C2" s="16" t="s">
        <v>66</v>
      </c>
    </row>
    <row r="3" spans="1:3">
      <c r="A3" s="11"/>
    </row>
    <row r="4" spans="1:3" ht="28.5">
      <c r="A4" s="11" t="s">
        <v>49</v>
      </c>
      <c r="C4" s="17" t="s">
        <v>52</v>
      </c>
    </row>
    <row r="6" spans="1:3" ht="17.25">
      <c r="A6" s="10" t="s">
        <v>32</v>
      </c>
      <c r="C6" s="16" t="s">
        <v>53</v>
      </c>
    </row>
    <row r="7" spans="1:3">
      <c r="A7" s="11"/>
    </row>
    <row r="8" spans="1:3" ht="30">
      <c r="A8" s="12" t="s">
        <v>48</v>
      </c>
      <c r="C8" s="17" t="s">
        <v>73</v>
      </c>
    </row>
    <row r="10" spans="1:3" ht="17.25">
      <c r="A10" s="10" t="s">
        <v>33</v>
      </c>
      <c r="C10" s="16" t="s">
        <v>54</v>
      </c>
    </row>
    <row r="11" spans="1:3">
      <c r="A11" s="11"/>
    </row>
    <row r="12" spans="1:3">
      <c r="A12" s="11" t="s">
        <v>50</v>
      </c>
      <c r="C12" s="17" t="s">
        <v>55</v>
      </c>
    </row>
    <row r="13" spans="1:3" ht="29.25">
      <c r="A13" s="12" t="s">
        <v>34</v>
      </c>
      <c r="C13" s="18" t="s">
        <v>56</v>
      </c>
    </row>
    <row r="14" spans="1:3" ht="29.25">
      <c r="A14" s="12" t="s">
        <v>35</v>
      </c>
      <c r="C14" s="18" t="s">
        <v>74</v>
      </c>
    </row>
    <row r="15" spans="1:3" ht="15">
      <c r="A15" s="12" t="s">
        <v>36</v>
      </c>
      <c r="C15" s="18" t="s">
        <v>57</v>
      </c>
    </row>
    <row r="16" spans="1:3" ht="15">
      <c r="A16" s="12" t="s">
        <v>37</v>
      </c>
      <c r="C16" s="18" t="s">
        <v>75</v>
      </c>
    </row>
    <row r="17" spans="1:3" ht="15">
      <c r="A17" s="12" t="s">
        <v>38</v>
      </c>
      <c r="C17" s="18" t="s">
        <v>58</v>
      </c>
    </row>
    <row r="18" spans="1:3">
      <c r="A18" s="11" t="s">
        <v>39</v>
      </c>
      <c r="C18" s="17" t="s">
        <v>59</v>
      </c>
    </row>
    <row r="19" spans="1:3">
      <c r="A19" s="11" t="s">
        <v>40</v>
      </c>
      <c r="C19" s="17" t="s">
        <v>76</v>
      </c>
    </row>
    <row r="20" spans="1:3" ht="29.25">
      <c r="A20" s="12" t="s">
        <v>77</v>
      </c>
      <c r="C20" s="18" t="s">
        <v>78</v>
      </c>
    </row>
    <row r="22" spans="1:3" ht="17.25">
      <c r="A22" s="10" t="s">
        <v>41</v>
      </c>
      <c r="C22" s="16" t="s">
        <v>60</v>
      </c>
    </row>
    <row r="23" spans="1:3">
      <c r="A23" s="11"/>
    </row>
    <row r="24" spans="1:3" ht="29.25">
      <c r="A24" s="11" t="s">
        <v>51</v>
      </c>
      <c r="C24" s="17" t="s">
        <v>67</v>
      </c>
    </row>
    <row r="25" spans="1:3" ht="29.25">
      <c r="A25" s="11" t="s">
        <v>42</v>
      </c>
      <c r="C25" s="17" t="s">
        <v>68</v>
      </c>
    </row>
    <row r="27" spans="1:3" ht="17.25">
      <c r="A27" s="10" t="s">
        <v>43</v>
      </c>
      <c r="C27" s="16" t="s">
        <v>61</v>
      </c>
    </row>
    <row r="28" spans="1:3">
      <c r="A28" s="11"/>
    </row>
    <row r="29" spans="1:3" ht="15">
      <c r="A29" s="11" t="s">
        <v>44</v>
      </c>
      <c r="C29" s="17" t="s">
        <v>62</v>
      </c>
    </row>
    <row r="30" spans="1:3">
      <c r="A30" s="11" t="s">
        <v>45</v>
      </c>
      <c r="C30" s="17" t="s">
        <v>63</v>
      </c>
    </row>
    <row r="32" spans="1:3" ht="17.25">
      <c r="A32" s="10" t="s">
        <v>46</v>
      </c>
      <c r="C32" s="16" t="s">
        <v>64</v>
      </c>
    </row>
    <row r="33" spans="1:3">
      <c r="A33" s="11"/>
    </row>
    <row r="34" spans="1:3" ht="15">
      <c r="A34" s="12" t="s">
        <v>70</v>
      </c>
      <c r="C34" s="17" t="s">
        <v>69</v>
      </c>
    </row>
    <row r="36" spans="1:3" ht="17.25">
      <c r="A36" s="10" t="s">
        <v>47</v>
      </c>
      <c r="C36" s="16" t="s">
        <v>65</v>
      </c>
    </row>
    <row r="37" spans="1:3">
      <c r="A37" s="11"/>
    </row>
    <row r="38" spans="1:3">
      <c r="A38" s="11" t="s">
        <v>71</v>
      </c>
      <c r="C38" s="17" t="s">
        <v>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9D8868F97254F9E5095DCA93C6B5E" ma:contentTypeVersion="4" ma:contentTypeDescription="Create a new document." ma:contentTypeScope="" ma:versionID="c382a7e8560abba42d9175972971dca4">
  <xsd:schema xmlns:xsd="http://www.w3.org/2001/XMLSchema" xmlns:xs="http://www.w3.org/2001/XMLSchema" xmlns:p="http://schemas.microsoft.com/office/2006/metadata/properties" xmlns:ns2="5f3aa2a1-f742-4cb3-874a-b3631849deb5" targetNamespace="http://schemas.microsoft.com/office/2006/metadata/properties" ma:root="true" ma:fieldsID="dff2fb13bd7f76f9795f131d17ef348c" ns2:_="">
    <xsd:import namespace="5f3aa2a1-f742-4cb3-874a-b3631849de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aa2a1-f742-4cb3-874a-b3631849de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FB3727-0098-41DB-9DEB-08A099D40A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76B0781-3F54-40BC-A068-7F5A2310ECAB}">
  <ds:schemaRefs>
    <ds:schemaRef ds:uri="http://schemas.microsoft.com/office/2006/metadata/properties"/>
    <ds:schemaRef ds:uri="http://schemas.microsoft.com/office/infopath/2007/PartnerControls"/>
    <ds:schemaRef ds:uri="9e2ee8df-7f46-4126-8e69-ac276bfc5b66"/>
    <ds:schemaRef ds:uri="1eca1254-de44-4dbc-a0e3-13eda993f25c"/>
  </ds:schemaRefs>
</ds:datastoreItem>
</file>

<file path=customXml/itemProps3.xml><?xml version="1.0" encoding="utf-8"?>
<ds:datastoreItem xmlns:ds="http://schemas.openxmlformats.org/officeDocument/2006/customXml" ds:itemID="{3517F994-C603-46B5-AEAB-E4EEDEDA8C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3aa2a1-f742-4cb3-874a-b3631849de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Cover Page</vt:lpstr>
      <vt:lpstr>Source Table</vt:lpstr>
      <vt:lpstr>Relational DB</vt:lpstr>
      <vt:lpstr>Template Data</vt:lpstr>
      <vt:lpstr>Help</vt:lpstr>
      <vt:lpstr>'Source Table'!Print_Area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Omar Mihyar</dc:creator>
  <cp:keywords/>
  <dc:description/>
  <cp:lastModifiedBy>Walaa Gharram</cp:lastModifiedBy>
  <cp:revision/>
  <dcterms:created xsi:type="dcterms:W3CDTF">2024-08-13T06:49:58Z</dcterms:created>
  <dcterms:modified xsi:type="dcterms:W3CDTF">2025-01-19T12:09:26Z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0x010100D459D8868F97254F9E5095DCA93C6B5E</vt:lpwstr>
  </property>
  <property fmtid="{D5CDD505-2E9C-101B-9397-08002B2CF9AE}" pid="3" name="MediaServiceImageTags">
    <vt:lpwstr/>
  </property>
</Properties>
</file>