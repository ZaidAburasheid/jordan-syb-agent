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البيانات التفاعلية\Template\historical\"/>
    </mc:Choice>
  </mc:AlternateContent>
  <workbookProtection workbookAlgorithmName="SHA-512" workbookHashValue="xSr1JTH33eVYcRwrlJyGZQRnEuIU+nAoQRtlifWJ07GxhP8t6wmH+7oVA5mCIahS0KVpzUBNqPl5ksKiJdMdgA==" workbookSaltValue="a57qYM88oOnIJBKwbCCLfA==" workbookSpinCount="100000" lockStructure="1"/>
  <bookViews>
    <workbookView xWindow="0" yWindow="0" windowWidth="28800" windowHeight="12300" firstSheet="1" activeTab="1"/>
  </bookViews>
  <sheets>
    <sheet name="Cover Page" sheetId="1" state="hidden" r:id="rId1"/>
    <sheet name="Source Table" sheetId="2" r:id="rId2"/>
    <sheet name="Relational DB" sheetId="3" r:id="rId3"/>
    <sheet name="Template Data" sheetId="4" state="hidden" r:id="rId4"/>
    <sheet name="Help" sheetId="6" state="hidden" r:id="rId5"/>
  </sheets>
  <definedNames>
    <definedName name="_xlnm.Print_Area" localSheetId="1">'Source Table'!$B$2:$D$14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3" l="1"/>
  <c r="F59" i="3"/>
  <c r="G58" i="3"/>
  <c r="F58" i="3"/>
  <c r="G57" i="3"/>
  <c r="F57" i="3"/>
  <c r="G56" i="3"/>
  <c r="F56" i="3"/>
  <c r="G55" i="3"/>
  <c r="F55" i="3"/>
  <c r="G54" i="3"/>
  <c r="F54" i="3"/>
  <c r="I53" i="3"/>
  <c r="I54" i="3" s="1"/>
  <c r="I55" i="3" s="1"/>
  <c r="I56" i="3" s="1"/>
  <c r="I57" i="3" s="1"/>
  <c r="I58" i="3" s="1"/>
  <c r="I59" i="3" s="1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I46" i="3"/>
  <c r="I47" i="3" s="1"/>
  <c r="I48" i="3" s="1"/>
  <c r="I49" i="3" s="1"/>
  <c r="I50" i="3" s="1"/>
  <c r="I51" i="3" s="1"/>
  <c r="I52" i="3" s="1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I39" i="3"/>
  <c r="I40" i="3" s="1"/>
  <c r="I41" i="3" s="1"/>
  <c r="I42" i="3" s="1"/>
  <c r="I43" i="3" s="1"/>
  <c r="I44" i="3" s="1"/>
  <c r="I45" i="3" s="1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I32" i="3"/>
  <c r="I33" i="3" s="1"/>
  <c r="I34" i="3" s="1"/>
  <c r="I35" i="3" s="1"/>
  <c r="I36" i="3" s="1"/>
  <c r="I37" i="3" s="1"/>
  <c r="I38" i="3" s="1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I25" i="3"/>
  <c r="I26" i="3" s="1"/>
  <c r="I27" i="3" s="1"/>
  <c r="I28" i="3" s="1"/>
  <c r="I29" i="3" s="1"/>
  <c r="I30" i="3" s="1"/>
  <c r="I31" i="3" s="1"/>
  <c r="G25" i="3"/>
  <c r="F25" i="3"/>
  <c r="G24" i="3"/>
  <c r="F24" i="3"/>
  <c r="G23" i="3"/>
  <c r="F23" i="3"/>
  <c r="G22" i="3"/>
  <c r="F22" i="3"/>
  <c r="G21" i="3"/>
  <c r="F21" i="3"/>
  <c r="G20" i="3"/>
  <c r="F20" i="3"/>
  <c r="I19" i="3"/>
  <c r="I20" i="3" s="1"/>
  <c r="I21" i="3" s="1"/>
  <c r="I22" i="3" s="1"/>
  <c r="I23" i="3" s="1"/>
  <c r="I24" i="3" s="1"/>
  <c r="G19" i="3"/>
  <c r="F19" i="3"/>
  <c r="I18" i="3"/>
  <c r="G18" i="3"/>
  <c r="F18" i="3"/>
  <c r="I11" i="3"/>
  <c r="G17" i="3"/>
  <c r="F17" i="3"/>
  <c r="G16" i="3"/>
  <c r="F16" i="3"/>
  <c r="G15" i="3"/>
  <c r="F15" i="3"/>
  <c r="G14" i="3"/>
  <c r="F14" i="3"/>
  <c r="G13" i="3"/>
  <c r="F13" i="3"/>
  <c r="I12" i="3"/>
  <c r="I13" i="3" s="1"/>
  <c r="I14" i="3" s="1"/>
  <c r="I15" i="3" s="1"/>
  <c r="I16" i="3" s="1"/>
  <c r="I17" i="3" s="1"/>
  <c r="G12" i="3"/>
  <c r="F12" i="3"/>
  <c r="G11" i="3"/>
  <c r="F11" i="3"/>
  <c r="G10" i="3"/>
  <c r="G9" i="3"/>
  <c r="G8" i="3"/>
  <c r="G7" i="3"/>
  <c r="G6" i="3"/>
  <c r="G5" i="3"/>
  <c r="G4" i="3"/>
  <c r="F10" i="3"/>
  <c r="F9" i="3"/>
  <c r="F8" i="3"/>
  <c r="F7" i="3"/>
  <c r="F6" i="3"/>
  <c r="F5" i="3"/>
  <c r="F4" i="3"/>
  <c r="I5" i="3"/>
  <c r="I6" i="3" s="1"/>
  <c r="I7" i="3" s="1"/>
  <c r="I8" i="3" s="1"/>
  <c r="I9" i="3" s="1"/>
  <c r="I10" i="3" s="1"/>
  <c r="B2" i="2" l="1"/>
  <c r="B3" i="2"/>
  <c r="B1" i="4" l="1"/>
</calcChain>
</file>

<file path=xl/sharedStrings.xml><?xml version="1.0" encoding="utf-8"?>
<sst xmlns="http://schemas.openxmlformats.org/spreadsheetml/2006/main" count="406" uniqueCount="107">
  <si>
    <t>Code</t>
  </si>
  <si>
    <t>Version</t>
  </si>
  <si>
    <t>V1</t>
  </si>
  <si>
    <t>Year</t>
  </si>
  <si>
    <t>السنة</t>
  </si>
  <si>
    <t>Month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</si>
  <si>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</si>
  <si>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</si>
  <si>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</si>
  <si>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</si>
  <si>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</si>
  <si>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</si>
  <si>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</si>
  <si>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</si>
  <si>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</si>
  <si>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>رمز المؤشر</t>
  </si>
  <si>
    <t>قيمة المؤشر</t>
  </si>
  <si>
    <t>سنة فترة القياس</t>
  </si>
  <si>
    <t>شهر فترة القياس</t>
  </si>
  <si>
    <t>M1</t>
  </si>
  <si>
    <t xml:space="preserve">اسم المؤشر </t>
  </si>
  <si>
    <t xml:space="preserve">Measure Name </t>
  </si>
  <si>
    <t>Unit</t>
  </si>
  <si>
    <t xml:space="preserve">الوحدة </t>
  </si>
  <si>
    <t>Template Name</t>
  </si>
  <si>
    <t>اسم القالب</t>
  </si>
  <si>
    <t>Data Frequency</t>
  </si>
  <si>
    <t>دورية البيانات</t>
  </si>
  <si>
    <t>Data Source</t>
  </si>
  <si>
    <t>الجهة المصدرية</t>
  </si>
  <si>
    <t>Date</t>
  </si>
  <si>
    <t>Step 1: Cover Page</t>
  </si>
  <si>
    <t>Step 2: Source Table</t>
  </si>
  <si>
    <t>Step 3: Relational Sheet</t>
  </si>
  <si>
    <r>
      <t>1. Blue Columns</t>
    </r>
    <r>
      <rPr>
        <sz val="11"/>
        <color theme="1"/>
        <rFont val="Aptos Narrow"/>
        <family val="2"/>
        <scheme val="minor"/>
      </rPr>
      <t>: Do not change the names of the blue columns. Update the data as per the current template.</t>
    </r>
  </si>
  <si>
    <r>
      <t>2. Code Lists</t>
    </r>
    <r>
      <rPr>
        <sz val="11"/>
        <color theme="1"/>
        <rFont val="Aptos Narrow"/>
        <family val="2"/>
        <scheme val="minor"/>
      </rPr>
      <t xml:space="preserve">: Use the naming convention </t>
    </r>
    <r>
      <rPr>
        <sz val="10"/>
        <color theme="1"/>
        <rFont val="Arial Unicode MS"/>
      </rPr>
      <t>CL_XXX_EN_V#</t>
    </r>
    <r>
      <rPr>
        <sz val="11"/>
        <color theme="1"/>
        <rFont val="Aptos Narrow"/>
        <family val="2"/>
        <scheme val="minor"/>
      </rPr>
      <t xml:space="preserve"> for code lists, where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is the name, and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is the version, conforming with the definitions in the data dictionary.</t>
    </r>
  </si>
  <si>
    <r>
      <t>3. Code List Values</t>
    </r>
    <r>
      <rPr>
        <sz val="11"/>
        <color theme="1"/>
        <rFont val="Aptos Narrow"/>
        <family val="2"/>
        <scheme val="minor"/>
      </rPr>
      <t>: Ensure the code list values match the definitions in the data dictionary.</t>
    </r>
  </si>
  <si>
    <r>
      <t>4. Time_Period_M</t>
    </r>
    <r>
      <rPr>
        <sz val="11"/>
        <color theme="1"/>
        <rFont val="Aptos Narrow"/>
        <family val="2"/>
        <scheme val="minor"/>
      </rPr>
      <t>: Leave empty if the data frequency is yearly.</t>
    </r>
  </si>
  <si>
    <r>
      <t>5. Time_Period_M Format</t>
    </r>
    <r>
      <rPr>
        <sz val="11"/>
        <color theme="1"/>
        <rFont val="Aptos Narrow"/>
        <family val="2"/>
        <scheme val="minor"/>
      </rPr>
      <t>: Use one of these formats:</t>
    </r>
  </si>
  <si>
    <r>
      <t xml:space="preserve">Numeric: </t>
    </r>
    <r>
      <rPr>
        <sz val="10"/>
        <color theme="1"/>
        <rFont val="Arial Unicode MS"/>
      </rPr>
      <t>(1, 2, 3, ..., 12)</t>
    </r>
    <r>
      <rPr>
        <sz val="11"/>
        <color theme="1"/>
        <rFont val="Aptos Narrow"/>
        <family val="2"/>
        <scheme val="minor"/>
      </rPr>
      <t xml:space="preserve"> for months.</t>
    </r>
  </si>
  <si>
    <r>
      <t xml:space="preserve">Text: </t>
    </r>
    <r>
      <rPr>
        <sz val="10"/>
        <color theme="1"/>
        <rFont val="Arial Unicode MS"/>
      </rPr>
      <t>(Jan, Feb, Mar, ..., Dec)</t>
    </r>
    <r>
      <rPr>
        <sz val="11"/>
        <color theme="1"/>
        <rFont val="Aptos Narrow"/>
        <family val="2"/>
        <scheme val="minor"/>
      </rPr>
      <t>.</t>
    </r>
  </si>
  <si>
    <t>Step 4: Template Data</t>
  </si>
  <si>
    <r>
      <t xml:space="preserve">The system will update this sheet with data from the previous data upload, which can be used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</si>
  <si>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Step 5: Source Table Formatting</t>
  </si>
  <si>
    <r>
      <t xml:space="preserve">1. Format individual cells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 to protect cells that are not dedicated to data entry.</t>
    </r>
  </si>
  <si>
    <t>2. Protect the sheet to prevent any accidental changes to protected cells.</t>
  </si>
  <si>
    <t>Step 6: Hide Sheets</t>
  </si>
  <si>
    <t>Step 7: Protect Workbook</t>
  </si>
  <si>
    <r>
      <rPr>
        <sz val="11"/>
        <color theme="1"/>
        <rFont val="Aptos Narrow"/>
        <family val="2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family val="2"/>
        <scheme val="minor"/>
      </rPr>
      <t>Template Data Sheet</t>
    </r>
    <r>
      <rPr>
        <sz val="11"/>
        <color theme="1"/>
        <rFont val="Aptos Narrow"/>
        <family val="2"/>
        <scheme val="minor"/>
      </rPr>
      <t>.</t>
    </r>
  </si>
  <si>
    <t>Update the template information, to ensure that any meta-information about the template, such as the title, version, and description, is accurate and up-to-date.</t>
  </si>
  <si>
    <t>Unpivot the data in the source table into a flat format. Follow these guidelines:</t>
  </si>
  <si>
    <r>
      <t xml:space="preserve">Copy rows 2 and 3 from the </t>
    </r>
    <r>
      <rPr>
        <b/>
        <sz val="11"/>
        <color theme="1"/>
        <rFont val="Aptos Narrow"/>
        <family val="2"/>
        <scheme val="minor"/>
      </rPr>
      <t>Relational DB</t>
    </r>
    <r>
      <rPr>
        <sz val="11"/>
        <color theme="1"/>
        <rFont val="Aptos Narrow"/>
        <family val="2"/>
        <scheme val="minor"/>
      </rPr>
      <t xml:space="preserve"> sheet and paste them into rows 4 and 5 of the </t>
    </r>
    <r>
      <rPr>
        <b/>
        <sz val="11"/>
        <color theme="1"/>
        <rFont val="Aptos Narrow"/>
        <family val="2"/>
        <scheme val="minor"/>
      </rPr>
      <t>Template Data</t>
    </r>
    <r>
      <rPr>
        <sz val="11"/>
        <color theme="1"/>
        <rFont val="Aptos Narrow"/>
        <family val="2"/>
        <scheme val="minor"/>
      </rPr>
      <t xml:space="preserve"> sheet.</t>
    </r>
  </si>
  <si>
    <t>قم بتحديث معلومات القالب للتأكد من أن أي معلومات وصفية حول القالب، مثل العنوان والإصدار والوصف، دقيقة ومحدثة.</t>
  </si>
  <si>
    <t>الخطوة 2: Source Table</t>
  </si>
  <si>
    <t>الخطوة 3: Relational Sheet</t>
  </si>
  <si>
    <t>قم بتحويل البيانات في جدول المصدر إلى تنسيق مسطح. اتبع هذه الإرشادات:</t>
  </si>
  <si>
    <r>
      <t>1. الأعمدة الزرقاء</t>
    </r>
    <r>
      <rPr>
        <sz val="11"/>
        <color theme="1"/>
        <rFont val="Aptos Narrow"/>
        <family val="2"/>
        <scheme val="minor"/>
      </rPr>
      <t>: لا تقم بتغيير أسماء الأعمدة الزرقاء. قم بتحديث البيانات وفقًا للقالب الحالي.</t>
    </r>
  </si>
  <si>
    <r>
      <t>3. قيم قائمة الرموز</t>
    </r>
    <r>
      <rPr>
        <sz val="11"/>
        <color theme="1"/>
        <rFont val="Aptos Narrow"/>
        <family val="2"/>
        <scheme val="minor"/>
      </rPr>
      <t>: تأكد من أن قيم قائمة الرموز تتوافق مع التعريفات في قاموس البيانات.</t>
    </r>
  </si>
  <si>
    <r>
      <t>5. تنسيق Time_Period_M</t>
    </r>
    <r>
      <rPr>
        <sz val="11"/>
        <color theme="1"/>
        <rFont val="Aptos Narrow"/>
        <family val="2"/>
        <scheme val="minor"/>
      </rPr>
      <t>: استخدم أحد التنسيقات التالية:</t>
    </r>
  </si>
  <si>
    <t>رقمي: (1، 2، 3، ...، 12) للأشهر.</t>
  </si>
  <si>
    <t>الخطوة 4: Template Data</t>
  </si>
  <si>
    <t>الخطوة 5: Source Table Formatting</t>
  </si>
  <si>
    <t>1. قم بتنسيق الخلايا الفردية في ورقة Source Table لحماية الخلايا التي ليست مخصصة لإدخال البيانات.</t>
  </si>
  <si>
    <t>2. قم بحماية الورقة لمنع أي تغييرات غير مقصودة على الخلايا المحمية.</t>
  </si>
  <si>
    <t>الخطوة 6: Hide Sheets</t>
  </si>
  <si>
    <t>الخطوة 7: Protect Workbook</t>
  </si>
  <si>
    <t>الخطوة 1: Cover Page</t>
  </si>
  <si>
    <t>قم بنسخ الصفوف 2 و 3 من ورقة Relational DB والصقها في الصفوف 4 و 5 من ورقة Template Data.</t>
  </si>
  <si>
    <t>سيقوم النظام بتحديث هذه الورقة بالبيانات من التحميل السابق للبيانات، والتي يمكن استخدامها في ورقة Source Table.</t>
  </si>
  <si>
    <t>قم بإخفاء جميع الأوراق باستثناء ورقة Source Table.</t>
  </si>
  <si>
    <r>
      <rPr>
        <sz val="11"/>
        <color theme="1"/>
        <rFont val="Aptos Narrow"/>
        <family val="2"/>
        <scheme val="minor"/>
      </rPr>
      <t xml:space="preserve">Hide all sheets except for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</si>
  <si>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</si>
  <si>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</si>
  <si>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family val="2"/>
        <scheme val="minor"/>
      </rPr>
      <t xml:space="preserve"> Template Data</t>
    </r>
    <r>
      <rPr>
        <sz val="11"/>
        <color theme="1"/>
        <rFont val="Aptos Narrow"/>
        <family val="2"/>
        <scheme val="minor"/>
      </rPr>
      <t>.</t>
    </r>
  </si>
  <si>
    <r>
      <t>2. قوائم الرموز</t>
    </r>
    <r>
      <rPr>
        <sz val="11"/>
        <color theme="1"/>
        <rFont val="Aptos Narrow"/>
        <family val="2"/>
        <scheme val="minor"/>
      </rPr>
      <t xml:space="preserve">: استخدم قاعدة التسمية </t>
    </r>
    <r>
      <rPr>
        <sz val="10"/>
        <color theme="1"/>
        <rFont val="Arial Unicode MS"/>
      </rPr>
      <t xml:space="preserve">CL_XXX_EN_V# </t>
    </r>
    <r>
      <rPr>
        <sz val="11"/>
        <color theme="1"/>
        <rFont val="Aptos Narrow"/>
        <family val="2"/>
        <scheme val="minor"/>
      </rPr>
      <t xml:space="preserve">لقوائم الرموز، حيث أن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هو الاسم و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هو الإصدار، وفقًا للتعريفات في قاموس البيانات.</t>
    </r>
  </si>
  <si>
    <r>
      <t>4. Time_Period_M</t>
    </r>
    <r>
      <rPr>
        <sz val="11"/>
        <color theme="1"/>
        <rFont val="Aptos Narrow"/>
        <family val="2"/>
        <scheme val="minor"/>
      </rPr>
      <t>: اتركها فارغة إذا كانت دورية البيانات سنوية.</t>
    </r>
  </si>
  <si>
    <t>نصي:(Jan, Feb, Mar, ..., Dec)</t>
  </si>
  <si>
    <r>
      <t>6. Obs_Value</t>
    </r>
    <r>
      <rPr>
        <sz val="11"/>
        <color theme="1"/>
        <rFont val="Aptos Narrow"/>
        <family val="2"/>
        <scheme val="minor"/>
      </rPr>
      <t>: It is recommended to use the formula =IF('Source Table'!XX="","",'Source Table'!XX) to handle empty data values correctly.</t>
    </r>
  </si>
  <si>
    <r>
      <t xml:space="preserve">6. Obs_Value: </t>
    </r>
    <r>
      <rPr>
        <sz val="11"/>
        <color theme="1"/>
        <rFont val="Aptos Narrow"/>
        <family val="2"/>
        <scheme val="minor"/>
      </rPr>
      <t>يُوصى باستخدام الصيغة =IF('Source Table'!XX="","",'Source Table'!XX) للتعامل بشكل صحيح مع القيم الفارغة في البيانات.</t>
    </r>
  </si>
  <si>
    <t>سنوي</t>
  </si>
  <si>
    <t>Annual</t>
  </si>
  <si>
    <t>مليون دينار</t>
  </si>
  <si>
    <t>Million JD</t>
  </si>
  <si>
    <t>Department of Statistics/ National Account</t>
  </si>
  <si>
    <t>دائرة الإحصاءات العامة/ الحسابات القومية</t>
  </si>
  <si>
    <t>الأبنية السكنية</t>
  </si>
  <si>
    <t>الأبنية غير السكنية وإنشاءات أخرى</t>
  </si>
  <si>
    <t>معدات النقل</t>
  </si>
  <si>
    <t>آلات ومعدات أخرى</t>
  </si>
  <si>
    <t>تكوين رأس المال الثابت الإجمالي</t>
  </si>
  <si>
    <t>التغير في المخزون</t>
  </si>
  <si>
    <t>تكوين رأس المال الإجمالي</t>
  </si>
  <si>
    <t>Residential Buildings</t>
  </si>
  <si>
    <t>Non-Residential Buildings and Other Construction</t>
  </si>
  <si>
    <t>Transport Equipments</t>
  </si>
  <si>
    <t>Machinery, Equipment and Others</t>
  </si>
  <si>
    <t>Gross Fixed Capital Formation</t>
  </si>
  <si>
    <t>Change in Stocks</t>
  </si>
  <si>
    <t>Gross Capital Formation</t>
  </si>
  <si>
    <t>SYB_23_10</t>
  </si>
  <si>
    <t>التكوين الرأسمالي الإجمالي حسب نوع الأصول بالأسعار الجارية</t>
  </si>
  <si>
    <t>Gross Capital Formation by Type of Assets at Current Prices</t>
  </si>
  <si>
    <t>نوع الأصول</t>
  </si>
  <si>
    <t>Type of Assets</t>
  </si>
  <si>
    <t>CL_TYPE_ASSETS_EN_V1</t>
  </si>
  <si>
    <t>CL_TYPE_ASSETS_AR_V1</t>
  </si>
  <si>
    <t>نوع الاصول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</si>
</sst>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rgb="FFFFFFFF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  <charset val="178"/>
    </font>
    <font>
      <b/>
      <sz val="8"/>
      <name val="Arial"/>
      <family val="2"/>
    </font>
    <font>
      <b/>
      <sz val="12"/>
      <name val="Arial"/>
      <family val="2"/>
      <charset val="178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776AD"/>
      <name val="Aptos Narrow"/>
      <family val="2"/>
      <scheme val="minor"/>
    </font>
    <font>
      <b/>
      <sz val="14"/>
      <color theme="0"/>
      <name val="Aptos"/>
      <family val="2"/>
    </font>
    <font>
      <sz val="11"/>
      <color rgb="FFFFFFFF"/>
      <name val="Aptos Narrow"/>
      <family val="2"/>
      <scheme val="minor"/>
    </font>
    <font>
      <sz val="11"/>
      <color rgb="FF0776AD"/>
      <name val="Aptos Narrow"/>
      <family val="2"/>
      <scheme val="minor"/>
    </font>
    <font>
      <b/>
      <sz val="14"/>
      <color theme="7" tint="-0.249977111117893"/>
      <name val="Aptos"/>
      <family val="2"/>
    </font>
    <font>
      <b/>
      <sz val="11"/>
      <color rgb="FF0776AD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Times New Roman"/>
      <family val="1"/>
    </font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Aptos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 style="thin">
        <color theme="7" tint="-0.499984740745262"/>
      </right>
      <top/>
      <bottom/>
      <diagonal/>
    </border>
    <border>
      <left/>
      <right style="thin">
        <color theme="7" tint="-0.499984740745262"/>
      </right>
      <top/>
      <bottom style="thin">
        <color indexed="64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4" fillId="0" borderId="0"/>
    <xf numFmtId="0" fontId="4" fillId="0" borderId="0"/>
    <xf numFmtId="0" fontId="3" fillId="0" borderId="0"/>
    <xf numFmtId="0" fontId="4" fillId="0" borderId="0"/>
    <xf numFmtId="9" fontId="4" fillId="0" borderId="0"/>
    <xf numFmtId="0" fontId="5" fillId="0" borderId="0">
      <alignment horizontal="centerContinuous" vertical="center"/>
    </xf>
    <xf numFmtId="0" fontId="6" fillId="0" borderId="0">
      <alignment horizontal="centerContinuous" vertical="center"/>
    </xf>
    <xf numFmtId="0" fontId="7" fillId="0" borderId="0">
      <alignment horizontal="right" vertical="center"/>
    </xf>
    <xf numFmtId="0" fontId="8" fillId="3" borderId="1">
      <alignment horizontal="center" vertical="center" wrapText="1"/>
    </xf>
    <xf numFmtId="0" fontId="3" fillId="0" borderId="0">
      <alignment horizontal="left" vertical="center"/>
    </xf>
    <xf numFmtId="0" fontId="9" fillId="3" borderId="1">
      <alignment horizontal="center" vertical="center" wrapText="1"/>
    </xf>
    <xf numFmtId="1" fontId="10" fillId="3" borderId="1">
      <alignment horizontal="center" vertical="center"/>
    </xf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0" fillId="0" borderId="0" xfId="0" applyNumberFormat="1"/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readingOrder="2"/>
    </xf>
    <xf numFmtId="0" fontId="19" fillId="0" borderId="0" xfId="0" applyFont="1" applyAlignment="1">
      <alignment horizontal="center"/>
    </xf>
    <xf numFmtId="0" fontId="20" fillId="4" borderId="0" xfId="0" applyFont="1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20" fillId="4" borderId="0" xfId="0" applyFont="1" applyFill="1" applyAlignment="1">
      <alignment horizontal="right" vertical="center" wrapText="1" readingOrder="2"/>
    </xf>
    <xf numFmtId="0" fontId="0" fillId="4" borderId="0" xfId="0" applyFill="1" applyAlignment="1">
      <alignment horizontal="right" vertical="center" wrapText="1" readingOrder="2"/>
    </xf>
    <xf numFmtId="0" fontId="13" fillId="4" borderId="0" xfId="0" applyFont="1" applyFill="1" applyAlignment="1">
      <alignment horizontal="right" vertical="center" wrapText="1" readingOrder="2"/>
    </xf>
    <xf numFmtId="0" fontId="18" fillId="2" borderId="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readingOrder="2"/>
    </xf>
    <xf numFmtId="0" fontId="17" fillId="9" borderId="0" xfId="0" applyFont="1" applyFill="1" applyAlignment="1">
      <alignment horizontal="center" vertical="center"/>
    </xf>
    <xf numFmtId="164" fontId="0" fillId="0" borderId="0" xfId="18" applyNumberFormat="1" applyFont="1"/>
    <xf numFmtId="0" fontId="18" fillId="8" borderId="8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 readingOrder="2"/>
    </xf>
    <xf numFmtId="0" fontId="18" fillId="6" borderId="5" xfId="0" applyFont="1" applyFill="1" applyBorder="1" applyAlignment="1">
      <alignment horizontal="center" vertical="center" readingOrder="2"/>
    </xf>
    <xf numFmtId="0" fontId="18" fillId="6" borderId="6" xfId="0" applyFont="1" applyFill="1" applyBorder="1" applyAlignment="1">
      <alignment horizontal="center" vertical="center" readingOrder="2"/>
    </xf>
    <xf numFmtId="0" fontId="18" fillId="6" borderId="2" xfId="0" applyFont="1" applyFill="1" applyBorder="1" applyAlignment="1">
      <alignment horizontal="center" vertical="center" readingOrder="2"/>
    </xf>
    <xf numFmtId="0" fontId="15" fillId="7" borderId="0" xfId="0" applyFont="1" applyFill="1" applyBorder="1" applyAlignment="1">
      <alignment horizontal="center" vertical="center"/>
    </xf>
    <xf numFmtId="164" fontId="23" fillId="0" borderId="7" xfId="18" applyNumberFormat="1" applyFont="1" applyBorder="1" applyAlignment="1" applyProtection="1">
      <alignment horizontal="center" vertical="center"/>
      <protection locked="0"/>
    </xf>
    <xf numFmtId="164" fontId="23" fillId="0" borderId="3" xfId="18" applyNumberFormat="1" applyFont="1" applyBorder="1" applyAlignment="1" applyProtection="1">
      <alignment horizontal="center" vertical="center"/>
      <protection locked="0"/>
    </xf>
    <xf numFmtId="0" fontId="18" fillId="6" borderId="12" xfId="0" applyFont="1" applyFill="1" applyBorder="1" applyAlignment="1">
      <alignment horizontal="center" vertical="center" readingOrder="2"/>
    </xf>
    <xf numFmtId="0" fontId="22" fillId="8" borderId="11" xfId="0" applyFont="1" applyFill="1" applyBorder="1" applyAlignment="1">
      <alignment vertical="center"/>
    </xf>
    <xf numFmtId="0" fontId="24" fillId="8" borderId="11" xfId="0" applyFont="1" applyFill="1" applyBorder="1" applyAlignment="1">
      <alignment horizontal="right" vertical="center" readingOrder="2"/>
    </xf>
    <xf numFmtId="0" fontId="24" fillId="8" borderId="11" xfId="0" applyFont="1" applyFill="1" applyBorder="1" applyAlignment="1">
      <alignment horizontal="right" vertical="center" wrapText="1" readingOrder="2"/>
    </xf>
    <xf numFmtId="0" fontId="25" fillId="8" borderId="11" xfId="0" applyFont="1" applyFill="1" applyBorder="1" applyAlignment="1">
      <alignment vertical="center"/>
    </xf>
    <xf numFmtId="164" fontId="26" fillId="10" borderId="3" xfId="18" applyNumberFormat="1" applyFont="1" applyFill="1" applyBorder="1" applyAlignment="1" applyProtection="1">
      <alignment horizontal="center" vertical="center"/>
      <protection locked="0"/>
    </xf>
    <xf numFmtId="0" fontId="27" fillId="8" borderId="11" xfId="0" applyFont="1" applyFill="1" applyBorder="1" applyAlignment="1">
      <alignment horizontal="right" vertical="center" readingOrder="2"/>
    </xf>
  </cellXfs>
  <cellStyles count="19">
    <cellStyle name="‏_x001d_ً'_x000c_ï‏÷_x000c__x001c_" xfId="2"/>
    <cellStyle name="‏_x001d_ً'_x000c_ï‏÷_x000c__x001c_ 2" xfId="8"/>
    <cellStyle name="Comma" xfId="18" builtinId="3"/>
    <cellStyle name="H1" xfId="11"/>
    <cellStyle name="H2" xfId="12"/>
    <cellStyle name="Had1" xfId="17"/>
    <cellStyle name="Had2" xfId="14"/>
    <cellStyle name="Had3" xfId="16"/>
    <cellStyle name="Normal" xfId="0" builtinId="0"/>
    <cellStyle name="Normal 2" xfId="3"/>
    <cellStyle name="Normal 3" xfId="1"/>
    <cellStyle name="Normal 4" xfId="4"/>
    <cellStyle name="Normal 4 2" xfId="9"/>
    <cellStyle name="Normal 5" xfId="5"/>
    <cellStyle name="Normal 6" xfId="7"/>
    <cellStyle name="Percent 2" xfId="6"/>
    <cellStyle name="Percent 2 2" xfId="10"/>
    <cellStyle name="T1" xfId="13"/>
    <cellStyle name="T2" xfId="15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5" sqref="F5"/>
    </sheetView>
  </sheetViews>
  <sheetFormatPr defaultRowHeight="14.25"/>
  <cols>
    <col min="1" max="1" width="32.375" bestFit="1" customWidth="1"/>
    <col min="2" max="2" width="115.75" customWidth="1"/>
  </cols>
  <sheetData>
    <row r="1" spans="1:2" ht="21" customHeight="1">
      <c r="A1" s="2" t="s">
        <v>0</v>
      </c>
      <c r="B1" s="20" t="s">
        <v>99</v>
      </c>
    </row>
    <row r="2" spans="1:2" ht="21" customHeight="1">
      <c r="A2" s="2" t="s">
        <v>1</v>
      </c>
      <c r="B2" s="20" t="s">
        <v>2</v>
      </c>
    </row>
    <row r="3" spans="1:2" ht="21" customHeight="1">
      <c r="A3" s="2" t="s">
        <v>25</v>
      </c>
      <c r="B3" s="21" t="s">
        <v>100</v>
      </c>
    </row>
    <row r="4" spans="1:2" ht="21" customHeight="1">
      <c r="A4" s="2" t="s">
        <v>24</v>
      </c>
      <c r="B4" s="22" t="s">
        <v>101</v>
      </c>
    </row>
    <row r="5" spans="1:2" ht="21" customHeight="1">
      <c r="A5" s="2" t="s">
        <v>27</v>
      </c>
      <c r="B5" s="23" t="s">
        <v>79</v>
      </c>
    </row>
    <row r="6" spans="1:2" ht="21" customHeight="1">
      <c r="A6" s="2" t="s">
        <v>26</v>
      </c>
      <c r="B6" s="23" t="s">
        <v>80</v>
      </c>
    </row>
    <row r="7" spans="1:2" ht="21" customHeight="1">
      <c r="A7" s="2" t="s">
        <v>29</v>
      </c>
      <c r="B7" s="20" t="s">
        <v>84</v>
      </c>
    </row>
    <row r="8" spans="1:2" ht="21" customHeight="1">
      <c r="A8" s="2" t="s">
        <v>28</v>
      </c>
      <c r="B8" s="2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abSelected="1" view="pageBreakPreview" zoomScaleNormal="100" zoomScaleSheetLayoutView="100" workbookViewId="0">
      <selection activeCell="B18" sqref="B18"/>
    </sheetView>
  </sheetViews>
  <sheetFormatPr defaultColWidth="16.75" defaultRowHeight="14.25"/>
  <cols>
    <col min="2" max="2" width="38.75" customWidth="1"/>
    <col min="3" max="3" width="15.125" customWidth="1"/>
    <col min="4" max="4" width="34.375" customWidth="1"/>
  </cols>
  <sheetData>
    <row r="2" spans="2:4" ht="28.15" customHeight="1">
      <c r="B2" s="33" t="str">
        <f>'Cover Page'!B4</f>
        <v>Gross Capital Formation by Type of Assets at Current Prices</v>
      </c>
      <c r="C2" s="33"/>
      <c r="D2" s="33"/>
    </row>
    <row r="3" spans="2:4" ht="28.15" customHeight="1">
      <c r="B3" s="33" t="str">
        <f>'Cover Page'!B3</f>
        <v>التكوين الرأسمالي الإجمالي حسب نوع الأصول بالأسعار الجارية</v>
      </c>
      <c r="C3" s="33"/>
      <c r="D3" s="33"/>
    </row>
    <row r="4" spans="2:4" ht="28.15" customHeight="1">
      <c r="B4" s="19" t="s">
        <v>3</v>
      </c>
      <c r="C4" s="26">
        <v>2022</v>
      </c>
      <c r="D4" s="18" t="s">
        <v>4</v>
      </c>
    </row>
    <row r="5" spans="2:4" ht="28.15" customHeight="1">
      <c r="B5" s="32" t="s">
        <v>103</v>
      </c>
      <c r="C5" s="27"/>
      <c r="D5" s="29" t="s">
        <v>102</v>
      </c>
    </row>
    <row r="6" spans="2:4" ht="19.899999999999999" customHeight="1">
      <c r="B6" s="32"/>
      <c r="C6" s="27"/>
      <c r="D6" s="30"/>
    </row>
    <row r="7" spans="2:4" ht="19.899999999999999" customHeight="1">
      <c r="B7" s="36"/>
      <c r="C7" s="28"/>
      <c r="D7" s="31"/>
    </row>
    <row r="8" spans="2:4" ht="22.15" customHeight="1">
      <c r="B8" s="37" t="s">
        <v>92</v>
      </c>
      <c r="C8" s="34"/>
      <c r="D8" s="38" t="s">
        <v>85</v>
      </c>
    </row>
    <row r="9" spans="2:4" ht="22.15" customHeight="1">
      <c r="B9" s="37" t="s">
        <v>93</v>
      </c>
      <c r="C9" s="35"/>
      <c r="D9" s="39" t="s">
        <v>86</v>
      </c>
    </row>
    <row r="10" spans="2:4" ht="22.15" customHeight="1">
      <c r="B10" s="37" t="s">
        <v>94</v>
      </c>
      <c r="C10" s="35"/>
      <c r="D10" s="38" t="s">
        <v>87</v>
      </c>
    </row>
    <row r="11" spans="2:4" ht="22.15" customHeight="1">
      <c r="B11" s="37" t="s">
        <v>95</v>
      </c>
      <c r="C11" s="35"/>
      <c r="D11" s="38" t="s">
        <v>88</v>
      </c>
    </row>
    <row r="12" spans="2:4" ht="22.15" customHeight="1">
      <c r="B12" s="37" t="s">
        <v>96</v>
      </c>
      <c r="C12" s="35"/>
      <c r="D12" s="38" t="s">
        <v>89</v>
      </c>
    </row>
    <row r="13" spans="2:4" ht="22.15" customHeight="1">
      <c r="B13" s="37" t="s">
        <v>97</v>
      </c>
      <c r="C13" s="35"/>
      <c r="D13" s="38" t="s">
        <v>90</v>
      </c>
    </row>
    <row r="14" spans="2:4" ht="22.15" customHeight="1">
      <c r="B14" s="40" t="s">
        <v>98</v>
      </c>
      <c r="C14" s="41"/>
      <c r="D14" s="42" t="s">
        <v>91</v>
      </c>
    </row>
  </sheetData>
  <sheetProtection algorithmName="SHA-512" hashValue="Cr8/bcu1+dNcWvkNepuZdmW2BupdLLkm/upgF3lP6q0iIn/iJ9ZA4Z3DeuxI9GOV4797YlqPNOcM53K7KaCMCA==" saltValue="jvMHF5yDLysIMWUInt4Z2w==" spinCount="100000" sheet="1" objects="1" scenarios="1"/>
  <mergeCells count="5">
    <mergeCell ref="C4:C7"/>
    <mergeCell ref="D5:D7"/>
    <mergeCell ref="B5:B7"/>
    <mergeCell ref="B2:D2"/>
    <mergeCell ref="B3:D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B1" zoomScaleNormal="98" workbookViewId="0">
      <selection activeCell="G19" sqref="G19"/>
    </sheetView>
  </sheetViews>
  <sheetFormatPr defaultColWidth="9" defaultRowHeight="14.25"/>
  <cols>
    <col min="1" max="1" width="66.25" customWidth="1"/>
    <col min="2" max="2" width="36.25" bestFit="1" customWidth="1"/>
    <col min="3" max="3" width="9.75" bestFit="1" customWidth="1"/>
    <col min="4" max="5" width="18.125" customWidth="1"/>
    <col min="6" max="6" width="28.375" customWidth="1"/>
    <col min="7" max="7" width="24.75" customWidth="1"/>
    <col min="8" max="10" width="15.375" customWidth="1"/>
  </cols>
  <sheetData>
    <row r="1" spans="1:10" ht="20.25">
      <c r="A1" s="3" t="s">
        <v>6</v>
      </c>
    </row>
    <row r="2" spans="1:10" s="1" customFormat="1" ht="18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24" t="s">
        <v>104</v>
      </c>
      <c r="G2" s="24" t="s">
        <v>105</v>
      </c>
      <c r="H2" s="5" t="s">
        <v>12</v>
      </c>
      <c r="I2" s="5" t="s">
        <v>13</v>
      </c>
      <c r="J2" s="5" t="s">
        <v>14</v>
      </c>
    </row>
    <row r="3" spans="1:10" s="1" customFormat="1" ht="18" customHeight="1">
      <c r="A3" s="5" t="s">
        <v>20</v>
      </c>
      <c r="B3" s="5" t="s">
        <v>21</v>
      </c>
      <c r="C3" s="5" t="s">
        <v>15</v>
      </c>
      <c r="D3" s="5" t="s">
        <v>22</v>
      </c>
      <c r="E3" s="5" t="s">
        <v>23</v>
      </c>
      <c r="F3" s="24" t="s">
        <v>103</v>
      </c>
      <c r="G3" s="24" t="s">
        <v>106</v>
      </c>
      <c r="H3" s="5" t="s">
        <v>16</v>
      </c>
      <c r="I3" s="5" t="s">
        <v>17</v>
      </c>
      <c r="J3" s="5" t="s">
        <v>18</v>
      </c>
    </row>
    <row r="4" spans="1:10" ht="15">
      <c r="A4" t="s">
        <v>100</v>
      </c>
      <c r="B4" t="s">
        <v>101</v>
      </c>
      <c r="C4" s="6" t="s">
        <v>19</v>
      </c>
      <c r="D4" s="6" t="s">
        <v>82</v>
      </c>
      <c r="E4" s="7" t="s">
        <v>81</v>
      </c>
      <c r="F4" t="str">
        <f>+'Source Table'!$B$8</f>
        <v>Residential Buildings</v>
      </c>
      <c r="G4" t="str">
        <f>+'Source Table'!$D$8</f>
        <v>الأبنية السكنية</v>
      </c>
      <c r="H4" s="25">
        <v>2321</v>
      </c>
      <c r="I4">
        <v>2015</v>
      </c>
    </row>
    <row r="5" spans="1:10" ht="15">
      <c r="A5" t="s">
        <v>100</v>
      </c>
      <c r="B5" t="s">
        <v>101</v>
      </c>
      <c r="C5" s="6" t="s">
        <v>19</v>
      </c>
      <c r="D5" s="6" t="s">
        <v>82</v>
      </c>
      <c r="E5" s="7" t="s">
        <v>81</v>
      </c>
      <c r="F5" t="str">
        <f>+'Source Table'!$B$9</f>
        <v>Non-Residential Buildings and Other Construction</v>
      </c>
      <c r="G5" t="str">
        <f>+'Source Table'!$D$9</f>
        <v>الأبنية غير السكنية وإنشاءات أخرى</v>
      </c>
      <c r="H5" s="25">
        <v>1179</v>
      </c>
      <c r="I5">
        <f>+I4</f>
        <v>2015</v>
      </c>
    </row>
    <row r="6" spans="1:10" ht="15">
      <c r="A6" t="s">
        <v>100</v>
      </c>
      <c r="B6" t="s">
        <v>101</v>
      </c>
      <c r="C6" s="6" t="s">
        <v>19</v>
      </c>
      <c r="D6" s="6" t="s">
        <v>82</v>
      </c>
      <c r="E6" s="7" t="s">
        <v>81</v>
      </c>
      <c r="F6" t="str">
        <f>+'Source Table'!$B$10</f>
        <v>Transport Equipments</v>
      </c>
      <c r="G6" t="str">
        <f>+'Source Table'!$D$10</f>
        <v>معدات النقل</v>
      </c>
      <c r="H6" s="25">
        <v>408</v>
      </c>
      <c r="I6">
        <f t="shared" ref="I6:I10" si="0">+I5</f>
        <v>2015</v>
      </c>
    </row>
    <row r="7" spans="1:10" ht="15">
      <c r="A7" t="s">
        <v>100</v>
      </c>
      <c r="B7" t="s">
        <v>101</v>
      </c>
      <c r="C7" s="6" t="s">
        <v>19</v>
      </c>
      <c r="D7" s="6" t="s">
        <v>82</v>
      </c>
      <c r="E7" s="7" t="s">
        <v>81</v>
      </c>
      <c r="F7" t="str">
        <f>+'Source Table'!$B$11</f>
        <v>Machinery, Equipment and Others</v>
      </c>
      <c r="G7" t="str">
        <f>+'Source Table'!$D$11</f>
        <v>آلات ومعدات أخرى</v>
      </c>
      <c r="H7" s="25">
        <v>2073</v>
      </c>
      <c r="I7">
        <f t="shared" si="0"/>
        <v>2015</v>
      </c>
    </row>
    <row r="8" spans="1:10" ht="15">
      <c r="A8" t="s">
        <v>100</v>
      </c>
      <c r="B8" t="s">
        <v>101</v>
      </c>
      <c r="C8" s="6" t="s">
        <v>19</v>
      </c>
      <c r="D8" s="6" t="s">
        <v>82</v>
      </c>
      <c r="E8" s="7" t="s">
        <v>81</v>
      </c>
      <c r="F8" t="str">
        <f>+'Source Table'!$B$12</f>
        <v>Gross Fixed Capital Formation</v>
      </c>
      <c r="G8" t="str">
        <f>+'Source Table'!$D$12</f>
        <v>تكوين رأس المال الثابت الإجمالي</v>
      </c>
      <c r="H8" s="25">
        <v>5981</v>
      </c>
      <c r="I8">
        <f t="shared" si="0"/>
        <v>2015</v>
      </c>
    </row>
    <row r="9" spans="1:10" ht="15">
      <c r="A9" t="s">
        <v>100</v>
      </c>
      <c r="B9" t="s">
        <v>101</v>
      </c>
      <c r="C9" s="6" t="s">
        <v>19</v>
      </c>
      <c r="D9" s="6" t="s">
        <v>82</v>
      </c>
      <c r="E9" s="7" t="s">
        <v>81</v>
      </c>
      <c r="F9" t="str">
        <f>+'Source Table'!$B$13</f>
        <v>Change in Stocks</v>
      </c>
      <c r="G9" t="str">
        <f>+'Source Table'!$D$13</f>
        <v>التغير في المخزون</v>
      </c>
      <c r="H9" s="25">
        <v>823</v>
      </c>
      <c r="I9">
        <f t="shared" si="0"/>
        <v>2015</v>
      </c>
    </row>
    <row r="10" spans="1:10" ht="15">
      <c r="A10" t="s">
        <v>100</v>
      </c>
      <c r="B10" t="s">
        <v>101</v>
      </c>
      <c r="C10" s="6" t="s">
        <v>19</v>
      </c>
      <c r="D10" s="6" t="s">
        <v>82</v>
      </c>
      <c r="E10" s="7" t="s">
        <v>81</v>
      </c>
      <c r="F10" t="str">
        <f>+'Source Table'!$B$14</f>
        <v>Gross Capital Formation</v>
      </c>
      <c r="G10" t="str">
        <f>+'Source Table'!$D$14</f>
        <v>تكوين رأس المال الإجمالي</v>
      </c>
      <c r="H10" s="25">
        <v>6804</v>
      </c>
      <c r="I10">
        <f t="shared" si="0"/>
        <v>2015</v>
      </c>
    </row>
    <row r="11" spans="1:10" ht="15">
      <c r="A11" t="s">
        <v>100</v>
      </c>
      <c r="B11" t="s">
        <v>101</v>
      </c>
      <c r="C11" s="6" t="s">
        <v>19</v>
      </c>
      <c r="D11" s="6" t="s">
        <v>82</v>
      </c>
      <c r="E11" s="7" t="s">
        <v>81</v>
      </c>
      <c r="F11" t="str">
        <f>+'Source Table'!$B$8</f>
        <v>Residential Buildings</v>
      </c>
      <c r="G11" t="str">
        <f>+'Source Table'!$D$8</f>
        <v>الأبنية السكنية</v>
      </c>
      <c r="H11">
        <v>2202</v>
      </c>
      <c r="I11">
        <f>+I4+1</f>
        <v>2016</v>
      </c>
    </row>
    <row r="12" spans="1:10" ht="15">
      <c r="A12" t="s">
        <v>100</v>
      </c>
      <c r="B12" t="s">
        <v>101</v>
      </c>
      <c r="C12" s="6" t="s">
        <v>19</v>
      </c>
      <c r="D12" s="6" t="s">
        <v>82</v>
      </c>
      <c r="E12" s="7" t="s">
        <v>81</v>
      </c>
      <c r="F12" t="str">
        <f>+'Source Table'!$B$9</f>
        <v>Non-Residential Buildings and Other Construction</v>
      </c>
      <c r="G12" t="str">
        <f>+'Source Table'!$D$9</f>
        <v>الأبنية غير السكنية وإنشاءات أخرى</v>
      </c>
      <c r="H12" s="25">
        <v>1119</v>
      </c>
      <c r="I12">
        <f>+I11</f>
        <v>2016</v>
      </c>
    </row>
    <row r="13" spans="1:10" ht="15">
      <c r="A13" t="s">
        <v>100</v>
      </c>
      <c r="B13" t="s">
        <v>101</v>
      </c>
      <c r="C13" s="6" t="s">
        <v>19</v>
      </c>
      <c r="D13" s="6" t="s">
        <v>82</v>
      </c>
      <c r="E13" s="7" t="s">
        <v>81</v>
      </c>
      <c r="F13" t="str">
        <f>+'Source Table'!$B$10</f>
        <v>Transport Equipments</v>
      </c>
      <c r="G13" t="str">
        <f>+'Source Table'!$D$10</f>
        <v>معدات النقل</v>
      </c>
      <c r="H13" s="25">
        <v>387</v>
      </c>
      <c r="I13">
        <f t="shared" ref="I13:I17" si="1">+I12</f>
        <v>2016</v>
      </c>
    </row>
    <row r="14" spans="1:10" ht="15">
      <c r="A14" t="s">
        <v>100</v>
      </c>
      <c r="B14" t="s">
        <v>101</v>
      </c>
      <c r="C14" s="6" t="s">
        <v>19</v>
      </c>
      <c r="D14" s="6" t="s">
        <v>82</v>
      </c>
      <c r="E14" s="7" t="s">
        <v>81</v>
      </c>
      <c r="F14" t="str">
        <f>+'Source Table'!$B$11</f>
        <v>Machinery, Equipment and Others</v>
      </c>
      <c r="G14" t="str">
        <f>+'Source Table'!$D$11</f>
        <v>آلات ومعدات أخرى</v>
      </c>
      <c r="H14" s="25">
        <v>1968</v>
      </c>
      <c r="I14">
        <f t="shared" si="1"/>
        <v>2016</v>
      </c>
    </row>
    <row r="15" spans="1:10" ht="15">
      <c r="A15" t="s">
        <v>100</v>
      </c>
      <c r="B15" t="s">
        <v>101</v>
      </c>
      <c r="C15" s="6" t="s">
        <v>19</v>
      </c>
      <c r="D15" s="6" t="s">
        <v>82</v>
      </c>
      <c r="E15" s="7" t="s">
        <v>81</v>
      </c>
      <c r="F15" t="str">
        <f>+'Source Table'!$B$12</f>
        <v>Gross Fixed Capital Formation</v>
      </c>
      <c r="G15" t="str">
        <f>+'Source Table'!$D$12</f>
        <v>تكوين رأس المال الثابت الإجمالي</v>
      </c>
      <c r="H15" s="25">
        <v>5676.2550780617203</v>
      </c>
      <c r="I15">
        <f t="shared" si="1"/>
        <v>2016</v>
      </c>
    </row>
    <row r="16" spans="1:10" ht="15">
      <c r="A16" t="s">
        <v>100</v>
      </c>
      <c r="B16" t="s">
        <v>101</v>
      </c>
      <c r="C16" s="6" t="s">
        <v>19</v>
      </c>
      <c r="D16" s="6" t="s">
        <v>82</v>
      </c>
      <c r="E16" s="7" t="s">
        <v>81</v>
      </c>
      <c r="F16" t="str">
        <f>+'Source Table'!$B$13</f>
        <v>Change in Stocks</v>
      </c>
      <c r="G16" t="str">
        <f>+'Source Table'!$D$13</f>
        <v>التغير في المخزون</v>
      </c>
      <c r="H16" s="25">
        <v>953.25400000000002</v>
      </c>
      <c r="I16">
        <f t="shared" si="1"/>
        <v>2016</v>
      </c>
    </row>
    <row r="17" spans="1:9" ht="15">
      <c r="A17" t="s">
        <v>100</v>
      </c>
      <c r="B17" t="s">
        <v>101</v>
      </c>
      <c r="C17" s="6" t="s">
        <v>19</v>
      </c>
      <c r="D17" s="6" t="s">
        <v>82</v>
      </c>
      <c r="E17" s="7" t="s">
        <v>81</v>
      </c>
      <c r="F17" t="str">
        <f>+'Source Table'!$B$14</f>
        <v>Gross Capital Formation</v>
      </c>
      <c r="G17" t="str">
        <f>+'Source Table'!$D$14</f>
        <v>تكوين رأس المال الإجمالي</v>
      </c>
      <c r="H17" s="25">
        <v>6629.5090780617202</v>
      </c>
      <c r="I17">
        <f t="shared" si="1"/>
        <v>2016</v>
      </c>
    </row>
    <row r="18" spans="1:9" ht="15">
      <c r="A18" t="s">
        <v>100</v>
      </c>
      <c r="B18" t="s">
        <v>101</v>
      </c>
      <c r="C18" s="6" t="s">
        <v>19</v>
      </c>
      <c r="D18" s="6" t="s">
        <v>82</v>
      </c>
      <c r="E18" s="7" t="s">
        <v>81</v>
      </c>
      <c r="F18" t="str">
        <f>+'Source Table'!$B$8</f>
        <v>Residential Buildings</v>
      </c>
      <c r="G18" t="str">
        <f>+'Source Table'!$D$8</f>
        <v>الأبنية السكنية</v>
      </c>
      <c r="H18" s="25">
        <v>2309</v>
      </c>
      <c r="I18">
        <f>+I11+1</f>
        <v>2017</v>
      </c>
    </row>
    <row r="19" spans="1:9" ht="15">
      <c r="A19" t="s">
        <v>100</v>
      </c>
      <c r="B19" t="s">
        <v>101</v>
      </c>
      <c r="C19" s="6" t="s">
        <v>19</v>
      </c>
      <c r="D19" s="6" t="s">
        <v>82</v>
      </c>
      <c r="E19" s="7" t="s">
        <v>81</v>
      </c>
      <c r="F19" t="str">
        <f>+'Source Table'!$B$9</f>
        <v>Non-Residential Buildings and Other Construction</v>
      </c>
      <c r="G19" t="str">
        <f>+'Source Table'!$D$9</f>
        <v>الأبنية غير السكنية وإنشاءات أخرى</v>
      </c>
      <c r="H19" s="25">
        <v>1173</v>
      </c>
      <c r="I19">
        <f>+I18</f>
        <v>2017</v>
      </c>
    </row>
    <row r="20" spans="1:9" ht="15">
      <c r="A20" t="s">
        <v>100</v>
      </c>
      <c r="B20" t="s">
        <v>101</v>
      </c>
      <c r="C20" s="6" t="s">
        <v>19</v>
      </c>
      <c r="D20" s="6" t="s">
        <v>82</v>
      </c>
      <c r="E20" s="7" t="s">
        <v>81</v>
      </c>
      <c r="F20" t="str">
        <f>+'Source Table'!$B$10</f>
        <v>Transport Equipments</v>
      </c>
      <c r="G20" t="str">
        <f>+'Source Table'!$D$10</f>
        <v>معدات النقل</v>
      </c>
      <c r="H20" s="25">
        <v>406</v>
      </c>
      <c r="I20">
        <f t="shared" ref="I20:I24" si="2">+I19</f>
        <v>2017</v>
      </c>
    </row>
    <row r="21" spans="1:9" ht="15">
      <c r="A21" t="s">
        <v>100</v>
      </c>
      <c r="B21" t="s">
        <v>101</v>
      </c>
      <c r="C21" s="6" t="s">
        <v>19</v>
      </c>
      <c r="D21" s="6" t="s">
        <v>82</v>
      </c>
      <c r="E21" s="7" t="s">
        <v>81</v>
      </c>
      <c r="F21" t="str">
        <f>+'Source Table'!$B$11</f>
        <v>Machinery, Equipment and Others</v>
      </c>
      <c r="G21" t="str">
        <f>+'Source Table'!$D$11</f>
        <v>آلات ومعدات أخرى</v>
      </c>
      <c r="H21" s="25">
        <v>2063</v>
      </c>
      <c r="I21">
        <f t="shared" si="2"/>
        <v>2017</v>
      </c>
    </row>
    <row r="22" spans="1:9" ht="15">
      <c r="A22" t="s">
        <v>100</v>
      </c>
      <c r="B22" t="s">
        <v>101</v>
      </c>
      <c r="C22" s="6" t="s">
        <v>19</v>
      </c>
      <c r="D22" s="6" t="s">
        <v>82</v>
      </c>
      <c r="E22" s="7" t="s">
        <v>81</v>
      </c>
      <c r="F22" t="str">
        <f>+'Source Table'!$B$12</f>
        <v>Gross Fixed Capital Formation</v>
      </c>
      <c r="G22" t="str">
        <f>+'Source Table'!$D$12</f>
        <v>تكوين رأس المال الثابت الإجمالي</v>
      </c>
      <c r="H22" s="25">
        <v>5952</v>
      </c>
      <c r="I22">
        <f t="shared" si="2"/>
        <v>2017</v>
      </c>
    </row>
    <row r="23" spans="1:9" ht="15">
      <c r="A23" t="s">
        <v>100</v>
      </c>
      <c r="B23" t="s">
        <v>101</v>
      </c>
      <c r="C23" s="6" t="s">
        <v>19</v>
      </c>
      <c r="D23" s="6" t="s">
        <v>82</v>
      </c>
      <c r="E23" s="7" t="s">
        <v>81</v>
      </c>
      <c r="F23" t="str">
        <f>+'Source Table'!$B$13</f>
        <v>Change in Stocks</v>
      </c>
      <c r="G23" t="str">
        <f>+'Source Table'!$D$13</f>
        <v>التغير في المخزون</v>
      </c>
      <c r="H23" s="25">
        <v>1350</v>
      </c>
      <c r="I23">
        <f t="shared" si="2"/>
        <v>2017</v>
      </c>
    </row>
    <row r="24" spans="1:9" ht="15">
      <c r="A24" t="s">
        <v>100</v>
      </c>
      <c r="B24" t="s">
        <v>101</v>
      </c>
      <c r="C24" s="6" t="s">
        <v>19</v>
      </c>
      <c r="D24" s="6" t="s">
        <v>82</v>
      </c>
      <c r="E24" s="7" t="s">
        <v>81</v>
      </c>
      <c r="F24" t="str">
        <f>+'Source Table'!$B$14</f>
        <v>Gross Capital Formation</v>
      </c>
      <c r="G24" t="str">
        <f>+'Source Table'!$D$14</f>
        <v>تكوين رأس المال الإجمالي</v>
      </c>
      <c r="H24" s="25">
        <v>7302</v>
      </c>
      <c r="I24">
        <f t="shared" si="2"/>
        <v>2017</v>
      </c>
    </row>
    <row r="25" spans="1:9" ht="15">
      <c r="A25" t="s">
        <v>100</v>
      </c>
      <c r="B25" t="s">
        <v>101</v>
      </c>
      <c r="C25" s="6" t="s">
        <v>19</v>
      </c>
      <c r="D25" s="6" t="s">
        <v>82</v>
      </c>
      <c r="E25" s="7" t="s">
        <v>81</v>
      </c>
      <c r="F25" t="str">
        <f>+'Source Table'!$B$8</f>
        <v>Residential Buildings</v>
      </c>
      <c r="G25" t="str">
        <f>+'Source Table'!$D$8</f>
        <v>الأبنية السكنية</v>
      </c>
      <c r="H25" s="25">
        <v>2436</v>
      </c>
      <c r="I25">
        <f>+I18+1</f>
        <v>2018</v>
      </c>
    </row>
    <row r="26" spans="1:9" ht="15">
      <c r="A26" t="s">
        <v>100</v>
      </c>
      <c r="B26" t="s">
        <v>101</v>
      </c>
      <c r="C26" s="6" t="s">
        <v>19</v>
      </c>
      <c r="D26" s="6" t="s">
        <v>82</v>
      </c>
      <c r="E26" s="7" t="s">
        <v>81</v>
      </c>
      <c r="F26" t="str">
        <f>+'Source Table'!$B$9</f>
        <v>Non-Residential Buildings and Other Construction</v>
      </c>
      <c r="G26" t="str">
        <f>+'Source Table'!$D$9</f>
        <v>الأبنية غير السكنية وإنشاءات أخرى</v>
      </c>
      <c r="H26" s="25">
        <v>1238</v>
      </c>
      <c r="I26">
        <f>+I25</f>
        <v>2018</v>
      </c>
    </row>
    <row r="27" spans="1:9" ht="15">
      <c r="A27" t="s">
        <v>100</v>
      </c>
      <c r="B27" t="s">
        <v>101</v>
      </c>
      <c r="C27" s="6" t="s">
        <v>19</v>
      </c>
      <c r="D27" s="6" t="s">
        <v>82</v>
      </c>
      <c r="E27" s="7" t="s">
        <v>81</v>
      </c>
      <c r="F27" t="str">
        <f>+'Source Table'!$B$10</f>
        <v>Transport Equipments</v>
      </c>
      <c r="G27" t="str">
        <f>+'Source Table'!$D$10</f>
        <v>معدات النقل</v>
      </c>
      <c r="H27" s="25">
        <v>428</v>
      </c>
      <c r="I27">
        <f t="shared" ref="I27:I31" si="3">+I26</f>
        <v>2018</v>
      </c>
    </row>
    <row r="28" spans="1:9" ht="15">
      <c r="A28" t="s">
        <v>100</v>
      </c>
      <c r="B28" t="s">
        <v>101</v>
      </c>
      <c r="C28" s="6" t="s">
        <v>19</v>
      </c>
      <c r="D28" s="6" t="s">
        <v>82</v>
      </c>
      <c r="E28" s="7" t="s">
        <v>81</v>
      </c>
      <c r="F28" t="str">
        <f>+'Source Table'!$B$11</f>
        <v>Machinery, Equipment and Others</v>
      </c>
      <c r="G28" t="str">
        <f>+'Source Table'!$D$11</f>
        <v>آلات ومعدات أخرى</v>
      </c>
      <c r="H28" s="25">
        <v>2177</v>
      </c>
      <c r="I28">
        <f t="shared" si="3"/>
        <v>2018</v>
      </c>
    </row>
    <row r="29" spans="1:9" ht="15">
      <c r="A29" t="s">
        <v>100</v>
      </c>
      <c r="B29" t="s">
        <v>101</v>
      </c>
      <c r="C29" s="6" t="s">
        <v>19</v>
      </c>
      <c r="D29" s="6" t="s">
        <v>82</v>
      </c>
      <c r="E29" s="7" t="s">
        <v>81</v>
      </c>
      <c r="F29" t="str">
        <f>+'Source Table'!$B$12</f>
        <v>Gross Fixed Capital Formation</v>
      </c>
      <c r="G29" t="str">
        <f>+'Source Table'!$D$12</f>
        <v>تكوين رأس المال الثابت الإجمالي</v>
      </c>
      <c r="H29" s="25">
        <v>6278.7829106597646</v>
      </c>
      <c r="I29">
        <f t="shared" si="3"/>
        <v>2018</v>
      </c>
    </row>
    <row r="30" spans="1:9" ht="15">
      <c r="A30" t="s">
        <v>100</v>
      </c>
      <c r="B30" t="s">
        <v>101</v>
      </c>
      <c r="C30" s="6" t="s">
        <v>19</v>
      </c>
      <c r="D30" s="6" t="s">
        <v>82</v>
      </c>
      <c r="E30" s="7" t="s">
        <v>81</v>
      </c>
      <c r="F30" t="str">
        <f>+'Source Table'!$B$13</f>
        <v>Change in Stocks</v>
      </c>
      <c r="G30" t="str">
        <f>+'Source Table'!$D$13</f>
        <v>التغير في المخزون</v>
      </c>
      <c r="H30" s="25">
        <v>1222.6539999999979</v>
      </c>
      <c r="I30">
        <f t="shared" si="3"/>
        <v>2018</v>
      </c>
    </row>
    <row r="31" spans="1:9" ht="15">
      <c r="A31" t="s">
        <v>100</v>
      </c>
      <c r="B31" t="s">
        <v>101</v>
      </c>
      <c r="C31" s="6" t="s">
        <v>19</v>
      </c>
      <c r="D31" s="6" t="s">
        <v>82</v>
      </c>
      <c r="E31" s="7" t="s">
        <v>81</v>
      </c>
      <c r="F31" t="str">
        <f>+'Source Table'!$B$14</f>
        <v>Gross Capital Formation</v>
      </c>
      <c r="G31" t="str">
        <f>+'Source Table'!$D$14</f>
        <v>تكوين رأس المال الإجمالي</v>
      </c>
      <c r="H31" s="25">
        <v>7501.4369106597624</v>
      </c>
      <c r="I31">
        <f t="shared" si="3"/>
        <v>2018</v>
      </c>
    </row>
    <row r="32" spans="1:9" ht="15">
      <c r="A32" t="s">
        <v>100</v>
      </c>
      <c r="B32" t="s">
        <v>101</v>
      </c>
      <c r="C32" s="6" t="s">
        <v>19</v>
      </c>
      <c r="D32" s="6" t="s">
        <v>82</v>
      </c>
      <c r="E32" s="7" t="s">
        <v>81</v>
      </c>
      <c r="F32" t="str">
        <f>+'Source Table'!$B$8</f>
        <v>Residential Buildings</v>
      </c>
      <c r="G32" t="str">
        <f>+'Source Table'!$D$8</f>
        <v>الأبنية السكنية</v>
      </c>
      <c r="H32" s="25">
        <v>2252</v>
      </c>
      <c r="I32">
        <f>+I25+1</f>
        <v>2019</v>
      </c>
    </row>
    <row r="33" spans="1:9" ht="15">
      <c r="A33" t="s">
        <v>100</v>
      </c>
      <c r="B33" t="s">
        <v>101</v>
      </c>
      <c r="C33" s="6" t="s">
        <v>19</v>
      </c>
      <c r="D33" s="6" t="s">
        <v>82</v>
      </c>
      <c r="E33" s="7" t="s">
        <v>81</v>
      </c>
      <c r="F33" t="str">
        <f>+'Source Table'!$B$9</f>
        <v>Non-Residential Buildings and Other Construction</v>
      </c>
      <c r="G33" t="str">
        <f>+'Source Table'!$D$9</f>
        <v>الأبنية غير السكنية وإنشاءات أخرى</v>
      </c>
      <c r="H33" s="25">
        <v>1144</v>
      </c>
      <c r="I33">
        <f>+I32</f>
        <v>2019</v>
      </c>
    </row>
    <row r="34" spans="1:9" ht="15">
      <c r="A34" t="s">
        <v>100</v>
      </c>
      <c r="B34" t="s">
        <v>101</v>
      </c>
      <c r="C34" s="6" t="s">
        <v>19</v>
      </c>
      <c r="D34" s="6" t="s">
        <v>82</v>
      </c>
      <c r="E34" s="7" t="s">
        <v>81</v>
      </c>
      <c r="F34" t="str">
        <f>+'Source Table'!$B$10</f>
        <v>Transport Equipments</v>
      </c>
      <c r="G34" t="str">
        <f>+'Source Table'!$D$10</f>
        <v>معدات النقل</v>
      </c>
      <c r="H34" s="25">
        <v>396</v>
      </c>
      <c r="I34">
        <f t="shared" ref="I34:I38" si="4">+I33</f>
        <v>2019</v>
      </c>
    </row>
    <row r="35" spans="1:9" ht="15">
      <c r="A35" t="s">
        <v>100</v>
      </c>
      <c r="B35" t="s">
        <v>101</v>
      </c>
      <c r="C35" s="6" t="s">
        <v>19</v>
      </c>
      <c r="D35" s="6" t="s">
        <v>82</v>
      </c>
      <c r="E35" s="7" t="s">
        <v>81</v>
      </c>
      <c r="F35" t="str">
        <f>+'Source Table'!$B$11</f>
        <v>Machinery, Equipment and Others</v>
      </c>
      <c r="G35" t="str">
        <f>+'Source Table'!$D$11</f>
        <v>آلات ومعدات أخرى</v>
      </c>
      <c r="H35" s="25">
        <v>2012</v>
      </c>
      <c r="I35">
        <f t="shared" si="4"/>
        <v>2019</v>
      </c>
    </row>
    <row r="36" spans="1:9" ht="15">
      <c r="A36" t="s">
        <v>100</v>
      </c>
      <c r="B36" t="s">
        <v>101</v>
      </c>
      <c r="C36" s="6" t="s">
        <v>19</v>
      </c>
      <c r="D36" s="6" t="s">
        <v>82</v>
      </c>
      <c r="E36" s="7" t="s">
        <v>81</v>
      </c>
      <c r="F36" t="str">
        <f>+'Source Table'!$B$12</f>
        <v>Gross Fixed Capital Formation</v>
      </c>
      <c r="G36" t="str">
        <f>+'Source Table'!$D$12</f>
        <v>تكوين رأس المال الثابت الإجمالي</v>
      </c>
      <c r="H36" s="25">
        <v>5804</v>
      </c>
      <c r="I36">
        <f t="shared" si="4"/>
        <v>2019</v>
      </c>
    </row>
    <row r="37" spans="1:9" ht="15">
      <c r="A37" t="s">
        <v>100</v>
      </c>
      <c r="B37" t="s">
        <v>101</v>
      </c>
      <c r="C37" s="6" t="s">
        <v>19</v>
      </c>
      <c r="D37" s="6" t="s">
        <v>82</v>
      </c>
      <c r="E37" s="7" t="s">
        <v>81</v>
      </c>
      <c r="F37" t="str">
        <f>+'Source Table'!$B$13</f>
        <v>Change in Stocks</v>
      </c>
      <c r="G37" t="str">
        <f>+'Source Table'!$D$13</f>
        <v>التغير في المخزون</v>
      </c>
      <c r="H37" s="25">
        <v>961.83456370325132</v>
      </c>
      <c r="I37">
        <f t="shared" si="4"/>
        <v>2019</v>
      </c>
    </row>
    <row r="38" spans="1:9" ht="15">
      <c r="A38" t="s">
        <v>100</v>
      </c>
      <c r="B38" t="s">
        <v>101</v>
      </c>
      <c r="C38" s="6" t="s">
        <v>19</v>
      </c>
      <c r="D38" s="6" t="s">
        <v>82</v>
      </c>
      <c r="E38" s="7" t="s">
        <v>81</v>
      </c>
      <c r="F38" t="str">
        <f>+'Source Table'!$B$14</f>
        <v>Gross Capital Formation</v>
      </c>
      <c r="G38" t="str">
        <f>+'Source Table'!$D$14</f>
        <v>تكوين رأس المال الإجمالي</v>
      </c>
      <c r="H38" s="25">
        <v>6765.8345637032517</v>
      </c>
      <c r="I38">
        <f t="shared" si="4"/>
        <v>2019</v>
      </c>
    </row>
    <row r="39" spans="1:9" ht="15">
      <c r="A39" t="s">
        <v>100</v>
      </c>
      <c r="B39" t="s">
        <v>101</v>
      </c>
      <c r="C39" s="6" t="s">
        <v>19</v>
      </c>
      <c r="D39" s="6" t="s">
        <v>82</v>
      </c>
      <c r="E39" s="7" t="s">
        <v>81</v>
      </c>
      <c r="F39" t="str">
        <f>+'Source Table'!$B$8</f>
        <v>Residential Buildings</v>
      </c>
      <c r="G39" t="str">
        <f>+'Source Table'!$D$8</f>
        <v>الأبنية السكنية</v>
      </c>
      <c r="H39" s="25">
        <v>2268</v>
      </c>
      <c r="I39">
        <f>+I32+1</f>
        <v>2020</v>
      </c>
    </row>
    <row r="40" spans="1:9" ht="15">
      <c r="A40" t="s">
        <v>100</v>
      </c>
      <c r="B40" t="s">
        <v>101</v>
      </c>
      <c r="C40" s="6" t="s">
        <v>19</v>
      </c>
      <c r="D40" s="6" t="s">
        <v>82</v>
      </c>
      <c r="E40" s="7" t="s">
        <v>81</v>
      </c>
      <c r="F40" t="str">
        <f>+'Source Table'!$B$9</f>
        <v>Non-Residential Buildings and Other Construction</v>
      </c>
      <c r="G40" t="str">
        <f>+'Source Table'!$D$9</f>
        <v>الأبنية غير السكنية وإنشاءات أخرى</v>
      </c>
      <c r="H40" s="25">
        <v>1159</v>
      </c>
      <c r="I40">
        <f>+I39</f>
        <v>2020</v>
      </c>
    </row>
    <row r="41" spans="1:9" ht="15">
      <c r="A41" t="s">
        <v>100</v>
      </c>
      <c r="B41" t="s">
        <v>101</v>
      </c>
      <c r="C41" s="6" t="s">
        <v>19</v>
      </c>
      <c r="D41" s="6" t="s">
        <v>82</v>
      </c>
      <c r="E41" s="7" t="s">
        <v>81</v>
      </c>
      <c r="F41" t="str">
        <f>+'Source Table'!$B$10</f>
        <v>Transport Equipments</v>
      </c>
      <c r="G41" t="str">
        <f>+'Source Table'!$D$10</f>
        <v>معدات النقل</v>
      </c>
      <c r="H41" s="25">
        <v>402</v>
      </c>
      <c r="I41">
        <f t="shared" ref="I41:I45" si="5">+I40</f>
        <v>2020</v>
      </c>
    </row>
    <row r="42" spans="1:9" ht="15">
      <c r="A42" t="s">
        <v>100</v>
      </c>
      <c r="B42" t="s">
        <v>101</v>
      </c>
      <c r="C42" s="6" t="s">
        <v>19</v>
      </c>
      <c r="D42" s="6" t="s">
        <v>82</v>
      </c>
      <c r="E42" s="7" t="s">
        <v>81</v>
      </c>
      <c r="F42" t="str">
        <f>+'Source Table'!$B$11</f>
        <v>Machinery, Equipment and Others</v>
      </c>
      <c r="G42" t="str">
        <f>+'Source Table'!$D$11</f>
        <v>آلات ومعدات أخرى</v>
      </c>
      <c r="H42" s="25">
        <v>2032</v>
      </c>
      <c r="I42">
        <f t="shared" si="5"/>
        <v>2020</v>
      </c>
    </row>
    <row r="43" spans="1:9" ht="15">
      <c r="A43" t="s">
        <v>100</v>
      </c>
      <c r="B43" t="s">
        <v>101</v>
      </c>
      <c r="C43" s="6" t="s">
        <v>19</v>
      </c>
      <c r="D43" s="6" t="s">
        <v>82</v>
      </c>
      <c r="E43" s="7" t="s">
        <v>81</v>
      </c>
      <c r="F43" t="str">
        <f>+'Source Table'!$B$12</f>
        <v>Gross Fixed Capital Formation</v>
      </c>
      <c r="G43" t="str">
        <f>+'Source Table'!$D$12</f>
        <v>تكوين رأس المال الثابت الإجمالي</v>
      </c>
      <c r="H43" s="25">
        <v>5861.3558325453023</v>
      </c>
      <c r="I43">
        <f t="shared" si="5"/>
        <v>2020</v>
      </c>
    </row>
    <row r="44" spans="1:9" ht="15">
      <c r="A44" t="s">
        <v>100</v>
      </c>
      <c r="B44" t="s">
        <v>101</v>
      </c>
      <c r="C44" s="6" t="s">
        <v>19</v>
      </c>
      <c r="D44" s="6" t="s">
        <v>82</v>
      </c>
      <c r="E44" s="7" t="s">
        <v>81</v>
      </c>
      <c r="F44" t="str">
        <f>+'Source Table'!$B$13</f>
        <v>Change in Stocks</v>
      </c>
      <c r="G44" t="str">
        <f>+'Source Table'!$D$13</f>
        <v>التغير في المخزون</v>
      </c>
      <c r="H44" s="25">
        <v>797.06992776511481</v>
      </c>
      <c r="I44">
        <f t="shared" si="5"/>
        <v>2020</v>
      </c>
    </row>
    <row r="45" spans="1:9" ht="15">
      <c r="A45" t="s">
        <v>100</v>
      </c>
      <c r="B45" t="s">
        <v>101</v>
      </c>
      <c r="C45" s="6" t="s">
        <v>19</v>
      </c>
      <c r="D45" s="6" t="s">
        <v>82</v>
      </c>
      <c r="E45" s="7" t="s">
        <v>81</v>
      </c>
      <c r="F45" t="str">
        <f>+'Source Table'!$B$14</f>
        <v>Gross Capital Formation</v>
      </c>
      <c r="G45" t="str">
        <f>+'Source Table'!$D$14</f>
        <v>تكوين رأس المال الإجمالي</v>
      </c>
      <c r="H45" s="25">
        <v>6658.425760310417</v>
      </c>
      <c r="I45">
        <f t="shared" si="5"/>
        <v>2020</v>
      </c>
    </row>
    <row r="46" spans="1:9" ht="15">
      <c r="A46" t="s">
        <v>100</v>
      </c>
      <c r="B46" t="s">
        <v>101</v>
      </c>
      <c r="C46" s="6" t="s">
        <v>19</v>
      </c>
      <c r="D46" s="6" t="s">
        <v>82</v>
      </c>
      <c r="E46" s="7" t="s">
        <v>81</v>
      </c>
      <c r="F46" t="str">
        <f>+'Source Table'!$B$8</f>
        <v>Residential Buildings</v>
      </c>
      <c r="G46" t="str">
        <f>+'Source Table'!$D$8</f>
        <v>الأبنية السكنية</v>
      </c>
      <c r="H46" s="25">
        <v>2716</v>
      </c>
      <c r="I46">
        <f>+I39+1</f>
        <v>2021</v>
      </c>
    </row>
    <row r="47" spans="1:9" ht="15">
      <c r="A47" t="s">
        <v>100</v>
      </c>
      <c r="B47" t="s">
        <v>101</v>
      </c>
      <c r="C47" s="6" t="s">
        <v>19</v>
      </c>
      <c r="D47" s="6" t="s">
        <v>82</v>
      </c>
      <c r="E47" s="7" t="s">
        <v>81</v>
      </c>
      <c r="F47" t="str">
        <f>+'Source Table'!$B$9</f>
        <v>Non-Residential Buildings and Other Construction</v>
      </c>
      <c r="G47" t="str">
        <f>+'Source Table'!$D$9</f>
        <v>الأبنية غير السكنية وإنشاءات أخرى</v>
      </c>
      <c r="H47" s="25">
        <v>1436</v>
      </c>
      <c r="I47">
        <f>+I46</f>
        <v>2021</v>
      </c>
    </row>
    <row r="48" spans="1:9" ht="15">
      <c r="A48" t="s">
        <v>100</v>
      </c>
      <c r="B48" t="s">
        <v>101</v>
      </c>
      <c r="C48" s="6" t="s">
        <v>19</v>
      </c>
      <c r="D48" s="6" t="s">
        <v>82</v>
      </c>
      <c r="E48" s="7" t="s">
        <v>81</v>
      </c>
      <c r="F48" t="str">
        <f>+'Source Table'!$B$10</f>
        <v>Transport Equipments</v>
      </c>
      <c r="G48" t="str">
        <f>+'Source Table'!$D$10</f>
        <v>معدات النقل</v>
      </c>
      <c r="H48" s="25">
        <v>507</v>
      </c>
      <c r="I48">
        <f t="shared" ref="I48:I52" si="6">+I47</f>
        <v>2021</v>
      </c>
    </row>
    <row r="49" spans="1:9" ht="15">
      <c r="A49" t="s">
        <v>100</v>
      </c>
      <c r="B49" t="s">
        <v>101</v>
      </c>
      <c r="C49" s="6" t="s">
        <v>19</v>
      </c>
      <c r="D49" s="6" t="s">
        <v>82</v>
      </c>
      <c r="E49" s="7" t="s">
        <v>81</v>
      </c>
      <c r="F49" t="str">
        <f>+'Source Table'!$B$11</f>
        <v>Machinery, Equipment and Others</v>
      </c>
      <c r="G49" t="str">
        <f>+'Source Table'!$D$11</f>
        <v>آلات ومعدات أخرى</v>
      </c>
      <c r="H49" s="25">
        <v>2626</v>
      </c>
      <c r="I49">
        <f t="shared" si="6"/>
        <v>2021</v>
      </c>
    </row>
    <row r="50" spans="1:9" ht="15">
      <c r="A50" t="s">
        <v>100</v>
      </c>
      <c r="B50" t="s">
        <v>101</v>
      </c>
      <c r="C50" s="6" t="s">
        <v>19</v>
      </c>
      <c r="D50" s="6" t="s">
        <v>82</v>
      </c>
      <c r="E50" s="7" t="s">
        <v>81</v>
      </c>
      <c r="F50" t="str">
        <f>+'Source Table'!$B$12</f>
        <v>Gross Fixed Capital Formation</v>
      </c>
      <c r="G50" t="str">
        <f>+'Source Table'!$D$12</f>
        <v>تكوين رأس المال الثابت الإجمالي</v>
      </c>
      <c r="H50" s="25">
        <v>7284.6421320888476</v>
      </c>
      <c r="I50">
        <f t="shared" si="6"/>
        <v>2021</v>
      </c>
    </row>
    <row r="51" spans="1:9" ht="15">
      <c r="A51" t="s">
        <v>100</v>
      </c>
      <c r="B51" t="s">
        <v>101</v>
      </c>
      <c r="C51" s="6" t="s">
        <v>19</v>
      </c>
      <c r="D51" s="6" t="s">
        <v>82</v>
      </c>
      <c r="E51" s="7" t="s">
        <v>81</v>
      </c>
      <c r="F51" t="str">
        <f>+'Source Table'!$B$13</f>
        <v>Change in Stocks</v>
      </c>
      <c r="G51" t="str">
        <f>+'Source Table'!$D$13</f>
        <v>التغير في المخزون</v>
      </c>
      <c r="H51" s="25">
        <v>990.61867273919779</v>
      </c>
      <c r="I51">
        <f t="shared" si="6"/>
        <v>2021</v>
      </c>
    </row>
    <row r="52" spans="1:9" ht="15">
      <c r="A52" t="s">
        <v>100</v>
      </c>
      <c r="B52" t="s">
        <v>101</v>
      </c>
      <c r="C52" s="6" t="s">
        <v>19</v>
      </c>
      <c r="D52" s="6" t="s">
        <v>82</v>
      </c>
      <c r="E52" s="7" t="s">
        <v>81</v>
      </c>
      <c r="F52" t="str">
        <f>+'Source Table'!$B$14</f>
        <v>Gross Capital Formation</v>
      </c>
      <c r="G52" t="str">
        <f>+'Source Table'!$D$14</f>
        <v>تكوين رأس المال الإجمالي</v>
      </c>
      <c r="H52" s="25">
        <v>8275.2608048280454</v>
      </c>
      <c r="I52">
        <f t="shared" si="6"/>
        <v>2021</v>
      </c>
    </row>
    <row r="53" spans="1:9" ht="15">
      <c r="A53" t="s">
        <v>100</v>
      </c>
      <c r="B53" t="s">
        <v>101</v>
      </c>
      <c r="C53" s="6" t="s">
        <v>19</v>
      </c>
      <c r="D53" s="6" t="s">
        <v>82</v>
      </c>
      <c r="E53" s="7" t="s">
        <v>81</v>
      </c>
      <c r="F53" t="str">
        <f>+'Source Table'!$B$8</f>
        <v>Residential Buildings</v>
      </c>
      <c r="G53" t="str">
        <f>+'Source Table'!$D$8</f>
        <v>الأبنية السكنية</v>
      </c>
      <c r="H53" s="25">
        <v>2871.8401347527147</v>
      </c>
      <c r="I53">
        <f>+I46+1</f>
        <v>2022</v>
      </c>
    </row>
    <row r="54" spans="1:9" ht="15">
      <c r="A54" t="s">
        <v>100</v>
      </c>
      <c r="B54" t="s">
        <v>101</v>
      </c>
      <c r="C54" s="6" t="s">
        <v>19</v>
      </c>
      <c r="D54" s="6" t="s">
        <v>82</v>
      </c>
      <c r="E54" s="7" t="s">
        <v>81</v>
      </c>
      <c r="F54" t="str">
        <f>+'Source Table'!$B$9</f>
        <v>Non-Residential Buildings and Other Construction</v>
      </c>
      <c r="G54" t="str">
        <f>+'Source Table'!$D$9</f>
        <v>الأبنية غير السكنية وإنشاءات أخرى</v>
      </c>
      <c r="H54" s="25">
        <v>1518.3955940739684</v>
      </c>
      <c r="I54">
        <f>+I53</f>
        <v>2022</v>
      </c>
    </row>
    <row r="55" spans="1:9" ht="15">
      <c r="A55" t="s">
        <v>100</v>
      </c>
      <c r="B55" t="s">
        <v>101</v>
      </c>
      <c r="C55" s="6" t="s">
        <v>19</v>
      </c>
      <c r="D55" s="6" t="s">
        <v>82</v>
      </c>
      <c r="E55" s="7" t="s">
        <v>81</v>
      </c>
      <c r="F55" t="str">
        <f>+'Source Table'!$B$10</f>
        <v>Transport Equipments</v>
      </c>
      <c r="G55" t="str">
        <f>+'Source Table'!$D$10</f>
        <v>معدات النقل</v>
      </c>
      <c r="H55" s="25">
        <v>536.09092353447204</v>
      </c>
      <c r="I55">
        <f t="shared" ref="I55:I59" si="7">+I54</f>
        <v>2022</v>
      </c>
    </row>
    <row r="56" spans="1:9" ht="15">
      <c r="A56" t="s">
        <v>100</v>
      </c>
      <c r="B56" t="s">
        <v>101</v>
      </c>
      <c r="C56" s="6" t="s">
        <v>19</v>
      </c>
      <c r="D56" s="6" t="s">
        <v>82</v>
      </c>
      <c r="E56" s="7" t="s">
        <v>81</v>
      </c>
      <c r="F56" t="str">
        <f>+'Source Table'!$B$11</f>
        <v>Machinery, Equipment and Others</v>
      </c>
      <c r="G56" t="str">
        <f>+'Source Table'!$D$11</f>
        <v>آلات ومعدات أخرى</v>
      </c>
      <c r="H56" s="25">
        <v>2776.6760654862401</v>
      </c>
      <c r="I56">
        <f t="shared" si="7"/>
        <v>2022</v>
      </c>
    </row>
    <row r="57" spans="1:9" ht="15">
      <c r="A57" t="s">
        <v>100</v>
      </c>
      <c r="B57" t="s">
        <v>101</v>
      </c>
      <c r="C57" s="6" t="s">
        <v>19</v>
      </c>
      <c r="D57" s="6" t="s">
        <v>82</v>
      </c>
      <c r="E57" s="7" t="s">
        <v>81</v>
      </c>
      <c r="F57" t="str">
        <f>+'Source Table'!$B$12</f>
        <v>Gross Fixed Capital Formation</v>
      </c>
      <c r="G57" t="str">
        <f>+'Source Table'!$D$12</f>
        <v>تكوين رأس المال الثابت الإجمالي</v>
      </c>
      <c r="H57" s="25">
        <v>7702.6243159953374</v>
      </c>
      <c r="I57">
        <f t="shared" si="7"/>
        <v>2022</v>
      </c>
    </row>
    <row r="58" spans="1:9" ht="15">
      <c r="A58" t="s">
        <v>100</v>
      </c>
      <c r="B58" t="s">
        <v>101</v>
      </c>
      <c r="C58" s="6" t="s">
        <v>19</v>
      </c>
      <c r="D58" s="6" t="s">
        <v>82</v>
      </c>
      <c r="E58" s="7" t="s">
        <v>81</v>
      </c>
      <c r="F58" t="str">
        <f>+'Source Table'!$B$13</f>
        <v>Change in Stocks</v>
      </c>
      <c r="G58" t="str">
        <f>+'Source Table'!$D$13</f>
        <v>التغير في المخزون</v>
      </c>
      <c r="H58" s="25">
        <v>1024</v>
      </c>
      <c r="I58">
        <f t="shared" si="7"/>
        <v>2022</v>
      </c>
    </row>
    <row r="59" spans="1:9" ht="15">
      <c r="A59" t="s">
        <v>100</v>
      </c>
      <c r="B59" t="s">
        <v>101</v>
      </c>
      <c r="C59" s="6" t="s">
        <v>19</v>
      </c>
      <c r="D59" s="6" t="s">
        <v>82</v>
      </c>
      <c r="E59" s="7" t="s">
        <v>81</v>
      </c>
      <c r="F59" t="str">
        <f>+'Source Table'!$B$14</f>
        <v>Gross Capital Formation</v>
      </c>
      <c r="G59" t="str">
        <f>+'Source Table'!$D$14</f>
        <v>تكوين رأس المال الإجمالي</v>
      </c>
      <c r="H59" s="25">
        <v>8726.6243159953374</v>
      </c>
      <c r="I59">
        <f t="shared" si="7"/>
        <v>2022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5" sqref="F5"/>
    </sheetView>
  </sheetViews>
  <sheetFormatPr defaultRowHeight="14.25"/>
  <cols>
    <col min="1" max="12" width="24.375" customWidth="1"/>
    <col min="13" max="14" width="15" bestFit="1" customWidth="1"/>
    <col min="15" max="15" width="8.75" bestFit="1" customWidth="1"/>
    <col min="16" max="16" width="11.375" bestFit="1" customWidth="1"/>
    <col min="17" max="17" width="12" bestFit="1" customWidth="1"/>
    <col min="18" max="18" width="9.875" bestFit="1" customWidth="1"/>
    <col min="19" max="19" width="7.375" bestFit="1" customWidth="1"/>
  </cols>
  <sheetData>
    <row r="1" spans="1:10" ht="15">
      <c r="A1" s="8" t="s">
        <v>30</v>
      </c>
      <c r="B1" s="4">
        <f>DATE(B2,B3,1)</f>
        <v>44927</v>
      </c>
    </row>
    <row r="2" spans="1:10" ht="15">
      <c r="A2" s="8" t="s">
        <v>3</v>
      </c>
      <c r="B2">
        <v>2023</v>
      </c>
      <c r="D2" s="4"/>
    </row>
    <row r="3" spans="1:10" ht="15">
      <c r="A3" s="8" t="s">
        <v>5</v>
      </c>
      <c r="B3">
        <v>1</v>
      </c>
    </row>
    <row r="4" spans="1:10" s="1" customFormat="1" ht="18" customHeight="1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24" t="s">
        <v>104</v>
      </c>
      <c r="G4" s="24" t="s">
        <v>105</v>
      </c>
      <c r="H4" s="5" t="s">
        <v>12</v>
      </c>
      <c r="I4" s="5" t="s">
        <v>13</v>
      </c>
      <c r="J4" s="5" t="s">
        <v>14</v>
      </c>
    </row>
    <row r="5" spans="1:10" s="1" customFormat="1" ht="18" customHeight="1">
      <c r="A5" s="5" t="s">
        <v>20</v>
      </c>
      <c r="B5" s="5" t="s">
        <v>21</v>
      </c>
      <c r="C5" s="5" t="s">
        <v>15</v>
      </c>
      <c r="D5" s="5" t="s">
        <v>22</v>
      </c>
      <c r="E5" s="5" t="s">
        <v>23</v>
      </c>
      <c r="F5" s="24" t="s">
        <v>103</v>
      </c>
      <c r="G5" s="24" t="s">
        <v>106</v>
      </c>
      <c r="H5" s="5" t="s">
        <v>16</v>
      </c>
      <c r="I5" s="5" t="s">
        <v>17</v>
      </c>
      <c r="J5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workbookViewId="0">
      <selection activeCell="F5" sqref="F5"/>
    </sheetView>
  </sheetViews>
  <sheetFormatPr defaultColWidth="8.875" defaultRowHeight="14.25"/>
  <cols>
    <col min="1" max="1" width="90" style="14" customWidth="1"/>
    <col min="2" max="2" width="2.625" style="13" customWidth="1"/>
    <col min="3" max="3" width="87.25" style="16" customWidth="1"/>
    <col min="4" max="16384" width="8.875" style="12"/>
  </cols>
  <sheetData>
    <row r="2" spans="1:3" ht="17.25">
      <c r="A2" s="9" t="s">
        <v>31</v>
      </c>
      <c r="C2" s="15" t="s">
        <v>66</v>
      </c>
    </row>
    <row r="3" spans="1:3">
      <c r="A3" s="10"/>
    </row>
    <row r="4" spans="1:3" ht="28.5">
      <c r="A4" s="10" t="s">
        <v>49</v>
      </c>
      <c r="C4" s="16" t="s">
        <v>52</v>
      </c>
    </row>
    <row r="6" spans="1:3" ht="17.25">
      <c r="A6" s="9" t="s">
        <v>32</v>
      </c>
      <c r="C6" s="15" t="s">
        <v>53</v>
      </c>
    </row>
    <row r="7" spans="1:3">
      <c r="A7" s="10"/>
    </row>
    <row r="8" spans="1:3" ht="30">
      <c r="A8" s="11" t="s">
        <v>48</v>
      </c>
      <c r="C8" s="16" t="s">
        <v>73</v>
      </c>
    </row>
    <row r="10" spans="1:3" ht="17.25">
      <c r="A10" s="9" t="s">
        <v>33</v>
      </c>
      <c r="C10" s="15" t="s">
        <v>54</v>
      </c>
    </row>
    <row r="11" spans="1:3">
      <c r="A11" s="10"/>
    </row>
    <row r="12" spans="1:3">
      <c r="A12" s="10" t="s">
        <v>50</v>
      </c>
      <c r="C12" s="16" t="s">
        <v>55</v>
      </c>
    </row>
    <row r="13" spans="1:3" ht="29.25">
      <c r="A13" s="11" t="s">
        <v>34</v>
      </c>
      <c r="C13" s="17" t="s">
        <v>56</v>
      </c>
    </row>
    <row r="14" spans="1:3" ht="29.25">
      <c r="A14" s="11" t="s">
        <v>35</v>
      </c>
      <c r="C14" s="17" t="s">
        <v>74</v>
      </c>
    </row>
    <row r="15" spans="1:3" ht="15">
      <c r="A15" s="11" t="s">
        <v>36</v>
      </c>
      <c r="C15" s="17" t="s">
        <v>57</v>
      </c>
    </row>
    <row r="16" spans="1:3" ht="15">
      <c r="A16" s="11" t="s">
        <v>37</v>
      </c>
      <c r="C16" s="17" t="s">
        <v>75</v>
      </c>
    </row>
    <row r="17" spans="1:3" ht="15">
      <c r="A17" s="11" t="s">
        <v>38</v>
      </c>
      <c r="C17" s="17" t="s">
        <v>58</v>
      </c>
    </row>
    <row r="18" spans="1:3">
      <c r="A18" s="10" t="s">
        <v>39</v>
      </c>
      <c r="C18" s="16" t="s">
        <v>59</v>
      </c>
    </row>
    <row r="19" spans="1:3">
      <c r="A19" s="10" t="s">
        <v>40</v>
      </c>
      <c r="C19" s="16" t="s">
        <v>76</v>
      </c>
    </row>
    <row r="20" spans="1:3" ht="29.25">
      <c r="A20" s="11" t="s">
        <v>77</v>
      </c>
      <c r="C20" s="17" t="s">
        <v>78</v>
      </c>
    </row>
    <row r="22" spans="1:3" ht="17.25">
      <c r="A22" s="9" t="s">
        <v>41</v>
      </c>
      <c r="C22" s="15" t="s">
        <v>60</v>
      </c>
    </row>
    <row r="23" spans="1:3">
      <c r="A23" s="10"/>
    </row>
    <row r="24" spans="1:3" ht="29.25">
      <c r="A24" s="10" t="s">
        <v>51</v>
      </c>
      <c r="C24" s="16" t="s">
        <v>67</v>
      </c>
    </row>
    <row r="25" spans="1:3" ht="29.25">
      <c r="A25" s="10" t="s">
        <v>42</v>
      </c>
      <c r="C25" s="16" t="s">
        <v>68</v>
      </c>
    </row>
    <row r="27" spans="1:3" ht="17.25">
      <c r="A27" s="9" t="s">
        <v>43</v>
      </c>
      <c r="C27" s="15" t="s">
        <v>61</v>
      </c>
    </row>
    <row r="28" spans="1:3">
      <c r="A28" s="10"/>
    </row>
    <row r="29" spans="1:3" ht="15">
      <c r="A29" s="10" t="s">
        <v>44</v>
      </c>
      <c r="C29" s="16" t="s">
        <v>62</v>
      </c>
    </row>
    <row r="30" spans="1:3">
      <c r="A30" s="10" t="s">
        <v>45</v>
      </c>
      <c r="C30" s="16" t="s">
        <v>63</v>
      </c>
    </row>
    <row r="32" spans="1:3" ht="17.25">
      <c r="A32" s="9" t="s">
        <v>46</v>
      </c>
      <c r="C32" s="15" t="s">
        <v>64</v>
      </c>
    </row>
    <row r="33" spans="1:3">
      <c r="A33" s="10"/>
    </row>
    <row r="34" spans="1:3" ht="15">
      <c r="A34" s="11" t="s">
        <v>70</v>
      </c>
      <c r="C34" s="16" t="s">
        <v>69</v>
      </c>
    </row>
    <row r="36" spans="1:3" ht="17.25">
      <c r="A36" s="9" t="s">
        <v>47</v>
      </c>
      <c r="C36" s="15" t="s">
        <v>65</v>
      </c>
    </row>
    <row r="37" spans="1:3">
      <c r="A37" s="10"/>
    </row>
    <row r="38" spans="1:3">
      <c r="A38" s="10" t="s">
        <v>71</v>
      </c>
      <c r="C38" s="16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17F994-C603-46B5-AEAB-E4EEDEDA8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aa2a1-f742-4cb3-874a-b3631849d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6B0781-3F54-40BC-A068-7F5A2310ECAB}">
  <ds:schemaRefs>
    <ds:schemaRef ds:uri="http://schemas.microsoft.com/office/2006/metadata/properties"/>
    <ds:schemaRef ds:uri="http://schemas.microsoft.com/office/infopath/2007/PartnerControls"/>
    <ds:schemaRef ds:uri="9e2ee8df-7f46-4126-8e69-ac276bfc5b66"/>
    <ds:schemaRef ds:uri="1eca1254-de44-4dbc-a0e3-13eda993f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'Source Table'!Print_Area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Mihyar</dc:creator>
  <cp:keywords/>
  <dc:description/>
  <cp:lastModifiedBy>Walaa Gharram</cp:lastModifiedBy>
  <cp:revision/>
  <dcterms:created xsi:type="dcterms:W3CDTF">2024-08-13T06:49:58Z</dcterms:created>
  <dcterms:modified xsi:type="dcterms:W3CDTF">2025-01-19T12:17:10Z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</Properties>
</file>