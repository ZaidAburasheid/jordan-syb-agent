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1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  <sheet name="Sheet1" sheetId="7" r:id="rId6"/>
  </sheets>
  <definedNames>
    <definedName name="_xlnm.Print_Area" localSheetId="1">'Source Table'!$B$2:$K$18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<sst xmlns="http://schemas.openxmlformats.org/spreadsheetml/2006/main" count="4960" uniqueCount="135">
  <si>
    <t>Code</t>
  </si>
  <si>
    <t>SYB_16_3</t>
  </si>
  <si>
    <t>Version</t>
  </si>
  <si>
    <t>V1</t>
  </si>
  <si>
    <t>اسم القالب</t>
  </si>
  <si>
    <t>أعداد الصحف والمجلات والدوريات</t>
  </si>
  <si>
    <t>Template Name</t>
  </si>
  <si>
    <t>Number of Newspapers, Magazines and Periodicals</t>
  </si>
  <si>
    <t>دورية البيانات</t>
  </si>
  <si>
    <t>سنوي</t>
  </si>
  <si>
    <t>Data Frequency</t>
  </si>
  <si>
    <t>Yearly</t>
  </si>
  <si>
    <t>الجهة المصدرية</t>
  </si>
  <si>
    <t>هيئة الإعلام</t>
  </si>
  <si>
    <t>Data Source</t>
  </si>
  <si>
    <t>Media Commission</t>
  </si>
  <si>
    <t>Year</t>
  </si>
  <si>
    <t>السنة</t>
  </si>
  <si>
    <t>Publications</t>
  </si>
  <si>
    <t>نصف شهرية</t>
  </si>
  <si>
    <t>نصف سنوية</t>
  </si>
  <si>
    <t>كل شهرين</t>
  </si>
  <si>
    <t>سنوية</t>
  </si>
  <si>
    <t>فصلية</t>
  </si>
  <si>
    <t>شهرية</t>
  </si>
  <si>
    <t>أسبوعية</t>
  </si>
  <si>
    <t>يومية</t>
  </si>
  <si>
    <t>النشرات</t>
  </si>
  <si>
    <t>Mid Monthly</t>
  </si>
  <si>
    <t>Mid year</t>
  </si>
  <si>
    <t>Every two months</t>
  </si>
  <si>
    <t>Seasonal</t>
  </si>
  <si>
    <t>Monthly</t>
  </si>
  <si>
    <t>Weekly</t>
  </si>
  <si>
    <t>Daily</t>
  </si>
  <si>
    <t>Political Newspapers</t>
  </si>
  <si>
    <t>صحف سياسية</t>
  </si>
  <si>
    <t>Parties Newspapers</t>
  </si>
  <si>
    <t>صحف حزبية</t>
  </si>
  <si>
    <r>
      <rPr>
        <sz val="12"/>
        <color theme="7" tint="-0.249977111117893"/>
        <rFont val="Aptos"/>
        <charset val="134"/>
      </rPr>
      <t xml:space="preserve">Children </t>
    </r>
    <r>
      <rPr>
        <b/>
        <sz val="12"/>
        <color theme="7" tint="-0.249977111117893"/>
        <rFont val="Aptos"/>
        <charset val="134"/>
      </rPr>
      <t>Magazines &amp; Periodicals</t>
    </r>
  </si>
  <si>
    <t>المجلات والدوريات الأطفال</t>
  </si>
  <si>
    <t>Economic Magazines &amp; Periodicals</t>
  </si>
  <si>
    <t>المجلات والدوريات الاقتصادية</t>
  </si>
  <si>
    <t>Army &amp; Police Magazines &amp; Periodicals</t>
  </si>
  <si>
    <t>المجلات والدوريات العسكرية و شرطية</t>
  </si>
  <si>
    <t>Youths &amp; Arts Magazines &amp; Periodicals</t>
  </si>
  <si>
    <t>المجلات والدوريات الشباب و الفنون</t>
  </si>
  <si>
    <t>Cultural &amp; Educational Magazines &amp; Periodicals</t>
  </si>
  <si>
    <t>المجلات والدوريات الثقافية و المدرسية</t>
  </si>
  <si>
    <t>Religious Magazines &amp; Periodicals</t>
  </si>
  <si>
    <t>المجلات والدوريات الدينية</t>
  </si>
  <si>
    <t>Scientific Magazines &amp; Periodicals</t>
  </si>
  <si>
    <t>المجلات والدوريات العلمية</t>
  </si>
  <si>
    <t>Financial Magazines &amp; Periodicals</t>
  </si>
  <si>
    <t>المجلات والدوريات المالية</t>
  </si>
  <si>
    <t>Tourist Magazines &amp; Periodicals</t>
  </si>
  <si>
    <t>المجلات والدوريات سياحية</t>
  </si>
  <si>
    <t>Other Magazines &amp; Periodicals</t>
  </si>
  <si>
    <t>المجلات والدوريات أخرى</t>
  </si>
  <si>
    <t>Relational Sheet</t>
  </si>
  <si>
    <t>Measure_Name_Ar</t>
  </si>
  <si>
    <t>Measure_Name_En</t>
  </si>
  <si>
    <t>Measure_ID</t>
  </si>
  <si>
    <t>Unit_EN</t>
  </si>
  <si>
    <t>Unit_AR</t>
  </si>
  <si>
    <t>CL_PUBLICATION_EN_V1</t>
  </si>
  <si>
    <t>CL_PUBLICATION_AR_V1</t>
  </si>
  <si>
    <t>CL_PERIOD_EN_V1</t>
  </si>
  <si>
    <t>CL_PERIOD_AR_V1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</si>
  <si>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</si>
  <si>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</si>
  <si>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</si>
  <si>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</si>
  <si>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</si>
  <si>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</si>
  <si>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</si>
  <si>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</si>
  <si>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Period</t>
  </si>
  <si>
    <t>الفترة</t>
  </si>
  <si>
    <t>قيمة المؤشر</t>
  </si>
  <si>
    <t>سنة فترة القياس</t>
  </si>
  <si>
    <t>شهر فترة القياس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</si>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</sst>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9"/>
      <color theme="1"/>
      <name val="Times New Roman"/>
      <charset val="134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2"/>
      <color rgb="FF0C769E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  <font>
      <b/>
      <sz val="12"/>
      <color theme="7" tint="-0.249977111117893"/>
      <name val="Apto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3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74F69"/>
      </left>
      <right/>
      <top/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auto="1"/>
      </left>
      <right style="thin">
        <color rgb="FF074F69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17" applyNumberFormat="0" applyAlignment="0" applyProtection="0">
      <alignment vertical="center"/>
    </xf>
    <xf numFmtId="0" fontId="29" fillId="12" borderId="18" applyNumberFormat="0" applyAlignment="0" applyProtection="0">
      <alignment vertical="center"/>
    </xf>
    <xf numFmtId="0" fontId="30" fillId="12" borderId="17" applyNumberFormat="0" applyAlignment="0" applyProtection="0">
      <alignment vertical="center"/>
    </xf>
    <xf numFmtId="0" fontId="31" fillId="13" borderId="19" applyNumberFormat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40" fillId="0" borderId="0">
      <alignment horizontal="centerContinuous" vertical="center"/>
    </xf>
    <xf numFmtId="0" fontId="41" fillId="0" borderId="0">
      <alignment horizontal="centerContinuous" vertical="center"/>
    </xf>
    <xf numFmtId="1" fontId="42" fillId="41" borderId="22">
      <alignment horizontal="center" vertical="center"/>
    </xf>
    <xf numFmtId="0" fontId="43" fillId="41" borderId="22">
      <alignment horizontal="center" vertical="center" wrapText="1"/>
    </xf>
    <xf numFmtId="0" fontId="44" fillId="41" borderId="22">
      <alignment horizontal="center" vertical="center" wrapText="1"/>
    </xf>
    <xf numFmtId="0" fontId="39" fillId="0" borderId="0"/>
    <xf numFmtId="0" fontId="39" fillId="0" borderId="0"/>
    <xf numFmtId="0" fontId="0" fillId="0" borderId="0"/>
    <xf numFmtId="0" fontId="0" fillId="0" borderId="0"/>
    <xf numFmtId="0" fontId="39" fillId="0" borderId="0"/>
    <xf numFmtId="0" fontId="0" fillId="0" borderId="0"/>
    <xf numFmtId="9" fontId="0" fillId="0" borderId="0"/>
    <xf numFmtId="9" fontId="0" fillId="0" borderId="0"/>
    <xf numFmtId="0" fontId="45" fillId="0" borderId="0">
      <alignment horizontal="right" vertical="center"/>
    </xf>
    <xf numFmtId="0" fontId="39" fillId="0" borderId="0">
      <alignment horizontal="left" vertical="center"/>
    </xf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readingOrder="2"/>
    </xf>
    <xf numFmtId="0" fontId="4" fillId="0" borderId="0" xfId="0" applyFont="1" applyBorder="1" applyAlignment="1">
      <alignment horizontal="right" vertical="top" indent="1"/>
    </xf>
    <xf numFmtId="0" fontId="4" fillId="0" borderId="0" xfId="0" applyFont="1" applyBorder="1" applyAlignment="1">
      <alignment horizontal="right" vertical="top" indent="1"/>
    </xf>
    <xf numFmtId="0" fontId="4" fillId="0" borderId="0" xfId="0" applyFont="1" applyBorder="1" applyAlignment="1">
      <alignment horizontal="right" vertical="top" wrapText="1" indent="1"/>
    </xf>
    <xf numFmtId="0" fontId="4" fillId="0" borderId="0" xfId="0" applyFont="1" applyBorder="1" applyAlignment="1">
      <alignment horizontal="right" vertical="top" wrapText="1" inden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 readingOrder="2"/>
    </xf>
    <xf numFmtId="0" fontId="7" fillId="0" borderId="0" xfId="0" applyFont="1"/>
    <xf numFmtId="0" fontId="8" fillId="0" borderId="0" xfId="0" applyFont="1" applyAlignment="1">
      <alignment horizontal="center"/>
    </xf>
    <xf numFmtId="14" fontId="0" fillId="0" borderId="0" xfId="0" applyNumberFormat="1"/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0" borderId="0" xfId="0" applyBorder="1"/>
    <xf numFmtId="0" fontId="11" fillId="5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indent="1"/>
    </xf>
    <xf numFmtId="0" fontId="4" fillId="0" borderId="0" xfId="0" applyFont="1" applyBorder="1" applyAlignment="1">
      <alignment horizontal="center" indent="1"/>
    </xf>
    <xf numFmtId="0" fontId="4" fillId="0" borderId="0" xfId="0" applyFont="1" applyBorder="1" applyAlignment="1">
      <alignment horizontal="center" wrapText="1" indent="1"/>
    </xf>
    <xf numFmtId="0" fontId="4" fillId="0" borderId="0" xfId="0" applyFont="1" applyBorder="1" applyAlignment="1">
      <alignment horizontal="center" wrapText="1" indent="1"/>
    </xf>
    <xf numFmtId="0" fontId="4" fillId="0" borderId="0" xfId="0" applyFont="1" applyBorder="1" applyAlignment="1">
      <alignment horizontal="right" indent="1"/>
    </xf>
    <xf numFmtId="0" fontId="4" fillId="0" borderId="0" xfId="0" applyFont="1" applyBorder="1" applyAlignment="1">
      <alignment horizontal="right" indent="1"/>
    </xf>
    <xf numFmtId="0" fontId="4" fillId="0" borderId="0" xfId="0" applyFont="1" applyBorder="1" applyAlignment="1">
      <alignment horizontal="right" wrapText="1" indent="1"/>
    </xf>
    <xf numFmtId="0" fontId="4" fillId="0" borderId="0" xfId="0" applyFont="1" applyBorder="1" applyAlignment="1">
      <alignment horizontal="right" wrapText="1" indent="1"/>
    </xf>
    <xf numFmtId="0" fontId="4" fillId="0" borderId="0" xfId="0" applyFont="1" applyBorder="1" applyAlignment="1">
      <alignment horizontal="center" indent="2"/>
    </xf>
    <xf numFmtId="0" fontId="4" fillId="0" borderId="0" xfId="0" applyFont="1" applyBorder="1" applyAlignment="1">
      <alignment horizontal="center" indent="2"/>
    </xf>
    <xf numFmtId="0" fontId="4" fillId="0" borderId="0" xfId="0" applyFont="1" applyBorder="1" applyAlignment="1">
      <alignment horizontal="right" indent="2"/>
    </xf>
    <xf numFmtId="0" fontId="4" fillId="0" borderId="0" xfId="0" applyFont="1" applyBorder="1" applyAlignment="1">
      <alignment horizontal="right" indent="2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right" vertical="center"/>
    </xf>
    <xf numFmtId="0" fontId="13" fillId="7" borderId="7" xfId="0" applyFont="1" applyFill="1" applyBorder="1" applyAlignment="1">
      <alignment horizontal="center" vertical="center" readingOrder="2"/>
    </xf>
    <xf numFmtId="0" fontId="13" fillId="7" borderId="8" xfId="0" applyFont="1" applyFill="1" applyBorder="1" applyAlignment="1">
      <alignment horizontal="center" vertical="center" readingOrder="2"/>
    </xf>
    <xf numFmtId="0" fontId="14" fillId="8" borderId="9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 readingOrder="2"/>
    </xf>
    <xf numFmtId="0" fontId="15" fillId="7" borderId="10" xfId="0" applyFont="1" applyFill="1" applyBorder="1" applyAlignment="1">
      <alignment horizontal="left" vertical="center" indent="2" readingOrder="2"/>
    </xf>
    <xf numFmtId="0" fontId="16" fillId="0" borderId="10" xfId="0" applyFont="1" applyBorder="1" applyAlignment="1" applyProtection="1">
      <alignment horizontal="center" vertical="center"/>
      <protection locked="0"/>
    </xf>
    <xf numFmtId="0" fontId="17" fillId="9" borderId="11" xfId="0" applyFont="1" applyFill="1" applyBorder="1" applyAlignment="1">
      <alignment horizontal="center" vertical="center" readingOrder="2"/>
    </xf>
    <xf numFmtId="0" fontId="15" fillId="7" borderId="12" xfId="0" applyFont="1" applyFill="1" applyBorder="1" applyAlignment="1">
      <alignment horizontal="center" vertical="center" readingOrder="2"/>
    </xf>
    <xf numFmtId="0" fontId="13" fillId="7" borderId="13" xfId="0" applyFont="1" applyFill="1" applyBorder="1" applyAlignment="1">
      <alignment horizontal="center" vertical="center" readingOrder="2"/>
    </xf>
    <xf numFmtId="0" fontId="15" fillId="7" borderId="1" xfId="0" applyFont="1" applyFill="1" applyBorder="1" applyAlignment="1">
      <alignment horizontal="center" vertical="center" readingOrder="2"/>
    </xf>
    <xf numFmtId="0" fontId="18" fillId="7" borderId="10" xfId="0" applyFont="1" applyFill="1" applyBorder="1" applyAlignment="1">
      <alignment horizontal="right" vertical="center" indent="2" readingOrder="2"/>
    </xf>
    <xf numFmtId="0" fontId="19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 wrapText="1"/>
    </xf>
    <xf numFmtId="0" fontId="11" fillId="9" borderId="0" xfId="0" applyFont="1" applyFill="1" applyAlignment="1">
      <alignment horizontal="center" readingOrder="2"/>
    </xf>
    <xf numFmtId="0" fontId="11" fillId="9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2" sqref="B12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55" t="s">
        <v>0</v>
      </c>
      <c r="B1" s="24" t="s">
        <v>1</v>
      </c>
    </row>
    <row r="2" ht="21" customHeight="1" spans="1:2">
      <c r="A2" s="55" t="s">
        <v>2</v>
      </c>
      <c r="B2" s="24" t="s">
        <v>3</v>
      </c>
    </row>
    <row r="3" ht="21" customHeight="1" spans="1:2">
      <c r="A3" s="55" t="s">
        <v>4</v>
      </c>
      <c r="B3" s="56" t="s">
        <v>5</v>
      </c>
    </row>
    <row r="4" ht="21" customHeight="1" spans="1:2">
      <c r="A4" s="55" t="s">
        <v>6</v>
      </c>
      <c r="B4" s="57" t="s">
        <v>7</v>
      </c>
    </row>
    <row r="5" ht="21" customHeight="1" spans="1:2">
      <c r="A5" s="55" t="s">
        <v>8</v>
      </c>
      <c r="B5" s="58" t="s">
        <v>9</v>
      </c>
    </row>
    <row r="6" ht="21" customHeight="1" spans="1:2">
      <c r="A6" s="55" t="s">
        <v>10</v>
      </c>
      <c r="B6" s="58" t="s">
        <v>11</v>
      </c>
    </row>
    <row r="7" ht="21" customHeight="1" spans="1:2">
      <c r="A7" s="55" t="s">
        <v>12</v>
      </c>
      <c r="B7" s="59" t="s">
        <v>13</v>
      </c>
    </row>
    <row r="8" ht="21" customHeight="1" spans="1:2">
      <c r="A8" s="55" t="s">
        <v>14</v>
      </c>
      <c r="B8" s="59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8"/>
  <sheetViews>
    <sheetView tabSelected="1" view="pageBreakPreview" zoomScale="55" zoomScaleNormal="100" workbookViewId="0">
      <selection activeCell="J6" sqref="C6:J6"/>
    </sheetView>
  </sheetViews>
  <sheetFormatPr defaultColWidth="16.75" defaultRowHeight="14.25"/>
  <cols>
    <col min="2" max="2" width="51.375" customWidth="1"/>
    <col min="3" max="4" width="21.875" customWidth="1"/>
    <col min="5" max="5" width="23.875" customWidth="1"/>
    <col min="6" max="6" width="20" customWidth="1"/>
    <col min="7" max="7" width="19.6916666666667" customWidth="1"/>
    <col min="8" max="8" width="13.4333333333333" customWidth="1"/>
    <col min="9" max="9" width="17.75" customWidth="1"/>
    <col min="10" max="10" width="12.375" customWidth="1"/>
    <col min="11" max="11" width="37.9083333333333" customWidth="1"/>
    <col min="12" max="12" width="25.75" customWidth="1"/>
  </cols>
  <sheetData>
    <row r="2" ht="28.15" customHeight="1" spans="2:11">
      <c r="B2" s="37" t="str">
        <f>'Cover Page'!B4</f>
        <v>Number of Newspapers, Magazines and Periodicals</v>
      </c>
      <c r="C2" s="38"/>
      <c r="D2" s="38"/>
      <c r="E2" s="38"/>
      <c r="F2" s="38"/>
      <c r="G2" s="38"/>
      <c r="H2" s="38"/>
      <c r="I2" s="38"/>
      <c r="J2" s="38"/>
      <c r="K2" s="38"/>
    </row>
    <row r="3" ht="28.15" customHeight="1" spans="2:11">
      <c r="B3" s="39" t="str">
        <f>'Cover Page'!B3</f>
        <v>أعداد الصحف والمجلات والدوريات</v>
      </c>
      <c r="C3" s="40"/>
      <c r="D3" s="40"/>
      <c r="E3" s="40"/>
      <c r="F3" s="40"/>
      <c r="G3" s="40"/>
      <c r="H3" s="40"/>
      <c r="I3" s="40"/>
      <c r="J3" s="40"/>
      <c r="K3" s="40"/>
    </row>
    <row r="4" ht="28.15" customHeight="1" spans="2:11">
      <c r="B4" s="41" t="s">
        <v>16</v>
      </c>
      <c r="C4" s="42"/>
      <c r="D4" s="42"/>
      <c r="E4" s="42"/>
      <c r="F4" s="43">
        <f>YEAR('Template Data'!B1)</f>
        <v>2024</v>
      </c>
      <c r="G4" s="42"/>
      <c r="H4" s="42"/>
      <c r="J4" s="42"/>
      <c r="K4" s="50" t="s">
        <v>17</v>
      </c>
    </row>
    <row r="5" ht="28.15" customHeight="1" spans="2:11">
      <c r="B5" s="44" t="s">
        <v>18</v>
      </c>
      <c r="C5" s="45" t="s">
        <v>19</v>
      </c>
      <c r="D5" s="45" t="s">
        <v>20</v>
      </c>
      <c r="E5" s="45" t="s">
        <v>21</v>
      </c>
      <c r="F5" s="45" t="s">
        <v>22</v>
      </c>
      <c r="G5" s="45" t="s">
        <v>23</v>
      </c>
      <c r="H5" s="46" t="s">
        <v>24</v>
      </c>
      <c r="I5" s="51" t="s">
        <v>25</v>
      </c>
      <c r="J5" s="46" t="s">
        <v>26</v>
      </c>
      <c r="K5" s="52" t="s">
        <v>27</v>
      </c>
    </row>
    <row r="6" ht="19.9" customHeight="1" spans="2:11">
      <c r="B6" s="47"/>
      <c r="C6" s="45" t="s">
        <v>28</v>
      </c>
      <c r="D6" s="45" t="s">
        <v>29</v>
      </c>
      <c r="E6" s="45" t="s">
        <v>30</v>
      </c>
      <c r="F6" s="45" t="s">
        <v>11</v>
      </c>
      <c r="G6" s="45" t="s">
        <v>31</v>
      </c>
      <c r="H6" s="46" t="s">
        <v>32</v>
      </c>
      <c r="I6" s="53" t="s">
        <v>33</v>
      </c>
      <c r="J6" s="46" t="s">
        <v>34</v>
      </c>
      <c r="K6" s="52"/>
    </row>
    <row r="7" ht="22.15" customHeight="1" spans="2:11">
      <c r="B7" s="48" t="s">
        <v>35</v>
      </c>
      <c r="C7" s="49"/>
      <c r="D7" s="49"/>
      <c r="E7" s="49"/>
      <c r="F7" s="49"/>
      <c r="G7" s="49"/>
      <c r="H7" s="49"/>
      <c r="I7" s="49"/>
      <c r="J7" s="49"/>
      <c r="K7" s="54" t="s">
        <v>36</v>
      </c>
    </row>
    <row r="8" ht="22.15" customHeight="1" spans="2:11">
      <c r="B8" s="48" t="s">
        <v>37</v>
      </c>
      <c r="C8" s="49"/>
      <c r="D8" s="49"/>
      <c r="E8" s="49"/>
      <c r="F8" s="49"/>
      <c r="G8" s="49"/>
      <c r="H8" s="49"/>
      <c r="I8" s="49"/>
      <c r="J8" s="49"/>
      <c r="K8" s="54" t="s">
        <v>38</v>
      </c>
    </row>
    <row r="9" ht="22.15" customHeight="1" spans="2:11">
      <c r="B9" s="48" t="s">
        <v>39</v>
      </c>
      <c r="C9" s="49"/>
      <c r="D9" s="49"/>
      <c r="E9" s="49"/>
      <c r="F9" s="49"/>
      <c r="G9" s="49"/>
      <c r="H9" s="49"/>
      <c r="I9" s="49"/>
      <c r="J9" s="49"/>
      <c r="K9" s="54" t="s">
        <v>40</v>
      </c>
    </row>
    <row r="10" ht="22.15" customHeight="1" spans="2:11">
      <c r="B10" s="48" t="s">
        <v>41</v>
      </c>
      <c r="C10" s="49"/>
      <c r="D10" s="49"/>
      <c r="E10" s="49"/>
      <c r="F10" s="49"/>
      <c r="G10" s="49"/>
      <c r="H10" s="49"/>
      <c r="I10" s="49"/>
      <c r="J10" s="49"/>
      <c r="K10" s="54" t="s">
        <v>42</v>
      </c>
    </row>
    <row r="11" ht="22.15" customHeight="1" spans="2:11">
      <c r="B11" s="48" t="s">
        <v>43</v>
      </c>
      <c r="C11" s="49"/>
      <c r="D11" s="49"/>
      <c r="E11" s="49"/>
      <c r="F11" s="49"/>
      <c r="G11" s="49"/>
      <c r="H11" s="49"/>
      <c r="I11" s="49"/>
      <c r="J11" s="49"/>
      <c r="K11" s="54" t="s">
        <v>44</v>
      </c>
    </row>
    <row r="12" ht="22.15" customHeight="1" spans="2:11">
      <c r="B12" s="48" t="s">
        <v>45</v>
      </c>
      <c r="C12" s="49"/>
      <c r="D12" s="49"/>
      <c r="E12" s="49"/>
      <c r="F12" s="49"/>
      <c r="G12" s="49"/>
      <c r="H12" s="49"/>
      <c r="I12" s="49"/>
      <c r="J12" s="49"/>
      <c r="K12" s="54" t="s">
        <v>46</v>
      </c>
    </row>
    <row r="13" ht="22.15" customHeight="1" spans="2:11">
      <c r="B13" s="48" t="s">
        <v>47</v>
      </c>
      <c r="C13" s="49"/>
      <c r="D13" s="49"/>
      <c r="E13" s="49"/>
      <c r="F13" s="49"/>
      <c r="G13" s="49"/>
      <c r="H13" s="49"/>
      <c r="I13" s="49"/>
      <c r="J13" s="49"/>
      <c r="K13" s="54" t="s">
        <v>48</v>
      </c>
    </row>
    <row r="14" ht="22.15" customHeight="1" spans="2:11">
      <c r="B14" s="48" t="s">
        <v>49</v>
      </c>
      <c r="C14" s="49"/>
      <c r="D14" s="49"/>
      <c r="E14" s="49"/>
      <c r="F14" s="49"/>
      <c r="G14" s="49"/>
      <c r="H14" s="49"/>
      <c r="I14" s="49"/>
      <c r="J14" s="49"/>
      <c r="K14" s="54" t="s">
        <v>50</v>
      </c>
    </row>
    <row r="15" ht="22.15" customHeight="1" spans="2:11">
      <c r="B15" s="48" t="s">
        <v>51</v>
      </c>
      <c r="C15" s="49"/>
      <c r="D15" s="49"/>
      <c r="E15" s="49"/>
      <c r="F15" s="49"/>
      <c r="G15" s="49"/>
      <c r="H15" s="49"/>
      <c r="I15" s="49"/>
      <c r="J15" s="49"/>
      <c r="K15" s="54" t="s">
        <v>52</v>
      </c>
    </row>
    <row r="16" ht="22.15" customHeight="1" spans="2:11">
      <c r="B16" s="48" t="s">
        <v>53</v>
      </c>
      <c r="C16" s="49"/>
      <c r="D16" s="49"/>
      <c r="E16" s="49"/>
      <c r="F16" s="49"/>
      <c r="G16" s="49"/>
      <c r="H16" s="49"/>
      <c r="I16" s="49"/>
      <c r="J16" s="49"/>
      <c r="K16" s="54" t="s">
        <v>54</v>
      </c>
    </row>
    <row r="17" ht="22.15" customHeight="1" spans="2:11">
      <c r="B17" s="48" t="s">
        <v>55</v>
      </c>
      <c r="C17" s="49"/>
      <c r="D17" s="49"/>
      <c r="E17" s="49"/>
      <c r="F17" s="49"/>
      <c r="G17" s="49"/>
      <c r="H17" s="49"/>
      <c r="I17" s="49"/>
      <c r="J17" s="49"/>
      <c r="K17" s="54" t="s">
        <v>56</v>
      </c>
    </row>
    <row r="18" ht="22.15" customHeight="1" spans="2:11">
      <c r="B18" s="48" t="s">
        <v>57</v>
      </c>
      <c r="C18" s="49"/>
      <c r="D18" s="49"/>
      <c r="E18" s="49"/>
      <c r="F18" s="49"/>
      <c r="G18" s="49"/>
      <c r="H18" s="49"/>
      <c r="I18" s="49"/>
      <c r="J18" s="49"/>
      <c r="K18" s="54" t="s">
        <v>58</v>
      </c>
    </row>
  </sheetData>
  <sheetProtection algorithmName="SHA-512" hashValue="TO3xGXk2RZ61XzN4LzM6+MXGhG21+7LNq96nzUuVOkTdsMzUlYN/qdMOo6V7VZqiBdtf97iJY/7uxdG0cFwx6A==" saltValue="kkvPBtlmEonL6u5ZdEgk1g==" spinCount="100000" sheet="1" objects="1"/>
  <mergeCells count="4">
    <mergeCell ref="B2:K2"/>
    <mergeCell ref="B3:K3"/>
    <mergeCell ref="B5:B6"/>
    <mergeCell ref="K5:K6"/>
  </mergeCells>
  <pageMargins left="0.7" right="0.7" top="0.75" bottom="0.75" header="0.3" footer="0.3"/>
  <pageSetup paperSize="1" scale="2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7"/>
  <sheetViews>
    <sheetView zoomScale="70" zoomScaleNormal="70" topLeftCell="C1" workbookViewId="0">
      <selection activeCell="I3" sqref="H3:I3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9" width="24.75" customWidth="1"/>
    <col min="10" max="10" width="23.375" style="23" customWidth="1"/>
    <col min="11" max="11" width="36.5" customWidth="1"/>
    <col min="12" max="14" width="15.5" customWidth="1"/>
  </cols>
  <sheetData>
    <row r="1" ht="20.25" spans="1:10">
      <c r="A1" s="24" t="s">
        <v>59</v>
      </c>
      <c r="J1"/>
    </row>
    <row r="2" s="18" customFormat="1" ht="18" customHeight="1" spans="1:12">
      <c r="A2" s="21" t="s">
        <v>60</v>
      </c>
      <c r="B2" s="21" t="s">
        <v>61</v>
      </c>
      <c r="C2" s="21" t="s">
        <v>62</v>
      </c>
      <c r="D2" s="21" t="s">
        <v>63</v>
      </c>
      <c r="E2" s="21" t="s">
        <v>64</v>
      </c>
      <c r="F2" s="22" t="s">
        <v>65</v>
      </c>
      <c r="G2" s="22" t="s">
        <v>66</v>
      </c>
      <c r="H2" s="22" t="s">
        <v>67</v>
      </c>
      <c r="I2" s="22" t="s">
        <v>68</v>
      </c>
      <c r="J2" s="21" t="s">
        <v>69</v>
      </c>
      <c r="K2" s="21" t="s">
        <v>70</v>
      </c>
      <c r="L2" s="21" t="s">
        <v>71</v>
      </c>
    </row>
    <row r="3" s="18" customFormat="1" ht="18" customHeight="1" spans="1:12">
      <c r="A3" s="21" t="s">
        <v>72</v>
      </c>
      <c r="B3" s="21" t="s">
        <v>73</v>
      </c>
      <c r="C3" s="21" t="s">
        <v>74</v>
      </c>
      <c r="D3" s="21" t="s">
        <v>75</v>
      </c>
      <c r="E3" s="21" t="s">
        <v>76</v>
      </c>
      <c r="F3" s="22" t="s">
        <v>18</v>
      </c>
      <c r="G3" s="22" t="s">
        <v>27</v>
      </c>
      <c r="H3" s="22" t="s">
        <v>77</v>
      </c>
      <c r="I3" s="22" t="s">
        <v>78</v>
      </c>
      <c r="J3" s="21" t="s">
        <v>79</v>
      </c>
      <c r="K3" s="21" t="s">
        <v>80</v>
      </c>
      <c r="L3" s="21" t="s">
        <v>81</v>
      </c>
    </row>
    <row r="4" ht="15.75" spans="1:11">
      <c r="A4" s="1" t="s">
        <v>5</v>
      </c>
      <c r="B4" s="1" t="s">
        <v>7</v>
      </c>
      <c r="C4" s="2" t="s">
        <v>82</v>
      </c>
      <c r="D4" s="3" t="s">
        <v>83</v>
      </c>
      <c r="E4" s="4" t="s">
        <v>84</v>
      </c>
      <c r="F4" t="str">
        <f>'Source Table'!$B$7</f>
        <v>Political Newspapers</v>
      </c>
      <c r="G4" t="str">
        <f>'Source Table'!$K$7</f>
        <v>صحف سياسية</v>
      </c>
      <c r="H4" t="str">
        <f>'Source Table'!$J$6</f>
        <v>Daily</v>
      </c>
      <c r="I4" t="str">
        <f>'Source Table'!$J$5</f>
        <v>يومية</v>
      </c>
      <c r="J4" s="5">
        <v>10</v>
      </c>
      <c r="K4">
        <v>2023</v>
      </c>
    </row>
    <row r="5" ht="15.75" spans="1:11">
      <c r="A5" s="1" t="s">
        <v>5</v>
      </c>
      <c r="B5" s="1" t="s">
        <v>7</v>
      </c>
      <c r="C5" s="2" t="s">
        <v>82</v>
      </c>
      <c r="D5" s="3" t="s">
        <v>83</v>
      </c>
      <c r="E5" s="4" t="s">
        <v>84</v>
      </c>
      <c r="F5" t="str">
        <f>'Source Table'!$B$8</f>
        <v>Parties Newspapers</v>
      </c>
      <c r="G5" t="str">
        <f>'Source Table'!$K$8</f>
        <v>صحف حزبية</v>
      </c>
      <c r="H5" t="str">
        <f>'Source Table'!$J$6</f>
        <v>Daily</v>
      </c>
      <c r="I5" t="str">
        <f>'Source Table'!$J$5</f>
        <v>يومية</v>
      </c>
      <c r="J5" s="5">
        <v>0</v>
      </c>
      <c r="K5">
        <v>2023</v>
      </c>
    </row>
    <row r="6" ht="15.75" spans="1:11">
      <c r="A6" s="1" t="s">
        <v>5</v>
      </c>
      <c r="B6" s="1" t="s">
        <v>7</v>
      </c>
      <c r="C6" s="2" t="s">
        <v>82</v>
      </c>
      <c r="D6" s="3" t="s">
        <v>83</v>
      </c>
      <c r="E6" s="4" t="s">
        <v>84</v>
      </c>
      <c r="F6" t="str">
        <f>'Source Table'!$B$9</f>
        <v>Children Magazines &amp; Periodicals</v>
      </c>
      <c r="G6" t="str">
        <f>'Source Table'!$K$9</f>
        <v>المجلات والدوريات الأطفال</v>
      </c>
      <c r="H6" t="str">
        <f>'Source Table'!$J$6</f>
        <v>Daily</v>
      </c>
      <c r="I6" t="str">
        <f>'Source Table'!$J$5</f>
        <v>يومية</v>
      </c>
      <c r="J6" s="5">
        <v>0</v>
      </c>
      <c r="K6">
        <v>2023</v>
      </c>
    </row>
    <row r="7" ht="15.75" spans="1:11">
      <c r="A7" s="1" t="s">
        <v>5</v>
      </c>
      <c r="B7" s="1" t="s">
        <v>7</v>
      </c>
      <c r="C7" s="2" t="s">
        <v>82</v>
      </c>
      <c r="D7" s="3" t="s">
        <v>83</v>
      </c>
      <c r="E7" s="4" t="s">
        <v>84</v>
      </c>
      <c r="F7" t="str">
        <f>'Source Table'!$B$10</f>
        <v>Economic Magazines &amp; Periodicals</v>
      </c>
      <c r="G7" t="str">
        <f>'Source Table'!$K$10</f>
        <v>المجلات والدوريات الاقتصادية</v>
      </c>
      <c r="H7" t="str">
        <f>'Source Table'!$J$6</f>
        <v>Daily</v>
      </c>
      <c r="I7" t="str">
        <f>'Source Table'!$J$5</f>
        <v>يومية</v>
      </c>
      <c r="J7" s="5">
        <v>0</v>
      </c>
      <c r="K7">
        <v>2023</v>
      </c>
    </row>
    <row r="8" ht="15.75" spans="1:11">
      <c r="A8" s="1" t="s">
        <v>5</v>
      </c>
      <c r="B8" s="1" t="s">
        <v>7</v>
      </c>
      <c r="C8" s="2" t="s">
        <v>82</v>
      </c>
      <c r="D8" s="3" t="s">
        <v>83</v>
      </c>
      <c r="E8" s="4" t="s">
        <v>84</v>
      </c>
      <c r="F8" t="str">
        <f>'Source Table'!$B$11</f>
        <v>Army &amp; Police Magazines &amp; Periodicals</v>
      </c>
      <c r="G8" t="str">
        <f>'Source Table'!$K$11</f>
        <v>المجلات والدوريات العسكرية و شرطية</v>
      </c>
      <c r="H8" t="str">
        <f>'Source Table'!$J$6</f>
        <v>Daily</v>
      </c>
      <c r="I8" t="str">
        <f>'Source Table'!$J$5</f>
        <v>يومية</v>
      </c>
      <c r="J8" s="5">
        <v>0</v>
      </c>
      <c r="K8">
        <v>2023</v>
      </c>
    </row>
    <row r="9" ht="15.75" spans="1:11">
      <c r="A9" s="1" t="s">
        <v>5</v>
      </c>
      <c r="B9" s="1" t="s">
        <v>7</v>
      </c>
      <c r="C9" s="2" t="s">
        <v>82</v>
      </c>
      <c r="D9" s="3" t="s">
        <v>83</v>
      </c>
      <c r="E9" s="4" t="s">
        <v>84</v>
      </c>
      <c r="F9" t="str">
        <f>'Source Table'!$B$12</f>
        <v>Youths &amp; Arts Magazines &amp; Periodicals</v>
      </c>
      <c r="G9" t="str">
        <f>'Source Table'!$K$12</f>
        <v>المجلات والدوريات الشباب و الفنون</v>
      </c>
      <c r="H9" t="str">
        <f>'Source Table'!$J$6</f>
        <v>Daily</v>
      </c>
      <c r="I9" t="str">
        <f>'Source Table'!$J$5</f>
        <v>يومية</v>
      </c>
      <c r="J9" s="5">
        <v>0</v>
      </c>
      <c r="K9">
        <v>2023</v>
      </c>
    </row>
    <row r="10" ht="15.75" spans="1:11">
      <c r="A10" s="1" t="s">
        <v>5</v>
      </c>
      <c r="B10" s="1" t="s">
        <v>7</v>
      </c>
      <c r="C10" s="2" t="s">
        <v>82</v>
      </c>
      <c r="D10" s="3" t="s">
        <v>83</v>
      </c>
      <c r="E10" s="4" t="s">
        <v>84</v>
      </c>
      <c r="F10" t="str">
        <f>'Source Table'!$B$13</f>
        <v>Cultural &amp; Educational Magazines &amp; Periodicals</v>
      </c>
      <c r="G10" t="str">
        <f>'Source Table'!$K$13</f>
        <v>المجلات والدوريات الثقافية و المدرسية</v>
      </c>
      <c r="H10" t="str">
        <f>'Source Table'!$J$6</f>
        <v>Daily</v>
      </c>
      <c r="I10" t="str">
        <f>'Source Table'!$J$5</f>
        <v>يومية</v>
      </c>
      <c r="J10" s="5">
        <v>0</v>
      </c>
      <c r="K10">
        <v>2023</v>
      </c>
    </row>
    <row r="11" ht="15.75" spans="1:11">
      <c r="A11" s="1" t="s">
        <v>5</v>
      </c>
      <c r="B11" s="1" t="s">
        <v>7</v>
      </c>
      <c r="C11" s="2" t="s">
        <v>82</v>
      </c>
      <c r="D11" s="3" t="s">
        <v>83</v>
      </c>
      <c r="E11" s="4" t="s">
        <v>84</v>
      </c>
      <c r="F11" t="str">
        <f>'Source Table'!$B$14</f>
        <v>Religious Magazines &amp; Periodicals</v>
      </c>
      <c r="G11" t="str">
        <f>'Source Table'!$K$14</f>
        <v>المجلات والدوريات الدينية</v>
      </c>
      <c r="H11" t="str">
        <f>'Source Table'!$J$6</f>
        <v>Daily</v>
      </c>
      <c r="I11" t="str">
        <f>'Source Table'!$J$5</f>
        <v>يومية</v>
      </c>
      <c r="J11" s="5">
        <v>0</v>
      </c>
      <c r="K11">
        <v>2023</v>
      </c>
    </row>
    <row r="12" ht="15.75" spans="1:11">
      <c r="A12" s="1" t="s">
        <v>5</v>
      </c>
      <c r="B12" s="1" t="s">
        <v>7</v>
      </c>
      <c r="C12" s="2" t="s">
        <v>82</v>
      </c>
      <c r="D12" s="3" t="s">
        <v>83</v>
      </c>
      <c r="E12" s="4" t="s">
        <v>84</v>
      </c>
      <c r="F12" t="str">
        <f>'Source Table'!$B$15</f>
        <v>Scientific Magazines &amp; Periodicals</v>
      </c>
      <c r="G12" t="str">
        <f>'Source Table'!$K$15</f>
        <v>المجلات والدوريات العلمية</v>
      </c>
      <c r="H12" t="str">
        <f>'Source Table'!$J$6</f>
        <v>Daily</v>
      </c>
      <c r="I12" t="str">
        <f>'Source Table'!$J$5</f>
        <v>يومية</v>
      </c>
      <c r="J12" s="5">
        <v>0</v>
      </c>
      <c r="K12">
        <v>2023</v>
      </c>
    </row>
    <row r="13" ht="15.75" spans="1:11">
      <c r="A13" s="1" t="s">
        <v>5</v>
      </c>
      <c r="B13" s="1" t="s">
        <v>7</v>
      </c>
      <c r="C13" s="2" t="s">
        <v>82</v>
      </c>
      <c r="D13" s="3" t="s">
        <v>83</v>
      </c>
      <c r="E13" s="4" t="s">
        <v>84</v>
      </c>
      <c r="F13" t="str">
        <f>'Source Table'!$B$16</f>
        <v>Financial Magazines &amp; Periodicals</v>
      </c>
      <c r="G13" t="str">
        <f>'Source Table'!$K$16</f>
        <v>المجلات والدوريات المالية</v>
      </c>
      <c r="H13" t="str">
        <f>'Source Table'!$J$6</f>
        <v>Daily</v>
      </c>
      <c r="I13" t="str">
        <f>'Source Table'!$J$5</f>
        <v>يومية</v>
      </c>
      <c r="J13" s="5">
        <v>0</v>
      </c>
      <c r="K13">
        <v>2023</v>
      </c>
    </row>
    <row r="14" ht="15.75" spans="1:11">
      <c r="A14" s="1" t="s">
        <v>5</v>
      </c>
      <c r="B14" s="1" t="s">
        <v>7</v>
      </c>
      <c r="C14" s="2" t="s">
        <v>82</v>
      </c>
      <c r="D14" s="3" t="s">
        <v>83</v>
      </c>
      <c r="E14" s="4" t="s">
        <v>84</v>
      </c>
      <c r="F14" t="str">
        <f>'Source Table'!$B$17</f>
        <v>Tourist Magazines &amp; Periodicals</v>
      </c>
      <c r="G14" t="str">
        <f>'Source Table'!$K$17</f>
        <v>المجلات والدوريات سياحية</v>
      </c>
      <c r="H14" t="str">
        <f>'Source Table'!$J$6</f>
        <v>Daily</v>
      </c>
      <c r="I14" t="str">
        <f>'Source Table'!$J$5</f>
        <v>يومية</v>
      </c>
      <c r="J14" s="5">
        <v>0</v>
      </c>
      <c r="K14">
        <v>2023</v>
      </c>
    </row>
    <row r="15" ht="16.5" spans="1:11">
      <c r="A15" s="1" t="s">
        <v>5</v>
      </c>
      <c r="B15" s="1" t="s">
        <v>7</v>
      </c>
      <c r="C15" s="2" t="s">
        <v>82</v>
      </c>
      <c r="D15" s="3" t="s">
        <v>83</v>
      </c>
      <c r="E15" s="4" t="s">
        <v>84</v>
      </c>
      <c r="F15" t="str">
        <f>'Source Table'!$B$18</f>
        <v>Other Magazines &amp; Periodicals</v>
      </c>
      <c r="G15" t="str">
        <f>'Source Table'!$K$18</f>
        <v>المجلات والدوريات أخرى</v>
      </c>
      <c r="H15" t="str">
        <f>'Source Table'!$J$6</f>
        <v>Daily</v>
      </c>
      <c r="I15" t="str">
        <f>'Source Table'!$J$5</f>
        <v>يومية</v>
      </c>
      <c r="J15" s="6">
        <v>0</v>
      </c>
      <c r="K15">
        <v>2023</v>
      </c>
    </row>
    <row r="16" ht="15.75" spans="1:11">
      <c r="A16" s="1" t="s">
        <v>5</v>
      </c>
      <c r="B16" s="1" t="s">
        <v>7</v>
      </c>
      <c r="C16" s="2" t="s">
        <v>82</v>
      </c>
      <c r="D16" s="3" t="s">
        <v>83</v>
      </c>
      <c r="E16" s="4" t="s">
        <v>84</v>
      </c>
      <c r="F16" t="str">
        <f>'Source Table'!$B$7</f>
        <v>Political Newspapers</v>
      </c>
      <c r="G16" t="str">
        <f>'Source Table'!$K$7</f>
        <v>صحف سياسية</v>
      </c>
      <c r="H16" t="str">
        <f>'Source Table'!$I$6</f>
        <v>Weekly</v>
      </c>
      <c r="I16" t="str">
        <f>'Source Table'!$I$5</f>
        <v>أسبوعية</v>
      </c>
      <c r="J16" s="7">
        <v>6</v>
      </c>
      <c r="K16">
        <v>2023</v>
      </c>
    </row>
    <row r="17" ht="15.75" spans="1:11">
      <c r="A17" s="1" t="s">
        <v>5</v>
      </c>
      <c r="B17" s="1" t="s">
        <v>7</v>
      </c>
      <c r="C17" s="2" t="s">
        <v>82</v>
      </c>
      <c r="D17" s="3" t="s">
        <v>83</v>
      </c>
      <c r="E17" s="4" t="s">
        <v>84</v>
      </c>
      <c r="F17" t="str">
        <f>'Source Table'!$B$8</f>
        <v>Parties Newspapers</v>
      </c>
      <c r="G17" t="str">
        <f>'Source Table'!$K$8</f>
        <v>صحف حزبية</v>
      </c>
      <c r="H17" t="str">
        <f>'Source Table'!$I$6</f>
        <v>Weekly</v>
      </c>
      <c r="I17" t="str">
        <f>'Source Table'!$I$5</f>
        <v>أسبوعية</v>
      </c>
      <c r="J17" s="7">
        <v>1</v>
      </c>
      <c r="K17">
        <v>2023</v>
      </c>
    </row>
    <row r="18" ht="15.75" spans="1:11">
      <c r="A18" s="1" t="s">
        <v>5</v>
      </c>
      <c r="B18" s="1" t="s">
        <v>7</v>
      </c>
      <c r="C18" s="2" t="s">
        <v>82</v>
      </c>
      <c r="D18" s="3" t="s">
        <v>83</v>
      </c>
      <c r="E18" s="4" t="s">
        <v>84</v>
      </c>
      <c r="F18" t="str">
        <f>'Source Table'!$B$9</f>
        <v>Children Magazines &amp; Periodicals</v>
      </c>
      <c r="G18" t="str">
        <f>'Source Table'!$K$9</f>
        <v>المجلات والدوريات الأطفال</v>
      </c>
      <c r="H18" t="str">
        <f>'Source Table'!$I$6</f>
        <v>Weekly</v>
      </c>
      <c r="I18" t="str">
        <f>'Source Table'!$I$5</f>
        <v>أسبوعية</v>
      </c>
      <c r="J18" s="7">
        <v>0</v>
      </c>
      <c r="K18">
        <v>2023</v>
      </c>
    </row>
    <row r="19" ht="15.75" spans="1:11">
      <c r="A19" s="1" t="s">
        <v>5</v>
      </c>
      <c r="B19" s="1" t="s">
        <v>7</v>
      </c>
      <c r="C19" s="2" t="s">
        <v>82</v>
      </c>
      <c r="D19" s="3" t="s">
        <v>83</v>
      </c>
      <c r="E19" s="4" t="s">
        <v>84</v>
      </c>
      <c r="F19" t="str">
        <f>'Source Table'!$B$10</f>
        <v>Economic Magazines &amp; Periodicals</v>
      </c>
      <c r="G19" t="str">
        <f>'Source Table'!$K$10</f>
        <v>المجلات والدوريات الاقتصادية</v>
      </c>
      <c r="H19" t="str">
        <f>'Source Table'!$I$6</f>
        <v>Weekly</v>
      </c>
      <c r="I19" t="str">
        <f>'Source Table'!$I$5</f>
        <v>أسبوعية</v>
      </c>
      <c r="J19" s="7">
        <v>0</v>
      </c>
      <c r="K19">
        <v>2023</v>
      </c>
    </row>
    <row r="20" ht="15.75" spans="1:11">
      <c r="A20" s="1" t="s">
        <v>5</v>
      </c>
      <c r="B20" s="1" t="s">
        <v>7</v>
      </c>
      <c r="C20" s="2" t="s">
        <v>82</v>
      </c>
      <c r="D20" s="3" t="s">
        <v>83</v>
      </c>
      <c r="E20" s="4" t="s">
        <v>84</v>
      </c>
      <c r="F20" t="str">
        <f>'Source Table'!$B$11</f>
        <v>Army &amp; Police Magazines &amp; Periodicals</v>
      </c>
      <c r="G20" t="str">
        <f>'Source Table'!$K$11</f>
        <v>المجلات والدوريات العسكرية و شرطية</v>
      </c>
      <c r="H20" t="str">
        <f>'Source Table'!$I$6</f>
        <v>Weekly</v>
      </c>
      <c r="I20" t="str">
        <f>'Source Table'!$I$5</f>
        <v>أسبوعية</v>
      </c>
      <c r="J20" s="7">
        <v>0</v>
      </c>
      <c r="K20">
        <v>2023</v>
      </c>
    </row>
    <row r="21" ht="15.75" spans="1:11">
      <c r="A21" s="1" t="s">
        <v>5</v>
      </c>
      <c r="B21" s="1" t="s">
        <v>7</v>
      </c>
      <c r="C21" s="2" t="s">
        <v>82</v>
      </c>
      <c r="D21" s="3" t="s">
        <v>83</v>
      </c>
      <c r="E21" s="4" t="s">
        <v>84</v>
      </c>
      <c r="F21" t="str">
        <f>'Source Table'!$B$12</f>
        <v>Youths &amp; Arts Magazines &amp; Periodicals</v>
      </c>
      <c r="G21" t="str">
        <f>'Source Table'!$K$12</f>
        <v>المجلات والدوريات الشباب و الفنون</v>
      </c>
      <c r="H21" t="str">
        <f>'Source Table'!$I$6</f>
        <v>Weekly</v>
      </c>
      <c r="I21" t="str">
        <f>'Source Table'!$I$5</f>
        <v>أسبوعية</v>
      </c>
      <c r="J21" s="7">
        <v>1</v>
      </c>
      <c r="K21">
        <v>2023</v>
      </c>
    </row>
    <row r="22" ht="15.75" spans="1:11">
      <c r="A22" s="1" t="s">
        <v>5</v>
      </c>
      <c r="B22" s="1" t="s">
        <v>7</v>
      </c>
      <c r="C22" s="2" t="s">
        <v>82</v>
      </c>
      <c r="D22" s="3" t="s">
        <v>83</v>
      </c>
      <c r="E22" s="4" t="s">
        <v>84</v>
      </c>
      <c r="F22" t="str">
        <f>'Source Table'!$B$13</f>
        <v>Cultural &amp; Educational Magazines &amp; Periodicals</v>
      </c>
      <c r="G22" t="str">
        <f>'Source Table'!$K$13</f>
        <v>المجلات والدوريات الثقافية و المدرسية</v>
      </c>
      <c r="H22" t="str">
        <f>'Source Table'!$I$6</f>
        <v>Weekly</v>
      </c>
      <c r="I22" t="str">
        <f>'Source Table'!$I$5</f>
        <v>أسبوعية</v>
      </c>
      <c r="J22" s="7">
        <v>0</v>
      </c>
      <c r="K22">
        <v>2023</v>
      </c>
    </row>
    <row r="23" ht="15.75" spans="1:11">
      <c r="A23" s="1" t="s">
        <v>5</v>
      </c>
      <c r="B23" s="1" t="s">
        <v>7</v>
      </c>
      <c r="C23" s="2" t="s">
        <v>82</v>
      </c>
      <c r="D23" s="3" t="s">
        <v>83</v>
      </c>
      <c r="E23" s="4" t="s">
        <v>84</v>
      </c>
      <c r="F23" t="str">
        <f>'Source Table'!$B$14</f>
        <v>Religious Magazines &amp; Periodicals</v>
      </c>
      <c r="G23" t="str">
        <f>'Source Table'!$K$14</f>
        <v>المجلات والدوريات الدينية</v>
      </c>
      <c r="H23" t="str">
        <f>'Source Table'!$I$6</f>
        <v>Weekly</v>
      </c>
      <c r="I23" t="str">
        <f>'Source Table'!$I$5</f>
        <v>أسبوعية</v>
      </c>
      <c r="J23" s="7">
        <v>0</v>
      </c>
      <c r="K23">
        <v>2023</v>
      </c>
    </row>
    <row r="24" ht="15.75" spans="1:11">
      <c r="A24" s="1" t="s">
        <v>5</v>
      </c>
      <c r="B24" s="1" t="s">
        <v>7</v>
      </c>
      <c r="C24" s="2" t="s">
        <v>82</v>
      </c>
      <c r="D24" s="3" t="s">
        <v>83</v>
      </c>
      <c r="E24" s="4" t="s">
        <v>84</v>
      </c>
      <c r="F24" t="str">
        <f>'Source Table'!$B$15</f>
        <v>Scientific Magazines &amp; Periodicals</v>
      </c>
      <c r="G24" t="str">
        <f>'Source Table'!$K$15</f>
        <v>المجلات والدوريات العلمية</v>
      </c>
      <c r="H24" t="str">
        <f>'Source Table'!$I$6</f>
        <v>Weekly</v>
      </c>
      <c r="I24" t="str">
        <f>'Source Table'!$I$5</f>
        <v>أسبوعية</v>
      </c>
      <c r="J24" s="7">
        <v>0</v>
      </c>
      <c r="K24">
        <v>2023</v>
      </c>
    </row>
    <row r="25" ht="15.75" spans="1:11">
      <c r="A25" s="1" t="s">
        <v>5</v>
      </c>
      <c r="B25" s="1" t="s">
        <v>7</v>
      </c>
      <c r="C25" s="2" t="s">
        <v>82</v>
      </c>
      <c r="D25" s="3" t="s">
        <v>83</v>
      </c>
      <c r="E25" s="4" t="s">
        <v>84</v>
      </c>
      <c r="F25" t="str">
        <f>'Source Table'!$B$16</f>
        <v>Financial Magazines &amp; Periodicals</v>
      </c>
      <c r="G25" t="str">
        <f>'Source Table'!$K$16</f>
        <v>المجلات والدوريات المالية</v>
      </c>
      <c r="H25" t="str">
        <f>'Source Table'!$I$6</f>
        <v>Weekly</v>
      </c>
      <c r="I25" t="str">
        <f>'Source Table'!$I$5</f>
        <v>أسبوعية</v>
      </c>
      <c r="J25" s="7">
        <v>0</v>
      </c>
      <c r="K25">
        <v>2023</v>
      </c>
    </row>
    <row r="26" ht="15.75" spans="1:11">
      <c r="A26" s="1" t="s">
        <v>5</v>
      </c>
      <c r="B26" s="1" t="s">
        <v>7</v>
      </c>
      <c r="C26" s="2" t="s">
        <v>82</v>
      </c>
      <c r="D26" s="3" t="s">
        <v>83</v>
      </c>
      <c r="E26" s="4" t="s">
        <v>84</v>
      </c>
      <c r="F26" t="str">
        <f>'Source Table'!$B$17</f>
        <v>Tourist Magazines &amp; Periodicals</v>
      </c>
      <c r="G26" t="str">
        <f>'Source Table'!$K$17</f>
        <v>المجلات والدوريات سياحية</v>
      </c>
      <c r="H26" t="str">
        <f>'Source Table'!$I$6</f>
        <v>Weekly</v>
      </c>
      <c r="I26" t="str">
        <f>'Source Table'!$I$5</f>
        <v>أسبوعية</v>
      </c>
      <c r="J26" s="7">
        <v>1</v>
      </c>
      <c r="K26">
        <v>2023</v>
      </c>
    </row>
    <row r="27" ht="16.5" spans="1:11">
      <c r="A27" s="1" t="s">
        <v>5</v>
      </c>
      <c r="B27" s="1" t="s">
        <v>7</v>
      </c>
      <c r="C27" s="2" t="s">
        <v>82</v>
      </c>
      <c r="D27" s="3" t="s">
        <v>83</v>
      </c>
      <c r="E27" s="4" t="s">
        <v>84</v>
      </c>
      <c r="F27" t="str">
        <f>'Source Table'!$B$18</f>
        <v>Other Magazines &amp; Periodicals</v>
      </c>
      <c r="G27" t="str">
        <f>'Source Table'!$K$18</f>
        <v>المجلات والدوريات أخرى</v>
      </c>
      <c r="H27" t="str">
        <f>'Source Table'!$I$6</f>
        <v>Weekly</v>
      </c>
      <c r="I27" t="str">
        <f>'Source Table'!$I$5</f>
        <v>أسبوعية</v>
      </c>
      <c r="J27" s="8">
        <v>2</v>
      </c>
      <c r="K27">
        <v>2023</v>
      </c>
    </row>
    <row r="28" ht="15.75" spans="1:11">
      <c r="A28" s="1" t="s">
        <v>5</v>
      </c>
      <c r="B28" s="1" t="s">
        <v>7</v>
      </c>
      <c r="C28" s="2" t="s">
        <v>82</v>
      </c>
      <c r="D28" s="3" t="s">
        <v>83</v>
      </c>
      <c r="E28" s="4" t="s">
        <v>84</v>
      </c>
      <c r="F28" t="str">
        <f>'Source Table'!$B$7</f>
        <v>Political Newspapers</v>
      </c>
      <c r="G28" t="str">
        <f>'Source Table'!$K$7</f>
        <v>صحف سياسية</v>
      </c>
      <c r="H28" t="str">
        <f>'Source Table'!$H$6</f>
        <v>Monthly</v>
      </c>
      <c r="I28" t="str">
        <f>'Source Table'!$H$5</f>
        <v>شهرية</v>
      </c>
      <c r="J28" s="7">
        <v>2</v>
      </c>
      <c r="K28">
        <v>2023</v>
      </c>
    </row>
    <row r="29" ht="15.75" spans="1:11">
      <c r="A29" s="1" t="s">
        <v>5</v>
      </c>
      <c r="B29" s="1" t="s">
        <v>7</v>
      </c>
      <c r="C29" s="2" t="s">
        <v>82</v>
      </c>
      <c r="D29" s="3" t="s">
        <v>83</v>
      </c>
      <c r="E29" s="4" t="s">
        <v>84</v>
      </c>
      <c r="F29" t="str">
        <f>'Source Table'!$B$8</f>
        <v>Parties Newspapers</v>
      </c>
      <c r="G29" t="str">
        <f>'Source Table'!$K$8</f>
        <v>صحف حزبية</v>
      </c>
      <c r="H29" t="str">
        <f>'Source Table'!$H$6</f>
        <v>Monthly</v>
      </c>
      <c r="I29" t="str">
        <f>'Source Table'!$H$5</f>
        <v>شهرية</v>
      </c>
      <c r="J29" s="7">
        <v>0</v>
      </c>
      <c r="K29">
        <v>2023</v>
      </c>
    </row>
    <row r="30" ht="15.75" spans="1:11">
      <c r="A30" s="1" t="s">
        <v>5</v>
      </c>
      <c r="B30" s="1" t="s">
        <v>7</v>
      </c>
      <c r="C30" s="2" t="s">
        <v>82</v>
      </c>
      <c r="D30" s="3" t="s">
        <v>83</v>
      </c>
      <c r="E30" s="4" t="s">
        <v>84</v>
      </c>
      <c r="F30" t="str">
        <f>'Source Table'!$B$9</f>
        <v>Children Magazines &amp; Periodicals</v>
      </c>
      <c r="G30" t="str">
        <f>'Source Table'!$K$9</f>
        <v>المجلات والدوريات الأطفال</v>
      </c>
      <c r="H30" t="str">
        <f>'Source Table'!$H$6</f>
        <v>Monthly</v>
      </c>
      <c r="I30" t="str">
        <f>'Source Table'!$H$5</f>
        <v>شهرية</v>
      </c>
      <c r="J30" s="7">
        <v>1</v>
      </c>
      <c r="K30">
        <v>2023</v>
      </c>
    </row>
    <row r="31" ht="15.75" spans="1:11">
      <c r="A31" s="1" t="s">
        <v>5</v>
      </c>
      <c r="B31" s="1" t="s">
        <v>7</v>
      </c>
      <c r="C31" s="2" t="s">
        <v>82</v>
      </c>
      <c r="D31" s="3" t="s">
        <v>83</v>
      </c>
      <c r="E31" s="4" t="s">
        <v>84</v>
      </c>
      <c r="F31" t="str">
        <f>'Source Table'!$B$10</f>
        <v>Economic Magazines &amp; Periodicals</v>
      </c>
      <c r="G31" t="str">
        <f>'Source Table'!$K$10</f>
        <v>المجلات والدوريات الاقتصادية</v>
      </c>
      <c r="H31" t="str">
        <f>'Source Table'!$H$6</f>
        <v>Monthly</v>
      </c>
      <c r="I31" t="str">
        <f>'Source Table'!$H$5</f>
        <v>شهرية</v>
      </c>
      <c r="J31" s="7">
        <v>2</v>
      </c>
      <c r="K31">
        <v>2023</v>
      </c>
    </row>
    <row r="32" ht="15.75" spans="1:11">
      <c r="A32" s="1" t="s">
        <v>5</v>
      </c>
      <c r="B32" s="1" t="s">
        <v>7</v>
      </c>
      <c r="C32" s="2" t="s">
        <v>82</v>
      </c>
      <c r="D32" s="3" t="s">
        <v>83</v>
      </c>
      <c r="E32" s="4" t="s">
        <v>84</v>
      </c>
      <c r="F32" t="str">
        <f>'Source Table'!$B$11</f>
        <v>Army &amp; Police Magazines &amp; Periodicals</v>
      </c>
      <c r="G32" t="str">
        <f>'Source Table'!$K$11</f>
        <v>المجلات والدوريات العسكرية و شرطية</v>
      </c>
      <c r="H32" t="str">
        <f>'Source Table'!$H$6</f>
        <v>Monthly</v>
      </c>
      <c r="I32" t="str">
        <f>'Source Table'!$H$5</f>
        <v>شهرية</v>
      </c>
      <c r="J32" s="7">
        <v>0</v>
      </c>
      <c r="K32">
        <v>2023</v>
      </c>
    </row>
    <row r="33" ht="15.75" spans="1:11">
      <c r="A33" s="1" t="s">
        <v>5</v>
      </c>
      <c r="B33" s="1" t="s">
        <v>7</v>
      </c>
      <c r="C33" s="2" t="s">
        <v>82</v>
      </c>
      <c r="D33" s="3" t="s">
        <v>83</v>
      </c>
      <c r="E33" s="4" t="s">
        <v>84</v>
      </c>
      <c r="F33" t="str">
        <f>'Source Table'!$B$12</f>
        <v>Youths &amp; Arts Magazines &amp; Periodicals</v>
      </c>
      <c r="G33" t="str">
        <f>'Source Table'!$K$12</f>
        <v>المجلات والدوريات الشباب و الفنون</v>
      </c>
      <c r="H33" t="str">
        <f>'Source Table'!$H$6</f>
        <v>Monthly</v>
      </c>
      <c r="I33" t="str">
        <f>'Source Table'!$H$5</f>
        <v>شهرية</v>
      </c>
      <c r="J33" s="7">
        <v>0</v>
      </c>
      <c r="K33">
        <v>2023</v>
      </c>
    </row>
    <row r="34" ht="15.75" spans="1:11">
      <c r="A34" s="1" t="s">
        <v>5</v>
      </c>
      <c r="B34" s="1" t="s">
        <v>7</v>
      </c>
      <c r="C34" s="2" t="s">
        <v>82</v>
      </c>
      <c r="D34" s="3" t="s">
        <v>83</v>
      </c>
      <c r="E34" s="4" t="s">
        <v>84</v>
      </c>
      <c r="F34" t="str">
        <f>'Source Table'!$B$13</f>
        <v>Cultural &amp; Educational Magazines &amp; Periodicals</v>
      </c>
      <c r="G34" t="str">
        <f>'Source Table'!$K$13</f>
        <v>المجلات والدوريات الثقافية و المدرسية</v>
      </c>
      <c r="H34" t="str">
        <f>'Source Table'!$H$6</f>
        <v>Monthly</v>
      </c>
      <c r="I34" t="str">
        <f>'Source Table'!$H$5</f>
        <v>شهرية</v>
      </c>
      <c r="J34" s="7">
        <v>0</v>
      </c>
      <c r="K34">
        <v>2023</v>
      </c>
    </row>
    <row r="35" ht="15.75" spans="1:11">
      <c r="A35" s="1" t="s">
        <v>5</v>
      </c>
      <c r="B35" s="1" t="s">
        <v>7</v>
      </c>
      <c r="C35" s="2" t="s">
        <v>82</v>
      </c>
      <c r="D35" s="3" t="s">
        <v>83</v>
      </c>
      <c r="E35" s="4" t="s">
        <v>84</v>
      </c>
      <c r="F35" t="str">
        <f>'Source Table'!$B$14</f>
        <v>Religious Magazines &amp; Periodicals</v>
      </c>
      <c r="G35" t="str">
        <f>'Source Table'!$K$14</f>
        <v>المجلات والدوريات الدينية</v>
      </c>
      <c r="H35" t="str">
        <f>'Source Table'!$H$6</f>
        <v>Monthly</v>
      </c>
      <c r="I35" t="str">
        <f>'Source Table'!$H$5</f>
        <v>شهرية</v>
      </c>
      <c r="J35" s="7">
        <v>0</v>
      </c>
      <c r="K35">
        <v>2023</v>
      </c>
    </row>
    <row r="36" ht="15.75" spans="1:11">
      <c r="A36" s="1" t="s">
        <v>5</v>
      </c>
      <c r="B36" s="1" t="s">
        <v>7</v>
      </c>
      <c r="C36" s="2" t="s">
        <v>82</v>
      </c>
      <c r="D36" s="3" t="s">
        <v>83</v>
      </c>
      <c r="E36" s="4" t="s">
        <v>84</v>
      </c>
      <c r="F36" t="str">
        <f>'Source Table'!$B$15</f>
        <v>Scientific Magazines &amp; Periodicals</v>
      </c>
      <c r="G36" t="str">
        <f>'Source Table'!$K$15</f>
        <v>المجلات والدوريات العلمية</v>
      </c>
      <c r="H36" t="str">
        <f>'Source Table'!$H$6</f>
        <v>Monthly</v>
      </c>
      <c r="I36" t="str">
        <f>'Source Table'!$H$5</f>
        <v>شهرية</v>
      </c>
      <c r="J36" s="7">
        <v>1</v>
      </c>
      <c r="K36">
        <v>2023</v>
      </c>
    </row>
    <row r="37" ht="15.75" spans="1:11">
      <c r="A37" s="1" t="s">
        <v>5</v>
      </c>
      <c r="B37" s="1" t="s">
        <v>7</v>
      </c>
      <c r="C37" s="2" t="s">
        <v>82</v>
      </c>
      <c r="D37" s="3" t="s">
        <v>83</v>
      </c>
      <c r="E37" s="4" t="s">
        <v>84</v>
      </c>
      <c r="F37" t="str">
        <f>'Source Table'!$B$16</f>
        <v>Financial Magazines &amp; Periodicals</v>
      </c>
      <c r="G37" t="str">
        <f>'Source Table'!$K$16</f>
        <v>المجلات والدوريات المالية</v>
      </c>
      <c r="H37" t="str">
        <f>'Source Table'!$H$6</f>
        <v>Monthly</v>
      </c>
      <c r="I37" t="str">
        <f>'Source Table'!$H$5</f>
        <v>شهرية</v>
      </c>
      <c r="J37" s="7">
        <v>0</v>
      </c>
      <c r="K37">
        <v>2023</v>
      </c>
    </row>
    <row r="38" ht="15.75" spans="1:11">
      <c r="A38" s="1" t="s">
        <v>5</v>
      </c>
      <c r="B38" s="1" t="s">
        <v>7</v>
      </c>
      <c r="C38" s="2" t="s">
        <v>82</v>
      </c>
      <c r="D38" s="3" t="s">
        <v>83</v>
      </c>
      <c r="E38" s="4" t="s">
        <v>84</v>
      </c>
      <c r="F38" t="str">
        <f>'Source Table'!$B$17</f>
        <v>Tourist Magazines &amp; Periodicals</v>
      </c>
      <c r="G38" t="str">
        <f>'Source Table'!$K$17</f>
        <v>المجلات والدوريات سياحية</v>
      </c>
      <c r="H38" t="str">
        <f>'Source Table'!$H$6</f>
        <v>Monthly</v>
      </c>
      <c r="I38" t="str">
        <f>'Source Table'!$H$5</f>
        <v>شهرية</v>
      </c>
      <c r="J38" s="7">
        <v>0</v>
      </c>
      <c r="K38">
        <v>2023</v>
      </c>
    </row>
    <row r="39" ht="16.5" spans="1:11">
      <c r="A39" s="1" t="s">
        <v>5</v>
      </c>
      <c r="B39" s="1" t="s">
        <v>7</v>
      </c>
      <c r="C39" s="2" t="s">
        <v>82</v>
      </c>
      <c r="D39" s="3" t="s">
        <v>83</v>
      </c>
      <c r="E39" s="4" t="s">
        <v>84</v>
      </c>
      <c r="F39" t="str">
        <f>'Source Table'!$B$18</f>
        <v>Other Magazines &amp; Periodicals</v>
      </c>
      <c r="G39" t="str">
        <f>'Source Table'!$K$18</f>
        <v>المجلات والدوريات أخرى</v>
      </c>
      <c r="H39" t="str">
        <f>'Source Table'!$H$6</f>
        <v>Monthly</v>
      </c>
      <c r="I39" t="str">
        <f>'Source Table'!$H$5</f>
        <v>شهرية</v>
      </c>
      <c r="J39" s="8">
        <v>5</v>
      </c>
      <c r="K39">
        <v>2023</v>
      </c>
    </row>
    <row r="40" ht="15.75" spans="1:11">
      <c r="A40" s="1" t="s">
        <v>5</v>
      </c>
      <c r="B40" s="1" t="s">
        <v>7</v>
      </c>
      <c r="C40" s="2" t="s">
        <v>82</v>
      </c>
      <c r="D40" s="3" t="s">
        <v>83</v>
      </c>
      <c r="E40" s="4" t="s">
        <v>84</v>
      </c>
      <c r="F40" t="str">
        <f>'Source Table'!$B$7</f>
        <v>Political Newspapers</v>
      </c>
      <c r="G40" t="str">
        <f>'Source Table'!$K$7</f>
        <v>صحف سياسية</v>
      </c>
      <c r="I40" t="str">
        <f>'Source Table'!$G$5</f>
        <v>فصلية</v>
      </c>
      <c r="J40" s="5">
        <v>0</v>
      </c>
      <c r="K40">
        <v>2023</v>
      </c>
    </row>
    <row r="41" ht="15.75" spans="1:11">
      <c r="A41" s="1" t="s">
        <v>5</v>
      </c>
      <c r="B41" s="1" t="s">
        <v>7</v>
      </c>
      <c r="C41" s="2" t="s">
        <v>82</v>
      </c>
      <c r="D41" s="3" t="s">
        <v>83</v>
      </c>
      <c r="E41" s="4" t="s">
        <v>84</v>
      </c>
      <c r="F41" t="str">
        <f>'Source Table'!$B$8</f>
        <v>Parties Newspapers</v>
      </c>
      <c r="G41" t="str">
        <f>'Source Table'!$K$8</f>
        <v>صحف حزبية</v>
      </c>
      <c r="I41" t="str">
        <f>'Source Table'!$G$5</f>
        <v>فصلية</v>
      </c>
      <c r="J41" s="5">
        <v>0</v>
      </c>
      <c r="K41">
        <v>2023</v>
      </c>
    </row>
    <row r="42" ht="15.75" spans="1:11">
      <c r="A42" s="1" t="s">
        <v>5</v>
      </c>
      <c r="B42" s="1" t="s">
        <v>7</v>
      </c>
      <c r="C42" s="2" t="s">
        <v>82</v>
      </c>
      <c r="D42" s="3" t="s">
        <v>83</v>
      </c>
      <c r="E42" s="4" t="s">
        <v>84</v>
      </c>
      <c r="F42" t="str">
        <f>'Source Table'!$B$9</f>
        <v>Children Magazines &amp; Periodicals</v>
      </c>
      <c r="G42" t="str">
        <f>'Source Table'!$K$9</f>
        <v>المجلات والدوريات الأطفال</v>
      </c>
      <c r="I42" t="str">
        <f>'Source Table'!$G$5</f>
        <v>فصلية</v>
      </c>
      <c r="J42" s="5">
        <v>0</v>
      </c>
      <c r="K42">
        <v>2023</v>
      </c>
    </row>
    <row r="43" ht="15.75" spans="1:11">
      <c r="A43" s="1" t="s">
        <v>5</v>
      </c>
      <c r="B43" s="1" t="s">
        <v>7</v>
      </c>
      <c r="C43" s="2" t="s">
        <v>82</v>
      </c>
      <c r="D43" s="3" t="s">
        <v>83</v>
      </c>
      <c r="E43" s="4" t="s">
        <v>84</v>
      </c>
      <c r="F43" t="str">
        <f>'Source Table'!$B$10</f>
        <v>Economic Magazines &amp; Periodicals</v>
      </c>
      <c r="G43" t="str">
        <f>'Source Table'!$K$10</f>
        <v>المجلات والدوريات الاقتصادية</v>
      </c>
      <c r="I43" t="str">
        <f>'Source Table'!$G$5</f>
        <v>فصلية</v>
      </c>
      <c r="J43" s="5">
        <v>1</v>
      </c>
      <c r="K43">
        <v>2023</v>
      </c>
    </row>
    <row r="44" ht="15.75" spans="1:11">
      <c r="A44" s="1" t="s">
        <v>5</v>
      </c>
      <c r="B44" s="1" t="s">
        <v>7</v>
      </c>
      <c r="C44" s="2" t="s">
        <v>82</v>
      </c>
      <c r="D44" s="3" t="s">
        <v>83</v>
      </c>
      <c r="E44" s="4" t="s">
        <v>84</v>
      </c>
      <c r="F44" t="str">
        <f>'Source Table'!$B$11</f>
        <v>Army &amp; Police Magazines &amp; Periodicals</v>
      </c>
      <c r="G44" t="str">
        <f>'Source Table'!$K$11</f>
        <v>المجلات والدوريات العسكرية و شرطية</v>
      </c>
      <c r="I44" t="str">
        <f>'Source Table'!$G$5</f>
        <v>فصلية</v>
      </c>
      <c r="J44" s="5">
        <v>0</v>
      </c>
      <c r="K44">
        <v>2023</v>
      </c>
    </row>
    <row r="45" ht="15.75" spans="1:11">
      <c r="A45" s="1" t="s">
        <v>5</v>
      </c>
      <c r="B45" s="1" t="s">
        <v>7</v>
      </c>
      <c r="C45" s="2" t="s">
        <v>82</v>
      </c>
      <c r="D45" s="3" t="s">
        <v>83</v>
      </c>
      <c r="E45" s="4" t="s">
        <v>84</v>
      </c>
      <c r="F45" t="str">
        <f>'Source Table'!$B$12</f>
        <v>Youths &amp; Arts Magazines &amp; Periodicals</v>
      </c>
      <c r="G45" t="str">
        <f>'Source Table'!$K$12</f>
        <v>المجلات والدوريات الشباب و الفنون</v>
      </c>
      <c r="I45" t="str">
        <f>'Source Table'!$G$5</f>
        <v>فصلية</v>
      </c>
      <c r="J45" s="5">
        <v>0</v>
      </c>
      <c r="K45">
        <v>2023</v>
      </c>
    </row>
    <row r="46" ht="15.75" spans="1:11">
      <c r="A46" s="1" t="s">
        <v>5</v>
      </c>
      <c r="B46" s="1" t="s">
        <v>7</v>
      </c>
      <c r="C46" s="2" t="s">
        <v>82</v>
      </c>
      <c r="D46" s="3" t="s">
        <v>83</v>
      </c>
      <c r="E46" s="4" t="s">
        <v>84</v>
      </c>
      <c r="F46" t="str">
        <f>'Source Table'!$B$13</f>
        <v>Cultural &amp; Educational Magazines &amp; Periodicals</v>
      </c>
      <c r="G46" t="str">
        <f>'Source Table'!$K$13</f>
        <v>المجلات والدوريات الثقافية و المدرسية</v>
      </c>
      <c r="I46" t="str">
        <f>'Source Table'!$G$5</f>
        <v>فصلية</v>
      </c>
      <c r="J46" s="5">
        <v>2</v>
      </c>
      <c r="K46">
        <v>2023</v>
      </c>
    </row>
    <row r="47" ht="15.75" spans="1:11">
      <c r="A47" s="1" t="s">
        <v>5</v>
      </c>
      <c r="B47" s="1" t="s">
        <v>7</v>
      </c>
      <c r="C47" s="2" t="s">
        <v>82</v>
      </c>
      <c r="D47" s="3" t="s">
        <v>83</v>
      </c>
      <c r="E47" s="4" t="s">
        <v>84</v>
      </c>
      <c r="F47" t="str">
        <f>'Source Table'!$B$14</f>
        <v>Religious Magazines &amp; Periodicals</v>
      </c>
      <c r="G47" t="str">
        <f>'Source Table'!$K$14</f>
        <v>المجلات والدوريات الدينية</v>
      </c>
      <c r="I47" t="str">
        <f>'Source Table'!$G$5</f>
        <v>فصلية</v>
      </c>
      <c r="J47" s="5">
        <v>0</v>
      </c>
      <c r="K47">
        <v>2023</v>
      </c>
    </row>
    <row r="48" ht="15.75" spans="1:11">
      <c r="A48" s="1" t="s">
        <v>5</v>
      </c>
      <c r="B48" s="1" t="s">
        <v>7</v>
      </c>
      <c r="C48" s="2" t="s">
        <v>82</v>
      </c>
      <c r="D48" s="3" t="s">
        <v>83</v>
      </c>
      <c r="E48" s="4" t="s">
        <v>84</v>
      </c>
      <c r="F48" t="str">
        <f>'Source Table'!$B$15</f>
        <v>Scientific Magazines &amp; Periodicals</v>
      </c>
      <c r="G48" t="str">
        <f>'Source Table'!$K$15</f>
        <v>المجلات والدوريات العلمية</v>
      </c>
      <c r="I48" t="str">
        <f>'Source Table'!$G$5</f>
        <v>فصلية</v>
      </c>
      <c r="J48" s="5">
        <v>1</v>
      </c>
      <c r="K48">
        <v>2023</v>
      </c>
    </row>
    <row r="49" ht="15.75" spans="1:11">
      <c r="A49" s="1" t="s">
        <v>5</v>
      </c>
      <c r="B49" s="1" t="s">
        <v>7</v>
      </c>
      <c r="C49" s="2" t="s">
        <v>82</v>
      </c>
      <c r="D49" s="3" t="s">
        <v>83</v>
      </c>
      <c r="E49" s="4" t="s">
        <v>84</v>
      </c>
      <c r="F49" t="str">
        <f>'Source Table'!$B$16</f>
        <v>Financial Magazines &amp; Periodicals</v>
      </c>
      <c r="G49" t="str">
        <f>'Source Table'!$K$16</f>
        <v>المجلات والدوريات المالية</v>
      </c>
      <c r="I49" t="str">
        <f>'Source Table'!$G$5</f>
        <v>فصلية</v>
      </c>
      <c r="J49" s="5">
        <v>0</v>
      </c>
      <c r="K49">
        <v>2023</v>
      </c>
    </row>
    <row r="50" ht="15.75" spans="1:11">
      <c r="A50" s="1" t="s">
        <v>5</v>
      </c>
      <c r="B50" s="1" t="s">
        <v>7</v>
      </c>
      <c r="C50" s="2" t="s">
        <v>82</v>
      </c>
      <c r="D50" s="3" t="s">
        <v>83</v>
      </c>
      <c r="E50" s="4" t="s">
        <v>84</v>
      </c>
      <c r="F50" t="str">
        <f>'Source Table'!$B$17</f>
        <v>Tourist Magazines &amp; Periodicals</v>
      </c>
      <c r="G50" t="str">
        <f>'Source Table'!$K$17</f>
        <v>المجلات والدوريات سياحية</v>
      </c>
      <c r="I50" t="str">
        <f>'Source Table'!$G$5</f>
        <v>فصلية</v>
      </c>
      <c r="J50" s="5">
        <v>0</v>
      </c>
      <c r="K50">
        <v>2023</v>
      </c>
    </row>
    <row r="51" ht="16.5" spans="1:11">
      <c r="A51" s="1" t="s">
        <v>5</v>
      </c>
      <c r="B51" s="1" t="s">
        <v>7</v>
      </c>
      <c r="C51" s="2" t="s">
        <v>82</v>
      </c>
      <c r="D51" s="3" t="s">
        <v>83</v>
      </c>
      <c r="E51" s="4" t="s">
        <v>84</v>
      </c>
      <c r="F51" t="str">
        <f>'Source Table'!$B$18</f>
        <v>Other Magazines &amp; Periodicals</v>
      </c>
      <c r="G51" t="str">
        <f>'Source Table'!$K$18</f>
        <v>المجلات والدوريات أخرى</v>
      </c>
      <c r="I51" t="str">
        <f>'Source Table'!$G$5</f>
        <v>فصلية</v>
      </c>
      <c r="J51" s="6">
        <v>8</v>
      </c>
      <c r="K51">
        <v>2023</v>
      </c>
    </row>
    <row r="52" ht="15.75" spans="1:11">
      <c r="A52" s="1" t="s">
        <v>5</v>
      </c>
      <c r="B52" s="1" t="s">
        <v>7</v>
      </c>
      <c r="C52" s="2" t="s">
        <v>82</v>
      </c>
      <c r="D52" s="3" t="s">
        <v>83</v>
      </c>
      <c r="E52" s="4" t="s">
        <v>84</v>
      </c>
      <c r="F52" t="str">
        <f>'Source Table'!$B$7</f>
        <v>Political Newspapers</v>
      </c>
      <c r="G52" t="str">
        <f>'Source Table'!$K$7</f>
        <v>صحف سياسية</v>
      </c>
      <c r="I52" t="str">
        <f>'Source Table'!$F$5</f>
        <v>سنوية</v>
      </c>
      <c r="J52" s="5">
        <v>0</v>
      </c>
      <c r="K52">
        <v>2023</v>
      </c>
    </row>
    <row r="53" ht="15.75" spans="1:11">
      <c r="A53" s="1" t="s">
        <v>5</v>
      </c>
      <c r="B53" s="1" t="s">
        <v>7</v>
      </c>
      <c r="C53" s="2" t="s">
        <v>82</v>
      </c>
      <c r="D53" s="3" t="s">
        <v>83</v>
      </c>
      <c r="E53" s="4" t="s">
        <v>84</v>
      </c>
      <c r="F53" t="str">
        <f>'Source Table'!$B$8</f>
        <v>Parties Newspapers</v>
      </c>
      <c r="G53" t="str">
        <f>'Source Table'!$K$8</f>
        <v>صحف حزبية</v>
      </c>
      <c r="I53" t="str">
        <f>'Source Table'!$F$5</f>
        <v>سنوية</v>
      </c>
      <c r="J53" s="5">
        <v>0</v>
      </c>
      <c r="K53">
        <v>2023</v>
      </c>
    </row>
    <row r="54" ht="15.75" spans="1:11">
      <c r="A54" s="1" t="s">
        <v>5</v>
      </c>
      <c r="B54" s="1" t="s">
        <v>7</v>
      </c>
      <c r="C54" s="2" t="s">
        <v>82</v>
      </c>
      <c r="D54" s="3" t="s">
        <v>83</v>
      </c>
      <c r="E54" s="4" t="s">
        <v>84</v>
      </c>
      <c r="F54" t="str">
        <f>'Source Table'!$B$9</f>
        <v>Children Magazines &amp; Periodicals</v>
      </c>
      <c r="G54" t="str">
        <f>'Source Table'!$K$9</f>
        <v>المجلات والدوريات الأطفال</v>
      </c>
      <c r="I54" t="str">
        <f>'Source Table'!$F$5</f>
        <v>سنوية</v>
      </c>
      <c r="J54" s="5">
        <v>1</v>
      </c>
      <c r="K54">
        <v>2023</v>
      </c>
    </row>
    <row r="55" ht="15.75" spans="1:11">
      <c r="A55" s="1" t="s">
        <v>5</v>
      </c>
      <c r="B55" s="1" t="s">
        <v>7</v>
      </c>
      <c r="C55" s="2" t="s">
        <v>82</v>
      </c>
      <c r="D55" s="3" t="s">
        <v>83</v>
      </c>
      <c r="E55" s="4" t="s">
        <v>84</v>
      </c>
      <c r="F55" t="str">
        <f>'Source Table'!$B$10</f>
        <v>Economic Magazines &amp; Periodicals</v>
      </c>
      <c r="G55" t="str">
        <f>'Source Table'!$K$10</f>
        <v>المجلات والدوريات الاقتصادية</v>
      </c>
      <c r="I55" t="str">
        <f>'Source Table'!$F$5</f>
        <v>سنوية</v>
      </c>
      <c r="J55" s="5">
        <v>0</v>
      </c>
      <c r="K55">
        <v>2023</v>
      </c>
    </row>
    <row r="56" ht="15.75" spans="1:11">
      <c r="A56" s="1" t="s">
        <v>5</v>
      </c>
      <c r="B56" s="1" t="s">
        <v>7</v>
      </c>
      <c r="C56" s="2" t="s">
        <v>82</v>
      </c>
      <c r="D56" s="3" t="s">
        <v>83</v>
      </c>
      <c r="E56" s="4" t="s">
        <v>84</v>
      </c>
      <c r="F56" t="str">
        <f>'Source Table'!$B$11</f>
        <v>Army &amp; Police Magazines &amp; Periodicals</v>
      </c>
      <c r="G56" t="str">
        <f>'Source Table'!$K$11</f>
        <v>المجلات والدوريات العسكرية و شرطية</v>
      </c>
      <c r="I56" t="str">
        <f>'Source Table'!$F$5</f>
        <v>سنوية</v>
      </c>
      <c r="J56" s="5">
        <v>0</v>
      </c>
      <c r="K56">
        <v>2023</v>
      </c>
    </row>
    <row r="57" ht="15.75" spans="1:11">
      <c r="A57" s="1" t="s">
        <v>5</v>
      </c>
      <c r="B57" s="1" t="s">
        <v>7</v>
      </c>
      <c r="C57" s="2" t="s">
        <v>82</v>
      </c>
      <c r="D57" s="3" t="s">
        <v>83</v>
      </c>
      <c r="E57" s="4" t="s">
        <v>84</v>
      </c>
      <c r="F57" t="str">
        <f>'Source Table'!$B$12</f>
        <v>Youths &amp; Arts Magazines &amp; Periodicals</v>
      </c>
      <c r="G57" t="str">
        <f>'Source Table'!$K$12</f>
        <v>المجلات والدوريات الشباب و الفنون</v>
      </c>
      <c r="I57" t="str">
        <f>'Source Table'!$F$5</f>
        <v>سنوية</v>
      </c>
      <c r="J57" s="5">
        <v>0</v>
      </c>
      <c r="K57">
        <v>2023</v>
      </c>
    </row>
    <row r="58" ht="15.75" spans="1:11">
      <c r="A58" s="1" t="s">
        <v>5</v>
      </c>
      <c r="B58" s="1" t="s">
        <v>7</v>
      </c>
      <c r="C58" s="2" t="s">
        <v>82</v>
      </c>
      <c r="D58" s="3" t="s">
        <v>83</v>
      </c>
      <c r="E58" s="4" t="s">
        <v>84</v>
      </c>
      <c r="F58" t="str">
        <f>'Source Table'!$B$13</f>
        <v>Cultural &amp; Educational Magazines &amp; Periodicals</v>
      </c>
      <c r="G58" t="str">
        <f>'Source Table'!$K$13</f>
        <v>المجلات والدوريات الثقافية و المدرسية</v>
      </c>
      <c r="I58" t="str">
        <f>'Source Table'!$F$5</f>
        <v>سنوية</v>
      </c>
      <c r="J58" s="5">
        <v>0</v>
      </c>
      <c r="K58">
        <v>2023</v>
      </c>
    </row>
    <row r="59" ht="15.75" spans="1:11">
      <c r="A59" s="1" t="s">
        <v>5</v>
      </c>
      <c r="B59" s="1" t="s">
        <v>7</v>
      </c>
      <c r="C59" s="2" t="s">
        <v>82</v>
      </c>
      <c r="D59" s="3" t="s">
        <v>83</v>
      </c>
      <c r="E59" s="4" t="s">
        <v>84</v>
      </c>
      <c r="F59" t="str">
        <f>'Source Table'!$B$14</f>
        <v>Religious Magazines &amp; Periodicals</v>
      </c>
      <c r="G59" t="str">
        <f>'Source Table'!$K$14</f>
        <v>المجلات والدوريات الدينية</v>
      </c>
      <c r="I59" t="str">
        <f>'Source Table'!$F$5</f>
        <v>سنوية</v>
      </c>
      <c r="J59" s="5">
        <v>0</v>
      </c>
      <c r="K59">
        <v>2023</v>
      </c>
    </row>
    <row r="60" ht="15.75" spans="1:11">
      <c r="A60" s="1" t="s">
        <v>5</v>
      </c>
      <c r="B60" s="1" t="s">
        <v>7</v>
      </c>
      <c r="C60" s="2" t="s">
        <v>82</v>
      </c>
      <c r="D60" s="3" t="s">
        <v>83</v>
      </c>
      <c r="E60" s="4" t="s">
        <v>84</v>
      </c>
      <c r="F60" t="str">
        <f>'Source Table'!$B$15</f>
        <v>Scientific Magazines &amp; Periodicals</v>
      </c>
      <c r="G60" t="str">
        <f>'Source Table'!$K$15</f>
        <v>المجلات والدوريات العلمية</v>
      </c>
      <c r="I60" t="str">
        <f>'Source Table'!$F$5</f>
        <v>سنوية</v>
      </c>
      <c r="J60" s="5">
        <v>3</v>
      </c>
      <c r="K60">
        <v>2023</v>
      </c>
    </row>
    <row r="61" ht="15.75" spans="1:11">
      <c r="A61" s="1" t="s">
        <v>5</v>
      </c>
      <c r="B61" s="1" t="s">
        <v>7</v>
      </c>
      <c r="C61" s="2" t="s">
        <v>82</v>
      </c>
      <c r="D61" s="3" t="s">
        <v>83</v>
      </c>
      <c r="E61" s="4" t="s">
        <v>84</v>
      </c>
      <c r="F61" t="str">
        <f>'Source Table'!$B$16</f>
        <v>Financial Magazines &amp; Periodicals</v>
      </c>
      <c r="G61" t="str">
        <f>'Source Table'!$K$16</f>
        <v>المجلات والدوريات المالية</v>
      </c>
      <c r="I61" t="str">
        <f>'Source Table'!$F$5</f>
        <v>سنوية</v>
      </c>
      <c r="J61" s="5">
        <v>0</v>
      </c>
      <c r="K61">
        <v>2023</v>
      </c>
    </row>
    <row r="62" ht="15.75" spans="1:11">
      <c r="A62" s="1" t="s">
        <v>5</v>
      </c>
      <c r="B62" s="1" t="s">
        <v>7</v>
      </c>
      <c r="C62" s="2" t="s">
        <v>82</v>
      </c>
      <c r="D62" s="3" t="s">
        <v>83</v>
      </c>
      <c r="E62" s="4" t="s">
        <v>84</v>
      </c>
      <c r="F62" t="str">
        <f>'Source Table'!$B$17</f>
        <v>Tourist Magazines &amp; Periodicals</v>
      </c>
      <c r="G62" t="str">
        <f>'Source Table'!$K$17</f>
        <v>المجلات والدوريات سياحية</v>
      </c>
      <c r="I62" t="str">
        <f>'Source Table'!$F$5</f>
        <v>سنوية</v>
      </c>
      <c r="J62" s="5">
        <v>0</v>
      </c>
      <c r="K62">
        <v>2023</v>
      </c>
    </row>
    <row r="63" ht="16.5" spans="1:11">
      <c r="A63" s="1" t="s">
        <v>5</v>
      </c>
      <c r="B63" s="1" t="s">
        <v>7</v>
      </c>
      <c r="C63" s="2" t="s">
        <v>82</v>
      </c>
      <c r="D63" s="3" t="s">
        <v>83</v>
      </c>
      <c r="E63" s="4" t="s">
        <v>84</v>
      </c>
      <c r="F63" t="str">
        <f>'Source Table'!$B$18</f>
        <v>Other Magazines &amp; Periodicals</v>
      </c>
      <c r="G63" t="str">
        <f>'Source Table'!$K$18</f>
        <v>المجلات والدوريات أخرى</v>
      </c>
      <c r="I63" t="str">
        <f>'Source Table'!$F$5</f>
        <v>سنوية</v>
      </c>
      <c r="J63" s="6">
        <v>0</v>
      </c>
      <c r="K63">
        <v>2023</v>
      </c>
    </row>
    <row r="64" ht="15.75" spans="1:11">
      <c r="A64" s="1" t="s">
        <v>5</v>
      </c>
      <c r="B64" s="1" t="s">
        <v>7</v>
      </c>
      <c r="C64" s="2" t="s">
        <v>82</v>
      </c>
      <c r="D64" s="3" t="s">
        <v>83</v>
      </c>
      <c r="E64" s="4" t="s">
        <v>84</v>
      </c>
      <c r="F64" t="str">
        <f>'Source Table'!$B$7</f>
        <v>Political Newspapers</v>
      </c>
      <c r="G64" t="str">
        <f>'Source Table'!$K$7</f>
        <v>صحف سياسية</v>
      </c>
      <c r="I64" t="str">
        <f>'Source Table'!$E$5</f>
        <v>كل شهرين</v>
      </c>
      <c r="J64" s="7">
        <v>0</v>
      </c>
      <c r="K64">
        <v>2023</v>
      </c>
    </row>
    <row r="65" ht="15.75" spans="1:11">
      <c r="A65" s="1" t="s">
        <v>5</v>
      </c>
      <c r="B65" s="1" t="s">
        <v>7</v>
      </c>
      <c r="C65" s="2" t="s">
        <v>82</v>
      </c>
      <c r="D65" s="3" t="s">
        <v>83</v>
      </c>
      <c r="E65" s="4" t="s">
        <v>84</v>
      </c>
      <c r="F65" t="str">
        <f>'Source Table'!$B$8</f>
        <v>Parties Newspapers</v>
      </c>
      <c r="G65" t="str">
        <f>'Source Table'!$K$8</f>
        <v>صحف حزبية</v>
      </c>
      <c r="I65" t="str">
        <f>'Source Table'!$E$5</f>
        <v>كل شهرين</v>
      </c>
      <c r="J65" s="7">
        <v>0</v>
      </c>
      <c r="K65">
        <v>2023</v>
      </c>
    </row>
    <row r="66" ht="15.75" spans="1:11">
      <c r="A66" s="1" t="s">
        <v>5</v>
      </c>
      <c r="B66" s="1" t="s">
        <v>7</v>
      </c>
      <c r="C66" s="2" t="s">
        <v>82</v>
      </c>
      <c r="D66" s="3" t="s">
        <v>83</v>
      </c>
      <c r="E66" s="4" t="s">
        <v>84</v>
      </c>
      <c r="F66" t="str">
        <f>'Source Table'!$B$9</f>
        <v>Children Magazines &amp; Periodicals</v>
      </c>
      <c r="G66" t="str">
        <f>'Source Table'!$K$9</f>
        <v>المجلات والدوريات الأطفال</v>
      </c>
      <c r="I66" t="str">
        <f>'Source Table'!$E$5</f>
        <v>كل شهرين</v>
      </c>
      <c r="J66" s="7">
        <v>0</v>
      </c>
      <c r="K66">
        <v>2023</v>
      </c>
    </row>
    <row r="67" ht="15.75" spans="1:11">
      <c r="A67" s="1" t="s">
        <v>5</v>
      </c>
      <c r="B67" s="1" t="s">
        <v>7</v>
      </c>
      <c r="C67" s="2" t="s">
        <v>82</v>
      </c>
      <c r="D67" s="3" t="s">
        <v>83</v>
      </c>
      <c r="E67" s="4" t="s">
        <v>84</v>
      </c>
      <c r="F67" t="str">
        <f>'Source Table'!$B$10</f>
        <v>Economic Magazines &amp; Periodicals</v>
      </c>
      <c r="G67" t="str">
        <f>'Source Table'!$K$10</f>
        <v>المجلات والدوريات الاقتصادية</v>
      </c>
      <c r="I67" t="str">
        <f>'Source Table'!$E$5</f>
        <v>كل شهرين</v>
      </c>
      <c r="J67" s="7">
        <v>2</v>
      </c>
      <c r="K67">
        <v>2023</v>
      </c>
    </row>
    <row r="68" ht="15.75" spans="1:11">
      <c r="A68" s="1" t="s">
        <v>5</v>
      </c>
      <c r="B68" s="1" t="s">
        <v>7</v>
      </c>
      <c r="C68" s="2" t="s">
        <v>82</v>
      </c>
      <c r="D68" s="3" t="s">
        <v>83</v>
      </c>
      <c r="E68" s="4" t="s">
        <v>84</v>
      </c>
      <c r="F68" t="str">
        <f>'Source Table'!$B$11</f>
        <v>Army &amp; Police Magazines &amp; Periodicals</v>
      </c>
      <c r="G68" t="str">
        <f>'Source Table'!$K$11</f>
        <v>المجلات والدوريات العسكرية و شرطية</v>
      </c>
      <c r="I68" t="str">
        <f>'Source Table'!$E$5</f>
        <v>كل شهرين</v>
      </c>
      <c r="J68" s="7">
        <v>0</v>
      </c>
      <c r="K68">
        <v>2023</v>
      </c>
    </row>
    <row r="69" ht="15.75" spans="1:11">
      <c r="A69" s="1" t="s">
        <v>5</v>
      </c>
      <c r="B69" s="1" t="s">
        <v>7</v>
      </c>
      <c r="C69" s="2" t="s">
        <v>82</v>
      </c>
      <c r="D69" s="3" t="s">
        <v>83</v>
      </c>
      <c r="E69" s="4" t="s">
        <v>84</v>
      </c>
      <c r="F69" t="str">
        <f>'Source Table'!$B$12</f>
        <v>Youths &amp; Arts Magazines &amp; Periodicals</v>
      </c>
      <c r="G69" t="str">
        <f>'Source Table'!$K$12</f>
        <v>المجلات والدوريات الشباب و الفنون</v>
      </c>
      <c r="I69" t="str">
        <f>'Source Table'!$E$5</f>
        <v>كل شهرين</v>
      </c>
      <c r="J69" s="7">
        <v>0</v>
      </c>
      <c r="K69">
        <v>2023</v>
      </c>
    </row>
    <row r="70" ht="15.75" spans="1:11">
      <c r="A70" s="1" t="s">
        <v>5</v>
      </c>
      <c r="B70" s="1" t="s">
        <v>7</v>
      </c>
      <c r="C70" s="2" t="s">
        <v>82</v>
      </c>
      <c r="D70" s="3" t="s">
        <v>83</v>
      </c>
      <c r="E70" s="4" t="s">
        <v>84</v>
      </c>
      <c r="F70" t="str">
        <f>'Source Table'!$B$13</f>
        <v>Cultural &amp; Educational Magazines &amp; Periodicals</v>
      </c>
      <c r="G70" t="str">
        <f>'Source Table'!$K$13</f>
        <v>المجلات والدوريات الثقافية و المدرسية</v>
      </c>
      <c r="I70" t="str">
        <f>'Source Table'!$E$5</f>
        <v>كل شهرين</v>
      </c>
      <c r="J70" s="7">
        <v>0</v>
      </c>
      <c r="K70">
        <v>2023</v>
      </c>
    </row>
    <row r="71" ht="15.75" spans="1:11">
      <c r="A71" s="1" t="s">
        <v>5</v>
      </c>
      <c r="B71" s="1" t="s">
        <v>7</v>
      </c>
      <c r="C71" s="2" t="s">
        <v>82</v>
      </c>
      <c r="D71" s="3" t="s">
        <v>83</v>
      </c>
      <c r="E71" s="4" t="s">
        <v>84</v>
      </c>
      <c r="F71" t="str">
        <f>'Source Table'!$B$14</f>
        <v>Religious Magazines &amp; Periodicals</v>
      </c>
      <c r="G71" t="str">
        <f>'Source Table'!$K$14</f>
        <v>المجلات والدوريات الدينية</v>
      </c>
      <c r="I71" t="str">
        <f>'Source Table'!$E$5</f>
        <v>كل شهرين</v>
      </c>
      <c r="J71" s="7">
        <v>0</v>
      </c>
      <c r="K71">
        <v>2023</v>
      </c>
    </row>
    <row r="72" ht="15.75" spans="1:11">
      <c r="A72" s="1" t="s">
        <v>5</v>
      </c>
      <c r="B72" s="1" t="s">
        <v>7</v>
      </c>
      <c r="C72" s="2" t="s">
        <v>82</v>
      </c>
      <c r="D72" s="3" t="s">
        <v>83</v>
      </c>
      <c r="E72" s="4" t="s">
        <v>84</v>
      </c>
      <c r="F72" t="str">
        <f>'Source Table'!$B$15</f>
        <v>Scientific Magazines &amp; Periodicals</v>
      </c>
      <c r="G72" t="str">
        <f>'Source Table'!$K$15</f>
        <v>المجلات والدوريات العلمية</v>
      </c>
      <c r="I72" t="str">
        <f>'Source Table'!$E$5</f>
        <v>كل شهرين</v>
      </c>
      <c r="J72" s="7">
        <v>3</v>
      </c>
      <c r="K72">
        <v>2023</v>
      </c>
    </row>
    <row r="73" ht="15.75" spans="1:11">
      <c r="A73" s="1" t="s">
        <v>5</v>
      </c>
      <c r="B73" s="1" t="s">
        <v>7</v>
      </c>
      <c r="C73" s="2" t="s">
        <v>82</v>
      </c>
      <c r="D73" s="3" t="s">
        <v>83</v>
      </c>
      <c r="E73" s="4" t="s">
        <v>84</v>
      </c>
      <c r="F73" t="str">
        <f>'Source Table'!$B$16</f>
        <v>Financial Magazines &amp; Periodicals</v>
      </c>
      <c r="G73" t="str">
        <f>'Source Table'!$K$16</f>
        <v>المجلات والدوريات المالية</v>
      </c>
      <c r="I73" t="str">
        <f>'Source Table'!$E$5</f>
        <v>كل شهرين</v>
      </c>
      <c r="J73" s="7">
        <v>0</v>
      </c>
      <c r="K73">
        <v>2023</v>
      </c>
    </row>
    <row r="74" ht="15.75" spans="1:11">
      <c r="A74" s="1" t="s">
        <v>5</v>
      </c>
      <c r="B74" s="1" t="s">
        <v>7</v>
      </c>
      <c r="C74" s="2" t="s">
        <v>82</v>
      </c>
      <c r="D74" s="3" t="s">
        <v>83</v>
      </c>
      <c r="E74" s="4" t="s">
        <v>84</v>
      </c>
      <c r="F74" t="str">
        <f>'Source Table'!$B$17</f>
        <v>Tourist Magazines &amp; Periodicals</v>
      </c>
      <c r="G74" t="str">
        <f>'Source Table'!$K$17</f>
        <v>المجلات والدوريات سياحية</v>
      </c>
      <c r="I74" t="str">
        <f>'Source Table'!$E$5</f>
        <v>كل شهرين</v>
      </c>
      <c r="J74" s="7">
        <v>0</v>
      </c>
      <c r="K74">
        <v>2023</v>
      </c>
    </row>
    <row r="75" ht="16.5" spans="1:11">
      <c r="A75" s="1" t="s">
        <v>5</v>
      </c>
      <c r="B75" s="1" t="s">
        <v>7</v>
      </c>
      <c r="C75" s="2" t="s">
        <v>82</v>
      </c>
      <c r="D75" s="3" t="s">
        <v>83</v>
      </c>
      <c r="E75" s="4" t="s">
        <v>84</v>
      </c>
      <c r="F75" t="str">
        <f>'Source Table'!$B$18</f>
        <v>Other Magazines &amp; Periodicals</v>
      </c>
      <c r="G75" t="str">
        <f>'Source Table'!$K$18</f>
        <v>المجلات والدوريات أخرى</v>
      </c>
      <c r="I75" t="str">
        <f>'Source Table'!$E$5</f>
        <v>كل شهرين</v>
      </c>
      <c r="J75" s="8">
        <v>4</v>
      </c>
      <c r="K75">
        <v>2023</v>
      </c>
    </row>
    <row r="76" ht="15.75" spans="1:11">
      <c r="A76" s="1" t="s">
        <v>5</v>
      </c>
      <c r="B76" s="1" t="s">
        <v>7</v>
      </c>
      <c r="C76" s="2" t="s">
        <v>82</v>
      </c>
      <c r="D76" s="3" t="s">
        <v>83</v>
      </c>
      <c r="E76" s="4" t="s">
        <v>84</v>
      </c>
      <c r="F76" t="str">
        <f>'Source Table'!$B$7</f>
        <v>Political Newspapers</v>
      </c>
      <c r="G76" t="str">
        <f>'Source Table'!$K$7</f>
        <v>صحف سياسية</v>
      </c>
      <c r="I76" t="str">
        <f>'Source Table'!$D$5</f>
        <v>نصف سنوية</v>
      </c>
      <c r="J76" s="7">
        <v>0</v>
      </c>
      <c r="K76">
        <v>2023</v>
      </c>
    </row>
    <row r="77" ht="15.75" spans="1:11">
      <c r="A77" s="1" t="s">
        <v>5</v>
      </c>
      <c r="B77" s="1" t="s">
        <v>7</v>
      </c>
      <c r="C77" s="2" t="s">
        <v>82</v>
      </c>
      <c r="D77" s="3" t="s">
        <v>83</v>
      </c>
      <c r="E77" s="4" t="s">
        <v>84</v>
      </c>
      <c r="F77" t="str">
        <f>'Source Table'!$B$8</f>
        <v>Parties Newspapers</v>
      </c>
      <c r="G77" t="str">
        <f>'Source Table'!$K$8</f>
        <v>صحف حزبية</v>
      </c>
      <c r="I77" t="str">
        <f>'Source Table'!$D$5</f>
        <v>نصف سنوية</v>
      </c>
      <c r="J77" s="7">
        <v>0</v>
      </c>
      <c r="K77">
        <v>2023</v>
      </c>
    </row>
    <row r="78" ht="15.75" spans="1:11">
      <c r="A78" s="1" t="s">
        <v>5</v>
      </c>
      <c r="B78" s="1" t="s">
        <v>7</v>
      </c>
      <c r="C78" s="2" t="s">
        <v>82</v>
      </c>
      <c r="D78" s="3" t="s">
        <v>83</v>
      </c>
      <c r="E78" s="4" t="s">
        <v>84</v>
      </c>
      <c r="F78" t="str">
        <f>'Source Table'!$B$9</f>
        <v>Children Magazines &amp; Periodicals</v>
      </c>
      <c r="G78" t="str">
        <f>'Source Table'!$K$9</f>
        <v>المجلات والدوريات الأطفال</v>
      </c>
      <c r="I78" t="str">
        <f>'Source Table'!$D$5</f>
        <v>نصف سنوية</v>
      </c>
      <c r="J78" s="7">
        <v>1</v>
      </c>
      <c r="K78">
        <v>2023</v>
      </c>
    </row>
    <row r="79" ht="15.75" spans="1:11">
      <c r="A79" s="1" t="s">
        <v>5</v>
      </c>
      <c r="B79" s="1" t="s">
        <v>7</v>
      </c>
      <c r="C79" s="2" t="s">
        <v>82</v>
      </c>
      <c r="D79" s="3" t="s">
        <v>83</v>
      </c>
      <c r="E79" s="4" t="s">
        <v>84</v>
      </c>
      <c r="F79" t="str">
        <f>'Source Table'!$B$10</f>
        <v>Economic Magazines &amp; Periodicals</v>
      </c>
      <c r="G79" t="str">
        <f>'Source Table'!$K$10</f>
        <v>المجلات والدوريات الاقتصادية</v>
      </c>
      <c r="I79" t="str">
        <f>'Source Table'!$D$5</f>
        <v>نصف سنوية</v>
      </c>
      <c r="J79" s="7">
        <v>4</v>
      </c>
      <c r="K79">
        <v>2023</v>
      </c>
    </row>
    <row r="80" ht="15.75" spans="1:11">
      <c r="A80" s="1" t="s">
        <v>5</v>
      </c>
      <c r="B80" s="1" t="s">
        <v>7</v>
      </c>
      <c r="C80" s="2" t="s">
        <v>82</v>
      </c>
      <c r="D80" s="3" t="s">
        <v>83</v>
      </c>
      <c r="E80" s="4" t="s">
        <v>84</v>
      </c>
      <c r="F80" t="str">
        <f>'Source Table'!$B$11</f>
        <v>Army &amp; Police Magazines &amp; Periodicals</v>
      </c>
      <c r="G80" t="str">
        <f>'Source Table'!$K$11</f>
        <v>المجلات والدوريات العسكرية و شرطية</v>
      </c>
      <c r="I80" t="str">
        <f>'Source Table'!$D$5</f>
        <v>نصف سنوية</v>
      </c>
      <c r="J80" s="7">
        <v>0</v>
      </c>
      <c r="K80">
        <v>2023</v>
      </c>
    </row>
    <row r="81" ht="15.75" spans="1:11">
      <c r="A81" s="1" t="s">
        <v>5</v>
      </c>
      <c r="B81" s="1" t="s">
        <v>7</v>
      </c>
      <c r="C81" s="2" t="s">
        <v>82</v>
      </c>
      <c r="D81" s="3" t="s">
        <v>83</v>
      </c>
      <c r="E81" s="4" t="s">
        <v>84</v>
      </c>
      <c r="F81" t="str">
        <f>'Source Table'!$B$12</f>
        <v>Youths &amp; Arts Magazines &amp; Periodicals</v>
      </c>
      <c r="G81" t="str">
        <f>'Source Table'!$K$12</f>
        <v>المجلات والدوريات الشباب و الفنون</v>
      </c>
      <c r="I81" t="str">
        <f>'Source Table'!$D$5</f>
        <v>نصف سنوية</v>
      </c>
      <c r="J81" s="7">
        <v>0</v>
      </c>
      <c r="K81">
        <v>2023</v>
      </c>
    </row>
    <row r="82" ht="15.75" spans="1:11">
      <c r="A82" s="1" t="s">
        <v>5</v>
      </c>
      <c r="B82" s="1" t="s">
        <v>7</v>
      </c>
      <c r="C82" s="2" t="s">
        <v>82</v>
      </c>
      <c r="D82" s="3" t="s">
        <v>83</v>
      </c>
      <c r="E82" s="4" t="s">
        <v>84</v>
      </c>
      <c r="F82" t="str">
        <f>'Source Table'!$B$13</f>
        <v>Cultural &amp; Educational Magazines &amp; Periodicals</v>
      </c>
      <c r="G82" t="str">
        <f>'Source Table'!$K$13</f>
        <v>المجلات والدوريات الثقافية و المدرسية</v>
      </c>
      <c r="I82" t="str">
        <f>'Source Table'!$D$5</f>
        <v>نصف سنوية</v>
      </c>
      <c r="J82" s="7">
        <v>2</v>
      </c>
      <c r="K82">
        <v>2023</v>
      </c>
    </row>
    <row r="83" ht="15.75" spans="1:11">
      <c r="A83" s="1" t="s">
        <v>5</v>
      </c>
      <c r="B83" s="1" t="s">
        <v>7</v>
      </c>
      <c r="C83" s="2" t="s">
        <v>82</v>
      </c>
      <c r="D83" s="3" t="s">
        <v>83</v>
      </c>
      <c r="E83" s="4" t="s">
        <v>84</v>
      </c>
      <c r="F83" t="str">
        <f>'Source Table'!$B$14</f>
        <v>Religious Magazines &amp; Periodicals</v>
      </c>
      <c r="G83" t="str">
        <f>'Source Table'!$K$14</f>
        <v>المجلات والدوريات الدينية</v>
      </c>
      <c r="I83" t="str">
        <f>'Source Table'!$D$5</f>
        <v>نصف سنوية</v>
      </c>
      <c r="J83" s="7">
        <v>0</v>
      </c>
      <c r="K83">
        <v>2023</v>
      </c>
    </row>
    <row r="84" ht="15.75" spans="1:11">
      <c r="A84" s="1" t="s">
        <v>5</v>
      </c>
      <c r="B84" s="1" t="s">
        <v>7</v>
      </c>
      <c r="C84" s="2" t="s">
        <v>82</v>
      </c>
      <c r="D84" s="3" t="s">
        <v>83</v>
      </c>
      <c r="E84" s="4" t="s">
        <v>84</v>
      </c>
      <c r="F84" t="str">
        <f>'Source Table'!$B$15</f>
        <v>Scientific Magazines &amp; Periodicals</v>
      </c>
      <c r="G84" t="str">
        <f>'Source Table'!$K$15</f>
        <v>المجلات والدوريات العلمية</v>
      </c>
      <c r="I84" t="str">
        <f>'Source Table'!$D$5</f>
        <v>نصف سنوية</v>
      </c>
      <c r="J84" s="7">
        <v>2</v>
      </c>
      <c r="K84">
        <v>2023</v>
      </c>
    </row>
    <row r="85" ht="15.75" spans="1:11">
      <c r="A85" s="1" t="s">
        <v>5</v>
      </c>
      <c r="B85" s="1" t="s">
        <v>7</v>
      </c>
      <c r="C85" s="2" t="s">
        <v>82</v>
      </c>
      <c r="D85" s="3" t="s">
        <v>83</v>
      </c>
      <c r="E85" s="4" t="s">
        <v>84</v>
      </c>
      <c r="F85" t="str">
        <f>'Source Table'!$B$16</f>
        <v>Financial Magazines &amp; Periodicals</v>
      </c>
      <c r="G85" t="str">
        <f>'Source Table'!$K$16</f>
        <v>المجلات والدوريات المالية</v>
      </c>
      <c r="I85" t="str">
        <f>'Source Table'!$D$5</f>
        <v>نصف سنوية</v>
      </c>
      <c r="J85" s="7">
        <v>0</v>
      </c>
      <c r="K85">
        <v>2023</v>
      </c>
    </row>
    <row r="86" ht="15.75" spans="1:11">
      <c r="A86" s="1" t="s">
        <v>5</v>
      </c>
      <c r="B86" s="1" t="s">
        <v>7</v>
      </c>
      <c r="C86" s="2" t="s">
        <v>82</v>
      </c>
      <c r="D86" s="3" t="s">
        <v>83</v>
      </c>
      <c r="E86" s="4" t="s">
        <v>84</v>
      </c>
      <c r="F86" t="str">
        <f>'Source Table'!$B$17</f>
        <v>Tourist Magazines &amp; Periodicals</v>
      </c>
      <c r="G86" t="str">
        <f>'Source Table'!$K$17</f>
        <v>المجلات والدوريات سياحية</v>
      </c>
      <c r="I86" t="str">
        <f>'Source Table'!$D$5</f>
        <v>نصف سنوية</v>
      </c>
      <c r="J86" s="7">
        <v>2</v>
      </c>
      <c r="K86">
        <v>2023</v>
      </c>
    </row>
    <row r="87" ht="16.5" spans="1:11">
      <c r="A87" s="1" t="s">
        <v>5</v>
      </c>
      <c r="B87" s="1" t="s">
        <v>7</v>
      </c>
      <c r="C87" s="2" t="s">
        <v>82</v>
      </c>
      <c r="D87" s="3" t="s">
        <v>83</v>
      </c>
      <c r="E87" s="4" t="s">
        <v>84</v>
      </c>
      <c r="F87" t="str">
        <f>'Source Table'!$B$18</f>
        <v>Other Magazines &amp; Periodicals</v>
      </c>
      <c r="G87" t="str">
        <f>'Source Table'!$K$18</f>
        <v>المجلات والدوريات أخرى</v>
      </c>
      <c r="I87" t="str">
        <f>'Source Table'!$D$5</f>
        <v>نصف سنوية</v>
      </c>
      <c r="J87" s="8">
        <v>4</v>
      </c>
      <c r="K87">
        <v>2023</v>
      </c>
    </row>
    <row r="88" ht="15.75" spans="1:11">
      <c r="A88" s="1" t="s">
        <v>5</v>
      </c>
      <c r="B88" s="1" t="s">
        <v>7</v>
      </c>
      <c r="C88" s="2" t="s">
        <v>82</v>
      </c>
      <c r="D88" s="3" t="s">
        <v>83</v>
      </c>
      <c r="E88" s="4" t="s">
        <v>84</v>
      </c>
      <c r="F88" t="str">
        <f>'Source Table'!$B$7</f>
        <v>Political Newspapers</v>
      </c>
      <c r="G88" t="str">
        <f>'Source Table'!$K$7</f>
        <v>صحف سياسية</v>
      </c>
      <c r="I88" t="str">
        <f>'Source Table'!$C$5</f>
        <v>نصف شهرية</v>
      </c>
      <c r="J88" s="5">
        <v>0</v>
      </c>
      <c r="K88">
        <v>2023</v>
      </c>
    </row>
    <row r="89" ht="15.75" spans="1:11">
      <c r="A89" s="1" t="s">
        <v>5</v>
      </c>
      <c r="B89" s="1" t="s">
        <v>7</v>
      </c>
      <c r="C89" s="2" t="s">
        <v>82</v>
      </c>
      <c r="D89" s="3" t="s">
        <v>83</v>
      </c>
      <c r="E89" s="4" t="s">
        <v>84</v>
      </c>
      <c r="F89" t="str">
        <f>'Source Table'!$B$8</f>
        <v>Parties Newspapers</v>
      </c>
      <c r="G89" t="str">
        <f>'Source Table'!$K$8</f>
        <v>صحف حزبية</v>
      </c>
      <c r="I89" t="str">
        <f>'Source Table'!$C$5</f>
        <v>نصف شهرية</v>
      </c>
      <c r="J89" s="5">
        <v>0</v>
      </c>
      <c r="K89">
        <v>2023</v>
      </c>
    </row>
    <row r="90" ht="15.75" spans="1:11">
      <c r="A90" s="1" t="s">
        <v>5</v>
      </c>
      <c r="B90" s="1" t="s">
        <v>7</v>
      </c>
      <c r="C90" s="2" t="s">
        <v>82</v>
      </c>
      <c r="D90" s="3" t="s">
        <v>83</v>
      </c>
      <c r="E90" s="4" t="s">
        <v>84</v>
      </c>
      <c r="F90" t="str">
        <f>'Source Table'!$B$9</f>
        <v>Children Magazines &amp; Periodicals</v>
      </c>
      <c r="G90" t="str">
        <f>'Source Table'!$K$9</f>
        <v>المجلات والدوريات الأطفال</v>
      </c>
      <c r="I90" t="str">
        <f>'Source Table'!$C$5</f>
        <v>نصف شهرية</v>
      </c>
      <c r="J90" s="5">
        <v>0</v>
      </c>
      <c r="K90">
        <v>2023</v>
      </c>
    </row>
    <row r="91" ht="15.75" spans="1:11">
      <c r="A91" s="1" t="s">
        <v>5</v>
      </c>
      <c r="B91" s="1" t="s">
        <v>7</v>
      </c>
      <c r="C91" s="2" t="s">
        <v>82</v>
      </c>
      <c r="D91" s="3" t="s">
        <v>83</v>
      </c>
      <c r="E91" s="4" t="s">
        <v>84</v>
      </c>
      <c r="F91" t="str">
        <f>'Source Table'!$B$10</f>
        <v>Economic Magazines &amp; Periodicals</v>
      </c>
      <c r="G91" t="str">
        <f>'Source Table'!$K$10</f>
        <v>المجلات والدوريات الاقتصادية</v>
      </c>
      <c r="I91" t="str">
        <f>'Source Table'!$C$5</f>
        <v>نصف شهرية</v>
      </c>
      <c r="J91" s="5">
        <v>2</v>
      </c>
      <c r="K91">
        <v>2023</v>
      </c>
    </row>
    <row r="92" ht="15.75" spans="1:11">
      <c r="A92" s="1" t="s">
        <v>5</v>
      </c>
      <c r="B92" s="1" t="s">
        <v>7</v>
      </c>
      <c r="C92" s="2" t="s">
        <v>82</v>
      </c>
      <c r="D92" s="3" t="s">
        <v>83</v>
      </c>
      <c r="E92" s="4" t="s">
        <v>84</v>
      </c>
      <c r="F92" t="str">
        <f>'Source Table'!$B$11</f>
        <v>Army &amp; Police Magazines &amp; Periodicals</v>
      </c>
      <c r="G92" t="str">
        <f>'Source Table'!$K$11</f>
        <v>المجلات والدوريات العسكرية و شرطية</v>
      </c>
      <c r="I92" t="str">
        <f>'Source Table'!$C$5</f>
        <v>نصف شهرية</v>
      </c>
      <c r="J92" s="5">
        <v>0</v>
      </c>
      <c r="K92">
        <v>2023</v>
      </c>
    </row>
    <row r="93" ht="15.75" spans="1:11">
      <c r="A93" s="1" t="s">
        <v>5</v>
      </c>
      <c r="B93" s="1" t="s">
        <v>7</v>
      </c>
      <c r="C93" s="2" t="s">
        <v>82</v>
      </c>
      <c r="D93" s="3" t="s">
        <v>83</v>
      </c>
      <c r="E93" s="4" t="s">
        <v>84</v>
      </c>
      <c r="F93" t="str">
        <f>'Source Table'!$B$12</f>
        <v>Youths &amp; Arts Magazines &amp; Periodicals</v>
      </c>
      <c r="G93" t="str">
        <f>'Source Table'!$K$12</f>
        <v>المجلات والدوريات الشباب و الفنون</v>
      </c>
      <c r="I93" t="str">
        <f>'Source Table'!$C$5</f>
        <v>نصف شهرية</v>
      </c>
      <c r="J93" s="5">
        <v>0</v>
      </c>
      <c r="K93">
        <v>2023</v>
      </c>
    </row>
    <row r="94" ht="15.75" spans="1:11">
      <c r="A94" s="1" t="s">
        <v>5</v>
      </c>
      <c r="B94" s="1" t="s">
        <v>7</v>
      </c>
      <c r="C94" s="2" t="s">
        <v>82</v>
      </c>
      <c r="D94" s="3" t="s">
        <v>83</v>
      </c>
      <c r="E94" s="4" t="s">
        <v>84</v>
      </c>
      <c r="F94" t="str">
        <f>'Source Table'!$B$13</f>
        <v>Cultural &amp; Educational Magazines &amp; Periodicals</v>
      </c>
      <c r="G94" t="str">
        <f>'Source Table'!$K$13</f>
        <v>المجلات والدوريات الثقافية و المدرسية</v>
      </c>
      <c r="I94" t="str">
        <f>'Source Table'!$C$5</f>
        <v>نصف شهرية</v>
      </c>
      <c r="J94" s="5">
        <v>0</v>
      </c>
      <c r="K94">
        <v>2023</v>
      </c>
    </row>
    <row r="95" ht="15.75" spans="1:11">
      <c r="A95" s="1" t="s">
        <v>5</v>
      </c>
      <c r="B95" s="1" t="s">
        <v>7</v>
      </c>
      <c r="C95" s="2" t="s">
        <v>82</v>
      </c>
      <c r="D95" s="3" t="s">
        <v>83</v>
      </c>
      <c r="E95" s="4" t="s">
        <v>84</v>
      </c>
      <c r="F95" t="str">
        <f>'Source Table'!$B$14</f>
        <v>Religious Magazines &amp; Periodicals</v>
      </c>
      <c r="G95" t="str">
        <f>'Source Table'!$K$14</f>
        <v>المجلات والدوريات الدينية</v>
      </c>
      <c r="I95" t="str">
        <f>'Source Table'!$C$5</f>
        <v>نصف شهرية</v>
      </c>
      <c r="J95" s="5">
        <v>1</v>
      </c>
      <c r="K95">
        <v>2023</v>
      </c>
    </row>
    <row r="96" ht="15.75" spans="1:11">
      <c r="A96" s="1" t="s">
        <v>5</v>
      </c>
      <c r="B96" s="1" t="s">
        <v>7</v>
      </c>
      <c r="C96" s="2" t="s">
        <v>82</v>
      </c>
      <c r="D96" s="3" t="s">
        <v>83</v>
      </c>
      <c r="E96" s="4" t="s">
        <v>84</v>
      </c>
      <c r="F96" t="str">
        <f>'Source Table'!$B$15</f>
        <v>Scientific Magazines &amp; Periodicals</v>
      </c>
      <c r="G96" t="str">
        <f>'Source Table'!$K$15</f>
        <v>المجلات والدوريات العلمية</v>
      </c>
      <c r="I96" t="str">
        <f>'Source Table'!$C$5</f>
        <v>نصف شهرية</v>
      </c>
      <c r="J96" s="5">
        <v>0</v>
      </c>
      <c r="K96">
        <v>2023</v>
      </c>
    </row>
    <row r="97" ht="15.75" spans="1:11">
      <c r="A97" s="1" t="s">
        <v>5</v>
      </c>
      <c r="B97" s="1" t="s">
        <v>7</v>
      </c>
      <c r="C97" s="2" t="s">
        <v>82</v>
      </c>
      <c r="D97" s="3" t="s">
        <v>83</v>
      </c>
      <c r="E97" s="4" t="s">
        <v>84</v>
      </c>
      <c r="F97" t="str">
        <f>'Source Table'!$B$16</f>
        <v>Financial Magazines &amp; Periodicals</v>
      </c>
      <c r="G97" t="str">
        <f>'Source Table'!$K$16</f>
        <v>المجلات والدوريات المالية</v>
      </c>
      <c r="I97" t="str">
        <f>'Source Table'!$C$5</f>
        <v>نصف شهرية</v>
      </c>
      <c r="J97" s="5">
        <v>0</v>
      </c>
      <c r="K97">
        <v>2023</v>
      </c>
    </row>
    <row r="98" ht="15.75" spans="1:11">
      <c r="A98" s="1" t="s">
        <v>5</v>
      </c>
      <c r="B98" s="1" t="s">
        <v>7</v>
      </c>
      <c r="C98" s="2" t="s">
        <v>82</v>
      </c>
      <c r="D98" s="3" t="s">
        <v>83</v>
      </c>
      <c r="E98" s="4" t="s">
        <v>84</v>
      </c>
      <c r="F98" t="str">
        <f>'Source Table'!$B$17</f>
        <v>Tourist Magazines &amp; Periodicals</v>
      </c>
      <c r="G98" t="str">
        <f>'Source Table'!$K$17</f>
        <v>المجلات والدوريات سياحية</v>
      </c>
      <c r="I98" t="str">
        <f>'Source Table'!$C$5</f>
        <v>نصف شهرية</v>
      </c>
      <c r="J98" s="5">
        <v>0</v>
      </c>
      <c r="K98">
        <v>2023</v>
      </c>
    </row>
    <row r="99" ht="15.75" spans="1:11">
      <c r="A99" s="1" t="s">
        <v>5</v>
      </c>
      <c r="B99" s="1" t="s">
        <v>7</v>
      </c>
      <c r="C99" s="2" t="s">
        <v>82</v>
      </c>
      <c r="D99" s="3" t="s">
        <v>83</v>
      </c>
      <c r="E99" s="4" t="s">
        <v>84</v>
      </c>
      <c r="F99" t="str">
        <f>'Source Table'!$B$18</f>
        <v>Other Magazines &amp; Periodicals</v>
      </c>
      <c r="G99" t="str">
        <f>'Source Table'!$K$18</f>
        <v>المجلات والدوريات أخرى</v>
      </c>
      <c r="I99" t="str">
        <f>'Source Table'!$C$5</f>
        <v>نصف شهرية</v>
      </c>
      <c r="J99" s="6">
        <v>2</v>
      </c>
      <c r="K99">
        <v>2023</v>
      </c>
    </row>
    <row r="100" ht="15.75" spans="1:11">
      <c r="A100" s="1" t="s">
        <v>5</v>
      </c>
      <c r="B100" s="1" t="s">
        <v>7</v>
      </c>
      <c r="C100" s="2" t="s">
        <v>82</v>
      </c>
      <c r="D100" s="3" t="s">
        <v>83</v>
      </c>
      <c r="E100" s="4" t="s">
        <v>84</v>
      </c>
      <c r="F100" t="str">
        <f>'Source Table'!$B$7</f>
        <v>Political Newspapers</v>
      </c>
      <c r="G100" t="str">
        <f>'Source Table'!$K$7</f>
        <v>صحف سياسية</v>
      </c>
      <c r="H100" t="str">
        <f>'Source Table'!$J$6</f>
        <v>Daily</v>
      </c>
      <c r="I100" t="str">
        <f>'Source Table'!$J$5</f>
        <v>يومية</v>
      </c>
      <c r="J100" s="25">
        <v>10</v>
      </c>
      <c r="K100">
        <v>2022</v>
      </c>
    </row>
    <row r="101" ht="15.75" spans="1:11">
      <c r="A101" s="1" t="s">
        <v>5</v>
      </c>
      <c r="B101" s="1" t="s">
        <v>7</v>
      </c>
      <c r="C101" s="2" t="s">
        <v>82</v>
      </c>
      <c r="D101" s="3" t="s">
        <v>83</v>
      </c>
      <c r="E101" s="4" t="s">
        <v>84</v>
      </c>
      <c r="F101" t="str">
        <f>'Source Table'!$B$8</f>
        <v>Parties Newspapers</v>
      </c>
      <c r="G101" t="str">
        <f>'Source Table'!$K$8</f>
        <v>صحف حزبية</v>
      </c>
      <c r="H101" t="str">
        <f>'Source Table'!$J$6</f>
        <v>Daily</v>
      </c>
      <c r="I101" t="str">
        <f>'Source Table'!$J$5</f>
        <v>يومية</v>
      </c>
      <c r="J101" s="25">
        <v>0</v>
      </c>
      <c r="K101">
        <v>2022</v>
      </c>
    </row>
    <row r="102" ht="15.75" spans="1:11">
      <c r="A102" s="1" t="s">
        <v>5</v>
      </c>
      <c r="B102" s="1" t="s">
        <v>7</v>
      </c>
      <c r="C102" s="2" t="s">
        <v>82</v>
      </c>
      <c r="D102" s="3" t="s">
        <v>83</v>
      </c>
      <c r="E102" s="4" t="s">
        <v>84</v>
      </c>
      <c r="F102" t="str">
        <f>'Source Table'!$B$9</f>
        <v>Children Magazines &amp; Periodicals</v>
      </c>
      <c r="G102" t="str">
        <f>'Source Table'!$K$9</f>
        <v>المجلات والدوريات الأطفال</v>
      </c>
      <c r="H102" t="str">
        <f>'Source Table'!$J$6</f>
        <v>Daily</v>
      </c>
      <c r="I102" t="str">
        <f>'Source Table'!$J$5</f>
        <v>يومية</v>
      </c>
      <c r="J102" s="25">
        <v>0</v>
      </c>
      <c r="K102">
        <v>2022</v>
      </c>
    </row>
    <row r="103" ht="15.75" spans="1:11">
      <c r="A103" s="1" t="s">
        <v>5</v>
      </c>
      <c r="B103" s="1" t="s">
        <v>7</v>
      </c>
      <c r="C103" s="2" t="s">
        <v>82</v>
      </c>
      <c r="D103" s="3" t="s">
        <v>83</v>
      </c>
      <c r="E103" s="4" t="s">
        <v>84</v>
      </c>
      <c r="F103" t="str">
        <f>'Source Table'!$B$10</f>
        <v>Economic Magazines &amp; Periodicals</v>
      </c>
      <c r="G103" t="str">
        <f>'Source Table'!$K$10</f>
        <v>المجلات والدوريات الاقتصادية</v>
      </c>
      <c r="H103" t="str">
        <f>'Source Table'!$J$6</f>
        <v>Daily</v>
      </c>
      <c r="I103" t="str">
        <f>'Source Table'!$J$5</f>
        <v>يومية</v>
      </c>
      <c r="J103" s="25">
        <v>0</v>
      </c>
      <c r="K103">
        <v>2022</v>
      </c>
    </row>
    <row r="104" ht="15.75" spans="1:11">
      <c r="A104" s="1" t="s">
        <v>5</v>
      </c>
      <c r="B104" s="1" t="s">
        <v>7</v>
      </c>
      <c r="C104" s="2" t="s">
        <v>82</v>
      </c>
      <c r="D104" s="3" t="s">
        <v>83</v>
      </c>
      <c r="E104" s="4" t="s">
        <v>84</v>
      </c>
      <c r="F104" t="str">
        <f>'Source Table'!$B$11</f>
        <v>Army &amp; Police Magazines &amp; Periodicals</v>
      </c>
      <c r="G104" t="str">
        <f>'Source Table'!$K$11</f>
        <v>المجلات والدوريات العسكرية و شرطية</v>
      </c>
      <c r="H104" t="str">
        <f>'Source Table'!$J$6</f>
        <v>Daily</v>
      </c>
      <c r="I104" t="str">
        <f>'Source Table'!$J$5</f>
        <v>يومية</v>
      </c>
      <c r="J104" s="25">
        <v>0</v>
      </c>
      <c r="K104">
        <v>2022</v>
      </c>
    </row>
    <row r="105" ht="15.75" spans="1:11">
      <c r="A105" s="1" t="s">
        <v>5</v>
      </c>
      <c r="B105" s="1" t="s">
        <v>7</v>
      </c>
      <c r="C105" s="2" t="s">
        <v>82</v>
      </c>
      <c r="D105" s="3" t="s">
        <v>83</v>
      </c>
      <c r="E105" s="4" t="s">
        <v>84</v>
      </c>
      <c r="F105" t="str">
        <f>'Source Table'!$B$12</f>
        <v>Youths &amp; Arts Magazines &amp; Periodicals</v>
      </c>
      <c r="G105" t="str">
        <f>'Source Table'!$K$12</f>
        <v>المجلات والدوريات الشباب و الفنون</v>
      </c>
      <c r="H105" t="str">
        <f>'Source Table'!$J$6</f>
        <v>Daily</v>
      </c>
      <c r="I105" t="str">
        <f>'Source Table'!$J$5</f>
        <v>يومية</v>
      </c>
      <c r="J105" s="25">
        <v>0</v>
      </c>
      <c r="K105">
        <v>2022</v>
      </c>
    </row>
    <row r="106" ht="15.75" spans="1:11">
      <c r="A106" s="1" t="s">
        <v>5</v>
      </c>
      <c r="B106" s="1" t="s">
        <v>7</v>
      </c>
      <c r="C106" s="2" t="s">
        <v>82</v>
      </c>
      <c r="D106" s="3" t="s">
        <v>83</v>
      </c>
      <c r="E106" s="4" t="s">
        <v>84</v>
      </c>
      <c r="F106" t="str">
        <f>'Source Table'!$B$13</f>
        <v>Cultural &amp; Educational Magazines &amp; Periodicals</v>
      </c>
      <c r="G106" t="str">
        <f>'Source Table'!$K$13</f>
        <v>المجلات والدوريات الثقافية و المدرسية</v>
      </c>
      <c r="H106" t="str">
        <f>'Source Table'!$J$6</f>
        <v>Daily</v>
      </c>
      <c r="I106" t="str">
        <f>'Source Table'!$J$5</f>
        <v>يومية</v>
      </c>
      <c r="J106" s="25">
        <v>0</v>
      </c>
      <c r="K106">
        <v>2022</v>
      </c>
    </row>
    <row r="107" ht="15.75" spans="1:11">
      <c r="A107" s="1" t="s">
        <v>5</v>
      </c>
      <c r="B107" s="1" t="s">
        <v>7</v>
      </c>
      <c r="C107" s="2" t="s">
        <v>82</v>
      </c>
      <c r="D107" s="3" t="s">
        <v>83</v>
      </c>
      <c r="E107" s="4" t="s">
        <v>84</v>
      </c>
      <c r="F107" t="str">
        <f>'Source Table'!$B$14</f>
        <v>Religious Magazines &amp; Periodicals</v>
      </c>
      <c r="G107" t="str">
        <f>'Source Table'!$K$14</f>
        <v>المجلات والدوريات الدينية</v>
      </c>
      <c r="H107" t="str">
        <f>'Source Table'!$J$6</f>
        <v>Daily</v>
      </c>
      <c r="I107" t="str">
        <f>'Source Table'!$J$5</f>
        <v>يومية</v>
      </c>
      <c r="J107" s="25">
        <v>0</v>
      </c>
      <c r="K107">
        <v>2022</v>
      </c>
    </row>
    <row r="108" ht="15.75" spans="1:11">
      <c r="A108" s="1" t="s">
        <v>5</v>
      </c>
      <c r="B108" s="1" t="s">
        <v>7</v>
      </c>
      <c r="C108" s="2" t="s">
        <v>82</v>
      </c>
      <c r="D108" s="3" t="s">
        <v>83</v>
      </c>
      <c r="E108" s="4" t="s">
        <v>84</v>
      </c>
      <c r="F108" t="str">
        <f>'Source Table'!$B$15</f>
        <v>Scientific Magazines &amp; Periodicals</v>
      </c>
      <c r="G108" t="str">
        <f>'Source Table'!$K$15</f>
        <v>المجلات والدوريات العلمية</v>
      </c>
      <c r="H108" t="str">
        <f>'Source Table'!$J$6</f>
        <v>Daily</v>
      </c>
      <c r="I108" t="str">
        <f>'Source Table'!$J$5</f>
        <v>يومية</v>
      </c>
      <c r="J108" s="25">
        <v>0</v>
      </c>
      <c r="K108">
        <v>2022</v>
      </c>
    </row>
    <row r="109" ht="15.75" spans="1:11">
      <c r="A109" s="1" t="s">
        <v>5</v>
      </c>
      <c r="B109" s="1" t="s">
        <v>7</v>
      </c>
      <c r="C109" s="2" t="s">
        <v>82</v>
      </c>
      <c r="D109" s="3" t="s">
        <v>83</v>
      </c>
      <c r="E109" s="4" t="s">
        <v>84</v>
      </c>
      <c r="F109" t="str">
        <f>'Source Table'!$B$16</f>
        <v>Financial Magazines &amp; Periodicals</v>
      </c>
      <c r="G109" t="str">
        <f>'Source Table'!$K$16</f>
        <v>المجلات والدوريات المالية</v>
      </c>
      <c r="H109" t="str">
        <f>'Source Table'!$J$6</f>
        <v>Daily</v>
      </c>
      <c r="I109" t="str">
        <f>'Source Table'!$J$5</f>
        <v>يومية</v>
      </c>
      <c r="J109" s="25">
        <v>0</v>
      </c>
      <c r="K109">
        <v>2022</v>
      </c>
    </row>
    <row r="110" ht="15.75" spans="1:11">
      <c r="A110" s="1" t="s">
        <v>5</v>
      </c>
      <c r="B110" s="1" t="s">
        <v>7</v>
      </c>
      <c r="C110" s="2" t="s">
        <v>82</v>
      </c>
      <c r="D110" s="3" t="s">
        <v>83</v>
      </c>
      <c r="E110" s="4" t="s">
        <v>84</v>
      </c>
      <c r="F110" t="str">
        <f>'Source Table'!$B$17</f>
        <v>Tourist Magazines &amp; Periodicals</v>
      </c>
      <c r="G110" t="str">
        <f>'Source Table'!$K$17</f>
        <v>المجلات والدوريات سياحية</v>
      </c>
      <c r="H110" t="str">
        <f>'Source Table'!$J$6</f>
        <v>Daily</v>
      </c>
      <c r="I110" t="str">
        <f>'Source Table'!$J$5</f>
        <v>يومية</v>
      </c>
      <c r="J110" s="25">
        <v>0</v>
      </c>
      <c r="K110">
        <v>2022</v>
      </c>
    </row>
    <row r="111" ht="16.5" spans="1:11">
      <c r="A111" s="1" t="s">
        <v>5</v>
      </c>
      <c r="B111" s="1" t="s">
        <v>7</v>
      </c>
      <c r="C111" s="2" t="s">
        <v>82</v>
      </c>
      <c r="D111" s="3" t="s">
        <v>83</v>
      </c>
      <c r="E111" s="4" t="s">
        <v>84</v>
      </c>
      <c r="F111" t="str">
        <f>'Source Table'!$B$18</f>
        <v>Other Magazines &amp; Periodicals</v>
      </c>
      <c r="G111" t="str">
        <f>'Source Table'!$K$18</f>
        <v>المجلات والدوريات أخرى</v>
      </c>
      <c r="H111" t="str">
        <f>'Source Table'!$J$6</f>
        <v>Daily</v>
      </c>
      <c r="I111" t="str">
        <f>'Source Table'!$J$5</f>
        <v>يومية</v>
      </c>
      <c r="J111" s="26">
        <v>0</v>
      </c>
      <c r="K111">
        <v>2022</v>
      </c>
    </row>
    <row r="112" ht="15.75" spans="1:11">
      <c r="A112" s="1" t="s">
        <v>5</v>
      </c>
      <c r="B112" s="1" t="s">
        <v>7</v>
      </c>
      <c r="C112" s="2" t="s">
        <v>82</v>
      </c>
      <c r="D112" s="3" t="s">
        <v>83</v>
      </c>
      <c r="E112" s="4" t="s">
        <v>84</v>
      </c>
      <c r="F112" t="str">
        <f>'Source Table'!$B$7</f>
        <v>Political Newspapers</v>
      </c>
      <c r="G112" t="str">
        <f>'Source Table'!$K$7</f>
        <v>صحف سياسية</v>
      </c>
      <c r="H112" t="str">
        <f>'Source Table'!$I$6</f>
        <v>Weekly</v>
      </c>
      <c r="I112" t="str">
        <f>'Source Table'!$I$5</f>
        <v>أسبوعية</v>
      </c>
      <c r="J112" s="27">
        <v>4</v>
      </c>
      <c r="K112">
        <v>2022</v>
      </c>
    </row>
    <row r="113" ht="15.75" spans="1:11">
      <c r="A113" s="1" t="s">
        <v>5</v>
      </c>
      <c r="B113" s="1" t="s">
        <v>7</v>
      </c>
      <c r="C113" s="2" t="s">
        <v>82</v>
      </c>
      <c r="D113" s="3" t="s">
        <v>83</v>
      </c>
      <c r="E113" s="4" t="s">
        <v>84</v>
      </c>
      <c r="F113" t="str">
        <f>'Source Table'!$B$8</f>
        <v>Parties Newspapers</v>
      </c>
      <c r="G113" t="str">
        <f>'Source Table'!$K$8</f>
        <v>صحف حزبية</v>
      </c>
      <c r="H113" t="str">
        <f>'Source Table'!$I$6</f>
        <v>Weekly</v>
      </c>
      <c r="I113" t="str">
        <f>'Source Table'!$I$5</f>
        <v>أسبوعية</v>
      </c>
      <c r="J113" s="27">
        <v>1</v>
      </c>
      <c r="K113">
        <v>2022</v>
      </c>
    </row>
    <row r="114" ht="15.75" spans="1:11">
      <c r="A114" s="1" t="s">
        <v>5</v>
      </c>
      <c r="B114" s="1" t="s">
        <v>7</v>
      </c>
      <c r="C114" s="2" t="s">
        <v>82</v>
      </c>
      <c r="D114" s="3" t="s">
        <v>83</v>
      </c>
      <c r="E114" s="4" t="s">
        <v>84</v>
      </c>
      <c r="F114" t="str">
        <f>'Source Table'!$B$9</f>
        <v>Children Magazines &amp; Periodicals</v>
      </c>
      <c r="G114" t="str">
        <f>'Source Table'!$K$9</f>
        <v>المجلات والدوريات الأطفال</v>
      </c>
      <c r="H114" t="str">
        <f>'Source Table'!$I$6</f>
        <v>Weekly</v>
      </c>
      <c r="I114" t="str">
        <f>'Source Table'!$I$5</f>
        <v>أسبوعية</v>
      </c>
      <c r="J114" s="27">
        <v>0</v>
      </c>
      <c r="K114">
        <v>2022</v>
      </c>
    </row>
    <row r="115" ht="15.75" spans="1:11">
      <c r="A115" s="1" t="s">
        <v>5</v>
      </c>
      <c r="B115" s="1" t="s">
        <v>7</v>
      </c>
      <c r="C115" s="2" t="s">
        <v>82</v>
      </c>
      <c r="D115" s="3" t="s">
        <v>83</v>
      </c>
      <c r="E115" s="4" t="s">
        <v>84</v>
      </c>
      <c r="F115" t="str">
        <f>'Source Table'!$B$10</f>
        <v>Economic Magazines &amp; Periodicals</v>
      </c>
      <c r="G115" t="str">
        <f>'Source Table'!$K$10</f>
        <v>المجلات والدوريات الاقتصادية</v>
      </c>
      <c r="H115" t="str">
        <f>'Source Table'!$I$6</f>
        <v>Weekly</v>
      </c>
      <c r="I115" t="str">
        <f>'Source Table'!$I$5</f>
        <v>أسبوعية</v>
      </c>
      <c r="J115" s="27">
        <v>0</v>
      </c>
      <c r="K115">
        <v>2022</v>
      </c>
    </row>
    <row r="116" ht="15.75" spans="1:11">
      <c r="A116" s="1" t="s">
        <v>5</v>
      </c>
      <c r="B116" s="1" t="s">
        <v>7</v>
      </c>
      <c r="C116" s="2" t="s">
        <v>82</v>
      </c>
      <c r="D116" s="3" t="s">
        <v>83</v>
      </c>
      <c r="E116" s="4" t="s">
        <v>84</v>
      </c>
      <c r="F116" t="str">
        <f>'Source Table'!$B$11</f>
        <v>Army &amp; Police Magazines &amp; Periodicals</v>
      </c>
      <c r="G116" t="str">
        <f>'Source Table'!$K$11</f>
        <v>المجلات والدوريات العسكرية و شرطية</v>
      </c>
      <c r="H116" t="str">
        <f>'Source Table'!$I$6</f>
        <v>Weekly</v>
      </c>
      <c r="I116" t="str">
        <f>'Source Table'!$I$5</f>
        <v>أسبوعية</v>
      </c>
      <c r="J116" s="27">
        <v>0</v>
      </c>
      <c r="K116">
        <v>2022</v>
      </c>
    </row>
    <row r="117" ht="15.75" spans="1:11">
      <c r="A117" s="1" t="s">
        <v>5</v>
      </c>
      <c r="B117" s="1" t="s">
        <v>7</v>
      </c>
      <c r="C117" s="2" t="s">
        <v>82</v>
      </c>
      <c r="D117" s="3" t="s">
        <v>83</v>
      </c>
      <c r="E117" s="4" t="s">
        <v>84</v>
      </c>
      <c r="F117" t="str">
        <f>'Source Table'!$B$12</f>
        <v>Youths &amp; Arts Magazines &amp; Periodicals</v>
      </c>
      <c r="G117" t="str">
        <f>'Source Table'!$K$12</f>
        <v>المجلات والدوريات الشباب و الفنون</v>
      </c>
      <c r="H117" t="str">
        <f>'Source Table'!$I$6</f>
        <v>Weekly</v>
      </c>
      <c r="I117" t="str">
        <f>'Source Table'!$I$5</f>
        <v>أسبوعية</v>
      </c>
      <c r="J117" s="27">
        <v>0</v>
      </c>
      <c r="K117">
        <v>2022</v>
      </c>
    </row>
    <row r="118" ht="15.75" spans="1:11">
      <c r="A118" s="1" t="s">
        <v>5</v>
      </c>
      <c r="B118" s="1" t="s">
        <v>7</v>
      </c>
      <c r="C118" s="2" t="s">
        <v>82</v>
      </c>
      <c r="D118" s="3" t="s">
        <v>83</v>
      </c>
      <c r="E118" s="4" t="s">
        <v>84</v>
      </c>
      <c r="F118" t="str">
        <f>'Source Table'!$B$13</f>
        <v>Cultural &amp; Educational Magazines &amp; Periodicals</v>
      </c>
      <c r="G118" t="str">
        <f>'Source Table'!$K$13</f>
        <v>المجلات والدوريات الثقافية و المدرسية</v>
      </c>
      <c r="H118" t="str">
        <f>'Source Table'!$I$6</f>
        <v>Weekly</v>
      </c>
      <c r="I118" t="str">
        <f>'Source Table'!$I$5</f>
        <v>أسبوعية</v>
      </c>
      <c r="J118" s="27">
        <v>0</v>
      </c>
      <c r="K118">
        <v>2022</v>
      </c>
    </row>
    <row r="119" ht="15.75" spans="1:11">
      <c r="A119" s="1" t="s">
        <v>5</v>
      </c>
      <c r="B119" s="1" t="s">
        <v>7</v>
      </c>
      <c r="C119" s="2" t="s">
        <v>82</v>
      </c>
      <c r="D119" s="3" t="s">
        <v>83</v>
      </c>
      <c r="E119" s="4" t="s">
        <v>84</v>
      </c>
      <c r="F119" t="str">
        <f>'Source Table'!$B$14</f>
        <v>Religious Magazines &amp; Periodicals</v>
      </c>
      <c r="G119" t="str">
        <f>'Source Table'!$K$14</f>
        <v>المجلات والدوريات الدينية</v>
      </c>
      <c r="H119" t="str">
        <f>'Source Table'!$I$6</f>
        <v>Weekly</v>
      </c>
      <c r="I119" t="str">
        <f>'Source Table'!$I$5</f>
        <v>أسبوعية</v>
      </c>
      <c r="J119" s="27">
        <v>0</v>
      </c>
      <c r="K119">
        <v>2022</v>
      </c>
    </row>
    <row r="120" ht="15.75" spans="1:11">
      <c r="A120" s="1" t="s">
        <v>5</v>
      </c>
      <c r="B120" s="1" t="s">
        <v>7</v>
      </c>
      <c r="C120" s="2" t="s">
        <v>82</v>
      </c>
      <c r="D120" s="3" t="s">
        <v>83</v>
      </c>
      <c r="E120" s="4" t="s">
        <v>84</v>
      </c>
      <c r="F120" t="str">
        <f>'Source Table'!$B$15</f>
        <v>Scientific Magazines &amp; Periodicals</v>
      </c>
      <c r="G120" t="str">
        <f>'Source Table'!$K$15</f>
        <v>المجلات والدوريات العلمية</v>
      </c>
      <c r="H120" t="str">
        <f>'Source Table'!$I$6</f>
        <v>Weekly</v>
      </c>
      <c r="I120" t="str">
        <f>'Source Table'!$I$5</f>
        <v>أسبوعية</v>
      </c>
      <c r="J120" s="27">
        <v>0</v>
      </c>
      <c r="K120">
        <v>2022</v>
      </c>
    </row>
    <row r="121" ht="15.75" spans="1:11">
      <c r="A121" s="1" t="s">
        <v>5</v>
      </c>
      <c r="B121" s="1" t="s">
        <v>7</v>
      </c>
      <c r="C121" s="2" t="s">
        <v>82</v>
      </c>
      <c r="D121" s="3" t="s">
        <v>83</v>
      </c>
      <c r="E121" s="4" t="s">
        <v>84</v>
      </c>
      <c r="F121" t="str">
        <f>'Source Table'!$B$16</f>
        <v>Financial Magazines &amp; Periodicals</v>
      </c>
      <c r="G121" t="str">
        <f>'Source Table'!$K$16</f>
        <v>المجلات والدوريات المالية</v>
      </c>
      <c r="H121" t="str">
        <f>'Source Table'!$I$6</f>
        <v>Weekly</v>
      </c>
      <c r="I121" t="str">
        <f>'Source Table'!$I$5</f>
        <v>أسبوعية</v>
      </c>
      <c r="J121" s="27">
        <v>0</v>
      </c>
      <c r="K121">
        <v>2022</v>
      </c>
    </row>
    <row r="122" ht="15.75" spans="1:11">
      <c r="A122" s="1" t="s">
        <v>5</v>
      </c>
      <c r="B122" s="1" t="s">
        <v>7</v>
      </c>
      <c r="C122" s="2" t="s">
        <v>82</v>
      </c>
      <c r="D122" s="3" t="s">
        <v>83</v>
      </c>
      <c r="E122" s="4" t="s">
        <v>84</v>
      </c>
      <c r="F122" t="str">
        <f>'Source Table'!$B$17</f>
        <v>Tourist Magazines &amp; Periodicals</v>
      </c>
      <c r="G122" t="str">
        <f>'Source Table'!$K$17</f>
        <v>المجلات والدوريات سياحية</v>
      </c>
      <c r="H122" t="str">
        <f>'Source Table'!$I$6</f>
        <v>Weekly</v>
      </c>
      <c r="I122" t="str">
        <f>'Source Table'!$I$5</f>
        <v>أسبوعية</v>
      </c>
      <c r="J122" s="27">
        <v>1</v>
      </c>
      <c r="K122">
        <v>2022</v>
      </c>
    </row>
    <row r="123" ht="16.5" spans="1:11">
      <c r="A123" s="1" t="s">
        <v>5</v>
      </c>
      <c r="B123" s="1" t="s">
        <v>7</v>
      </c>
      <c r="C123" s="2" t="s">
        <v>82</v>
      </c>
      <c r="D123" s="3" t="s">
        <v>83</v>
      </c>
      <c r="E123" s="4" t="s">
        <v>84</v>
      </c>
      <c r="F123" t="str">
        <f>'Source Table'!$B$18</f>
        <v>Other Magazines &amp; Periodicals</v>
      </c>
      <c r="G123" t="str">
        <f>'Source Table'!$K$18</f>
        <v>المجلات والدوريات أخرى</v>
      </c>
      <c r="H123" t="str">
        <f>'Source Table'!$I$6</f>
        <v>Weekly</v>
      </c>
      <c r="I123" t="str">
        <f>'Source Table'!$I$5</f>
        <v>أسبوعية</v>
      </c>
      <c r="J123" s="28">
        <v>2</v>
      </c>
      <c r="K123">
        <v>2022</v>
      </c>
    </row>
    <row r="124" ht="15.75" spans="1:11">
      <c r="A124" s="1" t="s">
        <v>5</v>
      </c>
      <c r="B124" s="1" t="s">
        <v>7</v>
      </c>
      <c r="C124" s="2" t="s">
        <v>82</v>
      </c>
      <c r="D124" s="3" t="s">
        <v>83</v>
      </c>
      <c r="E124" s="4" t="s">
        <v>84</v>
      </c>
      <c r="F124" t="str">
        <f>'Source Table'!$B$7</f>
        <v>Political Newspapers</v>
      </c>
      <c r="G124" t="str">
        <f>'Source Table'!$K$7</f>
        <v>صحف سياسية</v>
      </c>
      <c r="H124" t="str">
        <f>'Source Table'!$H$6</f>
        <v>Monthly</v>
      </c>
      <c r="I124" t="str">
        <f>'Source Table'!$H$5</f>
        <v>شهرية</v>
      </c>
      <c r="J124" s="27">
        <v>2</v>
      </c>
      <c r="K124">
        <v>2022</v>
      </c>
    </row>
    <row r="125" ht="15.75" spans="1:11">
      <c r="A125" s="1" t="s">
        <v>5</v>
      </c>
      <c r="B125" s="1" t="s">
        <v>7</v>
      </c>
      <c r="C125" s="2" t="s">
        <v>82</v>
      </c>
      <c r="D125" s="3" t="s">
        <v>83</v>
      </c>
      <c r="E125" s="4" t="s">
        <v>84</v>
      </c>
      <c r="F125" t="str">
        <f>'Source Table'!$B$8</f>
        <v>Parties Newspapers</v>
      </c>
      <c r="G125" t="str">
        <f>'Source Table'!$K$8</f>
        <v>صحف حزبية</v>
      </c>
      <c r="H125" t="str">
        <f>'Source Table'!$H$6</f>
        <v>Monthly</v>
      </c>
      <c r="I125" t="str">
        <f>'Source Table'!$H$5</f>
        <v>شهرية</v>
      </c>
      <c r="J125" s="27">
        <v>0</v>
      </c>
      <c r="K125">
        <v>2022</v>
      </c>
    </row>
    <row r="126" ht="15.75" spans="1:11">
      <c r="A126" s="1" t="s">
        <v>5</v>
      </c>
      <c r="B126" s="1" t="s">
        <v>7</v>
      </c>
      <c r="C126" s="2" t="s">
        <v>82</v>
      </c>
      <c r="D126" s="3" t="s">
        <v>83</v>
      </c>
      <c r="E126" s="4" t="s">
        <v>84</v>
      </c>
      <c r="F126" t="str">
        <f>'Source Table'!$B$9</f>
        <v>Children Magazines &amp; Periodicals</v>
      </c>
      <c r="G126" t="str">
        <f>'Source Table'!$K$9</f>
        <v>المجلات والدوريات الأطفال</v>
      </c>
      <c r="H126" t="str">
        <f>'Source Table'!$H$6</f>
        <v>Monthly</v>
      </c>
      <c r="I126" t="str">
        <f>'Source Table'!$H$5</f>
        <v>شهرية</v>
      </c>
      <c r="J126" s="27">
        <v>0</v>
      </c>
      <c r="K126">
        <v>2022</v>
      </c>
    </row>
    <row r="127" ht="15.75" spans="1:11">
      <c r="A127" s="1" t="s">
        <v>5</v>
      </c>
      <c r="B127" s="1" t="s">
        <v>7</v>
      </c>
      <c r="C127" s="2" t="s">
        <v>82</v>
      </c>
      <c r="D127" s="3" t="s">
        <v>83</v>
      </c>
      <c r="E127" s="4" t="s">
        <v>84</v>
      </c>
      <c r="F127" t="str">
        <f>'Source Table'!$B$10</f>
        <v>Economic Magazines &amp; Periodicals</v>
      </c>
      <c r="G127" t="str">
        <f>'Source Table'!$K$10</f>
        <v>المجلات والدوريات الاقتصادية</v>
      </c>
      <c r="H127" t="str">
        <f>'Source Table'!$H$6</f>
        <v>Monthly</v>
      </c>
      <c r="I127" t="str">
        <f>'Source Table'!$H$5</f>
        <v>شهرية</v>
      </c>
      <c r="J127" s="27">
        <v>2</v>
      </c>
      <c r="K127">
        <v>2022</v>
      </c>
    </row>
    <row r="128" ht="15.75" spans="1:11">
      <c r="A128" s="1" t="s">
        <v>5</v>
      </c>
      <c r="B128" s="1" t="s">
        <v>7</v>
      </c>
      <c r="C128" s="2" t="s">
        <v>82</v>
      </c>
      <c r="D128" s="3" t="s">
        <v>83</v>
      </c>
      <c r="E128" s="4" t="s">
        <v>84</v>
      </c>
      <c r="F128" t="str">
        <f>'Source Table'!$B$11</f>
        <v>Army &amp; Police Magazines &amp; Periodicals</v>
      </c>
      <c r="G128" t="str">
        <f>'Source Table'!$K$11</f>
        <v>المجلات والدوريات العسكرية و شرطية</v>
      </c>
      <c r="H128" t="str">
        <f>'Source Table'!$H$6</f>
        <v>Monthly</v>
      </c>
      <c r="I128" t="str">
        <f>'Source Table'!$H$5</f>
        <v>شهرية</v>
      </c>
      <c r="J128" s="27">
        <v>0</v>
      </c>
      <c r="K128">
        <v>2022</v>
      </c>
    </row>
    <row r="129" ht="15.75" spans="1:11">
      <c r="A129" s="1" t="s">
        <v>5</v>
      </c>
      <c r="B129" s="1" t="s">
        <v>7</v>
      </c>
      <c r="C129" s="2" t="s">
        <v>82</v>
      </c>
      <c r="D129" s="3" t="s">
        <v>83</v>
      </c>
      <c r="E129" s="4" t="s">
        <v>84</v>
      </c>
      <c r="F129" t="str">
        <f>'Source Table'!$B$12</f>
        <v>Youths &amp; Arts Magazines &amp; Periodicals</v>
      </c>
      <c r="G129" t="str">
        <f>'Source Table'!$K$12</f>
        <v>المجلات والدوريات الشباب و الفنون</v>
      </c>
      <c r="H129" t="str">
        <f>'Source Table'!$H$6</f>
        <v>Monthly</v>
      </c>
      <c r="I129" t="str">
        <f>'Source Table'!$H$5</f>
        <v>شهرية</v>
      </c>
      <c r="J129" s="27">
        <v>1</v>
      </c>
      <c r="K129">
        <v>2022</v>
      </c>
    </row>
    <row r="130" ht="15.75" spans="1:11">
      <c r="A130" s="1" t="s">
        <v>5</v>
      </c>
      <c r="B130" s="1" t="s">
        <v>7</v>
      </c>
      <c r="C130" s="2" t="s">
        <v>82</v>
      </c>
      <c r="D130" s="3" t="s">
        <v>83</v>
      </c>
      <c r="E130" s="4" t="s">
        <v>84</v>
      </c>
      <c r="F130" t="str">
        <f>'Source Table'!$B$13</f>
        <v>Cultural &amp; Educational Magazines &amp; Periodicals</v>
      </c>
      <c r="G130" t="str">
        <f>'Source Table'!$K$13</f>
        <v>المجلات والدوريات الثقافية و المدرسية</v>
      </c>
      <c r="H130" t="str">
        <f>'Source Table'!$H$6</f>
        <v>Monthly</v>
      </c>
      <c r="I130" t="str">
        <f>'Source Table'!$H$5</f>
        <v>شهرية</v>
      </c>
      <c r="J130" s="27">
        <v>0</v>
      </c>
      <c r="K130">
        <v>2022</v>
      </c>
    </row>
    <row r="131" ht="15.75" spans="1:11">
      <c r="A131" s="1" t="s">
        <v>5</v>
      </c>
      <c r="B131" s="1" t="s">
        <v>7</v>
      </c>
      <c r="C131" s="2" t="s">
        <v>82</v>
      </c>
      <c r="D131" s="3" t="s">
        <v>83</v>
      </c>
      <c r="E131" s="4" t="s">
        <v>84</v>
      </c>
      <c r="F131" t="str">
        <f>'Source Table'!$B$14</f>
        <v>Religious Magazines &amp; Periodicals</v>
      </c>
      <c r="G131" t="str">
        <f>'Source Table'!$K$14</f>
        <v>المجلات والدوريات الدينية</v>
      </c>
      <c r="H131" t="str">
        <f>'Source Table'!$H$6</f>
        <v>Monthly</v>
      </c>
      <c r="I131" t="str">
        <f>'Source Table'!$H$5</f>
        <v>شهرية</v>
      </c>
      <c r="J131" s="27">
        <v>0</v>
      </c>
      <c r="K131">
        <v>2022</v>
      </c>
    </row>
    <row r="132" ht="15.75" spans="1:11">
      <c r="A132" s="1" t="s">
        <v>5</v>
      </c>
      <c r="B132" s="1" t="s">
        <v>7</v>
      </c>
      <c r="C132" s="2" t="s">
        <v>82</v>
      </c>
      <c r="D132" s="3" t="s">
        <v>83</v>
      </c>
      <c r="E132" s="4" t="s">
        <v>84</v>
      </c>
      <c r="F132" t="str">
        <f>'Source Table'!$B$15</f>
        <v>Scientific Magazines &amp; Periodicals</v>
      </c>
      <c r="G132" t="str">
        <f>'Source Table'!$K$15</f>
        <v>المجلات والدوريات العلمية</v>
      </c>
      <c r="H132" t="str">
        <f>'Source Table'!$H$6</f>
        <v>Monthly</v>
      </c>
      <c r="I132" t="str">
        <f>'Source Table'!$H$5</f>
        <v>شهرية</v>
      </c>
      <c r="J132" s="27">
        <v>0</v>
      </c>
      <c r="K132">
        <v>2022</v>
      </c>
    </row>
    <row r="133" ht="15.75" spans="1:11">
      <c r="A133" s="1" t="s">
        <v>5</v>
      </c>
      <c r="B133" s="1" t="s">
        <v>7</v>
      </c>
      <c r="C133" s="2" t="s">
        <v>82</v>
      </c>
      <c r="D133" s="3" t="s">
        <v>83</v>
      </c>
      <c r="E133" s="4" t="s">
        <v>84</v>
      </c>
      <c r="F133" t="str">
        <f>'Source Table'!$B$16</f>
        <v>Financial Magazines &amp; Periodicals</v>
      </c>
      <c r="G133" t="str">
        <f>'Source Table'!$K$16</f>
        <v>المجلات والدوريات المالية</v>
      </c>
      <c r="H133" t="str">
        <f>'Source Table'!$H$6</f>
        <v>Monthly</v>
      </c>
      <c r="I133" t="str">
        <f>'Source Table'!$H$5</f>
        <v>شهرية</v>
      </c>
      <c r="J133" s="27">
        <v>0</v>
      </c>
      <c r="K133">
        <v>2022</v>
      </c>
    </row>
    <row r="134" ht="15.75" spans="1:11">
      <c r="A134" s="1" t="s">
        <v>5</v>
      </c>
      <c r="B134" s="1" t="s">
        <v>7</v>
      </c>
      <c r="C134" s="2" t="s">
        <v>82</v>
      </c>
      <c r="D134" s="3" t="s">
        <v>83</v>
      </c>
      <c r="E134" s="4" t="s">
        <v>84</v>
      </c>
      <c r="F134" t="str">
        <f>'Source Table'!$B$17</f>
        <v>Tourist Magazines &amp; Periodicals</v>
      </c>
      <c r="G134" t="str">
        <f>'Source Table'!$K$17</f>
        <v>المجلات والدوريات سياحية</v>
      </c>
      <c r="H134" t="str">
        <f>'Source Table'!$H$6</f>
        <v>Monthly</v>
      </c>
      <c r="I134" t="str">
        <f>'Source Table'!$H$5</f>
        <v>شهرية</v>
      </c>
      <c r="J134" s="27">
        <v>0</v>
      </c>
      <c r="K134">
        <v>2022</v>
      </c>
    </row>
    <row r="135" ht="16.5" spans="1:11">
      <c r="A135" s="1" t="s">
        <v>5</v>
      </c>
      <c r="B135" s="1" t="s">
        <v>7</v>
      </c>
      <c r="C135" s="2" t="s">
        <v>82</v>
      </c>
      <c r="D135" s="3" t="s">
        <v>83</v>
      </c>
      <c r="E135" s="4" t="s">
        <v>84</v>
      </c>
      <c r="F135" t="str">
        <f>'Source Table'!$B$18</f>
        <v>Other Magazines &amp; Periodicals</v>
      </c>
      <c r="G135" t="str">
        <f>'Source Table'!$K$18</f>
        <v>المجلات والدوريات أخرى</v>
      </c>
      <c r="H135" t="str">
        <f>'Source Table'!$H$6</f>
        <v>Monthly</v>
      </c>
      <c r="I135" t="str">
        <f>'Source Table'!$H$5</f>
        <v>شهرية</v>
      </c>
      <c r="J135" s="28">
        <v>5</v>
      </c>
      <c r="K135">
        <v>2022</v>
      </c>
    </row>
    <row r="136" ht="15.75" spans="1:11">
      <c r="A136" s="1" t="s">
        <v>5</v>
      </c>
      <c r="B136" s="1" t="s">
        <v>7</v>
      </c>
      <c r="C136" s="2" t="s">
        <v>82</v>
      </c>
      <c r="D136" s="3" t="s">
        <v>83</v>
      </c>
      <c r="E136" s="4" t="s">
        <v>84</v>
      </c>
      <c r="F136" t="str">
        <f>'Source Table'!$B$7</f>
        <v>Political Newspapers</v>
      </c>
      <c r="G136" t="str">
        <f>'Source Table'!$K$7</f>
        <v>صحف سياسية</v>
      </c>
      <c r="I136" t="str">
        <f>'Source Table'!$G$5</f>
        <v>فصلية</v>
      </c>
      <c r="J136" s="25">
        <v>0</v>
      </c>
      <c r="K136">
        <v>2022</v>
      </c>
    </row>
    <row r="137" ht="15.75" spans="1:11">
      <c r="A137" s="1" t="s">
        <v>5</v>
      </c>
      <c r="B137" s="1" t="s">
        <v>7</v>
      </c>
      <c r="C137" s="2" t="s">
        <v>82</v>
      </c>
      <c r="D137" s="3" t="s">
        <v>83</v>
      </c>
      <c r="E137" s="4" t="s">
        <v>84</v>
      </c>
      <c r="F137" t="str">
        <f>'Source Table'!$B$8</f>
        <v>Parties Newspapers</v>
      </c>
      <c r="G137" t="str">
        <f>'Source Table'!$K$8</f>
        <v>صحف حزبية</v>
      </c>
      <c r="I137" t="str">
        <f>'Source Table'!$G$5</f>
        <v>فصلية</v>
      </c>
      <c r="J137" s="25">
        <v>0</v>
      </c>
      <c r="K137">
        <v>2022</v>
      </c>
    </row>
    <row r="138" ht="15.75" spans="1:11">
      <c r="A138" s="1" t="s">
        <v>5</v>
      </c>
      <c r="B138" s="1" t="s">
        <v>7</v>
      </c>
      <c r="C138" s="2" t="s">
        <v>82</v>
      </c>
      <c r="D138" s="3" t="s">
        <v>83</v>
      </c>
      <c r="E138" s="4" t="s">
        <v>84</v>
      </c>
      <c r="F138" t="str">
        <f>'Source Table'!$B$9</f>
        <v>Children Magazines &amp; Periodicals</v>
      </c>
      <c r="G138" t="str">
        <f>'Source Table'!$K$9</f>
        <v>المجلات والدوريات الأطفال</v>
      </c>
      <c r="I138" t="str">
        <f>'Source Table'!$G$5</f>
        <v>فصلية</v>
      </c>
      <c r="J138" s="25">
        <v>0</v>
      </c>
      <c r="K138">
        <v>2022</v>
      </c>
    </row>
    <row r="139" ht="15.75" spans="1:11">
      <c r="A139" s="1" t="s">
        <v>5</v>
      </c>
      <c r="B139" s="1" t="s">
        <v>7</v>
      </c>
      <c r="C139" s="2" t="s">
        <v>82</v>
      </c>
      <c r="D139" s="3" t="s">
        <v>83</v>
      </c>
      <c r="E139" s="4" t="s">
        <v>84</v>
      </c>
      <c r="F139" t="str">
        <f>'Source Table'!$B$10</f>
        <v>Economic Magazines &amp; Periodicals</v>
      </c>
      <c r="G139" t="str">
        <f>'Source Table'!$K$10</f>
        <v>المجلات والدوريات الاقتصادية</v>
      </c>
      <c r="I139" t="str">
        <f>'Source Table'!$G$5</f>
        <v>فصلية</v>
      </c>
      <c r="J139" s="25">
        <v>1</v>
      </c>
      <c r="K139">
        <v>2022</v>
      </c>
    </row>
    <row r="140" ht="15.75" spans="1:11">
      <c r="A140" s="1" t="s">
        <v>5</v>
      </c>
      <c r="B140" s="1" t="s">
        <v>7</v>
      </c>
      <c r="C140" s="2" t="s">
        <v>82</v>
      </c>
      <c r="D140" s="3" t="s">
        <v>83</v>
      </c>
      <c r="E140" s="4" t="s">
        <v>84</v>
      </c>
      <c r="F140" t="str">
        <f>'Source Table'!$B$11</f>
        <v>Army &amp; Police Magazines &amp; Periodicals</v>
      </c>
      <c r="G140" t="str">
        <f>'Source Table'!$K$11</f>
        <v>المجلات والدوريات العسكرية و شرطية</v>
      </c>
      <c r="I140" t="str">
        <f>'Source Table'!$G$5</f>
        <v>فصلية</v>
      </c>
      <c r="J140" s="25">
        <v>0</v>
      </c>
      <c r="K140">
        <v>2022</v>
      </c>
    </row>
    <row r="141" ht="15.75" spans="1:11">
      <c r="A141" s="1" t="s">
        <v>5</v>
      </c>
      <c r="B141" s="1" t="s">
        <v>7</v>
      </c>
      <c r="C141" s="2" t="s">
        <v>82</v>
      </c>
      <c r="D141" s="3" t="s">
        <v>83</v>
      </c>
      <c r="E141" s="4" t="s">
        <v>84</v>
      </c>
      <c r="F141" t="str">
        <f>'Source Table'!$B$12</f>
        <v>Youths &amp; Arts Magazines &amp; Periodicals</v>
      </c>
      <c r="G141" t="str">
        <f>'Source Table'!$K$12</f>
        <v>المجلات والدوريات الشباب و الفنون</v>
      </c>
      <c r="I141" t="str">
        <f>'Source Table'!$G$5</f>
        <v>فصلية</v>
      </c>
      <c r="J141" s="25">
        <v>0</v>
      </c>
      <c r="K141">
        <v>2022</v>
      </c>
    </row>
    <row r="142" ht="15.75" spans="1:11">
      <c r="A142" s="1" t="s">
        <v>5</v>
      </c>
      <c r="B142" s="1" t="s">
        <v>7</v>
      </c>
      <c r="C142" s="2" t="s">
        <v>82</v>
      </c>
      <c r="D142" s="3" t="s">
        <v>83</v>
      </c>
      <c r="E142" s="4" t="s">
        <v>84</v>
      </c>
      <c r="F142" t="str">
        <f>'Source Table'!$B$13</f>
        <v>Cultural &amp; Educational Magazines &amp; Periodicals</v>
      </c>
      <c r="G142" t="str">
        <f>'Source Table'!$K$13</f>
        <v>المجلات والدوريات الثقافية و المدرسية</v>
      </c>
      <c r="I142" t="str">
        <f>'Source Table'!$G$5</f>
        <v>فصلية</v>
      </c>
      <c r="J142" s="25">
        <v>0</v>
      </c>
      <c r="K142">
        <v>2022</v>
      </c>
    </row>
    <row r="143" ht="15.75" spans="1:11">
      <c r="A143" s="1" t="s">
        <v>5</v>
      </c>
      <c r="B143" s="1" t="s">
        <v>7</v>
      </c>
      <c r="C143" s="2" t="s">
        <v>82</v>
      </c>
      <c r="D143" s="3" t="s">
        <v>83</v>
      </c>
      <c r="E143" s="4" t="s">
        <v>84</v>
      </c>
      <c r="F143" t="str">
        <f>'Source Table'!$B$14</f>
        <v>Religious Magazines &amp; Periodicals</v>
      </c>
      <c r="G143" t="str">
        <f>'Source Table'!$K$14</f>
        <v>المجلات والدوريات الدينية</v>
      </c>
      <c r="I143" t="str">
        <f>'Source Table'!$G$5</f>
        <v>فصلية</v>
      </c>
      <c r="J143" s="25">
        <v>1</v>
      </c>
      <c r="K143">
        <v>2022</v>
      </c>
    </row>
    <row r="144" ht="15.75" spans="1:11">
      <c r="A144" s="1" t="s">
        <v>5</v>
      </c>
      <c r="B144" s="1" t="s">
        <v>7</v>
      </c>
      <c r="C144" s="2" t="s">
        <v>82</v>
      </c>
      <c r="D144" s="3" t="s">
        <v>83</v>
      </c>
      <c r="E144" s="4" t="s">
        <v>84</v>
      </c>
      <c r="F144" t="str">
        <f>'Source Table'!$B$15</f>
        <v>Scientific Magazines &amp; Periodicals</v>
      </c>
      <c r="G144" t="str">
        <f>'Source Table'!$K$15</f>
        <v>المجلات والدوريات العلمية</v>
      </c>
      <c r="I144" t="str">
        <f>'Source Table'!$G$5</f>
        <v>فصلية</v>
      </c>
      <c r="J144" s="25">
        <v>0</v>
      </c>
      <c r="K144">
        <v>2022</v>
      </c>
    </row>
    <row r="145" ht="15.75" spans="1:11">
      <c r="A145" s="1" t="s">
        <v>5</v>
      </c>
      <c r="B145" s="1" t="s">
        <v>7</v>
      </c>
      <c r="C145" s="2" t="s">
        <v>82</v>
      </c>
      <c r="D145" s="3" t="s">
        <v>83</v>
      </c>
      <c r="E145" s="4" t="s">
        <v>84</v>
      </c>
      <c r="F145" t="str">
        <f>'Source Table'!$B$16</f>
        <v>Financial Magazines &amp; Periodicals</v>
      </c>
      <c r="G145" t="str">
        <f>'Source Table'!$K$16</f>
        <v>المجلات والدوريات المالية</v>
      </c>
      <c r="I145" t="str">
        <f>'Source Table'!$G$5</f>
        <v>فصلية</v>
      </c>
      <c r="J145" s="25">
        <v>0</v>
      </c>
      <c r="K145">
        <v>2022</v>
      </c>
    </row>
    <row r="146" ht="15.75" spans="1:11">
      <c r="A146" s="1" t="s">
        <v>5</v>
      </c>
      <c r="B146" s="1" t="s">
        <v>7</v>
      </c>
      <c r="C146" s="2" t="s">
        <v>82</v>
      </c>
      <c r="D146" s="3" t="s">
        <v>83</v>
      </c>
      <c r="E146" s="4" t="s">
        <v>84</v>
      </c>
      <c r="F146" t="str">
        <f>'Source Table'!$B$17</f>
        <v>Tourist Magazines &amp; Periodicals</v>
      </c>
      <c r="G146" t="str">
        <f>'Source Table'!$K$17</f>
        <v>المجلات والدوريات سياحية</v>
      </c>
      <c r="I146" t="str">
        <f>'Source Table'!$G$5</f>
        <v>فصلية</v>
      </c>
      <c r="J146" s="25">
        <v>0</v>
      </c>
      <c r="K146">
        <v>2022</v>
      </c>
    </row>
    <row r="147" ht="16.5" spans="1:11">
      <c r="A147" s="1" t="s">
        <v>5</v>
      </c>
      <c r="B147" s="1" t="s">
        <v>7</v>
      </c>
      <c r="C147" s="2" t="s">
        <v>82</v>
      </c>
      <c r="D147" s="3" t="s">
        <v>83</v>
      </c>
      <c r="E147" s="4" t="s">
        <v>84</v>
      </c>
      <c r="F147" t="str">
        <f>'Source Table'!$B$18</f>
        <v>Other Magazines &amp; Periodicals</v>
      </c>
      <c r="G147" t="str">
        <f>'Source Table'!$K$18</f>
        <v>المجلات والدوريات أخرى</v>
      </c>
      <c r="I147" t="str">
        <f>'Source Table'!$G$5</f>
        <v>فصلية</v>
      </c>
      <c r="J147" s="26">
        <v>5</v>
      </c>
      <c r="K147">
        <v>2022</v>
      </c>
    </row>
    <row r="148" ht="15.75" spans="1:11">
      <c r="A148" s="1" t="s">
        <v>5</v>
      </c>
      <c r="B148" s="1" t="s">
        <v>7</v>
      </c>
      <c r="C148" s="2" t="s">
        <v>82</v>
      </c>
      <c r="D148" s="3" t="s">
        <v>83</v>
      </c>
      <c r="E148" s="4" t="s">
        <v>84</v>
      </c>
      <c r="F148" t="str">
        <f>'Source Table'!$B$7</f>
        <v>Political Newspapers</v>
      </c>
      <c r="G148" t="str">
        <f>'Source Table'!$K$7</f>
        <v>صحف سياسية</v>
      </c>
      <c r="I148" t="str">
        <f>'Source Table'!$F$5</f>
        <v>سنوية</v>
      </c>
      <c r="J148" s="25">
        <v>0</v>
      </c>
      <c r="K148">
        <v>2022</v>
      </c>
    </row>
    <row r="149" ht="15.75" spans="1:11">
      <c r="A149" s="1" t="s">
        <v>5</v>
      </c>
      <c r="B149" s="1" t="s">
        <v>7</v>
      </c>
      <c r="C149" s="2" t="s">
        <v>82</v>
      </c>
      <c r="D149" s="3" t="s">
        <v>83</v>
      </c>
      <c r="E149" s="4" t="s">
        <v>84</v>
      </c>
      <c r="F149" t="str">
        <f>'Source Table'!$B$8</f>
        <v>Parties Newspapers</v>
      </c>
      <c r="G149" t="str">
        <f>'Source Table'!$K$8</f>
        <v>صحف حزبية</v>
      </c>
      <c r="I149" t="str">
        <f>'Source Table'!$F$5</f>
        <v>سنوية</v>
      </c>
      <c r="J149" s="25">
        <v>0</v>
      </c>
      <c r="K149">
        <v>2022</v>
      </c>
    </row>
    <row r="150" ht="15.75" spans="1:11">
      <c r="A150" s="1" t="s">
        <v>5</v>
      </c>
      <c r="B150" s="1" t="s">
        <v>7</v>
      </c>
      <c r="C150" s="2" t="s">
        <v>82</v>
      </c>
      <c r="D150" s="3" t="s">
        <v>83</v>
      </c>
      <c r="E150" s="4" t="s">
        <v>84</v>
      </c>
      <c r="F150" t="str">
        <f>'Source Table'!$B$9</f>
        <v>Children Magazines &amp; Periodicals</v>
      </c>
      <c r="G150" t="str">
        <f>'Source Table'!$K$9</f>
        <v>المجلات والدوريات الأطفال</v>
      </c>
      <c r="I150" t="str">
        <f>'Source Table'!$F$5</f>
        <v>سنوية</v>
      </c>
      <c r="J150" s="25">
        <v>0</v>
      </c>
      <c r="K150">
        <v>2022</v>
      </c>
    </row>
    <row r="151" ht="15.75" spans="1:11">
      <c r="A151" s="1" t="s">
        <v>5</v>
      </c>
      <c r="B151" s="1" t="s">
        <v>7</v>
      </c>
      <c r="C151" s="2" t="s">
        <v>82</v>
      </c>
      <c r="D151" s="3" t="s">
        <v>83</v>
      </c>
      <c r="E151" s="4" t="s">
        <v>84</v>
      </c>
      <c r="F151" t="str">
        <f>'Source Table'!$B$10</f>
        <v>Economic Magazines &amp; Periodicals</v>
      </c>
      <c r="G151" t="str">
        <f>'Source Table'!$K$10</f>
        <v>المجلات والدوريات الاقتصادية</v>
      </c>
      <c r="I151" t="str">
        <f>'Source Table'!$F$5</f>
        <v>سنوية</v>
      </c>
      <c r="J151" s="25">
        <v>0</v>
      </c>
      <c r="K151">
        <v>2022</v>
      </c>
    </row>
    <row r="152" ht="15.75" spans="1:11">
      <c r="A152" s="1" t="s">
        <v>5</v>
      </c>
      <c r="B152" s="1" t="s">
        <v>7</v>
      </c>
      <c r="C152" s="2" t="s">
        <v>82</v>
      </c>
      <c r="D152" s="3" t="s">
        <v>83</v>
      </c>
      <c r="E152" s="4" t="s">
        <v>84</v>
      </c>
      <c r="F152" t="str">
        <f>'Source Table'!$B$11</f>
        <v>Army &amp; Police Magazines &amp; Periodicals</v>
      </c>
      <c r="G152" t="str">
        <f>'Source Table'!$K$11</f>
        <v>المجلات والدوريات العسكرية و شرطية</v>
      </c>
      <c r="I152" t="str">
        <f>'Source Table'!$F$5</f>
        <v>سنوية</v>
      </c>
      <c r="J152" s="25">
        <v>0</v>
      </c>
      <c r="K152">
        <v>2022</v>
      </c>
    </row>
    <row r="153" ht="15.75" spans="1:11">
      <c r="A153" s="1" t="s">
        <v>5</v>
      </c>
      <c r="B153" s="1" t="s">
        <v>7</v>
      </c>
      <c r="C153" s="2" t="s">
        <v>82</v>
      </c>
      <c r="D153" s="3" t="s">
        <v>83</v>
      </c>
      <c r="E153" s="4" t="s">
        <v>84</v>
      </c>
      <c r="F153" t="str">
        <f>'Source Table'!$B$12</f>
        <v>Youths &amp; Arts Magazines &amp; Periodicals</v>
      </c>
      <c r="G153" t="str">
        <f>'Source Table'!$K$12</f>
        <v>المجلات والدوريات الشباب و الفنون</v>
      </c>
      <c r="I153" t="str">
        <f>'Source Table'!$F$5</f>
        <v>سنوية</v>
      </c>
      <c r="J153" s="25">
        <v>0</v>
      </c>
      <c r="K153">
        <v>2022</v>
      </c>
    </row>
    <row r="154" ht="15.75" spans="1:11">
      <c r="A154" s="1" t="s">
        <v>5</v>
      </c>
      <c r="B154" s="1" t="s">
        <v>7</v>
      </c>
      <c r="C154" s="2" t="s">
        <v>82</v>
      </c>
      <c r="D154" s="3" t="s">
        <v>83</v>
      </c>
      <c r="E154" s="4" t="s">
        <v>84</v>
      </c>
      <c r="F154" t="str">
        <f>'Source Table'!$B$13</f>
        <v>Cultural &amp; Educational Magazines &amp; Periodicals</v>
      </c>
      <c r="G154" t="str">
        <f>'Source Table'!$K$13</f>
        <v>المجلات والدوريات الثقافية و المدرسية</v>
      </c>
      <c r="I154" t="str">
        <f>'Source Table'!$F$5</f>
        <v>سنوية</v>
      </c>
      <c r="J154" s="25">
        <v>1</v>
      </c>
      <c r="K154">
        <v>2022</v>
      </c>
    </row>
    <row r="155" ht="15.75" spans="1:11">
      <c r="A155" s="1" t="s">
        <v>5</v>
      </c>
      <c r="B155" s="1" t="s">
        <v>7</v>
      </c>
      <c r="C155" s="2" t="s">
        <v>82</v>
      </c>
      <c r="D155" s="3" t="s">
        <v>83</v>
      </c>
      <c r="E155" s="4" t="s">
        <v>84</v>
      </c>
      <c r="F155" t="str">
        <f>'Source Table'!$B$14</f>
        <v>Religious Magazines &amp; Periodicals</v>
      </c>
      <c r="G155" t="str">
        <f>'Source Table'!$K$14</f>
        <v>المجلات والدوريات الدينية</v>
      </c>
      <c r="I155" t="str">
        <f>'Source Table'!$F$5</f>
        <v>سنوية</v>
      </c>
      <c r="J155" s="25">
        <v>0</v>
      </c>
      <c r="K155">
        <v>2022</v>
      </c>
    </row>
    <row r="156" ht="15.75" spans="1:11">
      <c r="A156" s="1" t="s">
        <v>5</v>
      </c>
      <c r="B156" s="1" t="s">
        <v>7</v>
      </c>
      <c r="C156" s="2" t="s">
        <v>82</v>
      </c>
      <c r="D156" s="3" t="s">
        <v>83</v>
      </c>
      <c r="E156" s="4" t="s">
        <v>84</v>
      </c>
      <c r="F156" t="str">
        <f>'Source Table'!$B$15</f>
        <v>Scientific Magazines &amp; Periodicals</v>
      </c>
      <c r="G156" t="str">
        <f>'Source Table'!$K$15</f>
        <v>المجلات والدوريات العلمية</v>
      </c>
      <c r="I156" t="str">
        <f>'Source Table'!$F$5</f>
        <v>سنوية</v>
      </c>
      <c r="J156" s="25">
        <v>3</v>
      </c>
      <c r="K156">
        <v>2022</v>
      </c>
    </row>
    <row r="157" ht="15.75" spans="1:11">
      <c r="A157" s="1" t="s">
        <v>5</v>
      </c>
      <c r="B157" s="1" t="s">
        <v>7</v>
      </c>
      <c r="C157" s="2" t="s">
        <v>82</v>
      </c>
      <c r="D157" s="3" t="s">
        <v>83</v>
      </c>
      <c r="E157" s="4" t="s">
        <v>84</v>
      </c>
      <c r="F157" t="str">
        <f>'Source Table'!$B$16</f>
        <v>Financial Magazines &amp; Periodicals</v>
      </c>
      <c r="G157" t="str">
        <f>'Source Table'!$K$16</f>
        <v>المجلات والدوريات المالية</v>
      </c>
      <c r="I157" t="str">
        <f>'Source Table'!$F$5</f>
        <v>سنوية</v>
      </c>
      <c r="J157" s="25">
        <v>0</v>
      </c>
      <c r="K157">
        <v>2022</v>
      </c>
    </row>
    <row r="158" ht="15.75" spans="1:11">
      <c r="A158" s="1" t="s">
        <v>5</v>
      </c>
      <c r="B158" s="1" t="s">
        <v>7</v>
      </c>
      <c r="C158" s="2" t="s">
        <v>82</v>
      </c>
      <c r="D158" s="3" t="s">
        <v>83</v>
      </c>
      <c r="E158" s="4" t="s">
        <v>84</v>
      </c>
      <c r="F158" t="str">
        <f>'Source Table'!$B$17</f>
        <v>Tourist Magazines &amp; Periodicals</v>
      </c>
      <c r="G158" t="str">
        <f>'Source Table'!$K$17</f>
        <v>المجلات والدوريات سياحية</v>
      </c>
      <c r="I158" t="str">
        <f>'Source Table'!$F$5</f>
        <v>سنوية</v>
      </c>
      <c r="J158" s="25">
        <v>0</v>
      </c>
      <c r="K158">
        <v>2022</v>
      </c>
    </row>
    <row r="159" ht="16.5" spans="1:11">
      <c r="A159" s="1" t="s">
        <v>5</v>
      </c>
      <c r="B159" s="1" t="s">
        <v>7</v>
      </c>
      <c r="C159" s="2" t="s">
        <v>82</v>
      </c>
      <c r="D159" s="3" t="s">
        <v>83</v>
      </c>
      <c r="E159" s="4" t="s">
        <v>84</v>
      </c>
      <c r="F159" t="str">
        <f>'Source Table'!$B$18</f>
        <v>Other Magazines &amp; Periodicals</v>
      </c>
      <c r="G159" t="str">
        <f>'Source Table'!$K$18</f>
        <v>المجلات والدوريات أخرى</v>
      </c>
      <c r="I159" t="str">
        <f>'Source Table'!$F$5</f>
        <v>سنوية</v>
      </c>
      <c r="J159" s="26">
        <v>0</v>
      </c>
      <c r="K159">
        <v>2022</v>
      </c>
    </row>
    <row r="160" ht="15.75" spans="1:11">
      <c r="A160" s="1" t="s">
        <v>5</v>
      </c>
      <c r="B160" s="1" t="s">
        <v>7</v>
      </c>
      <c r="C160" s="2" t="s">
        <v>82</v>
      </c>
      <c r="D160" s="3" t="s">
        <v>83</v>
      </c>
      <c r="E160" s="4" t="s">
        <v>84</v>
      </c>
      <c r="F160" t="str">
        <f>'Source Table'!$B$7</f>
        <v>Political Newspapers</v>
      </c>
      <c r="G160" t="str">
        <f>'Source Table'!$K$7</f>
        <v>صحف سياسية</v>
      </c>
      <c r="I160" t="str">
        <f>'Source Table'!$E$5</f>
        <v>كل شهرين</v>
      </c>
      <c r="J160" s="27">
        <v>0</v>
      </c>
      <c r="K160">
        <v>2022</v>
      </c>
    </row>
    <row r="161" ht="15.75" spans="1:11">
      <c r="A161" s="1" t="s">
        <v>5</v>
      </c>
      <c r="B161" s="1" t="s">
        <v>7</v>
      </c>
      <c r="C161" s="2" t="s">
        <v>82</v>
      </c>
      <c r="D161" s="3" t="s">
        <v>83</v>
      </c>
      <c r="E161" s="4" t="s">
        <v>84</v>
      </c>
      <c r="F161" t="str">
        <f>'Source Table'!$B$8</f>
        <v>Parties Newspapers</v>
      </c>
      <c r="G161" t="str">
        <f>'Source Table'!$K$8</f>
        <v>صحف حزبية</v>
      </c>
      <c r="I161" t="str">
        <f>'Source Table'!$E$5</f>
        <v>كل شهرين</v>
      </c>
      <c r="J161" s="27">
        <v>0</v>
      </c>
      <c r="K161">
        <v>2022</v>
      </c>
    </row>
    <row r="162" ht="15.75" spans="1:11">
      <c r="A162" s="1" t="s">
        <v>5</v>
      </c>
      <c r="B162" s="1" t="s">
        <v>7</v>
      </c>
      <c r="C162" s="2" t="s">
        <v>82</v>
      </c>
      <c r="D162" s="3" t="s">
        <v>83</v>
      </c>
      <c r="E162" s="4" t="s">
        <v>84</v>
      </c>
      <c r="F162" t="str">
        <f>'Source Table'!$B$9</f>
        <v>Children Magazines &amp; Periodicals</v>
      </c>
      <c r="G162" t="str">
        <f>'Source Table'!$K$9</f>
        <v>المجلات والدوريات الأطفال</v>
      </c>
      <c r="I162" t="str">
        <f>'Source Table'!$E$5</f>
        <v>كل شهرين</v>
      </c>
      <c r="J162" s="27">
        <v>1</v>
      </c>
      <c r="K162">
        <v>2022</v>
      </c>
    </row>
    <row r="163" ht="15.75" spans="1:11">
      <c r="A163" s="1" t="s">
        <v>5</v>
      </c>
      <c r="B163" s="1" t="s">
        <v>7</v>
      </c>
      <c r="C163" s="2" t="s">
        <v>82</v>
      </c>
      <c r="D163" s="3" t="s">
        <v>83</v>
      </c>
      <c r="E163" s="4" t="s">
        <v>84</v>
      </c>
      <c r="F163" t="str">
        <f>'Source Table'!$B$10</f>
        <v>Economic Magazines &amp; Periodicals</v>
      </c>
      <c r="G163" t="str">
        <f>'Source Table'!$K$10</f>
        <v>المجلات والدوريات الاقتصادية</v>
      </c>
      <c r="I163" t="str">
        <f>'Source Table'!$E$5</f>
        <v>كل شهرين</v>
      </c>
      <c r="J163" s="27">
        <v>2</v>
      </c>
      <c r="K163">
        <v>2022</v>
      </c>
    </row>
    <row r="164" ht="15.75" spans="1:11">
      <c r="A164" s="1" t="s">
        <v>5</v>
      </c>
      <c r="B164" s="1" t="s">
        <v>7</v>
      </c>
      <c r="C164" s="2" t="s">
        <v>82</v>
      </c>
      <c r="D164" s="3" t="s">
        <v>83</v>
      </c>
      <c r="E164" s="4" t="s">
        <v>84</v>
      </c>
      <c r="F164" t="str">
        <f>'Source Table'!$B$11</f>
        <v>Army &amp; Police Magazines &amp; Periodicals</v>
      </c>
      <c r="G164" t="str">
        <f>'Source Table'!$K$11</f>
        <v>المجلات والدوريات العسكرية و شرطية</v>
      </c>
      <c r="I164" t="str">
        <f>'Source Table'!$E$5</f>
        <v>كل شهرين</v>
      </c>
      <c r="J164" s="27">
        <v>0</v>
      </c>
      <c r="K164">
        <v>2022</v>
      </c>
    </row>
    <row r="165" ht="15.75" spans="1:11">
      <c r="A165" s="1" t="s">
        <v>5</v>
      </c>
      <c r="B165" s="1" t="s">
        <v>7</v>
      </c>
      <c r="C165" s="2" t="s">
        <v>82</v>
      </c>
      <c r="D165" s="3" t="s">
        <v>83</v>
      </c>
      <c r="E165" s="4" t="s">
        <v>84</v>
      </c>
      <c r="F165" t="str">
        <f>'Source Table'!$B$12</f>
        <v>Youths &amp; Arts Magazines &amp; Periodicals</v>
      </c>
      <c r="G165" t="str">
        <f>'Source Table'!$K$12</f>
        <v>المجلات والدوريات الشباب و الفنون</v>
      </c>
      <c r="I165" t="str">
        <f>'Source Table'!$E$5</f>
        <v>كل شهرين</v>
      </c>
      <c r="J165" s="27">
        <v>0</v>
      </c>
      <c r="K165">
        <v>2022</v>
      </c>
    </row>
    <row r="166" ht="15.75" spans="1:11">
      <c r="A166" s="1" t="s">
        <v>5</v>
      </c>
      <c r="B166" s="1" t="s">
        <v>7</v>
      </c>
      <c r="C166" s="2" t="s">
        <v>82</v>
      </c>
      <c r="D166" s="3" t="s">
        <v>83</v>
      </c>
      <c r="E166" s="4" t="s">
        <v>84</v>
      </c>
      <c r="F166" t="str">
        <f>'Source Table'!$B$13</f>
        <v>Cultural &amp; Educational Magazines &amp; Periodicals</v>
      </c>
      <c r="G166" t="str">
        <f>'Source Table'!$K$13</f>
        <v>المجلات والدوريات الثقافية و المدرسية</v>
      </c>
      <c r="I166" t="str">
        <f>'Source Table'!$E$5</f>
        <v>كل شهرين</v>
      </c>
      <c r="J166" s="27">
        <v>1</v>
      </c>
      <c r="K166">
        <v>2022</v>
      </c>
    </row>
    <row r="167" ht="15.75" spans="1:11">
      <c r="A167" s="1" t="s">
        <v>5</v>
      </c>
      <c r="B167" s="1" t="s">
        <v>7</v>
      </c>
      <c r="C167" s="2" t="s">
        <v>82</v>
      </c>
      <c r="D167" s="3" t="s">
        <v>83</v>
      </c>
      <c r="E167" s="4" t="s">
        <v>84</v>
      </c>
      <c r="F167" t="str">
        <f>'Source Table'!$B$14</f>
        <v>Religious Magazines &amp; Periodicals</v>
      </c>
      <c r="G167" t="str">
        <f>'Source Table'!$K$14</f>
        <v>المجلات والدوريات الدينية</v>
      </c>
      <c r="I167" t="str">
        <f>'Source Table'!$E$5</f>
        <v>كل شهرين</v>
      </c>
      <c r="J167" s="27">
        <v>0</v>
      </c>
      <c r="K167">
        <v>2022</v>
      </c>
    </row>
    <row r="168" ht="15.75" spans="1:11">
      <c r="A168" s="1" t="s">
        <v>5</v>
      </c>
      <c r="B168" s="1" t="s">
        <v>7</v>
      </c>
      <c r="C168" s="2" t="s">
        <v>82</v>
      </c>
      <c r="D168" s="3" t="s">
        <v>83</v>
      </c>
      <c r="E168" s="4" t="s">
        <v>84</v>
      </c>
      <c r="F168" t="str">
        <f>'Source Table'!$B$15</f>
        <v>Scientific Magazines &amp; Periodicals</v>
      </c>
      <c r="G168" t="str">
        <f>'Source Table'!$K$15</f>
        <v>المجلات والدوريات العلمية</v>
      </c>
      <c r="I168" t="str">
        <f>'Source Table'!$E$5</f>
        <v>كل شهرين</v>
      </c>
      <c r="J168" s="27">
        <v>3</v>
      </c>
      <c r="K168">
        <v>2022</v>
      </c>
    </row>
    <row r="169" ht="15.75" spans="1:11">
      <c r="A169" s="1" t="s">
        <v>5</v>
      </c>
      <c r="B169" s="1" t="s">
        <v>7</v>
      </c>
      <c r="C169" s="2" t="s">
        <v>82</v>
      </c>
      <c r="D169" s="3" t="s">
        <v>83</v>
      </c>
      <c r="E169" s="4" t="s">
        <v>84</v>
      </c>
      <c r="F169" t="str">
        <f>'Source Table'!$B$16</f>
        <v>Financial Magazines &amp; Periodicals</v>
      </c>
      <c r="G169" t="str">
        <f>'Source Table'!$K$16</f>
        <v>المجلات والدوريات المالية</v>
      </c>
      <c r="I169" t="str">
        <f>'Source Table'!$E$5</f>
        <v>كل شهرين</v>
      </c>
      <c r="J169" s="27">
        <v>0</v>
      </c>
      <c r="K169">
        <v>2022</v>
      </c>
    </row>
    <row r="170" ht="15.75" spans="1:11">
      <c r="A170" s="1" t="s">
        <v>5</v>
      </c>
      <c r="B170" s="1" t="s">
        <v>7</v>
      </c>
      <c r="C170" s="2" t="s">
        <v>82</v>
      </c>
      <c r="D170" s="3" t="s">
        <v>83</v>
      </c>
      <c r="E170" s="4" t="s">
        <v>84</v>
      </c>
      <c r="F170" t="str">
        <f>'Source Table'!$B$17</f>
        <v>Tourist Magazines &amp; Periodicals</v>
      </c>
      <c r="G170" t="str">
        <f>'Source Table'!$K$17</f>
        <v>المجلات والدوريات سياحية</v>
      </c>
      <c r="I170" t="str">
        <f>'Source Table'!$E$5</f>
        <v>كل شهرين</v>
      </c>
      <c r="J170" s="27">
        <v>2</v>
      </c>
      <c r="K170">
        <v>2022</v>
      </c>
    </row>
    <row r="171" ht="16.5" spans="1:11">
      <c r="A171" s="1" t="s">
        <v>5</v>
      </c>
      <c r="B171" s="1" t="s">
        <v>7</v>
      </c>
      <c r="C171" s="2" t="s">
        <v>82</v>
      </c>
      <c r="D171" s="3" t="s">
        <v>83</v>
      </c>
      <c r="E171" s="4" t="s">
        <v>84</v>
      </c>
      <c r="F171" t="str">
        <f>'Source Table'!$B$18</f>
        <v>Other Magazines &amp; Periodicals</v>
      </c>
      <c r="G171" t="str">
        <f>'Source Table'!$K$18</f>
        <v>المجلات والدوريات أخرى</v>
      </c>
      <c r="I171" t="str">
        <f>'Source Table'!$E$5</f>
        <v>كل شهرين</v>
      </c>
      <c r="J171" s="28">
        <v>6</v>
      </c>
      <c r="K171">
        <v>2022</v>
      </c>
    </row>
    <row r="172" ht="15.75" spans="1:11">
      <c r="A172" s="1" t="s">
        <v>5</v>
      </c>
      <c r="B172" s="1" t="s">
        <v>7</v>
      </c>
      <c r="C172" s="2" t="s">
        <v>82</v>
      </c>
      <c r="D172" s="3" t="s">
        <v>83</v>
      </c>
      <c r="E172" s="4" t="s">
        <v>84</v>
      </c>
      <c r="F172" t="str">
        <f>'Source Table'!$B$7</f>
        <v>Political Newspapers</v>
      </c>
      <c r="G172" t="str">
        <f>'Source Table'!$K$7</f>
        <v>صحف سياسية</v>
      </c>
      <c r="I172" t="str">
        <f>'Source Table'!$D$5</f>
        <v>نصف سنوية</v>
      </c>
      <c r="J172" s="27">
        <v>0</v>
      </c>
      <c r="K172">
        <v>2022</v>
      </c>
    </row>
    <row r="173" ht="15.75" spans="1:11">
      <c r="A173" s="1" t="s">
        <v>5</v>
      </c>
      <c r="B173" s="1" t="s">
        <v>7</v>
      </c>
      <c r="C173" s="2" t="s">
        <v>82</v>
      </c>
      <c r="D173" s="3" t="s">
        <v>83</v>
      </c>
      <c r="E173" s="4" t="s">
        <v>84</v>
      </c>
      <c r="F173" t="str">
        <f>'Source Table'!$B$8</f>
        <v>Parties Newspapers</v>
      </c>
      <c r="G173" t="str">
        <f>'Source Table'!$K$8</f>
        <v>صحف حزبية</v>
      </c>
      <c r="I173" t="str">
        <f>'Source Table'!$D$5</f>
        <v>نصف سنوية</v>
      </c>
      <c r="J173" s="27">
        <v>0</v>
      </c>
      <c r="K173">
        <v>2022</v>
      </c>
    </row>
    <row r="174" ht="15.75" spans="1:11">
      <c r="A174" s="1" t="s">
        <v>5</v>
      </c>
      <c r="B174" s="1" t="s">
        <v>7</v>
      </c>
      <c r="C174" s="2" t="s">
        <v>82</v>
      </c>
      <c r="D174" s="3" t="s">
        <v>83</v>
      </c>
      <c r="E174" s="4" t="s">
        <v>84</v>
      </c>
      <c r="F174" t="str">
        <f>'Source Table'!$B$9</f>
        <v>Children Magazines &amp; Periodicals</v>
      </c>
      <c r="G174" t="str">
        <f>'Source Table'!$K$9</f>
        <v>المجلات والدوريات الأطفال</v>
      </c>
      <c r="I174" t="str">
        <f>'Source Table'!$D$5</f>
        <v>نصف سنوية</v>
      </c>
      <c r="J174" s="27">
        <v>2</v>
      </c>
      <c r="K174">
        <v>2022</v>
      </c>
    </row>
    <row r="175" ht="15.75" spans="1:11">
      <c r="A175" s="1" t="s">
        <v>5</v>
      </c>
      <c r="B175" s="1" t="s">
        <v>7</v>
      </c>
      <c r="C175" s="2" t="s">
        <v>82</v>
      </c>
      <c r="D175" s="3" t="s">
        <v>83</v>
      </c>
      <c r="E175" s="4" t="s">
        <v>84</v>
      </c>
      <c r="F175" t="str">
        <f>'Source Table'!$B$10</f>
        <v>Economic Magazines &amp; Periodicals</v>
      </c>
      <c r="G175" t="str">
        <f>'Source Table'!$K$10</f>
        <v>المجلات والدوريات الاقتصادية</v>
      </c>
      <c r="I175" t="str">
        <f>'Source Table'!$D$5</f>
        <v>نصف سنوية</v>
      </c>
      <c r="J175" s="27">
        <v>4</v>
      </c>
      <c r="K175">
        <v>2022</v>
      </c>
    </row>
    <row r="176" ht="15.75" spans="1:11">
      <c r="A176" s="1" t="s">
        <v>5</v>
      </c>
      <c r="B176" s="1" t="s">
        <v>7</v>
      </c>
      <c r="C176" s="2" t="s">
        <v>82</v>
      </c>
      <c r="D176" s="3" t="s">
        <v>83</v>
      </c>
      <c r="E176" s="4" t="s">
        <v>84</v>
      </c>
      <c r="F176" t="str">
        <f>'Source Table'!$B$11</f>
        <v>Army &amp; Police Magazines &amp; Periodicals</v>
      </c>
      <c r="G176" t="str">
        <f>'Source Table'!$K$11</f>
        <v>المجلات والدوريات العسكرية و شرطية</v>
      </c>
      <c r="I176" t="str">
        <f>'Source Table'!$D$5</f>
        <v>نصف سنوية</v>
      </c>
      <c r="J176" s="27">
        <v>0</v>
      </c>
      <c r="K176">
        <v>2022</v>
      </c>
    </row>
    <row r="177" ht="15.75" spans="1:11">
      <c r="A177" s="1" t="s">
        <v>5</v>
      </c>
      <c r="B177" s="1" t="s">
        <v>7</v>
      </c>
      <c r="C177" s="2" t="s">
        <v>82</v>
      </c>
      <c r="D177" s="3" t="s">
        <v>83</v>
      </c>
      <c r="E177" s="4" t="s">
        <v>84</v>
      </c>
      <c r="F177" t="str">
        <f>'Source Table'!$B$12</f>
        <v>Youths &amp; Arts Magazines &amp; Periodicals</v>
      </c>
      <c r="G177" t="str">
        <f>'Source Table'!$K$12</f>
        <v>المجلات والدوريات الشباب و الفنون</v>
      </c>
      <c r="I177" t="str">
        <f>'Source Table'!$D$5</f>
        <v>نصف سنوية</v>
      </c>
      <c r="J177" s="27">
        <v>0</v>
      </c>
      <c r="K177">
        <v>2022</v>
      </c>
    </row>
    <row r="178" ht="15.75" spans="1:11">
      <c r="A178" s="1" t="s">
        <v>5</v>
      </c>
      <c r="B178" s="1" t="s">
        <v>7</v>
      </c>
      <c r="C178" s="2" t="s">
        <v>82</v>
      </c>
      <c r="D178" s="3" t="s">
        <v>83</v>
      </c>
      <c r="E178" s="4" t="s">
        <v>84</v>
      </c>
      <c r="F178" t="str">
        <f>'Source Table'!$B$13</f>
        <v>Cultural &amp; Educational Magazines &amp; Periodicals</v>
      </c>
      <c r="G178" t="str">
        <f>'Source Table'!$K$13</f>
        <v>المجلات والدوريات الثقافية و المدرسية</v>
      </c>
      <c r="I178" t="str">
        <f>'Source Table'!$D$5</f>
        <v>نصف سنوية</v>
      </c>
      <c r="J178" s="27">
        <v>0</v>
      </c>
      <c r="K178">
        <v>2022</v>
      </c>
    </row>
    <row r="179" ht="15.75" spans="1:11">
      <c r="A179" s="1" t="s">
        <v>5</v>
      </c>
      <c r="B179" s="1" t="s">
        <v>7</v>
      </c>
      <c r="C179" s="2" t="s">
        <v>82</v>
      </c>
      <c r="D179" s="3" t="s">
        <v>83</v>
      </c>
      <c r="E179" s="4" t="s">
        <v>84</v>
      </c>
      <c r="F179" t="str">
        <f>'Source Table'!$B$14</f>
        <v>Religious Magazines &amp; Periodicals</v>
      </c>
      <c r="G179" t="str">
        <f>'Source Table'!$K$14</f>
        <v>المجلات والدوريات الدينية</v>
      </c>
      <c r="I179" t="str">
        <f>'Source Table'!$D$5</f>
        <v>نصف سنوية</v>
      </c>
      <c r="J179" s="27">
        <v>0</v>
      </c>
      <c r="K179">
        <v>2022</v>
      </c>
    </row>
    <row r="180" ht="15.75" spans="1:11">
      <c r="A180" s="1" t="s">
        <v>5</v>
      </c>
      <c r="B180" s="1" t="s">
        <v>7</v>
      </c>
      <c r="C180" s="2" t="s">
        <v>82</v>
      </c>
      <c r="D180" s="3" t="s">
        <v>83</v>
      </c>
      <c r="E180" s="4" t="s">
        <v>84</v>
      </c>
      <c r="F180" t="str">
        <f>'Source Table'!$B$15</f>
        <v>Scientific Magazines &amp; Periodicals</v>
      </c>
      <c r="G180" t="str">
        <f>'Source Table'!$K$15</f>
        <v>المجلات والدوريات العلمية</v>
      </c>
      <c r="I180" t="str">
        <f>'Source Table'!$D$5</f>
        <v>نصف سنوية</v>
      </c>
      <c r="J180" s="27">
        <v>2</v>
      </c>
      <c r="K180">
        <v>2022</v>
      </c>
    </row>
    <row r="181" ht="15.75" spans="1:11">
      <c r="A181" s="1" t="s">
        <v>5</v>
      </c>
      <c r="B181" s="1" t="s">
        <v>7</v>
      </c>
      <c r="C181" s="2" t="s">
        <v>82</v>
      </c>
      <c r="D181" s="3" t="s">
        <v>83</v>
      </c>
      <c r="E181" s="4" t="s">
        <v>84</v>
      </c>
      <c r="F181" t="str">
        <f>'Source Table'!$B$16</f>
        <v>Financial Magazines &amp; Periodicals</v>
      </c>
      <c r="G181" t="str">
        <f>'Source Table'!$K$16</f>
        <v>المجلات والدوريات المالية</v>
      </c>
      <c r="I181" t="str">
        <f>'Source Table'!$D$5</f>
        <v>نصف سنوية</v>
      </c>
      <c r="J181" s="27">
        <v>0</v>
      </c>
      <c r="K181">
        <v>2022</v>
      </c>
    </row>
    <row r="182" ht="15.75" spans="1:11">
      <c r="A182" s="1" t="s">
        <v>5</v>
      </c>
      <c r="B182" s="1" t="s">
        <v>7</v>
      </c>
      <c r="C182" s="2" t="s">
        <v>82</v>
      </c>
      <c r="D182" s="3" t="s">
        <v>83</v>
      </c>
      <c r="E182" s="4" t="s">
        <v>84</v>
      </c>
      <c r="F182" t="str">
        <f>'Source Table'!$B$17</f>
        <v>Tourist Magazines &amp; Periodicals</v>
      </c>
      <c r="G182" t="str">
        <f>'Source Table'!$K$17</f>
        <v>المجلات والدوريات سياحية</v>
      </c>
      <c r="I182" t="str">
        <f>'Source Table'!$D$5</f>
        <v>نصف سنوية</v>
      </c>
      <c r="J182" s="27">
        <v>0</v>
      </c>
      <c r="K182">
        <v>2022</v>
      </c>
    </row>
    <row r="183" ht="16.5" spans="1:11">
      <c r="A183" s="1" t="s">
        <v>5</v>
      </c>
      <c r="B183" s="1" t="s">
        <v>7</v>
      </c>
      <c r="C183" s="2" t="s">
        <v>82</v>
      </c>
      <c r="D183" s="3" t="s">
        <v>83</v>
      </c>
      <c r="E183" s="4" t="s">
        <v>84</v>
      </c>
      <c r="F183" t="str">
        <f>'Source Table'!$B$18</f>
        <v>Other Magazines &amp; Periodicals</v>
      </c>
      <c r="G183" t="str">
        <f>'Source Table'!$K$18</f>
        <v>المجلات والدوريات أخرى</v>
      </c>
      <c r="I183" t="str">
        <f>'Source Table'!$D$5</f>
        <v>نصف سنوية</v>
      </c>
      <c r="J183" s="28">
        <v>3</v>
      </c>
      <c r="K183">
        <v>2022</v>
      </c>
    </row>
    <row r="184" ht="15.75" spans="1:11">
      <c r="A184" s="1" t="s">
        <v>5</v>
      </c>
      <c r="B184" s="1" t="s">
        <v>7</v>
      </c>
      <c r="C184" s="2" t="s">
        <v>82</v>
      </c>
      <c r="D184" s="3" t="s">
        <v>83</v>
      </c>
      <c r="E184" s="4" t="s">
        <v>84</v>
      </c>
      <c r="F184" t="str">
        <f>'Source Table'!$B$7</f>
        <v>Political Newspapers</v>
      </c>
      <c r="G184" t="str">
        <f>'Source Table'!$K$7</f>
        <v>صحف سياسية</v>
      </c>
      <c r="I184" t="str">
        <f>'Source Table'!$C$5</f>
        <v>نصف شهرية</v>
      </c>
      <c r="J184" s="25">
        <v>0</v>
      </c>
      <c r="K184">
        <v>2022</v>
      </c>
    </row>
    <row r="185" ht="15.75" spans="1:11">
      <c r="A185" s="1" t="s">
        <v>5</v>
      </c>
      <c r="B185" s="1" t="s">
        <v>7</v>
      </c>
      <c r="C185" s="2" t="s">
        <v>82</v>
      </c>
      <c r="D185" s="3" t="s">
        <v>83</v>
      </c>
      <c r="E185" s="4" t="s">
        <v>84</v>
      </c>
      <c r="F185" t="str">
        <f>'Source Table'!$B$8</f>
        <v>Parties Newspapers</v>
      </c>
      <c r="G185" t="str">
        <f>'Source Table'!$K$8</f>
        <v>صحف حزبية</v>
      </c>
      <c r="I185" t="str">
        <f>'Source Table'!$C$5</f>
        <v>نصف شهرية</v>
      </c>
      <c r="J185" s="25">
        <v>0</v>
      </c>
      <c r="K185">
        <v>2022</v>
      </c>
    </row>
    <row r="186" ht="15.75" spans="1:11">
      <c r="A186" s="1" t="s">
        <v>5</v>
      </c>
      <c r="B186" s="1" t="s">
        <v>7</v>
      </c>
      <c r="C186" s="2" t="s">
        <v>82</v>
      </c>
      <c r="D186" s="3" t="s">
        <v>83</v>
      </c>
      <c r="E186" s="4" t="s">
        <v>84</v>
      </c>
      <c r="F186" t="str">
        <f>'Source Table'!$B$9</f>
        <v>Children Magazines &amp; Periodicals</v>
      </c>
      <c r="G186" t="str">
        <f>'Source Table'!$K$9</f>
        <v>المجلات والدوريات الأطفال</v>
      </c>
      <c r="I186" t="str">
        <f>'Source Table'!$C$5</f>
        <v>نصف شهرية</v>
      </c>
      <c r="J186" s="25">
        <v>0</v>
      </c>
      <c r="K186">
        <v>2022</v>
      </c>
    </row>
    <row r="187" ht="15.75" spans="1:11">
      <c r="A187" s="1" t="s">
        <v>5</v>
      </c>
      <c r="B187" s="1" t="s">
        <v>7</v>
      </c>
      <c r="C187" s="2" t="s">
        <v>82</v>
      </c>
      <c r="D187" s="3" t="s">
        <v>83</v>
      </c>
      <c r="E187" s="4" t="s">
        <v>84</v>
      </c>
      <c r="F187" t="str">
        <f>'Source Table'!$B$10</f>
        <v>Economic Magazines &amp; Periodicals</v>
      </c>
      <c r="G187" t="str">
        <f>'Source Table'!$K$10</f>
        <v>المجلات والدوريات الاقتصادية</v>
      </c>
      <c r="I187" t="str">
        <f>'Source Table'!$C$5</f>
        <v>نصف شهرية</v>
      </c>
      <c r="J187" s="25">
        <v>2</v>
      </c>
      <c r="K187">
        <v>2022</v>
      </c>
    </row>
    <row r="188" ht="15.75" spans="1:11">
      <c r="A188" s="1" t="s">
        <v>5</v>
      </c>
      <c r="B188" s="1" t="s">
        <v>7</v>
      </c>
      <c r="C188" s="2" t="s">
        <v>82</v>
      </c>
      <c r="D188" s="3" t="s">
        <v>83</v>
      </c>
      <c r="E188" s="4" t="s">
        <v>84</v>
      </c>
      <c r="F188" t="str">
        <f>'Source Table'!$B$11</f>
        <v>Army &amp; Police Magazines &amp; Periodicals</v>
      </c>
      <c r="G188" t="str">
        <f>'Source Table'!$K$11</f>
        <v>المجلات والدوريات العسكرية و شرطية</v>
      </c>
      <c r="I188" t="str">
        <f>'Source Table'!$C$5</f>
        <v>نصف شهرية</v>
      </c>
      <c r="J188" s="25">
        <v>0</v>
      </c>
      <c r="K188">
        <v>2022</v>
      </c>
    </row>
    <row r="189" ht="15.75" spans="1:11">
      <c r="A189" s="1" t="s">
        <v>5</v>
      </c>
      <c r="B189" s="1" t="s">
        <v>7</v>
      </c>
      <c r="C189" s="2" t="s">
        <v>82</v>
      </c>
      <c r="D189" s="3" t="s">
        <v>83</v>
      </c>
      <c r="E189" s="4" t="s">
        <v>84</v>
      </c>
      <c r="F189" t="str">
        <f>'Source Table'!$B$12</f>
        <v>Youths &amp; Arts Magazines &amp; Periodicals</v>
      </c>
      <c r="G189" t="str">
        <f>'Source Table'!$K$12</f>
        <v>المجلات والدوريات الشباب و الفنون</v>
      </c>
      <c r="I189" t="str">
        <f>'Source Table'!$C$5</f>
        <v>نصف شهرية</v>
      </c>
      <c r="J189" s="25">
        <v>0</v>
      </c>
      <c r="K189">
        <v>2022</v>
      </c>
    </row>
    <row r="190" ht="15.75" spans="1:11">
      <c r="A190" s="1" t="s">
        <v>5</v>
      </c>
      <c r="B190" s="1" t="s">
        <v>7</v>
      </c>
      <c r="C190" s="2" t="s">
        <v>82</v>
      </c>
      <c r="D190" s="3" t="s">
        <v>83</v>
      </c>
      <c r="E190" s="4" t="s">
        <v>84</v>
      </c>
      <c r="F190" t="str">
        <f>'Source Table'!$B$13</f>
        <v>Cultural &amp; Educational Magazines &amp; Periodicals</v>
      </c>
      <c r="G190" t="str">
        <f>'Source Table'!$K$13</f>
        <v>المجلات والدوريات الثقافية و المدرسية</v>
      </c>
      <c r="I190" t="str">
        <f>'Source Table'!$C$5</f>
        <v>نصف شهرية</v>
      </c>
      <c r="J190" s="25">
        <v>0</v>
      </c>
      <c r="K190">
        <v>2022</v>
      </c>
    </row>
    <row r="191" ht="15.75" spans="1:11">
      <c r="A191" s="1" t="s">
        <v>5</v>
      </c>
      <c r="B191" s="1" t="s">
        <v>7</v>
      </c>
      <c r="C191" s="2" t="s">
        <v>82</v>
      </c>
      <c r="D191" s="3" t="s">
        <v>83</v>
      </c>
      <c r="E191" s="4" t="s">
        <v>84</v>
      </c>
      <c r="F191" t="str">
        <f>'Source Table'!$B$14</f>
        <v>Religious Magazines &amp; Periodicals</v>
      </c>
      <c r="G191" t="str">
        <f>'Source Table'!$K$14</f>
        <v>المجلات والدوريات الدينية</v>
      </c>
      <c r="I191" t="str">
        <f>'Source Table'!$C$5</f>
        <v>نصف شهرية</v>
      </c>
      <c r="J191" s="25">
        <v>0</v>
      </c>
      <c r="K191">
        <v>2022</v>
      </c>
    </row>
    <row r="192" ht="15.75" spans="1:11">
      <c r="A192" s="1" t="s">
        <v>5</v>
      </c>
      <c r="B192" s="1" t="s">
        <v>7</v>
      </c>
      <c r="C192" s="2" t="s">
        <v>82</v>
      </c>
      <c r="D192" s="3" t="s">
        <v>83</v>
      </c>
      <c r="E192" s="4" t="s">
        <v>84</v>
      </c>
      <c r="F192" t="str">
        <f>'Source Table'!$B$15</f>
        <v>Scientific Magazines &amp; Periodicals</v>
      </c>
      <c r="G192" t="str">
        <f>'Source Table'!$K$15</f>
        <v>المجلات والدوريات العلمية</v>
      </c>
      <c r="I192" t="str">
        <f>'Source Table'!$C$5</f>
        <v>نصف شهرية</v>
      </c>
      <c r="J192" s="25">
        <v>0</v>
      </c>
      <c r="K192">
        <v>2022</v>
      </c>
    </row>
    <row r="193" ht="15.75" spans="1:11">
      <c r="A193" s="1" t="s">
        <v>5</v>
      </c>
      <c r="B193" s="1" t="s">
        <v>7</v>
      </c>
      <c r="C193" s="2" t="s">
        <v>82</v>
      </c>
      <c r="D193" s="3" t="s">
        <v>83</v>
      </c>
      <c r="E193" s="4" t="s">
        <v>84</v>
      </c>
      <c r="F193" t="str">
        <f>'Source Table'!$B$16</f>
        <v>Financial Magazines &amp; Periodicals</v>
      </c>
      <c r="G193" t="str">
        <f>'Source Table'!$K$16</f>
        <v>المجلات والدوريات المالية</v>
      </c>
      <c r="I193" t="str">
        <f>'Source Table'!$C$5</f>
        <v>نصف شهرية</v>
      </c>
      <c r="J193" s="25">
        <v>0</v>
      </c>
      <c r="K193">
        <v>2022</v>
      </c>
    </row>
    <row r="194" ht="15.75" spans="1:11">
      <c r="A194" s="1" t="s">
        <v>5</v>
      </c>
      <c r="B194" s="1" t="s">
        <v>7</v>
      </c>
      <c r="C194" s="2" t="s">
        <v>82</v>
      </c>
      <c r="D194" s="3" t="s">
        <v>83</v>
      </c>
      <c r="E194" s="4" t="s">
        <v>84</v>
      </c>
      <c r="F194" t="str">
        <f>'Source Table'!$B$17</f>
        <v>Tourist Magazines &amp; Periodicals</v>
      </c>
      <c r="G194" t="str">
        <f>'Source Table'!$K$17</f>
        <v>المجلات والدوريات سياحية</v>
      </c>
      <c r="I194" t="str">
        <f>'Source Table'!$C$5</f>
        <v>نصف شهرية</v>
      </c>
      <c r="J194" s="25">
        <v>0</v>
      </c>
      <c r="K194">
        <v>2022</v>
      </c>
    </row>
    <row r="195" ht="16.5" spans="1:11">
      <c r="A195" s="1" t="s">
        <v>5</v>
      </c>
      <c r="B195" s="1" t="s">
        <v>7</v>
      </c>
      <c r="C195" s="2" t="s">
        <v>82</v>
      </c>
      <c r="D195" s="3" t="s">
        <v>83</v>
      </c>
      <c r="E195" s="4" t="s">
        <v>84</v>
      </c>
      <c r="F195" t="str">
        <f>'Source Table'!$B$18</f>
        <v>Other Magazines &amp; Periodicals</v>
      </c>
      <c r="G195" t="str">
        <f>'Source Table'!$K$18</f>
        <v>المجلات والدوريات أخرى</v>
      </c>
      <c r="I195" t="str">
        <f>'Source Table'!$C$5</f>
        <v>نصف شهرية</v>
      </c>
      <c r="J195" s="26">
        <v>2</v>
      </c>
      <c r="K195">
        <v>2022</v>
      </c>
    </row>
    <row r="196" ht="15.75" spans="1:11">
      <c r="A196" s="1" t="s">
        <v>5</v>
      </c>
      <c r="B196" s="1" t="s">
        <v>7</v>
      </c>
      <c r="C196" s="2" t="s">
        <v>82</v>
      </c>
      <c r="D196" s="3" t="s">
        <v>83</v>
      </c>
      <c r="E196" s="4" t="s">
        <v>84</v>
      </c>
      <c r="F196" t="str">
        <f>'Source Table'!$B$7</f>
        <v>Political Newspapers</v>
      </c>
      <c r="G196" t="str">
        <f>'Source Table'!$K$7</f>
        <v>صحف سياسية</v>
      </c>
      <c r="H196" t="str">
        <f>'Source Table'!$J$6</f>
        <v>Daily</v>
      </c>
      <c r="I196" t="str">
        <f>'Source Table'!$J$5</f>
        <v>يومية</v>
      </c>
      <c r="J196" s="25">
        <v>10</v>
      </c>
      <c r="K196">
        <v>2021</v>
      </c>
    </row>
    <row r="197" ht="15.75" spans="1:11">
      <c r="A197" s="1" t="s">
        <v>5</v>
      </c>
      <c r="B197" s="1" t="s">
        <v>7</v>
      </c>
      <c r="C197" s="2" t="s">
        <v>82</v>
      </c>
      <c r="D197" s="3" t="s">
        <v>83</v>
      </c>
      <c r="E197" s="4" t="s">
        <v>84</v>
      </c>
      <c r="F197" t="str">
        <f>'Source Table'!$B$8</f>
        <v>Parties Newspapers</v>
      </c>
      <c r="G197" t="str">
        <f>'Source Table'!$K$8</f>
        <v>صحف حزبية</v>
      </c>
      <c r="H197" t="str">
        <f>'Source Table'!$J$6</f>
        <v>Daily</v>
      </c>
      <c r="I197" t="str">
        <f>'Source Table'!$J$5</f>
        <v>يومية</v>
      </c>
      <c r="J197" s="25">
        <v>0</v>
      </c>
      <c r="K197">
        <v>2021</v>
      </c>
    </row>
    <row r="198" ht="15.75" spans="1:11">
      <c r="A198" s="1" t="s">
        <v>5</v>
      </c>
      <c r="B198" s="1" t="s">
        <v>7</v>
      </c>
      <c r="C198" s="2" t="s">
        <v>82</v>
      </c>
      <c r="D198" s="3" t="s">
        <v>83</v>
      </c>
      <c r="E198" s="4" t="s">
        <v>84</v>
      </c>
      <c r="F198" t="str">
        <f>'Source Table'!$B$9</f>
        <v>Children Magazines &amp; Periodicals</v>
      </c>
      <c r="G198" t="str">
        <f>'Source Table'!$K$9</f>
        <v>المجلات والدوريات الأطفال</v>
      </c>
      <c r="H198" t="str">
        <f>'Source Table'!$J$6</f>
        <v>Daily</v>
      </c>
      <c r="I198" t="str">
        <f>'Source Table'!$J$5</f>
        <v>يومية</v>
      </c>
      <c r="J198" s="25">
        <v>0</v>
      </c>
      <c r="K198">
        <v>2021</v>
      </c>
    </row>
    <row r="199" ht="15.75" spans="1:11">
      <c r="A199" s="1" t="s">
        <v>5</v>
      </c>
      <c r="B199" s="1" t="s">
        <v>7</v>
      </c>
      <c r="C199" s="2" t="s">
        <v>82</v>
      </c>
      <c r="D199" s="3" t="s">
        <v>83</v>
      </c>
      <c r="E199" s="4" t="s">
        <v>84</v>
      </c>
      <c r="F199" t="str">
        <f>'Source Table'!$B$10</f>
        <v>Economic Magazines &amp; Periodicals</v>
      </c>
      <c r="G199" t="str">
        <f>'Source Table'!$K$10</f>
        <v>المجلات والدوريات الاقتصادية</v>
      </c>
      <c r="H199" t="str">
        <f>'Source Table'!$J$6</f>
        <v>Daily</v>
      </c>
      <c r="I199" t="str">
        <f>'Source Table'!$J$5</f>
        <v>يومية</v>
      </c>
      <c r="J199" s="25">
        <v>0</v>
      </c>
      <c r="K199">
        <v>2021</v>
      </c>
    </row>
    <row r="200" ht="15.75" spans="1:11">
      <c r="A200" s="1" t="s">
        <v>5</v>
      </c>
      <c r="B200" s="1" t="s">
        <v>7</v>
      </c>
      <c r="C200" s="2" t="s">
        <v>82</v>
      </c>
      <c r="D200" s="3" t="s">
        <v>83</v>
      </c>
      <c r="E200" s="4" t="s">
        <v>84</v>
      </c>
      <c r="F200" t="str">
        <f>'Source Table'!$B$11</f>
        <v>Army &amp; Police Magazines &amp; Periodicals</v>
      </c>
      <c r="G200" t="str">
        <f>'Source Table'!$K$11</f>
        <v>المجلات والدوريات العسكرية و شرطية</v>
      </c>
      <c r="H200" t="str">
        <f>'Source Table'!$J$6</f>
        <v>Daily</v>
      </c>
      <c r="I200" t="str">
        <f>'Source Table'!$J$5</f>
        <v>يومية</v>
      </c>
      <c r="J200" s="25">
        <v>0</v>
      </c>
      <c r="K200">
        <v>2021</v>
      </c>
    </row>
    <row r="201" ht="15.75" spans="1:11">
      <c r="A201" s="1" t="s">
        <v>5</v>
      </c>
      <c r="B201" s="1" t="s">
        <v>7</v>
      </c>
      <c r="C201" s="2" t="s">
        <v>82</v>
      </c>
      <c r="D201" s="3" t="s">
        <v>83</v>
      </c>
      <c r="E201" s="4" t="s">
        <v>84</v>
      </c>
      <c r="F201" t="str">
        <f>'Source Table'!$B$12</f>
        <v>Youths &amp; Arts Magazines &amp; Periodicals</v>
      </c>
      <c r="G201" t="str">
        <f>'Source Table'!$K$12</f>
        <v>المجلات والدوريات الشباب و الفنون</v>
      </c>
      <c r="H201" t="str">
        <f>'Source Table'!$J$6</f>
        <v>Daily</v>
      </c>
      <c r="I201" t="str">
        <f>'Source Table'!$J$5</f>
        <v>يومية</v>
      </c>
      <c r="J201" s="25">
        <v>0</v>
      </c>
      <c r="K201">
        <v>2021</v>
      </c>
    </row>
    <row r="202" ht="15.75" spans="1:11">
      <c r="A202" s="1" t="s">
        <v>5</v>
      </c>
      <c r="B202" s="1" t="s">
        <v>7</v>
      </c>
      <c r="C202" s="2" t="s">
        <v>82</v>
      </c>
      <c r="D202" s="3" t="s">
        <v>83</v>
      </c>
      <c r="E202" s="4" t="s">
        <v>84</v>
      </c>
      <c r="F202" t="str">
        <f>'Source Table'!$B$13</f>
        <v>Cultural &amp; Educational Magazines &amp; Periodicals</v>
      </c>
      <c r="G202" t="str">
        <f>'Source Table'!$K$13</f>
        <v>المجلات والدوريات الثقافية و المدرسية</v>
      </c>
      <c r="H202" t="str">
        <f>'Source Table'!$J$6</f>
        <v>Daily</v>
      </c>
      <c r="I202" t="str">
        <f>'Source Table'!$J$5</f>
        <v>يومية</v>
      </c>
      <c r="J202" s="25">
        <v>0</v>
      </c>
      <c r="K202">
        <v>2021</v>
      </c>
    </row>
    <row r="203" ht="15.75" spans="1:11">
      <c r="A203" s="1" t="s">
        <v>5</v>
      </c>
      <c r="B203" s="1" t="s">
        <v>7</v>
      </c>
      <c r="C203" s="2" t="s">
        <v>82</v>
      </c>
      <c r="D203" s="3" t="s">
        <v>83</v>
      </c>
      <c r="E203" s="4" t="s">
        <v>84</v>
      </c>
      <c r="F203" t="str">
        <f>'Source Table'!$B$14</f>
        <v>Religious Magazines &amp; Periodicals</v>
      </c>
      <c r="G203" t="str">
        <f>'Source Table'!$K$14</f>
        <v>المجلات والدوريات الدينية</v>
      </c>
      <c r="H203" t="str">
        <f>'Source Table'!$J$6</f>
        <v>Daily</v>
      </c>
      <c r="I203" t="str">
        <f>'Source Table'!$J$5</f>
        <v>يومية</v>
      </c>
      <c r="J203" s="25">
        <v>0</v>
      </c>
      <c r="K203">
        <v>2021</v>
      </c>
    </row>
    <row r="204" ht="15.75" spans="1:11">
      <c r="A204" s="1" t="s">
        <v>5</v>
      </c>
      <c r="B204" s="1" t="s">
        <v>7</v>
      </c>
      <c r="C204" s="2" t="s">
        <v>82</v>
      </c>
      <c r="D204" s="3" t="s">
        <v>83</v>
      </c>
      <c r="E204" s="4" t="s">
        <v>84</v>
      </c>
      <c r="F204" t="str">
        <f>'Source Table'!$B$15</f>
        <v>Scientific Magazines &amp; Periodicals</v>
      </c>
      <c r="G204" t="str">
        <f>'Source Table'!$K$15</f>
        <v>المجلات والدوريات العلمية</v>
      </c>
      <c r="H204" t="str">
        <f>'Source Table'!$J$6</f>
        <v>Daily</v>
      </c>
      <c r="I204" t="str">
        <f>'Source Table'!$J$5</f>
        <v>يومية</v>
      </c>
      <c r="J204" s="25">
        <v>0</v>
      </c>
      <c r="K204">
        <v>2021</v>
      </c>
    </row>
    <row r="205" ht="15.75" spans="1:11">
      <c r="A205" s="1" t="s">
        <v>5</v>
      </c>
      <c r="B205" s="1" t="s">
        <v>7</v>
      </c>
      <c r="C205" s="2" t="s">
        <v>82</v>
      </c>
      <c r="D205" s="3" t="s">
        <v>83</v>
      </c>
      <c r="E205" s="4" t="s">
        <v>84</v>
      </c>
      <c r="F205" t="str">
        <f>'Source Table'!$B$16</f>
        <v>Financial Magazines &amp; Periodicals</v>
      </c>
      <c r="G205" t="str">
        <f>'Source Table'!$K$16</f>
        <v>المجلات والدوريات المالية</v>
      </c>
      <c r="H205" t="str">
        <f>'Source Table'!$J$6</f>
        <v>Daily</v>
      </c>
      <c r="I205" t="str">
        <f>'Source Table'!$J$5</f>
        <v>يومية</v>
      </c>
      <c r="J205" s="25">
        <v>0</v>
      </c>
      <c r="K205">
        <v>2021</v>
      </c>
    </row>
    <row r="206" ht="15.75" spans="1:11">
      <c r="A206" s="1" t="s">
        <v>5</v>
      </c>
      <c r="B206" s="1" t="s">
        <v>7</v>
      </c>
      <c r="C206" s="2" t="s">
        <v>82</v>
      </c>
      <c r="D206" s="3" t="s">
        <v>83</v>
      </c>
      <c r="E206" s="4" t="s">
        <v>84</v>
      </c>
      <c r="F206" t="str">
        <f>'Source Table'!$B$17</f>
        <v>Tourist Magazines &amp; Periodicals</v>
      </c>
      <c r="G206" t="str">
        <f>'Source Table'!$K$17</f>
        <v>المجلات والدوريات سياحية</v>
      </c>
      <c r="H206" t="str">
        <f>'Source Table'!$J$6</f>
        <v>Daily</v>
      </c>
      <c r="I206" t="str">
        <f>'Source Table'!$J$5</f>
        <v>يومية</v>
      </c>
      <c r="J206" s="25">
        <v>0</v>
      </c>
      <c r="K206">
        <v>2021</v>
      </c>
    </row>
    <row r="207" ht="16.5" spans="1:11">
      <c r="A207" s="1" t="s">
        <v>5</v>
      </c>
      <c r="B207" s="1" t="s">
        <v>7</v>
      </c>
      <c r="C207" s="2" t="s">
        <v>82</v>
      </c>
      <c r="D207" s="3" t="s">
        <v>83</v>
      </c>
      <c r="E207" s="4" t="s">
        <v>84</v>
      </c>
      <c r="F207" t="str">
        <f>'Source Table'!$B$18</f>
        <v>Other Magazines &amp; Periodicals</v>
      </c>
      <c r="G207" t="str">
        <f>'Source Table'!$K$18</f>
        <v>المجلات والدوريات أخرى</v>
      </c>
      <c r="H207" t="str">
        <f>'Source Table'!$J$6</f>
        <v>Daily</v>
      </c>
      <c r="I207" t="str">
        <f>'Source Table'!$J$5</f>
        <v>يومية</v>
      </c>
      <c r="J207" s="26">
        <v>0</v>
      </c>
      <c r="K207">
        <v>2021</v>
      </c>
    </row>
    <row r="208" ht="15.75" spans="1:11">
      <c r="A208" s="1" t="s">
        <v>5</v>
      </c>
      <c r="B208" s="1" t="s">
        <v>7</v>
      </c>
      <c r="C208" s="2" t="s">
        <v>82</v>
      </c>
      <c r="D208" s="3" t="s">
        <v>83</v>
      </c>
      <c r="E208" s="4" t="s">
        <v>84</v>
      </c>
      <c r="F208" t="str">
        <f>'Source Table'!$B$7</f>
        <v>Political Newspapers</v>
      </c>
      <c r="G208" t="str">
        <f>'Source Table'!$K$7</f>
        <v>صحف سياسية</v>
      </c>
      <c r="H208" t="str">
        <f>'Source Table'!$I$6</f>
        <v>Weekly</v>
      </c>
      <c r="I208" t="str">
        <f>'Source Table'!$I$5</f>
        <v>أسبوعية</v>
      </c>
      <c r="J208" s="27">
        <v>9</v>
      </c>
      <c r="K208">
        <v>2021</v>
      </c>
    </row>
    <row r="209" ht="15.75" spans="1:11">
      <c r="A209" s="1" t="s">
        <v>5</v>
      </c>
      <c r="B209" s="1" t="s">
        <v>7</v>
      </c>
      <c r="C209" s="2" t="s">
        <v>82</v>
      </c>
      <c r="D209" s="3" t="s">
        <v>83</v>
      </c>
      <c r="E209" s="4" t="s">
        <v>84</v>
      </c>
      <c r="F209" t="str">
        <f>'Source Table'!$B$8</f>
        <v>Parties Newspapers</v>
      </c>
      <c r="G209" t="str">
        <f>'Source Table'!$K$8</f>
        <v>صحف حزبية</v>
      </c>
      <c r="H209" t="str">
        <f>'Source Table'!$I$6</f>
        <v>Weekly</v>
      </c>
      <c r="I209" t="str">
        <f>'Source Table'!$I$5</f>
        <v>أسبوعية</v>
      </c>
      <c r="J209" s="27">
        <v>2</v>
      </c>
      <c r="K209">
        <v>2021</v>
      </c>
    </row>
    <row r="210" ht="15.75" spans="1:11">
      <c r="A210" s="1" t="s">
        <v>5</v>
      </c>
      <c r="B210" s="1" t="s">
        <v>7</v>
      </c>
      <c r="C210" s="2" t="s">
        <v>82</v>
      </c>
      <c r="D210" s="3" t="s">
        <v>83</v>
      </c>
      <c r="E210" s="4" t="s">
        <v>84</v>
      </c>
      <c r="F210" t="str">
        <f>'Source Table'!$B$9</f>
        <v>Children Magazines &amp; Periodicals</v>
      </c>
      <c r="G210" t="str">
        <f>'Source Table'!$K$9</f>
        <v>المجلات والدوريات الأطفال</v>
      </c>
      <c r="H210" t="str">
        <f>'Source Table'!$I$6</f>
        <v>Weekly</v>
      </c>
      <c r="I210" t="str">
        <f>'Source Table'!$I$5</f>
        <v>أسبوعية</v>
      </c>
      <c r="J210" s="27">
        <v>1</v>
      </c>
      <c r="K210">
        <v>2021</v>
      </c>
    </row>
    <row r="211" ht="15.75" spans="1:11">
      <c r="A211" s="1" t="s">
        <v>5</v>
      </c>
      <c r="B211" s="1" t="s">
        <v>7</v>
      </c>
      <c r="C211" s="2" t="s">
        <v>82</v>
      </c>
      <c r="D211" s="3" t="s">
        <v>83</v>
      </c>
      <c r="E211" s="4" t="s">
        <v>84</v>
      </c>
      <c r="F211" t="str">
        <f>'Source Table'!$B$10</f>
        <v>Economic Magazines &amp; Periodicals</v>
      </c>
      <c r="G211" t="str">
        <f>'Source Table'!$K$10</f>
        <v>المجلات والدوريات الاقتصادية</v>
      </c>
      <c r="H211" t="str">
        <f>'Source Table'!$I$6</f>
        <v>Weekly</v>
      </c>
      <c r="I211" t="str">
        <f>'Source Table'!$I$5</f>
        <v>أسبوعية</v>
      </c>
      <c r="J211" s="27">
        <v>1</v>
      </c>
      <c r="K211">
        <v>2021</v>
      </c>
    </row>
    <row r="212" ht="15.75" spans="1:11">
      <c r="A212" s="1" t="s">
        <v>5</v>
      </c>
      <c r="B212" s="1" t="s">
        <v>7</v>
      </c>
      <c r="C212" s="2" t="s">
        <v>82</v>
      </c>
      <c r="D212" s="3" t="s">
        <v>83</v>
      </c>
      <c r="E212" s="4" t="s">
        <v>84</v>
      </c>
      <c r="F212" t="str">
        <f>'Source Table'!$B$11</f>
        <v>Army &amp; Police Magazines &amp; Periodicals</v>
      </c>
      <c r="G212" t="str">
        <f>'Source Table'!$K$11</f>
        <v>المجلات والدوريات العسكرية و شرطية</v>
      </c>
      <c r="H212" t="str">
        <f>'Source Table'!$I$6</f>
        <v>Weekly</v>
      </c>
      <c r="I212" t="str">
        <f>'Source Table'!$I$5</f>
        <v>أسبوعية</v>
      </c>
      <c r="J212" s="27">
        <v>0</v>
      </c>
      <c r="K212">
        <v>2021</v>
      </c>
    </row>
    <row r="213" ht="15.75" spans="1:11">
      <c r="A213" s="1" t="s">
        <v>5</v>
      </c>
      <c r="B213" s="1" t="s">
        <v>7</v>
      </c>
      <c r="C213" s="2" t="s">
        <v>82</v>
      </c>
      <c r="D213" s="3" t="s">
        <v>83</v>
      </c>
      <c r="E213" s="4" t="s">
        <v>84</v>
      </c>
      <c r="F213" t="str">
        <f>'Source Table'!$B$12</f>
        <v>Youths &amp; Arts Magazines &amp; Periodicals</v>
      </c>
      <c r="G213" t="str">
        <f>'Source Table'!$K$12</f>
        <v>المجلات والدوريات الشباب و الفنون</v>
      </c>
      <c r="H213" t="str">
        <f>'Source Table'!$I$6</f>
        <v>Weekly</v>
      </c>
      <c r="I213" t="str">
        <f>'Source Table'!$I$5</f>
        <v>أسبوعية</v>
      </c>
      <c r="J213" s="27">
        <v>0</v>
      </c>
      <c r="K213">
        <v>2021</v>
      </c>
    </row>
    <row r="214" ht="15.75" spans="1:11">
      <c r="A214" s="1" t="s">
        <v>5</v>
      </c>
      <c r="B214" s="1" t="s">
        <v>7</v>
      </c>
      <c r="C214" s="2" t="s">
        <v>82</v>
      </c>
      <c r="D214" s="3" t="s">
        <v>83</v>
      </c>
      <c r="E214" s="4" t="s">
        <v>84</v>
      </c>
      <c r="F214" t="str">
        <f>'Source Table'!$B$13</f>
        <v>Cultural &amp; Educational Magazines &amp; Periodicals</v>
      </c>
      <c r="G214" t="str">
        <f>'Source Table'!$K$13</f>
        <v>المجلات والدوريات الثقافية و المدرسية</v>
      </c>
      <c r="H214" t="str">
        <f>'Source Table'!$I$6</f>
        <v>Weekly</v>
      </c>
      <c r="I214" t="str">
        <f>'Source Table'!$I$5</f>
        <v>أسبوعية</v>
      </c>
      <c r="J214" s="27">
        <v>0</v>
      </c>
      <c r="K214">
        <v>2021</v>
      </c>
    </row>
    <row r="215" ht="15.75" spans="1:11">
      <c r="A215" s="1" t="s">
        <v>5</v>
      </c>
      <c r="B215" s="1" t="s">
        <v>7</v>
      </c>
      <c r="C215" s="2" t="s">
        <v>82</v>
      </c>
      <c r="D215" s="3" t="s">
        <v>83</v>
      </c>
      <c r="E215" s="4" t="s">
        <v>84</v>
      </c>
      <c r="F215" t="str">
        <f>'Source Table'!$B$14</f>
        <v>Religious Magazines &amp; Periodicals</v>
      </c>
      <c r="G215" t="str">
        <f>'Source Table'!$K$14</f>
        <v>المجلات والدوريات الدينية</v>
      </c>
      <c r="H215" t="str">
        <f>'Source Table'!$I$6</f>
        <v>Weekly</v>
      </c>
      <c r="I215" t="str">
        <f>'Source Table'!$I$5</f>
        <v>أسبوعية</v>
      </c>
      <c r="J215" s="27">
        <v>0</v>
      </c>
      <c r="K215">
        <v>2021</v>
      </c>
    </row>
    <row r="216" ht="15.75" spans="1:11">
      <c r="A216" s="1" t="s">
        <v>5</v>
      </c>
      <c r="B216" s="1" t="s">
        <v>7</v>
      </c>
      <c r="C216" s="2" t="s">
        <v>82</v>
      </c>
      <c r="D216" s="3" t="s">
        <v>83</v>
      </c>
      <c r="E216" s="4" t="s">
        <v>84</v>
      </c>
      <c r="F216" t="str">
        <f>'Source Table'!$B$15</f>
        <v>Scientific Magazines &amp; Periodicals</v>
      </c>
      <c r="G216" t="str">
        <f>'Source Table'!$K$15</f>
        <v>المجلات والدوريات العلمية</v>
      </c>
      <c r="H216" t="str">
        <f>'Source Table'!$I$6</f>
        <v>Weekly</v>
      </c>
      <c r="I216" t="str">
        <f>'Source Table'!$I$5</f>
        <v>أسبوعية</v>
      </c>
      <c r="J216" s="27">
        <v>0</v>
      </c>
      <c r="K216">
        <v>2021</v>
      </c>
    </row>
    <row r="217" ht="15.75" spans="1:11">
      <c r="A217" s="1" t="s">
        <v>5</v>
      </c>
      <c r="B217" s="1" t="s">
        <v>7</v>
      </c>
      <c r="C217" s="2" t="s">
        <v>82</v>
      </c>
      <c r="D217" s="3" t="s">
        <v>83</v>
      </c>
      <c r="E217" s="4" t="s">
        <v>84</v>
      </c>
      <c r="F217" t="str">
        <f>'Source Table'!$B$16</f>
        <v>Financial Magazines &amp; Periodicals</v>
      </c>
      <c r="G217" t="str">
        <f>'Source Table'!$K$16</f>
        <v>المجلات والدوريات المالية</v>
      </c>
      <c r="H217" t="str">
        <f>'Source Table'!$I$6</f>
        <v>Weekly</v>
      </c>
      <c r="I217" t="str">
        <f>'Source Table'!$I$5</f>
        <v>أسبوعية</v>
      </c>
      <c r="J217" s="27">
        <v>0</v>
      </c>
      <c r="K217">
        <v>2021</v>
      </c>
    </row>
    <row r="218" ht="15.75" spans="1:11">
      <c r="A218" s="1" t="s">
        <v>5</v>
      </c>
      <c r="B218" s="1" t="s">
        <v>7</v>
      </c>
      <c r="C218" s="2" t="s">
        <v>82</v>
      </c>
      <c r="D218" s="3" t="s">
        <v>83</v>
      </c>
      <c r="E218" s="4" t="s">
        <v>84</v>
      </c>
      <c r="F218" t="str">
        <f>'Source Table'!$B$17</f>
        <v>Tourist Magazines &amp; Periodicals</v>
      </c>
      <c r="G218" t="str">
        <f>'Source Table'!$K$17</f>
        <v>المجلات والدوريات سياحية</v>
      </c>
      <c r="H218" t="str">
        <f>'Source Table'!$I$6</f>
        <v>Weekly</v>
      </c>
      <c r="I218" t="str">
        <f>'Source Table'!$I$5</f>
        <v>أسبوعية</v>
      </c>
      <c r="J218" s="27">
        <v>1</v>
      </c>
      <c r="K218">
        <v>2021</v>
      </c>
    </row>
    <row r="219" ht="16.5" spans="1:11">
      <c r="A219" s="1" t="s">
        <v>5</v>
      </c>
      <c r="B219" s="1" t="s">
        <v>7</v>
      </c>
      <c r="C219" s="2" t="s">
        <v>82</v>
      </c>
      <c r="D219" s="3" t="s">
        <v>83</v>
      </c>
      <c r="E219" s="4" t="s">
        <v>84</v>
      </c>
      <c r="F219" t="str">
        <f>'Source Table'!$B$18</f>
        <v>Other Magazines &amp; Periodicals</v>
      </c>
      <c r="G219" t="str">
        <f>'Source Table'!$K$18</f>
        <v>المجلات والدوريات أخرى</v>
      </c>
      <c r="H219" t="str">
        <f>'Source Table'!$I$6</f>
        <v>Weekly</v>
      </c>
      <c r="I219" t="str">
        <f>'Source Table'!$I$5</f>
        <v>أسبوعية</v>
      </c>
      <c r="J219" s="28">
        <v>0</v>
      </c>
      <c r="K219">
        <v>2021</v>
      </c>
    </row>
    <row r="220" ht="15.75" spans="1:11">
      <c r="A220" s="1" t="s">
        <v>5</v>
      </c>
      <c r="B220" s="1" t="s">
        <v>7</v>
      </c>
      <c r="C220" s="2" t="s">
        <v>82</v>
      </c>
      <c r="D220" s="3" t="s">
        <v>83</v>
      </c>
      <c r="E220" s="4" t="s">
        <v>84</v>
      </c>
      <c r="F220" t="str">
        <f>'Source Table'!$B$7</f>
        <v>Political Newspapers</v>
      </c>
      <c r="G220" t="str">
        <f>'Source Table'!$K$7</f>
        <v>صحف سياسية</v>
      </c>
      <c r="H220" t="str">
        <f>'Source Table'!$H$6</f>
        <v>Monthly</v>
      </c>
      <c r="I220" t="str">
        <f>'Source Table'!$H$5</f>
        <v>شهرية</v>
      </c>
      <c r="J220" s="27">
        <v>1</v>
      </c>
      <c r="K220">
        <v>2021</v>
      </c>
    </row>
    <row r="221" ht="15.75" spans="1:11">
      <c r="A221" s="1" t="s">
        <v>5</v>
      </c>
      <c r="B221" s="1" t="s">
        <v>7</v>
      </c>
      <c r="C221" s="2" t="s">
        <v>82</v>
      </c>
      <c r="D221" s="3" t="s">
        <v>83</v>
      </c>
      <c r="E221" s="4" t="s">
        <v>84</v>
      </c>
      <c r="F221" t="str">
        <f>'Source Table'!$B$8</f>
        <v>Parties Newspapers</v>
      </c>
      <c r="G221" t="str">
        <f>'Source Table'!$K$8</f>
        <v>صحف حزبية</v>
      </c>
      <c r="H221" t="str">
        <f>'Source Table'!$H$6</f>
        <v>Monthly</v>
      </c>
      <c r="I221" t="str">
        <f>'Source Table'!$H$5</f>
        <v>شهرية</v>
      </c>
      <c r="J221" s="27">
        <v>0</v>
      </c>
      <c r="K221">
        <v>2021</v>
      </c>
    </row>
    <row r="222" ht="15.75" spans="1:11">
      <c r="A222" s="1" t="s">
        <v>5</v>
      </c>
      <c r="B222" s="1" t="s">
        <v>7</v>
      </c>
      <c r="C222" s="2" t="s">
        <v>82</v>
      </c>
      <c r="D222" s="3" t="s">
        <v>83</v>
      </c>
      <c r="E222" s="4" t="s">
        <v>84</v>
      </c>
      <c r="F222" t="str">
        <f>'Source Table'!$B$9</f>
        <v>Children Magazines &amp; Periodicals</v>
      </c>
      <c r="G222" t="str">
        <f>'Source Table'!$K$9</f>
        <v>المجلات والدوريات الأطفال</v>
      </c>
      <c r="H222" t="str">
        <f>'Source Table'!$H$6</f>
        <v>Monthly</v>
      </c>
      <c r="I222" t="str">
        <f>'Source Table'!$H$5</f>
        <v>شهرية</v>
      </c>
      <c r="J222" s="27">
        <v>1</v>
      </c>
      <c r="K222">
        <v>2021</v>
      </c>
    </row>
    <row r="223" ht="15.75" spans="1:11">
      <c r="A223" s="1" t="s">
        <v>5</v>
      </c>
      <c r="B223" s="1" t="s">
        <v>7</v>
      </c>
      <c r="C223" s="2" t="s">
        <v>82</v>
      </c>
      <c r="D223" s="3" t="s">
        <v>83</v>
      </c>
      <c r="E223" s="4" t="s">
        <v>84</v>
      </c>
      <c r="F223" t="str">
        <f>'Source Table'!$B$10</f>
        <v>Economic Magazines &amp; Periodicals</v>
      </c>
      <c r="G223" t="str">
        <f>'Source Table'!$K$10</f>
        <v>المجلات والدوريات الاقتصادية</v>
      </c>
      <c r="H223" t="str">
        <f>'Source Table'!$H$6</f>
        <v>Monthly</v>
      </c>
      <c r="I223" t="str">
        <f>'Source Table'!$H$5</f>
        <v>شهرية</v>
      </c>
      <c r="J223" s="27">
        <v>3</v>
      </c>
      <c r="K223">
        <v>2021</v>
      </c>
    </row>
    <row r="224" ht="15.75" spans="1:11">
      <c r="A224" s="1" t="s">
        <v>5</v>
      </c>
      <c r="B224" s="1" t="s">
        <v>7</v>
      </c>
      <c r="C224" s="2" t="s">
        <v>82</v>
      </c>
      <c r="D224" s="3" t="s">
        <v>83</v>
      </c>
      <c r="E224" s="4" t="s">
        <v>84</v>
      </c>
      <c r="F224" t="str">
        <f>'Source Table'!$B$11</f>
        <v>Army &amp; Police Magazines &amp; Periodicals</v>
      </c>
      <c r="G224" t="str">
        <f>'Source Table'!$K$11</f>
        <v>المجلات والدوريات العسكرية و شرطية</v>
      </c>
      <c r="H224" t="str">
        <f>'Source Table'!$H$6</f>
        <v>Monthly</v>
      </c>
      <c r="I224" t="str">
        <f>'Source Table'!$H$5</f>
        <v>شهرية</v>
      </c>
      <c r="J224" s="27">
        <v>0</v>
      </c>
      <c r="K224">
        <v>2021</v>
      </c>
    </row>
    <row r="225" ht="15.75" spans="1:11">
      <c r="A225" s="1" t="s">
        <v>5</v>
      </c>
      <c r="B225" s="1" t="s">
        <v>7</v>
      </c>
      <c r="C225" s="2" t="s">
        <v>82</v>
      </c>
      <c r="D225" s="3" t="s">
        <v>83</v>
      </c>
      <c r="E225" s="4" t="s">
        <v>84</v>
      </c>
      <c r="F225" t="str">
        <f>'Source Table'!$B$12</f>
        <v>Youths &amp; Arts Magazines &amp; Periodicals</v>
      </c>
      <c r="G225" t="str">
        <f>'Source Table'!$K$12</f>
        <v>المجلات والدوريات الشباب و الفنون</v>
      </c>
      <c r="H225" t="str">
        <f>'Source Table'!$H$6</f>
        <v>Monthly</v>
      </c>
      <c r="I225" t="str">
        <f>'Source Table'!$H$5</f>
        <v>شهرية</v>
      </c>
      <c r="J225" s="27">
        <v>0</v>
      </c>
      <c r="K225">
        <v>2021</v>
      </c>
    </row>
    <row r="226" ht="15.75" spans="1:11">
      <c r="A226" s="1" t="s">
        <v>5</v>
      </c>
      <c r="B226" s="1" t="s">
        <v>7</v>
      </c>
      <c r="C226" s="2" t="s">
        <v>82</v>
      </c>
      <c r="D226" s="3" t="s">
        <v>83</v>
      </c>
      <c r="E226" s="4" t="s">
        <v>84</v>
      </c>
      <c r="F226" t="str">
        <f>'Source Table'!$B$13</f>
        <v>Cultural &amp; Educational Magazines &amp; Periodicals</v>
      </c>
      <c r="G226" t="str">
        <f>'Source Table'!$K$13</f>
        <v>المجلات والدوريات الثقافية و المدرسية</v>
      </c>
      <c r="H226" t="str">
        <f>'Source Table'!$H$6</f>
        <v>Monthly</v>
      </c>
      <c r="I226" t="str">
        <f>'Source Table'!$H$5</f>
        <v>شهرية</v>
      </c>
      <c r="J226" s="27">
        <v>0</v>
      </c>
      <c r="K226">
        <v>2021</v>
      </c>
    </row>
    <row r="227" ht="15.75" spans="1:11">
      <c r="A227" s="1" t="s">
        <v>5</v>
      </c>
      <c r="B227" s="1" t="s">
        <v>7</v>
      </c>
      <c r="C227" s="2" t="s">
        <v>82</v>
      </c>
      <c r="D227" s="3" t="s">
        <v>83</v>
      </c>
      <c r="E227" s="4" t="s">
        <v>84</v>
      </c>
      <c r="F227" t="str">
        <f>'Source Table'!$B$14</f>
        <v>Religious Magazines &amp; Periodicals</v>
      </c>
      <c r="G227" t="str">
        <f>'Source Table'!$K$14</f>
        <v>المجلات والدوريات الدينية</v>
      </c>
      <c r="H227" t="str">
        <f>'Source Table'!$H$6</f>
        <v>Monthly</v>
      </c>
      <c r="I227" t="str">
        <f>'Source Table'!$H$5</f>
        <v>شهرية</v>
      </c>
      <c r="J227" s="27">
        <v>0</v>
      </c>
      <c r="K227">
        <v>2021</v>
      </c>
    </row>
    <row r="228" ht="15.75" spans="1:11">
      <c r="A228" s="1" t="s">
        <v>5</v>
      </c>
      <c r="B228" s="1" t="s">
        <v>7</v>
      </c>
      <c r="C228" s="2" t="s">
        <v>82</v>
      </c>
      <c r="D228" s="3" t="s">
        <v>83</v>
      </c>
      <c r="E228" s="4" t="s">
        <v>84</v>
      </c>
      <c r="F228" t="str">
        <f>'Source Table'!$B$15</f>
        <v>Scientific Magazines &amp; Periodicals</v>
      </c>
      <c r="G228" t="str">
        <f>'Source Table'!$K$15</f>
        <v>المجلات والدوريات العلمية</v>
      </c>
      <c r="H228" t="str">
        <f>'Source Table'!$H$6</f>
        <v>Monthly</v>
      </c>
      <c r="I228" t="str">
        <f>'Source Table'!$H$5</f>
        <v>شهرية</v>
      </c>
      <c r="J228" s="27">
        <v>0</v>
      </c>
      <c r="K228">
        <v>2021</v>
      </c>
    </row>
    <row r="229" ht="15.75" spans="1:11">
      <c r="A229" s="1" t="s">
        <v>5</v>
      </c>
      <c r="B229" s="1" t="s">
        <v>7</v>
      </c>
      <c r="C229" s="2" t="s">
        <v>82</v>
      </c>
      <c r="D229" s="3" t="s">
        <v>83</v>
      </c>
      <c r="E229" s="4" t="s">
        <v>84</v>
      </c>
      <c r="F229" t="str">
        <f>'Source Table'!$B$16</f>
        <v>Financial Magazines &amp; Periodicals</v>
      </c>
      <c r="G229" t="str">
        <f>'Source Table'!$K$16</f>
        <v>المجلات والدوريات المالية</v>
      </c>
      <c r="H229" t="str">
        <f>'Source Table'!$H$6</f>
        <v>Monthly</v>
      </c>
      <c r="I229" t="str">
        <f>'Source Table'!$H$5</f>
        <v>شهرية</v>
      </c>
      <c r="J229" s="27">
        <v>0</v>
      </c>
      <c r="K229">
        <v>2021</v>
      </c>
    </row>
    <row r="230" ht="15.75" spans="1:11">
      <c r="A230" s="1" t="s">
        <v>5</v>
      </c>
      <c r="B230" s="1" t="s">
        <v>7</v>
      </c>
      <c r="C230" s="2" t="s">
        <v>82</v>
      </c>
      <c r="D230" s="3" t="s">
        <v>83</v>
      </c>
      <c r="E230" s="4" t="s">
        <v>84</v>
      </c>
      <c r="F230" t="str">
        <f>'Source Table'!$B$17</f>
        <v>Tourist Magazines &amp; Periodicals</v>
      </c>
      <c r="G230" t="str">
        <f>'Source Table'!$K$17</f>
        <v>المجلات والدوريات سياحية</v>
      </c>
      <c r="H230" t="str">
        <f>'Source Table'!$H$6</f>
        <v>Monthly</v>
      </c>
      <c r="I230" t="str">
        <f>'Source Table'!$H$5</f>
        <v>شهرية</v>
      </c>
      <c r="J230" s="27">
        <v>1</v>
      </c>
      <c r="K230">
        <v>2021</v>
      </c>
    </row>
    <row r="231" ht="16.5" spans="1:11">
      <c r="A231" s="1" t="s">
        <v>5</v>
      </c>
      <c r="B231" s="1" t="s">
        <v>7</v>
      </c>
      <c r="C231" s="2" t="s">
        <v>82</v>
      </c>
      <c r="D231" s="3" t="s">
        <v>83</v>
      </c>
      <c r="E231" s="4" t="s">
        <v>84</v>
      </c>
      <c r="F231" t="str">
        <f>'Source Table'!$B$18</f>
        <v>Other Magazines &amp; Periodicals</v>
      </c>
      <c r="G231" t="str">
        <f>'Source Table'!$K$18</f>
        <v>المجلات والدوريات أخرى</v>
      </c>
      <c r="H231" t="str">
        <f>'Source Table'!$H$6</f>
        <v>Monthly</v>
      </c>
      <c r="I231" t="str">
        <f>'Source Table'!$H$5</f>
        <v>شهرية</v>
      </c>
      <c r="J231" s="28">
        <v>0</v>
      </c>
      <c r="K231">
        <v>2021</v>
      </c>
    </row>
    <row r="232" ht="15.75" spans="1:11">
      <c r="A232" s="1" t="s">
        <v>5</v>
      </c>
      <c r="B232" s="1" t="s">
        <v>7</v>
      </c>
      <c r="C232" s="2" t="s">
        <v>82</v>
      </c>
      <c r="D232" s="3" t="s">
        <v>83</v>
      </c>
      <c r="E232" s="4" t="s">
        <v>84</v>
      </c>
      <c r="F232" t="str">
        <f>'Source Table'!$B$7</f>
        <v>Political Newspapers</v>
      </c>
      <c r="G232" t="str">
        <f>'Source Table'!$K$7</f>
        <v>صحف سياسية</v>
      </c>
      <c r="I232" t="str">
        <f>'Source Table'!$G$5</f>
        <v>فصلية</v>
      </c>
      <c r="J232" s="25">
        <v>0</v>
      </c>
      <c r="K232">
        <v>2021</v>
      </c>
    </row>
    <row r="233" ht="15.75" spans="1:11">
      <c r="A233" s="1" t="s">
        <v>5</v>
      </c>
      <c r="B233" s="1" t="s">
        <v>7</v>
      </c>
      <c r="C233" s="2" t="s">
        <v>82</v>
      </c>
      <c r="D233" s="3" t="s">
        <v>83</v>
      </c>
      <c r="E233" s="4" t="s">
        <v>84</v>
      </c>
      <c r="F233" t="str">
        <f>'Source Table'!$B$8</f>
        <v>Parties Newspapers</v>
      </c>
      <c r="G233" t="str">
        <f>'Source Table'!$K$8</f>
        <v>صحف حزبية</v>
      </c>
      <c r="I233" t="str">
        <f>'Source Table'!$G$5</f>
        <v>فصلية</v>
      </c>
      <c r="J233" s="25">
        <v>0</v>
      </c>
      <c r="K233">
        <v>2021</v>
      </c>
    </row>
    <row r="234" ht="15.75" spans="1:11">
      <c r="A234" s="1" t="s">
        <v>5</v>
      </c>
      <c r="B234" s="1" t="s">
        <v>7</v>
      </c>
      <c r="C234" s="2" t="s">
        <v>82</v>
      </c>
      <c r="D234" s="3" t="s">
        <v>83</v>
      </c>
      <c r="E234" s="4" t="s">
        <v>84</v>
      </c>
      <c r="F234" t="str">
        <f>'Source Table'!$B$9</f>
        <v>Children Magazines &amp; Periodicals</v>
      </c>
      <c r="G234" t="str">
        <f>'Source Table'!$K$9</f>
        <v>المجلات والدوريات الأطفال</v>
      </c>
      <c r="I234" t="str">
        <f>'Source Table'!$G$5</f>
        <v>فصلية</v>
      </c>
      <c r="J234" s="25">
        <v>0</v>
      </c>
      <c r="K234">
        <v>2021</v>
      </c>
    </row>
    <row r="235" ht="15.75" spans="1:11">
      <c r="A235" s="1" t="s">
        <v>5</v>
      </c>
      <c r="B235" s="1" t="s">
        <v>7</v>
      </c>
      <c r="C235" s="2" t="s">
        <v>82</v>
      </c>
      <c r="D235" s="3" t="s">
        <v>83</v>
      </c>
      <c r="E235" s="4" t="s">
        <v>84</v>
      </c>
      <c r="F235" t="str">
        <f>'Source Table'!$B$10</f>
        <v>Economic Magazines &amp; Periodicals</v>
      </c>
      <c r="G235" t="str">
        <f>'Source Table'!$K$10</f>
        <v>المجلات والدوريات الاقتصادية</v>
      </c>
      <c r="I235" t="str">
        <f>'Source Table'!$G$5</f>
        <v>فصلية</v>
      </c>
      <c r="J235" s="25">
        <v>2</v>
      </c>
      <c r="K235">
        <v>2021</v>
      </c>
    </row>
    <row r="236" ht="15.75" spans="1:11">
      <c r="A236" s="1" t="s">
        <v>5</v>
      </c>
      <c r="B236" s="1" t="s">
        <v>7</v>
      </c>
      <c r="C236" s="2" t="s">
        <v>82</v>
      </c>
      <c r="D236" s="3" t="s">
        <v>83</v>
      </c>
      <c r="E236" s="4" t="s">
        <v>84</v>
      </c>
      <c r="F236" t="str">
        <f>'Source Table'!$B$11</f>
        <v>Army &amp; Police Magazines &amp; Periodicals</v>
      </c>
      <c r="G236" t="str">
        <f>'Source Table'!$K$11</f>
        <v>المجلات والدوريات العسكرية و شرطية</v>
      </c>
      <c r="I236" t="str">
        <f>'Source Table'!$G$5</f>
        <v>فصلية</v>
      </c>
      <c r="J236" s="25">
        <v>0</v>
      </c>
      <c r="K236">
        <v>2021</v>
      </c>
    </row>
    <row r="237" ht="15.75" spans="1:11">
      <c r="A237" s="1" t="s">
        <v>5</v>
      </c>
      <c r="B237" s="1" t="s">
        <v>7</v>
      </c>
      <c r="C237" s="2" t="s">
        <v>82</v>
      </c>
      <c r="D237" s="3" t="s">
        <v>83</v>
      </c>
      <c r="E237" s="4" t="s">
        <v>84</v>
      </c>
      <c r="F237" t="str">
        <f>'Source Table'!$B$12</f>
        <v>Youths &amp; Arts Magazines &amp; Periodicals</v>
      </c>
      <c r="G237" t="str">
        <f>'Source Table'!$K$12</f>
        <v>المجلات والدوريات الشباب و الفنون</v>
      </c>
      <c r="I237" t="str">
        <f>'Source Table'!$G$5</f>
        <v>فصلية</v>
      </c>
      <c r="J237" s="25">
        <v>0</v>
      </c>
      <c r="K237">
        <v>2021</v>
      </c>
    </row>
    <row r="238" ht="15.75" spans="1:11">
      <c r="A238" s="1" t="s">
        <v>5</v>
      </c>
      <c r="B238" s="1" t="s">
        <v>7</v>
      </c>
      <c r="C238" s="2" t="s">
        <v>82</v>
      </c>
      <c r="D238" s="3" t="s">
        <v>83</v>
      </c>
      <c r="E238" s="4" t="s">
        <v>84</v>
      </c>
      <c r="F238" t="str">
        <f>'Source Table'!$B$13</f>
        <v>Cultural &amp; Educational Magazines &amp; Periodicals</v>
      </c>
      <c r="G238" t="str">
        <f>'Source Table'!$K$13</f>
        <v>المجلات والدوريات الثقافية و المدرسية</v>
      </c>
      <c r="I238" t="str">
        <f>'Source Table'!$G$5</f>
        <v>فصلية</v>
      </c>
      <c r="J238" s="25">
        <v>0</v>
      </c>
      <c r="K238">
        <v>2021</v>
      </c>
    </row>
    <row r="239" ht="15.75" spans="1:11">
      <c r="A239" s="1" t="s">
        <v>5</v>
      </c>
      <c r="B239" s="1" t="s">
        <v>7</v>
      </c>
      <c r="C239" s="2" t="s">
        <v>82</v>
      </c>
      <c r="D239" s="3" t="s">
        <v>83</v>
      </c>
      <c r="E239" s="4" t="s">
        <v>84</v>
      </c>
      <c r="F239" t="str">
        <f>'Source Table'!$B$14</f>
        <v>Religious Magazines &amp; Periodicals</v>
      </c>
      <c r="G239" t="str">
        <f>'Source Table'!$K$14</f>
        <v>المجلات والدوريات الدينية</v>
      </c>
      <c r="I239" t="str">
        <f>'Source Table'!$G$5</f>
        <v>فصلية</v>
      </c>
      <c r="J239" s="25">
        <v>0</v>
      </c>
      <c r="K239">
        <v>2021</v>
      </c>
    </row>
    <row r="240" ht="15.75" spans="1:11">
      <c r="A240" s="1" t="s">
        <v>5</v>
      </c>
      <c r="B240" s="1" t="s">
        <v>7</v>
      </c>
      <c r="C240" s="2" t="s">
        <v>82</v>
      </c>
      <c r="D240" s="3" t="s">
        <v>83</v>
      </c>
      <c r="E240" s="4" t="s">
        <v>84</v>
      </c>
      <c r="F240" t="str">
        <f>'Source Table'!$B$15</f>
        <v>Scientific Magazines &amp; Periodicals</v>
      </c>
      <c r="G240" t="str">
        <f>'Source Table'!$K$15</f>
        <v>المجلات والدوريات العلمية</v>
      </c>
      <c r="I240" t="str">
        <f>'Source Table'!$G$5</f>
        <v>فصلية</v>
      </c>
      <c r="J240" s="25">
        <v>4</v>
      </c>
      <c r="K240">
        <v>2021</v>
      </c>
    </row>
    <row r="241" ht="15.75" spans="1:11">
      <c r="A241" s="1" t="s">
        <v>5</v>
      </c>
      <c r="B241" s="1" t="s">
        <v>7</v>
      </c>
      <c r="C241" s="2" t="s">
        <v>82</v>
      </c>
      <c r="D241" s="3" t="s">
        <v>83</v>
      </c>
      <c r="E241" s="4" t="s">
        <v>84</v>
      </c>
      <c r="F241" t="str">
        <f>'Source Table'!$B$16</f>
        <v>Financial Magazines &amp; Periodicals</v>
      </c>
      <c r="G241" t="str">
        <f>'Source Table'!$K$16</f>
        <v>المجلات والدوريات المالية</v>
      </c>
      <c r="I241" t="str">
        <f>'Source Table'!$G$5</f>
        <v>فصلية</v>
      </c>
      <c r="J241" s="25">
        <v>0</v>
      </c>
      <c r="K241">
        <v>2021</v>
      </c>
    </row>
    <row r="242" ht="15.75" spans="1:11">
      <c r="A242" s="1" t="s">
        <v>5</v>
      </c>
      <c r="B242" s="1" t="s">
        <v>7</v>
      </c>
      <c r="C242" s="2" t="s">
        <v>82</v>
      </c>
      <c r="D242" s="3" t="s">
        <v>83</v>
      </c>
      <c r="E242" s="4" t="s">
        <v>84</v>
      </c>
      <c r="F242" t="str">
        <f>'Source Table'!$B$17</f>
        <v>Tourist Magazines &amp; Periodicals</v>
      </c>
      <c r="G242" t="str">
        <f>'Source Table'!$K$17</f>
        <v>المجلات والدوريات سياحية</v>
      </c>
      <c r="I242" t="str">
        <f>'Source Table'!$G$5</f>
        <v>فصلية</v>
      </c>
      <c r="J242" s="25">
        <v>0</v>
      </c>
      <c r="K242">
        <v>2021</v>
      </c>
    </row>
    <row r="243" ht="16.5" spans="1:11">
      <c r="A243" s="1" t="s">
        <v>5</v>
      </c>
      <c r="B243" s="1" t="s">
        <v>7</v>
      </c>
      <c r="C243" s="2" t="s">
        <v>82</v>
      </c>
      <c r="D243" s="3" t="s">
        <v>83</v>
      </c>
      <c r="E243" s="4" t="s">
        <v>84</v>
      </c>
      <c r="F243" t="str">
        <f>'Source Table'!$B$18</f>
        <v>Other Magazines &amp; Periodicals</v>
      </c>
      <c r="G243" t="str">
        <f>'Source Table'!$K$18</f>
        <v>المجلات والدوريات أخرى</v>
      </c>
      <c r="I243" t="str">
        <f>'Source Table'!$G$5</f>
        <v>فصلية</v>
      </c>
      <c r="J243" s="26">
        <v>0</v>
      </c>
      <c r="K243">
        <v>2021</v>
      </c>
    </row>
    <row r="244" ht="15.75" spans="1:11">
      <c r="A244" s="1" t="s">
        <v>5</v>
      </c>
      <c r="B244" s="1" t="s">
        <v>7</v>
      </c>
      <c r="C244" s="2" t="s">
        <v>82</v>
      </c>
      <c r="D244" s="3" t="s">
        <v>83</v>
      </c>
      <c r="E244" s="4" t="s">
        <v>84</v>
      </c>
      <c r="F244" t="str">
        <f>'Source Table'!$B$7</f>
        <v>Political Newspapers</v>
      </c>
      <c r="G244" t="str">
        <f>'Source Table'!$K$7</f>
        <v>صحف سياسية</v>
      </c>
      <c r="I244" t="str">
        <f>'Source Table'!$F$5</f>
        <v>سنوية</v>
      </c>
      <c r="J244" s="25">
        <v>0</v>
      </c>
      <c r="K244">
        <v>2021</v>
      </c>
    </row>
    <row r="245" ht="15.75" spans="1:11">
      <c r="A245" s="1" t="s">
        <v>5</v>
      </c>
      <c r="B245" s="1" t="s">
        <v>7</v>
      </c>
      <c r="C245" s="2" t="s">
        <v>82</v>
      </c>
      <c r="D245" s="3" t="s">
        <v>83</v>
      </c>
      <c r="E245" s="4" t="s">
        <v>84</v>
      </c>
      <c r="F245" t="str">
        <f>'Source Table'!$B$8</f>
        <v>Parties Newspapers</v>
      </c>
      <c r="G245" t="str">
        <f>'Source Table'!$K$8</f>
        <v>صحف حزبية</v>
      </c>
      <c r="I245" t="str">
        <f>'Source Table'!$F$5</f>
        <v>سنوية</v>
      </c>
      <c r="J245" s="25">
        <v>0</v>
      </c>
      <c r="K245">
        <v>2021</v>
      </c>
    </row>
    <row r="246" ht="15.75" spans="1:11">
      <c r="A246" s="1" t="s">
        <v>5</v>
      </c>
      <c r="B246" s="1" t="s">
        <v>7</v>
      </c>
      <c r="C246" s="2" t="s">
        <v>82</v>
      </c>
      <c r="D246" s="3" t="s">
        <v>83</v>
      </c>
      <c r="E246" s="4" t="s">
        <v>84</v>
      </c>
      <c r="F246" t="str">
        <f>'Source Table'!$B$9</f>
        <v>Children Magazines &amp; Periodicals</v>
      </c>
      <c r="G246" t="str">
        <f>'Source Table'!$K$9</f>
        <v>المجلات والدوريات الأطفال</v>
      </c>
      <c r="I246" t="str">
        <f>'Source Table'!$F$5</f>
        <v>سنوية</v>
      </c>
      <c r="J246" s="25">
        <v>0</v>
      </c>
      <c r="K246">
        <v>2021</v>
      </c>
    </row>
    <row r="247" ht="15.75" spans="1:11">
      <c r="A247" s="1" t="s">
        <v>5</v>
      </c>
      <c r="B247" s="1" t="s">
        <v>7</v>
      </c>
      <c r="C247" s="2" t="s">
        <v>82</v>
      </c>
      <c r="D247" s="3" t="s">
        <v>83</v>
      </c>
      <c r="E247" s="4" t="s">
        <v>84</v>
      </c>
      <c r="F247" t="str">
        <f>'Source Table'!$B$10</f>
        <v>Economic Magazines &amp; Periodicals</v>
      </c>
      <c r="G247" t="str">
        <f>'Source Table'!$K$10</f>
        <v>المجلات والدوريات الاقتصادية</v>
      </c>
      <c r="I247" t="str">
        <f>'Source Table'!$F$5</f>
        <v>سنوية</v>
      </c>
      <c r="J247" s="25">
        <v>0</v>
      </c>
      <c r="K247">
        <v>2021</v>
      </c>
    </row>
    <row r="248" ht="15.75" spans="1:11">
      <c r="A248" s="1" t="s">
        <v>5</v>
      </c>
      <c r="B248" s="1" t="s">
        <v>7</v>
      </c>
      <c r="C248" s="2" t="s">
        <v>82</v>
      </c>
      <c r="D248" s="3" t="s">
        <v>83</v>
      </c>
      <c r="E248" s="4" t="s">
        <v>84</v>
      </c>
      <c r="F248" t="str">
        <f>'Source Table'!$B$11</f>
        <v>Army &amp; Police Magazines &amp; Periodicals</v>
      </c>
      <c r="G248" t="str">
        <f>'Source Table'!$K$11</f>
        <v>المجلات والدوريات العسكرية و شرطية</v>
      </c>
      <c r="I248" t="str">
        <f>'Source Table'!$F$5</f>
        <v>سنوية</v>
      </c>
      <c r="J248" s="25">
        <v>0</v>
      </c>
      <c r="K248">
        <v>2021</v>
      </c>
    </row>
    <row r="249" ht="15.75" spans="1:11">
      <c r="A249" s="1" t="s">
        <v>5</v>
      </c>
      <c r="B249" s="1" t="s">
        <v>7</v>
      </c>
      <c r="C249" s="2" t="s">
        <v>82</v>
      </c>
      <c r="D249" s="3" t="s">
        <v>83</v>
      </c>
      <c r="E249" s="4" t="s">
        <v>84</v>
      </c>
      <c r="F249" t="str">
        <f>'Source Table'!$B$12</f>
        <v>Youths &amp; Arts Magazines &amp; Periodicals</v>
      </c>
      <c r="G249" t="str">
        <f>'Source Table'!$K$12</f>
        <v>المجلات والدوريات الشباب و الفنون</v>
      </c>
      <c r="I249" t="str">
        <f>'Source Table'!$F$5</f>
        <v>سنوية</v>
      </c>
      <c r="J249" s="25">
        <v>0</v>
      </c>
      <c r="K249">
        <v>2021</v>
      </c>
    </row>
    <row r="250" ht="15.75" spans="1:11">
      <c r="A250" s="1" t="s">
        <v>5</v>
      </c>
      <c r="B250" s="1" t="s">
        <v>7</v>
      </c>
      <c r="C250" s="2" t="s">
        <v>82</v>
      </c>
      <c r="D250" s="3" t="s">
        <v>83</v>
      </c>
      <c r="E250" s="4" t="s">
        <v>84</v>
      </c>
      <c r="F250" t="str">
        <f>'Source Table'!$B$13</f>
        <v>Cultural &amp; Educational Magazines &amp; Periodicals</v>
      </c>
      <c r="G250" t="str">
        <f>'Source Table'!$K$13</f>
        <v>المجلات والدوريات الثقافية و المدرسية</v>
      </c>
      <c r="I250" t="str">
        <f>'Source Table'!$F$5</f>
        <v>سنوية</v>
      </c>
      <c r="J250" s="25">
        <v>0</v>
      </c>
      <c r="K250">
        <v>2021</v>
      </c>
    </row>
    <row r="251" ht="15.75" spans="1:11">
      <c r="A251" s="1" t="s">
        <v>5</v>
      </c>
      <c r="B251" s="1" t="s">
        <v>7</v>
      </c>
      <c r="C251" s="2" t="s">
        <v>82</v>
      </c>
      <c r="D251" s="3" t="s">
        <v>83</v>
      </c>
      <c r="E251" s="4" t="s">
        <v>84</v>
      </c>
      <c r="F251" t="str">
        <f>'Source Table'!$B$14</f>
        <v>Religious Magazines &amp; Periodicals</v>
      </c>
      <c r="G251" t="str">
        <f>'Source Table'!$K$14</f>
        <v>المجلات والدوريات الدينية</v>
      </c>
      <c r="I251" t="str">
        <f>'Source Table'!$F$5</f>
        <v>سنوية</v>
      </c>
      <c r="J251" s="25">
        <v>0</v>
      </c>
      <c r="K251">
        <v>2021</v>
      </c>
    </row>
    <row r="252" ht="15.75" spans="1:11">
      <c r="A252" s="1" t="s">
        <v>5</v>
      </c>
      <c r="B252" s="1" t="s">
        <v>7</v>
      </c>
      <c r="C252" s="2" t="s">
        <v>82</v>
      </c>
      <c r="D252" s="3" t="s">
        <v>83</v>
      </c>
      <c r="E252" s="4" t="s">
        <v>84</v>
      </c>
      <c r="F252" t="str">
        <f>'Source Table'!$B$15</f>
        <v>Scientific Magazines &amp; Periodicals</v>
      </c>
      <c r="G252" t="str">
        <f>'Source Table'!$K$15</f>
        <v>المجلات والدوريات العلمية</v>
      </c>
      <c r="I252" t="str">
        <f>'Source Table'!$F$5</f>
        <v>سنوية</v>
      </c>
      <c r="J252" s="25">
        <v>1</v>
      </c>
      <c r="K252">
        <v>2021</v>
      </c>
    </row>
    <row r="253" ht="15.75" spans="1:11">
      <c r="A253" s="1" t="s">
        <v>5</v>
      </c>
      <c r="B253" s="1" t="s">
        <v>7</v>
      </c>
      <c r="C253" s="2" t="s">
        <v>82</v>
      </c>
      <c r="D253" s="3" t="s">
        <v>83</v>
      </c>
      <c r="E253" s="4" t="s">
        <v>84</v>
      </c>
      <c r="F253" t="str">
        <f>'Source Table'!$B$16</f>
        <v>Financial Magazines &amp; Periodicals</v>
      </c>
      <c r="G253" t="str">
        <f>'Source Table'!$K$16</f>
        <v>المجلات والدوريات المالية</v>
      </c>
      <c r="I253" t="str">
        <f>'Source Table'!$F$5</f>
        <v>سنوية</v>
      </c>
      <c r="J253" s="25">
        <v>0</v>
      </c>
      <c r="K253">
        <v>2021</v>
      </c>
    </row>
    <row r="254" ht="15.75" spans="1:11">
      <c r="A254" s="1" t="s">
        <v>5</v>
      </c>
      <c r="B254" s="1" t="s">
        <v>7</v>
      </c>
      <c r="C254" s="2" t="s">
        <v>82</v>
      </c>
      <c r="D254" s="3" t="s">
        <v>83</v>
      </c>
      <c r="E254" s="4" t="s">
        <v>84</v>
      </c>
      <c r="F254" t="str">
        <f>'Source Table'!$B$17</f>
        <v>Tourist Magazines &amp; Periodicals</v>
      </c>
      <c r="G254" t="str">
        <f>'Source Table'!$K$17</f>
        <v>المجلات والدوريات سياحية</v>
      </c>
      <c r="I254" t="str">
        <f>'Source Table'!$F$5</f>
        <v>سنوية</v>
      </c>
      <c r="J254" s="25">
        <v>0</v>
      </c>
      <c r="K254">
        <v>2021</v>
      </c>
    </row>
    <row r="255" ht="16.5" spans="1:11">
      <c r="A255" s="1" t="s">
        <v>5</v>
      </c>
      <c r="B255" s="1" t="s">
        <v>7</v>
      </c>
      <c r="C255" s="2" t="s">
        <v>82</v>
      </c>
      <c r="D255" s="3" t="s">
        <v>83</v>
      </c>
      <c r="E255" s="4" t="s">
        <v>84</v>
      </c>
      <c r="F255" t="str">
        <f>'Source Table'!$B$18</f>
        <v>Other Magazines &amp; Periodicals</v>
      </c>
      <c r="G255" t="str">
        <f>'Source Table'!$K$18</f>
        <v>المجلات والدوريات أخرى</v>
      </c>
      <c r="I255" t="str">
        <f>'Source Table'!$F$5</f>
        <v>سنوية</v>
      </c>
      <c r="J255" s="26">
        <v>0</v>
      </c>
      <c r="K255">
        <v>2021</v>
      </c>
    </row>
    <row r="256" ht="15.75" spans="1:11">
      <c r="A256" s="1" t="s">
        <v>5</v>
      </c>
      <c r="B256" s="1" t="s">
        <v>7</v>
      </c>
      <c r="C256" s="2" t="s">
        <v>82</v>
      </c>
      <c r="D256" s="3" t="s">
        <v>83</v>
      </c>
      <c r="E256" s="4" t="s">
        <v>84</v>
      </c>
      <c r="F256" t="str">
        <f>'Source Table'!$B$7</f>
        <v>Political Newspapers</v>
      </c>
      <c r="G256" t="str">
        <f>'Source Table'!$K$7</f>
        <v>صحف سياسية</v>
      </c>
      <c r="I256" t="str">
        <f>'Source Table'!$E$5</f>
        <v>كل شهرين</v>
      </c>
      <c r="J256" s="27">
        <v>0</v>
      </c>
      <c r="K256">
        <v>2021</v>
      </c>
    </row>
    <row r="257" ht="15.75" spans="1:11">
      <c r="A257" s="1" t="s">
        <v>5</v>
      </c>
      <c r="B257" s="1" t="s">
        <v>7</v>
      </c>
      <c r="C257" s="2" t="s">
        <v>82</v>
      </c>
      <c r="D257" s="3" t="s">
        <v>83</v>
      </c>
      <c r="E257" s="4" t="s">
        <v>84</v>
      </c>
      <c r="F257" t="str">
        <f>'Source Table'!$B$8</f>
        <v>Parties Newspapers</v>
      </c>
      <c r="G257" t="str">
        <f>'Source Table'!$K$8</f>
        <v>صحف حزبية</v>
      </c>
      <c r="I257" t="str">
        <f>'Source Table'!$E$5</f>
        <v>كل شهرين</v>
      </c>
      <c r="J257" s="27">
        <v>0</v>
      </c>
      <c r="K257">
        <v>2021</v>
      </c>
    </row>
    <row r="258" ht="15.75" spans="1:11">
      <c r="A258" s="1" t="s">
        <v>5</v>
      </c>
      <c r="B258" s="1" t="s">
        <v>7</v>
      </c>
      <c r="C258" s="2" t="s">
        <v>82</v>
      </c>
      <c r="D258" s="3" t="s">
        <v>83</v>
      </c>
      <c r="E258" s="4" t="s">
        <v>84</v>
      </c>
      <c r="F258" t="str">
        <f>'Source Table'!$B$9</f>
        <v>Children Magazines &amp; Periodicals</v>
      </c>
      <c r="G258" t="str">
        <f>'Source Table'!$K$9</f>
        <v>المجلات والدوريات الأطفال</v>
      </c>
      <c r="I258" t="str">
        <f>'Source Table'!$E$5</f>
        <v>كل شهرين</v>
      </c>
      <c r="J258" s="27">
        <v>0</v>
      </c>
      <c r="K258">
        <v>2021</v>
      </c>
    </row>
    <row r="259" ht="15.75" spans="1:11">
      <c r="A259" s="1" t="s">
        <v>5</v>
      </c>
      <c r="B259" s="1" t="s">
        <v>7</v>
      </c>
      <c r="C259" s="2" t="s">
        <v>82</v>
      </c>
      <c r="D259" s="3" t="s">
        <v>83</v>
      </c>
      <c r="E259" s="4" t="s">
        <v>84</v>
      </c>
      <c r="F259" t="str">
        <f>'Source Table'!$B$10</f>
        <v>Economic Magazines &amp; Periodicals</v>
      </c>
      <c r="G259" t="str">
        <f>'Source Table'!$K$10</f>
        <v>المجلات والدوريات الاقتصادية</v>
      </c>
      <c r="I259" t="str">
        <f>'Source Table'!$E$5</f>
        <v>كل شهرين</v>
      </c>
      <c r="J259" s="27">
        <v>1</v>
      </c>
      <c r="K259">
        <v>2021</v>
      </c>
    </row>
    <row r="260" ht="15.75" spans="1:11">
      <c r="A260" s="1" t="s">
        <v>5</v>
      </c>
      <c r="B260" s="1" t="s">
        <v>7</v>
      </c>
      <c r="C260" s="2" t="s">
        <v>82</v>
      </c>
      <c r="D260" s="3" t="s">
        <v>83</v>
      </c>
      <c r="E260" s="4" t="s">
        <v>84</v>
      </c>
      <c r="F260" t="str">
        <f>'Source Table'!$B$11</f>
        <v>Army &amp; Police Magazines &amp; Periodicals</v>
      </c>
      <c r="G260" t="str">
        <f>'Source Table'!$K$11</f>
        <v>المجلات والدوريات العسكرية و شرطية</v>
      </c>
      <c r="I260" t="str">
        <f>'Source Table'!$E$5</f>
        <v>كل شهرين</v>
      </c>
      <c r="J260" s="27">
        <v>0</v>
      </c>
      <c r="K260">
        <v>2021</v>
      </c>
    </row>
    <row r="261" ht="15.75" spans="1:11">
      <c r="A261" s="1" t="s">
        <v>5</v>
      </c>
      <c r="B261" s="1" t="s">
        <v>7</v>
      </c>
      <c r="C261" s="2" t="s">
        <v>82</v>
      </c>
      <c r="D261" s="3" t="s">
        <v>83</v>
      </c>
      <c r="E261" s="4" t="s">
        <v>84</v>
      </c>
      <c r="F261" t="str">
        <f>'Source Table'!$B$12</f>
        <v>Youths &amp; Arts Magazines &amp; Periodicals</v>
      </c>
      <c r="G261" t="str">
        <f>'Source Table'!$K$12</f>
        <v>المجلات والدوريات الشباب و الفنون</v>
      </c>
      <c r="I261" t="str">
        <f>'Source Table'!$E$5</f>
        <v>كل شهرين</v>
      </c>
      <c r="J261" s="27">
        <v>0</v>
      </c>
      <c r="K261">
        <v>2021</v>
      </c>
    </row>
    <row r="262" ht="15.75" spans="1:11">
      <c r="A262" s="1" t="s">
        <v>5</v>
      </c>
      <c r="B262" s="1" t="s">
        <v>7</v>
      </c>
      <c r="C262" s="2" t="s">
        <v>82</v>
      </c>
      <c r="D262" s="3" t="s">
        <v>83</v>
      </c>
      <c r="E262" s="4" t="s">
        <v>84</v>
      </c>
      <c r="F262" t="str">
        <f>'Source Table'!$B$13</f>
        <v>Cultural &amp; Educational Magazines &amp; Periodicals</v>
      </c>
      <c r="G262" t="str">
        <f>'Source Table'!$K$13</f>
        <v>المجلات والدوريات الثقافية و المدرسية</v>
      </c>
      <c r="I262" t="str">
        <f>'Source Table'!$E$5</f>
        <v>كل شهرين</v>
      </c>
      <c r="J262" s="27">
        <v>0</v>
      </c>
      <c r="K262">
        <v>2021</v>
      </c>
    </row>
    <row r="263" ht="15.75" spans="1:11">
      <c r="A263" s="1" t="s">
        <v>5</v>
      </c>
      <c r="B263" s="1" t="s">
        <v>7</v>
      </c>
      <c r="C263" s="2" t="s">
        <v>82</v>
      </c>
      <c r="D263" s="3" t="s">
        <v>83</v>
      </c>
      <c r="E263" s="4" t="s">
        <v>84</v>
      </c>
      <c r="F263" t="str">
        <f>'Source Table'!$B$14</f>
        <v>Religious Magazines &amp; Periodicals</v>
      </c>
      <c r="G263" t="str">
        <f>'Source Table'!$K$14</f>
        <v>المجلات والدوريات الدينية</v>
      </c>
      <c r="I263" t="str">
        <f>'Source Table'!$E$5</f>
        <v>كل شهرين</v>
      </c>
      <c r="J263" s="27">
        <v>0</v>
      </c>
      <c r="K263">
        <v>2021</v>
      </c>
    </row>
    <row r="264" ht="15.75" spans="1:11">
      <c r="A264" s="1" t="s">
        <v>5</v>
      </c>
      <c r="B264" s="1" t="s">
        <v>7</v>
      </c>
      <c r="C264" s="2" t="s">
        <v>82</v>
      </c>
      <c r="D264" s="3" t="s">
        <v>83</v>
      </c>
      <c r="E264" s="4" t="s">
        <v>84</v>
      </c>
      <c r="F264" t="str">
        <f>'Source Table'!$B$15</f>
        <v>Scientific Magazines &amp; Periodicals</v>
      </c>
      <c r="G264" t="str">
        <f>'Source Table'!$K$15</f>
        <v>المجلات والدوريات العلمية</v>
      </c>
      <c r="I264" t="str">
        <f>'Source Table'!$E$5</f>
        <v>كل شهرين</v>
      </c>
      <c r="J264" s="27">
        <v>0</v>
      </c>
      <c r="K264">
        <v>2021</v>
      </c>
    </row>
    <row r="265" ht="15.75" spans="1:11">
      <c r="A265" s="1" t="s">
        <v>5</v>
      </c>
      <c r="B265" s="1" t="s">
        <v>7</v>
      </c>
      <c r="C265" s="2" t="s">
        <v>82</v>
      </c>
      <c r="D265" s="3" t="s">
        <v>83</v>
      </c>
      <c r="E265" s="4" t="s">
        <v>84</v>
      </c>
      <c r="F265" t="str">
        <f>'Source Table'!$B$16</f>
        <v>Financial Magazines &amp; Periodicals</v>
      </c>
      <c r="G265" t="str">
        <f>'Source Table'!$K$16</f>
        <v>المجلات والدوريات المالية</v>
      </c>
      <c r="I265" t="str">
        <f>'Source Table'!$E$5</f>
        <v>كل شهرين</v>
      </c>
      <c r="J265" s="27">
        <v>0</v>
      </c>
      <c r="K265">
        <v>2021</v>
      </c>
    </row>
    <row r="266" ht="15.75" spans="1:11">
      <c r="A266" s="1" t="s">
        <v>5</v>
      </c>
      <c r="B266" s="1" t="s">
        <v>7</v>
      </c>
      <c r="C266" s="2" t="s">
        <v>82</v>
      </c>
      <c r="D266" s="3" t="s">
        <v>83</v>
      </c>
      <c r="E266" s="4" t="s">
        <v>84</v>
      </c>
      <c r="F266" t="str">
        <f>'Source Table'!$B$17</f>
        <v>Tourist Magazines &amp; Periodicals</v>
      </c>
      <c r="G266" t="str">
        <f>'Source Table'!$K$17</f>
        <v>المجلات والدوريات سياحية</v>
      </c>
      <c r="I266" t="str">
        <f>'Source Table'!$E$5</f>
        <v>كل شهرين</v>
      </c>
      <c r="J266" s="27">
        <v>0</v>
      </c>
      <c r="K266">
        <v>2021</v>
      </c>
    </row>
    <row r="267" ht="16.5" spans="1:11">
      <c r="A267" s="1" t="s">
        <v>5</v>
      </c>
      <c r="B267" s="1" t="s">
        <v>7</v>
      </c>
      <c r="C267" s="2" t="s">
        <v>82</v>
      </c>
      <c r="D267" s="3" t="s">
        <v>83</v>
      </c>
      <c r="E267" s="4" t="s">
        <v>84</v>
      </c>
      <c r="F267" t="str">
        <f>'Source Table'!$B$18</f>
        <v>Other Magazines &amp; Periodicals</v>
      </c>
      <c r="G267" t="str">
        <f>'Source Table'!$K$18</f>
        <v>المجلات والدوريات أخرى</v>
      </c>
      <c r="I267" t="str">
        <f>'Source Table'!$E$5</f>
        <v>كل شهرين</v>
      </c>
      <c r="J267" s="28">
        <v>0</v>
      </c>
      <c r="K267">
        <v>2021</v>
      </c>
    </row>
    <row r="268" ht="15.75" spans="1:11">
      <c r="A268" s="1" t="s">
        <v>5</v>
      </c>
      <c r="B268" s="1" t="s">
        <v>7</v>
      </c>
      <c r="C268" s="2" t="s">
        <v>82</v>
      </c>
      <c r="D268" s="3" t="s">
        <v>83</v>
      </c>
      <c r="E268" s="4" t="s">
        <v>84</v>
      </c>
      <c r="F268" t="str">
        <f>'Source Table'!$B$7</f>
        <v>Political Newspapers</v>
      </c>
      <c r="G268" t="str">
        <f>'Source Table'!$K$7</f>
        <v>صحف سياسية</v>
      </c>
      <c r="I268" t="str">
        <f>'Source Table'!$D$5</f>
        <v>نصف سنوية</v>
      </c>
      <c r="J268" s="27">
        <v>0</v>
      </c>
      <c r="K268">
        <v>2021</v>
      </c>
    </row>
    <row r="269" ht="15.75" spans="1:11">
      <c r="A269" s="1" t="s">
        <v>5</v>
      </c>
      <c r="B269" s="1" t="s">
        <v>7</v>
      </c>
      <c r="C269" s="2" t="s">
        <v>82</v>
      </c>
      <c r="D269" s="3" t="s">
        <v>83</v>
      </c>
      <c r="E269" s="4" t="s">
        <v>84</v>
      </c>
      <c r="F269" t="str">
        <f>'Source Table'!$B$8</f>
        <v>Parties Newspapers</v>
      </c>
      <c r="G269" t="str">
        <f>'Source Table'!$K$8</f>
        <v>صحف حزبية</v>
      </c>
      <c r="I269" t="str">
        <f>'Source Table'!$D$5</f>
        <v>نصف سنوية</v>
      </c>
      <c r="J269" s="27">
        <v>0</v>
      </c>
      <c r="K269">
        <v>2021</v>
      </c>
    </row>
    <row r="270" ht="15.75" spans="1:11">
      <c r="A270" s="1" t="s">
        <v>5</v>
      </c>
      <c r="B270" s="1" t="s">
        <v>7</v>
      </c>
      <c r="C270" s="2" t="s">
        <v>82</v>
      </c>
      <c r="D270" s="3" t="s">
        <v>83</v>
      </c>
      <c r="E270" s="4" t="s">
        <v>84</v>
      </c>
      <c r="F270" t="str">
        <f>'Source Table'!$B$9</f>
        <v>Children Magazines &amp; Periodicals</v>
      </c>
      <c r="G270" t="str">
        <f>'Source Table'!$K$9</f>
        <v>المجلات والدوريات الأطفال</v>
      </c>
      <c r="I270" t="str">
        <f>'Source Table'!$D$5</f>
        <v>نصف سنوية</v>
      </c>
      <c r="J270" s="27">
        <v>0</v>
      </c>
      <c r="K270">
        <v>2021</v>
      </c>
    </row>
    <row r="271" ht="15.75" spans="1:11">
      <c r="A271" s="1" t="s">
        <v>5</v>
      </c>
      <c r="B271" s="1" t="s">
        <v>7</v>
      </c>
      <c r="C271" s="2" t="s">
        <v>82</v>
      </c>
      <c r="D271" s="3" t="s">
        <v>83</v>
      </c>
      <c r="E271" s="4" t="s">
        <v>84</v>
      </c>
      <c r="F271" t="str">
        <f>'Source Table'!$B$10</f>
        <v>Economic Magazines &amp; Periodicals</v>
      </c>
      <c r="G271" t="str">
        <f>'Source Table'!$K$10</f>
        <v>المجلات والدوريات الاقتصادية</v>
      </c>
      <c r="I271" t="str">
        <f>'Source Table'!$D$5</f>
        <v>نصف سنوية</v>
      </c>
      <c r="J271" s="27">
        <v>3</v>
      </c>
      <c r="K271">
        <v>2021</v>
      </c>
    </row>
    <row r="272" ht="15.75" spans="1:11">
      <c r="A272" s="1" t="s">
        <v>5</v>
      </c>
      <c r="B272" s="1" t="s">
        <v>7</v>
      </c>
      <c r="C272" s="2" t="s">
        <v>82</v>
      </c>
      <c r="D272" s="3" t="s">
        <v>83</v>
      </c>
      <c r="E272" s="4" t="s">
        <v>84</v>
      </c>
      <c r="F272" t="str">
        <f>'Source Table'!$B$11</f>
        <v>Army &amp; Police Magazines &amp; Periodicals</v>
      </c>
      <c r="G272" t="str">
        <f>'Source Table'!$K$11</f>
        <v>المجلات والدوريات العسكرية و شرطية</v>
      </c>
      <c r="I272" t="str">
        <f>'Source Table'!$D$5</f>
        <v>نصف سنوية</v>
      </c>
      <c r="J272" s="27">
        <v>0</v>
      </c>
      <c r="K272">
        <v>2021</v>
      </c>
    </row>
    <row r="273" ht="15.75" spans="1:11">
      <c r="A273" s="1" t="s">
        <v>5</v>
      </c>
      <c r="B273" s="1" t="s">
        <v>7</v>
      </c>
      <c r="C273" s="2" t="s">
        <v>82</v>
      </c>
      <c r="D273" s="3" t="s">
        <v>83</v>
      </c>
      <c r="E273" s="4" t="s">
        <v>84</v>
      </c>
      <c r="F273" t="str">
        <f>'Source Table'!$B$12</f>
        <v>Youths &amp; Arts Magazines &amp; Periodicals</v>
      </c>
      <c r="G273" t="str">
        <f>'Source Table'!$K$12</f>
        <v>المجلات والدوريات الشباب و الفنون</v>
      </c>
      <c r="I273" t="str">
        <f>'Source Table'!$D$5</f>
        <v>نصف سنوية</v>
      </c>
      <c r="J273" s="27">
        <v>0</v>
      </c>
      <c r="K273">
        <v>2021</v>
      </c>
    </row>
    <row r="274" ht="15.75" spans="1:11">
      <c r="A274" s="1" t="s">
        <v>5</v>
      </c>
      <c r="B274" s="1" t="s">
        <v>7</v>
      </c>
      <c r="C274" s="2" t="s">
        <v>82</v>
      </c>
      <c r="D274" s="3" t="s">
        <v>83</v>
      </c>
      <c r="E274" s="4" t="s">
        <v>84</v>
      </c>
      <c r="F274" t="str">
        <f>'Source Table'!$B$13</f>
        <v>Cultural &amp; Educational Magazines &amp; Periodicals</v>
      </c>
      <c r="G274" t="str">
        <f>'Source Table'!$K$13</f>
        <v>المجلات والدوريات الثقافية و المدرسية</v>
      </c>
      <c r="I274" t="str">
        <f>'Source Table'!$D$5</f>
        <v>نصف سنوية</v>
      </c>
      <c r="J274" s="27">
        <v>0</v>
      </c>
      <c r="K274">
        <v>2021</v>
      </c>
    </row>
    <row r="275" ht="15.75" spans="1:11">
      <c r="A275" s="1" t="s">
        <v>5</v>
      </c>
      <c r="B275" s="1" t="s">
        <v>7</v>
      </c>
      <c r="C275" s="2" t="s">
        <v>82</v>
      </c>
      <c r="D275" s="3" t="s">
        <v>83</v>
      </c>
      <c r="E275" s="4" t="s">
        <v>84</v>
      </c>
      <c r="F275" t="str">
        <f>'Source Table'!$B$14</f>
        <v>Religious Magazines &amp; Periodicals</v>
      </c>
      <c r="G275" t="str">
        <f>'Source Table'!$K$14</f>
        <v>المجلات والدوريات الدينية</v>
      </c>
      <c r="I275" t="str">
        <f>'Source Table'!$D$5</f>
        <v>نصف سنوية</v>
      </c>
      <c r="J275" s="27">
        <v>0</v>
      </c>
      <c r="K275">
        <v>2021</v>
      </c>
    </row>
    <row r="276" ht="15.75" spans="1:11">
      <c r="A276" s="1" t="s">
        <v>5</v>
      </c>
      <c r="B276" s="1" t="s">
        <v>7</v>
      </c>
      <c r="C276" s="2" t="s">
        <v>82</v>
      </c>
      <c r="D276" s="3" t="s">
        <v>83</v>
      </c>
      <c r="E276" s="4" t="s">
        <v>84</v>
      </c>
      <c r="F276" t="str">
        <f>'Source Table'!$B$15</f>
        <v>Scientific Magazines &amp; Periodicals</v>
      </c>
      <c r="G276" t="str">
        <f>'Source Table'!$K$15</f>
        <v>المجلات والدوريات العلمية</v>
      </c>
      <c r="I276" t="str">
        <f>'Source Table'!$D$5</f>
        <v>نصف سنوية</v>
      </c>
      <c r="J276" s="27">
        <v>2</v>
      </c>
      <c r="K276">
        <v>2021</v>
      </c>
    </row>
    <row r="277" ht="15.75" spans="1:11">
      <c r="A277" s="1" t="s">
        <v>5</v>
      </c>
      <c r="B277" s="1" t="s">
        <v>7</v>
      </c>
      <c r="C277" s="2" t="s">
        <v>82</v>
      </c>
      <c r="D277" s="3" t="s">
        <v>83</v>
      </c>
      <c r="E277" s="4" t="s">
        <v>84</v>
      </c>
      <c r="F277" t="str">
        <f>'Source Table'!$B$16</f>
        <v>Financial Magazines &amp; Periodicals</v>
      </c>
      <c r="G277" t="str">
        <f>'Source Table'!$K$16</f>
        <v>المجلات والدوريات المالية</v>
      </c>
      <c r="I277" t="str">
        <f>'Source Table'!$D$5</f>
        <v>نصف سنوية</v>
      </c>
      <c r="J277" s="27">
        <v>0</v>
      </c>
      <c r="K277">
        <v>2021</v>
      </c>
    </row>
    <row r="278" ht="15.75" spans="1:11">
      <c r="A278" s="1" t="s">
        <v>5</v>
      </c>
      <c r="B278" s="1" t="s">
        <v>7</v>
      </c>
      <c r="C278" s="2" t="s">
        <v>82</v>
      </c>
      <c r="D278" s="3" t="s">
        <v>83</v>
      </c>
      <c r="E278" s="4" t="s">
        <v>84</v>
      </c>
      <c r="F278" t="str">
        <f>'Source Table'!$B$17</f>
        <v>Tourist Magazines &amp; Periodicals</v>
      </c>
      <c r="G278" t="str">
        <f>'Source Table'!$K$17</f>
        <v>المجلات والدوريات سياحية</v>
      </c>
      <c r="I278" t="str">
        <f>'Source Table'!$D$5</f>
        <v>نصف سنوية</v>
      </c>
      <c r="J278" s="27">
        <v>0</v>
      </c>
      <c r="K278">
        <v>2021</v>
      </c>
    </row>
    <row r="279" ht="16.5" spans="1:11">
      <c r="A279" s="1" t="s">
        <v>5</v>
      </c>
      <c r="B279" s="1" t="s">
        <v>7</v>
      </c>
      <c r="C279" s="2" t="s">
        <v>82</v>
      </c>
      <c r="D279" s="3" t="s">
        <v>83</v>
      </c>
      <c r="E279" s="4" t="s">
        <v>84</v>
      </c>
      <c r="F279" t="str">
        <f>'Source Table'!$B$18</f>
        <v>Other Magazines &amp; Periodicals</v>
      </c>
      <c r="G279" t="str">
        <f>'Source Table'!$K$18</f>
        <v>المجلات والدوريات أخرى</v>
      </c>
      <c r="I279" t="str">
        <f>'Source Table'!$D$5</f>
        <v>نصف سنوية</v>
      </c>
      <c r="J279" s="28">
        <v>0</v>
      </c>
      <c r="K279">
        <v>2021</v>
      </c>
    </row>
    <row r="280" ht="15.75" spans="1:11">
      <c r="A280" s="1" t="s">
        <v>5</v>
      </c>
      <c r="B280" s="1" t="s">
        <v>7</v>
      </c>
      <c r="C280" s="2" t="s">
        <v>82</v>
      </c>
      <c r="D280" s="3" t="s">
        <v>83</v>
      </c>
      <c r="E280" s="4" t="s">
        <v>84</v>
      </c>
      <c r="F280" t="str">
        <f>'Source Table'!$B$7</f>
        <v>Political Newspapers</v>
      </c>
      <c r="G280" t="str">
        <f>'Source Table'!$K$7</f>
        <v>صحف سياسية</v>
      </c>
      <c r="I280" t="str">
        <f>'Source Table'!$C$5</f>
        <v>نصف شهرية</v>
      </c>
      <c r="J280" s="25">
        <v>0</v>
      </c>
      <c r="K280">
        <v>2021</v>
      </c>
    </row>
    <row r="281" ht="15.75" spans="1:11">
      <c r="A281" s="1" t="s">
        <v>5</v>
      </c>
      <c r="B281" s="1" t="s">
        <v>7</v>
      </c>
      <c r="C281" s="2" t="s">
        <v>82</v>
      </c>
      <c r="D281" s="3" t="s">
        <v>83</v>
      </c>
      <c r="E281" s="4" t="s">
        <v>84</v>
      </c>
      <c r="F281" t="str">
        <f>'Source Table'!$B$8</f>
        <v>Parties Newspapers</v>
      </c>
      <c r="G281" t="str">
        <f>'Source Table'!$K$8</f>
        <v>صحف حزبية</v>
      </c>
      <c r="I281" t="str">
        <f>'Source Table'!$C$5</f>
        <v>نصف شهرية</v>
      </c>
      <c r="J281" s="25">
        <v>0</v>
      </c>
      <c r="K281">
        <v>2021</v>
      </c>
    </row>
    <row r="282" ht="15.75" spans="1:11">
      <c r="A282" s="1" t="s">
        <v>5</v>
      </c>
      <c r="B282" s="1" t="s">
        <v>7</v>
      </c>
      <c r="C282" s="2" t="s">
        <v>82</v>
      </c>
      <c r="D282" s="3" t="s">
        <v>83</v>
      </c>
      <c r="E282" s="4" t="s">
        <v>84</v>
      </c>
      <c r="F282" t="str">
        <f>'Source Table'!$B$9</f>
        <v>Children Magazines &amp; Periodicals</v>
      </c>
      <c r="G282" t="str">
        <f>'Source Table'!$K$9</f>
        <v>المجلات والدوريات الأطفال</v>
      </c>
      <c r="I282" t="str">
        <f>'Source Table'!$C$5</f>
        <v>نصف شهرية</v>
      </c>
      <c r="J282" s="25">
        <v>0</v>
      </c>
      <c r="K282">
        <v>2021</v>
      </c>
    </row>
    <row r="283" ht="15.75" spans="1:11">
      <c r="A283" s="1" t="s">
        <v>5</v>
      </c>
      <c r="B283" s="1" t="s">
        <v>7</v>
      </c>
      <c r="C283" s="2" t="s">
        <v>82</v>
      </c>
      <c r="D283" s="3" t="s">
        <v>83</v>
      </c>
      <c r="E283" s="4" t="s">
        <v>84</v>
      </c>
      <c r="F283" t="str">
        <f>'Source Table'!$B$10</f>
        <v>Economic Magazines &amp; Periodicals</v>
      </c>
      <c r="G283" t="str">
        <f>'Source Table'!$K$10</f>
        <v>المجلات والدوريات الاقتصادية</v>
      </c>
      <c r="I283" t="str">
        <f>'Source Table'!$C$5</f>
        <v>نصف شهرية</v>
      </c>
      <c r="J283" s="25">
        <v>4</v>
      </c>
      <c r="K283">
        <v>2021</v>
      </c>
    </row>
    <row r="284" ht="15.75" spans="1:11">
      <c r="A284" s="1" t="s">
        <v>5</v>
      </c>
      <c r="B284" s="1" t="s">
        <v>7</v>
      </c>
      <c r="C284" s="2" t="s">
        <v>82</v>
      </c>
      <c r="D284" s="3" t="s">
        <v>83</v>
      </c>
      <c r="E284" s="4" t="s">
        <v>84</v>
      </c>
      <c r="F284" t="str">
        <f>'Source Table'!$B$11</f>
        <v>Army &amp; Police Magazines &amp; Periodicals</v>
      </c>
      <c r="G284" t="str">
        <f>'Source Table'!$K$11</f>
        <v>المجلات والدوريات العسكرية و شرطية</v>
      </c>
      <c r="I284" t="str">
        <f>'Source Table'!$C$5</f>
        <v>نصف شهرية</v>
      </c>
      <c r="J284" s="25">
        <v>0</v>
      </c>
      <c r="K284">
        <v>2021</v>
      </c>
    </row>
    <row r="285" ht="15.75" spans="1:11">
      <c r="A285" s="1" t="s">
        <v>5</v>
      </c>
      <c r="B285" s="1" t="s">
        <v>7</v>
      </c>
      <c r="C285" s="2" t="s">
        <v>82</v>
      </c>
      <c r="D285" s="3" t="s">
        <v>83</v>
      </c>
      <c r="E285" s="4" t="s">
        <v>84</v>
      </c>
      <c r="F285" t="str">
        <f>'Source Table'!$B$12</f>
        <v>Youths &amp; Arts Magazines &amp; Periodicals</v>
      </c>
      <c r="G285" t="str">
        <f>'Source Table'!$K$12</f>
        <v>المجلات والدوريات الشباب و الفنون</v>
      </c>
      <c r="I285" t="str">
        <f>'Source Table'!$C$5</f>
        <v>نصف شهرية</v>
      </c>
      <c r="J285" s="25">
        <v>0</v>
      </c>
      <c r="K285">
        <v>2021</v>
      </c>
    </row>
    <row r="286" ht="15.75" spans="1:11">
      <c r="A286" s="1" t="s">
        <v>5</v>
      </c>
      <c r="B286" s="1" t="s">
        <v>7</v>
      </c>
      <c r="C286" s="2" t="s">
        <v>82</v>
      </c>
      <c r="D286" s="3" t="s">
        <v>83</v>
      </c>
      <c r="E286" s="4" t="s">
        <v>84</v>
      </c>
      <c r="F286" t="str">
        <f>'Source Table'!$B$13</f>
        <v>Cultural &amp; Educational Magazines &amp; Periodicals</v>
      </c>
      <c r="G286" t="str">
        <f>'Source Table'!$K$13</f>
        <v>المجلات والدوريات الثقافية و المدرسية</v>
      </c>
      <c r="I286" t="str">
        <f>'Source Table'!$C$5</f>
        <v>نصف شهرية</v>
      </c>
      <c r="J286" s="25">
        <v>0</v>
      </c>
      <c r="K286">
        <v>2021</v>
      </c>
    </row>
    <row r="287" ht="15.75" spans="1:11">
      <c r="A287" s="1" t="s">
        <v>5</v>
      </c>
      <c r="B287" s="1" t="s">
        <v>7</v>
      </c>
      <c r="C287" s="2" t="s">
        <v>82</v>
      </c>
      <c r="D287" s="3" t="s">
        <v>83</v>
      </c>
      <c r="E287" s="4" t="s">
        <v>84</v>
      </c>
      <c r="F287" t="str">
        <f>'Source Table'!$B$14</f>
        <v>Religious Magazines &amp; Periodicals</v>
      </c>
      <c r="G287" t="str">
        <f>'Source Table'!$K$14</f>
        <v>المجلات والدوريات الدينية</v>
      </c>
      <c r="I287" t="str">
        <f>'Source Table'!$C$5</f>
        <v>نصف شهرية</v>
      </c>
      <c r="J287" s="25">
        <v>0</v>
      </c>
      <c r="K287">
        <v>2021</v>
      </c>
    </row>
    <row r="288" ht="15.75" spans="1:11">
      <c r="A288" s="1" t="s">
        <v>5</v>
      </c>
      <c r="B288" s="1" t="s">
        <v>7</v>
      </c>
      <c r="C288" s="2" t="s">
        <v>82</v>
      </c>
      <c r="D288" s="3" t="s">
        <v>83</v>
      </c>
      <c r="E288" s="4" t="s">
        <v>84</v>
      </c>
      <c r="F288" t="str">
        <f>'Source Table'!$B$15</f>
        <v>Scientific Magazines &amp; Periodicals</v>
      </c>
      <c r="G288" t="str">
        <f>'Source Table'!$K$15</f>
        <v>المجلات والدوريات العلمية</v>
      </c>
      <c r="I288" t="str">
        <f>'Source Table'!$C$5</f>
        <v>نصف شهرية</v>
      </c>
      <c r="J288" s="25">
        <v>0</v>
      </c>
      <c r="K288">
        <v>2021</v>
      </c>
    </row>
    <row r="289" ht="15.75" spans="1:11">
      <c r="A289" s="1" t="s">
        <v>5</v>
      </c>
      <c r="B289" s="1" t="s">
        <v>7</v>
      </c>
      <c r="C289" s="2" t="s">
        <v>82</v>
      </c>
      <c r="D289" s="3" t="s">
        <v>83</v>
      </c>
      <c r="E289" s="4" t="s">
        <v>84</v>
      </c>
      <c r="F289" t="str">
        <f>'Source Table'!$B$16</f>
        <v>Financial Magazines &amp; Periodicals</v>
      </c>
      <c r="G289" t="str">
        <f>'Source Table'!$K$16</f>
        <v>المجلات والدوريات المالية</v>
      </c>
      <c r="I289" t="str">
        <f>'Source Table'!$C$5</f>
        <v>نصف شهرية</v>
      </c>
      <c r="J289" s="25">
        <v>0</v>
      </c>
      <c r="K289">
        <v>2021</v>
      </c>
    </row>
    <row r="290" ht="15.75" spans="1:11">
      <c r="A290" s="1" t="s">
        <v>5</v>
      </c>
      <c r="B290" s="1" t="s">
        <v>7</v>
      </c>
      <c r="C290" s="2" t="s">
        <v>82</v>
      </c>
      <c r="D290" s="3" t="s">
        <v>83</v>
      </c>
      <c r="E290" s="4" t="s">
        <v>84</v>
      </c>
      <c r="F290" t="str">
        <f>'Source Table'!$B$17</f>
        <v>Tourist Magazines &amp; Periodicals</v>
      </c>
      <c r="G290" t="str">
        <f>'Source Table'!$K$17</f>
        <v>المجلات والدوريات سياحية</v>
      </c>
      <c r="I290" t="str">
        <f>'Source Table'!$C$5</f>
        <v>نصف شهرية</v>
      </c>
      <c r="J290" s="25">
        <v>0</v>
      </c>
      <c r="K290">
        <v>2021</v>
      </c>
    </row>
    <row r="291" ht="16.5" spans="1:11">
      <c r="A291" s="1" t="s">
        <v>5</v>
      </c>
      <c r="B291" s="1" t="s">
        <v>7</v>
      </c>
      <c r="C291" s="2" t="s">
        <v>82</v>
      </c>
      <c r="D291" s="3" t="s">
        <v>83</v>
      </c>
      <c r="E291" s="4" t="s">
        <v>84</v>
      </c>
      <c r="F291" t="str">
        <f>'Source Table'!$B$18</f>
        <v>Other Magazines &amp; Periodicals</v>
      </c>
      <c r="G291" t="str">
        <f>'Source Table'!$K$18</f>
        <v>المجلات والدوريات أخرى</v>
      </c>
      <c r="I291" t="str">
        <f>'Source Table'!$C$5</f>
        <v>نصف شهرية</v>
      </c>
      <c r="J291" s="26">
        <v>0</v>
      </c>
      <c r="K291">
        <v>2021</v>
      </c>
    </row>
    <row r="292" ht="15.75" spans="1:11">
      <c r="A292" s="1" t="s">
        <v>5</v>
      </c>
      <c r="B292" s="1" t="s">
        <v>7</v>
      </c>
      <c r="C292" s="2" t="s">
        <v>82</v>
      </c>
      <c r="D292" s="3" t="s">
        <v>83</v>
      </c>
      <c r="E292" s="4" t="s">
        <v>84</v>
      </c>
      <c r="F292" t="str">
        <f>'Source Table'!$B$7</f>
        <v>Political Newspapers</v>
      </c>
      <c r="G292" t="str">
        <f>'Source Table'!$K$7</f>
        <v>صحف سياسية</v>
      </c>
      <c r="H292" t="str">
        <f>'Source Table'!$J$6</f>
        <v>Daily</v>
      </c>
      <c r="I292" t="str">
        <f>'Source Table'!$J$5</f>
        <v>يومية</v>
      </c>
      <c r="J292" s="25">
        <v>10</v>
      </c>
      <c r="K292">
        <v>2020</v>
      </c>
    </row>
    <row r="293" ht="15.75" spans="1:11">
      <c r="A293" s="1" t="s">
        <v>5</v>
      </c>
      <c r="B293" s="1" t="s">
        <v>7</v>
      </c>
      <c r="C293" s="2" t="s">
        <v>82</v>
      </c>
      <c r="D293" s="3" t="s">
        <v>83</v>
      </c>
      <c r="E293" s="4" t="s">
        <v>84</v>
      </c>
      <c r="F293" t="str">
        <f>'Source Table'!$B$8</f>
        <v>Parties Newspapers</v>
      </c>
      <c r="G293" t="str">
        <f>'Source Table'!$K$8</f>
        <v>صحف حزبية</v>
      </c>
      <c r="H293" t="str">
        <f>'Source Table'!$J$6</f>
        <v>Daily</v>
      </c>
      <c r="I293" t="str">
        <f>'Source Table'!$J$5</f>
        <v>يومية</v>
      </c>
      <c r="J293" s="25">
        <v>0</v>
      </c>
      <c r="K293">
        <v>2020</v>
      </c>
    </row>
    <row r="294" ht="15.75" spans="1:11">
      <c r="A294" s="1" t="s">
        <v>5</v>
      </c>
      <c r="B294" s="1" t="s">
        <v>7</v>
      </c>
      <c r="C294" s="2" t="s">
        <v>82</v>
      </c>
      <c r="D294" s="3" t="s">
        <v>83</v>
      </c>
      <c r="E294" s="4" t="s">
        <v>84</v>
      </c>
      <c r="F294" t="str">
        <f>'Source Table'!$B$9</f>
        <v>Children Magazines &amp; Periodicals</v>
      </c>
      <c r="G294" t="str">
        <f>'Source Table'!$K$9</f>
        <v>المجلات والدوريات الأطفال</v>
      </c>
      <c r="H294" t="str">
        <f>'Source Table'!$J$6</f>
        <v>Daily</v>
      </c>
      <c r="I294" t="str">
        <f>'Source Table'!$J$5</f>
        <v>يومية</v>
      </c>
      <c r="J294" s="25">
        <v>0</v>
      </c>
      <c r="K294">
        <v>2020</v>
      </c>
    </row>
    <row r="295" ht="15.75" spans="1:11">
      <c r="A295" s="1" t="s">
        <v>5</v>
      </c>
      <c r="B295" s="1" t="s">
        <v>7</v>
      </c>
      <c r="C295" s="2" t="s">
        <v>82</v>
      </c>
      <c r="D295" s="3" t="s">
        <v>83</v>
      </c>
      <c r="E295" s="4" t="s">
        <v>84</v>
      </c>
      <c r="F295" t="str">
        <f>'Source Table'!$B$10</f>
        <v>Economic Magazines &amp; Periodicals</v>
      </c>
      <c r="G295" t="str">
        <f>'Source Table'!$K$10</f>
        <v>المجلات والدوريات الاقتصادية</v>
      </c>
      <c r="H295" t="str">
        <f>'Source Table'!$J$6</f>
        <v>Daily</v>
      </c>
      <c r="I295" t="str">
        <f>'Source Table'!$J$5</f>
        <v>يومية</v>
      </c>
      <c r="J295" s="25">
        <v>0</v>
      </c>
      <c r="K295">
        <v>2020</v>
      </c>
    </row>
    <row r="296" ht="15.75" spans="1:11">
      <c r="A296" s="1" t="s">
        <v>5</v>
      </c>
      <c r="B296" s="1" t="s">
        <v>7</v>
      </c>
      <c r="C296" s="2" t="s">
        <v>82</v>
      </c>
      <c r="D296" s="3" t="s">
        <v>83</v>
      </c>
      <c r="E296" s="4" t="s">
        <v>84</v>
      </c>
      <c r="F296" t="str">
        <f>'Source Table'!$B$11</f>
        <v>Army &amp; Police Magazines &amp; Periodicals</v>
      </c>
      <c r="G296" t="str">
        <f>'Source Table'!$K$11</f>
        <v>المجلات والدوريات العسكرية و شرطية</v>
      </c>
      <c r="H296" t="str">
        <f>'Source Table'!$J$6</f>
        <v>Daily</v>
      </c>
      <c r="I296" t="str">
        <f>'Source Table'!$J$5</f>
        <v>يومية</v>
      </c>
      <c r="J296" s="25">
        <v>0</v>
      </c>
      <c r="K296">
        <v>2020</v>
      </c>
    </row>
    <row r="297" ht="15.75" spans="1:11">
      <c r="A297" s="1" t="s">
        <v>5</v>
      </c>
      <c r="B297" s="1" t="s">
        <v>7</v>
      </c>
      <c r="C297" s="2" t="s">
        <v>82</v>
      </c>
      <c r="D297" s="3" t="s">
        <v>83</v>
      </c>
      <c r="E297" s="4" t="s">
        <v>84</v>
      </c>
      <c r="F297" t="str">
        <f>'Source Table'!$B$12</f>
        <v>Youths &amp; Arts Magazines &amp; Periodicals</v>
      </c>
      <c r="G297" t="str">
        <f>'Source Table'!$K$12</f>
        <v>المجلات والدوريات الشباب و الفنون</v>
      </c>
      <c r="H297" t="str">
        <f>'Source Table'!$J$6</f>
        <v>Daily</v>
      </c>
      <c r="I297" t="str">
        <f>'Source Table'!$J$5</f>
        <v>يومية</v>
      </c>
      <c r="J297" s="25">
        <v>0</v>
      </c>
      <c r="K297">
        <v>2020</v>
      </c>
    </row>
    <row r="298" ht="15.75" spans="1:11">
      <c r="A298" s="1" t="s">
        <v>5</v>
      </c>
      <c r="B298" s="1" t="s">
        <v>7</v>
      </c>
      <c r="C298" s="2" t="s">
        <v>82</v>
      </c>
      <c r="D298" s="3" t="s">
        <v>83</v>
      </c>
      <c r="E298" s="4" t="s">
        <v>84</v>
      </c>
      <c r="F298" t="str">
        <f>'Source Table'!$B$13</f>
        <v>Cultural &amp; Educational Magazines &amp; Periodicals</v>
      </c>
      <c r="G298" t="str">
        <f>'Source Table'!$K$13</f>
        <v>المجلات والدوريات الثقافية و المدرسية</v>
      </c>
      <c r="H298" t="str">
        <f>'Source Table'!$J$6</f>
        <v>Daily</v>
      </c>
      <c r="I298" t="str">
        <f>'Source Table'!$J$5</f>
        <v>يومية</v>
      </c>
      <c r="J298" s="25">
        <v>0</v>
      </c>
      <c r="K298">
        <v>2020</v>
      </c>
    </row>
    <row r="299" ht="15.75" spans="1:11">
      <c r="A299" s="1" t="s">
        <v>5</v>
      </c>
      <c r="B299" s="1" t="s">
        <v>7</v>
      </c>
      <c r="C299" s="2" t="s">
        <v>82</v>
      </c>
      <c r="D299" s="3" t="s">
        <v>83</v>
      </c>
      <c r="E299" s="4" t="s">
        <v>84</v>
      </c>
      <c r="F299" t="str">
        <f>'Source Table'!$B$14</f>
        <v>Religious Magazines &amp; Periodicals</v>
      </c>
      <c r="G299" t="str">
        <f>'Source Table'!$K$14</f>
        <v>المجلات والدوريات الدينية</v>
      </c>
      <c r="H299" t="str">
        <f>'Source Table'!$J$6</f>
        <v>Daily</v>
      </c>
      <c r="I299" t="str">
        <f>'Source Table'!$J$5</f>
        <v>يومية</v>
      </c>
      <c r="J299" s="25">
        <v>0</v>
      </c>
      <c r="K299">
        <v>2020</v>
      </c>
    </row>
    <row r="300" ht="15.75" spans="1:11">
      <c r="A300" s="1" t="s">
        <v>5</v>
      </c>
      <c r="B300" s="1" t="s">
        <v>7</v>
      </c>
      <c r="C300" s="2" t="s">
        <v>82</v>
      </c>
      <c r="D300" s="3" t="s">
        <v>83</v>
      </c>
      <c r="E300" s="4" t="s">
        <v>84</v>
      </c>
      <c r="F300" t="str">
        <f>'Source Table'!$B$15</f>
        <v>Scientific Magazines &amp; Periodicals</v>
      </c>
      <c r="G300" t="str">
        <f>'Source Table'!$K$15</f>
        <v>المجلات والدوريات العلمية</v>
      </c>
      <c r="H300" t="str">
        <f>'Source Table'!$J$6</f>
        <v>Daily</v>
      </c>
      <c r="I300" t="str">
        <f>'Source Table'!$J$5</f>
        <v>يومية</v>
      </c>
      <c r="J300" s="25">
        <v>0</v>
      </c>
      <c r="K300">
        <v>2020</v>
      </c>
    </row>
    <row r="301" ht="15.75" spans="1:11">
      <c r="A301" s="1" t="s">
        <v>5</v>
      </c>
      <c r="B301" s="1" t="s">
        <v>7</v>
      </c>
      <c r="C301" s="2" t="s">
        <v>82</v>
      </c>
      <c r="D301" s="3" t="s">
        <v>83</v>
      </c>
      <c r="E301" s="4" t="s">
        <v>84</v>
      </c>
      <c r="F301" t="str">
        <f>'Source Table'!$B$16</f>
        <v>Financial Magazines &amp; Periodicals</v>
      </c>
      <c r="G301" t="str">
        <f>'Source Table'!$K$16</f>
        <v>المجلات والدوريات المالية</v>
      </c>
      <c r="H301" t="str">
        <f>'Source Table'!$J$6</f>
        <v>Daily</v>
      </c>
      <c r="I301" t="str">
        <f>'Source Table'!$J$5</f>
        <v>يومية</v>
      </c>
      <c r="J301" s="25">
        <v>0</v>
      </c>
      <c r="K301">
        <v>2020</v>
      </c>
    </row>
    <row r="302" ht="15.75" spans="1:11">
      <c r="A302" s="1" t="s">
        <v>5</v>
      </c>
      <c r="B302" s="1" t="s">
        <v>7</v>
      </c>
      <c r="C302" s="2" t="s">
        <v>82</v>
      </c>
      <c r="D302" s="3" t="s">
        <v>83</v>
      </c>
      <c r="E302" s="4" t="s">
        <v>84</v>
      </c>
      <c r="F302" t="str">
        <f>'Source Table'!$B$17</f>
        <v>Tourist Magazines &amp; Periodicals</v>
      </c>
      <c r="G302" t="str">
        <f>'Source Table'!$K$17</f>
        <v>المجلات والدوريات سياحية</v>
      </c>
      <c r="H302" t="str">
        <f>'Source Table'!$J$6</f>
        <v>Daily</v>
      </c>
      <c r="I302" t="str">
        <f>'Source Table'!$J$5</f>
        <v>يومية</v>
      </c>
      <c r="J302" s="25">
        <v>0</v>
      </c>
      <c r="K302">
        <v>2020</v>
      </c>
    </row>
    <row r="303" ht="16.5" spans="1:11">
      <c r="A303" s="1" t="s">
        <v>5</v>
      </c>
      <c r="B303" s="1" t="s">
        <v>7</v>
      </c>
      <c r="C303" s="2" t="s">
        <v>82</v>
      </c>
      <c r="D303" s="3" t="s">
        <v>83</v>
      </c>
      <c r="E303" s="4" t="s">
        <v>84</v>
      </c>
      <c r="F303" t="str">
        <f>'Source Table'!$B$18</f>
        <v>Other Magazines &amp; Periodicals</v>
      </c>
      <c r="G303" t="str">
        <f>'Source Table'!$K$18</f>
        <v>المجلات والدوريات أخرى</v>
      </c>
      <c r="H303" t="str">
        <f>'Source Table'!$J$6</f>
        <v>Daily</v>
      </c>
      <c r="I303" t="str">
        <f>'Source Table'!$J$5</f>
        <v>يومية</v>
      </c>
      <c r="J303" s="26">
        <v>4</v>
      </c>
      <c r="K303">
        <v>2020</v>
      </c>
    </row>
    <row r="304" ht="15.75" spans="1:11">
      <c r="A304" s="1" t="s">
        <v>5</v>
      </c>
      <c r="B304" s="1" t="s">
        <v>7</v>
      </c>
      <c r="C304" s="2" t="s">
        <v>82</v>
      </c>
      <c r="D304" s="3" t="s">
        <v>83</v>
      </c>
      <c r="E304" s="4" t="s">
        <v>84</v>
      </c>
      <c r="F304" t="str">
        <f>'Source Table'!$B$7</f>
        <v>Political Newspapers</v>
      </c>
      <c r="G304" t="str">
        <f>'Source Table'!$K$7</f>
        <v>صحف سياسية</v>
      </c>
      <c r="H304" t="str">
        <f>'Source Table'!$I$6</f>
        <v>Weekly</v>
      </c>
      <c r="I304" t="str">
        <f>'Source Table'!$I$5</f>
        <v>أسبوعية</v>
      </c>
      <c r="J304" s="27">
        <v>9</v>
      </c>
      <c r="K304">
        <v>2020</v>
      </c>
    </row>
    <row r="305" ht="15.75" spans="1:11">
      <c r="A305" s="1" t="s">
        <v>5</v>
      </c>
      <c r="B305" s="1" t="s">
        <v>7</v>
      </c>
      <c r="C305" s="2" t="s">
        <v>82</v>
      </c>
      <c r="D305" s="3" t="s">
        <v>83</v>
      </c>
      <c r="E305" s="4" t="s">
        <v>84</v>
      </c>
      <c r="F305" t="str">
        <f>'Source Table'!$B$8</f>
        <v>Parties Newspapers</v>
      </c>
      <c r="G305" t="str">
        <f>'Source Table'!$K$8</f>
        <v>صحف حزبية</v>
      </c>
      <c r="H305" t="str">
        <f>'Source Table'!$I$6</f>
        <v>Weekly</v>
      </c>
      <c r="I305" t="str">
        <f>'Source Table'!$I$5</f>
        <v>أسبوعية</v>
      </c>
      <c r="J305" s="27">
        <v>9</v>
      </c>
      <c r="K305">
        <v>2020</v>
      </c>
    </row>
    <row r="306" ht="15.75" spans="1:11">
      <c r="A306" s="1" t="s">
        <v>5</v>
      </c>
      <c r="B306" s="1" t="s">
        <v>7</v>
      </c>
      <c r="C306" s="2" t="s">
        <v>82</v>
      </c>
      <c r="D306" s="3" t="s">
        <v>83</v>
      </c>
      <c r="E306" s="4" t="s">
        <v>84</v>
      </c>
      <c r="F306" t="str">
        <f>'Source Table'!$B$9</f>
        <v>Children Magazines &amp; Periodicals</v>
      </c>
      <c r="G306" t="str">
        <f>'Source Table'!$K$9</f>
        <v>المجلات والدوريات الأطفال</v>
      </c>
      <c r="H306" t="str">
        <f>'Source Table'!$I$6</f>
        <v>Weekly</v>
      </c>
      <c r="I306" t="str">
        <f>'Source Table'!$I$5</f>
        <v>أسبوعية</v>
      </c>
      <c r="J306" s="27">
        <v>2</v>
      </c>
      <c r="K306">
        <v>2020</v>
      </c>
    </row>
    <row r="307" ht="15.75" spans="1:11">
      <c r="A307" s="1" t="s">
        <v>5</v>
      </c>
      <c r="B307" s="1" t="s">
        <v>7</v>
      </c>
      <c r="C307" s="2" t="s">
        <v>82</v>
      </c>
      <c r="D307" s="3" t="s">
        <v>83</v>
      </c>
      <c r="E307" s="4" t="s">
        <v>84</v>
      </c>
      <c r="F307" t="str">
        <f>'Source Table'!$B$10</f>
        <v>Economic Magazines &amp; Periodicals</v>
      </c>
      <c r="G307" t="str">
        <f>'Source Table'!$K$10</f>
        <v>المجلات والدوريات الاقتصادية</v>
      </c>
      <c r="H307" t="str">
        <f>'Source Table'!$I$6</f>
        <v>Weekly</v>
      </c>
      <c r="I307" t="str">
        <f>'Source Table'!$I$5</f>
        <v>أسبوعية</v>
      </c>
      <c r="J307" s="27">
        <v>24</v>
      </c>
      <c r="K307">
        <v>2020</v>
      </c>
    </row>
    <row r="308" ht="15.75" spans="1:11">
      <c r="A308" s="1" t="s">
        <v>5</v>
      </c>
      <c r="B308" s="1" t="s">
        <v>7</v>
      </c>
      <c r="C308" s="2" t="s">
        <v>82</v>
      </c>
      <c r="D308" s="3" t="s">
        <v>83</v>
      </c>
      <c r="E308" s="4" t="s">
        <v>84</v>
      </c>
      <c r="F308" t="str">
        <f>'Source Table'!$B$11</f>
        <v>Army &amp; Police Magazines &amp; Periodicals</v>
      </c>
      <c r="G308" t="str">
        <f>'Source Table'!$K$11</f>
        <v>المجلات والدوريات العسكرية و شرطية</v>
      </c>
      <c r="H308" t="str">
        <f>'Source Table'!$I$6</f>
        <v>Weekly</v>
      </c>
      <c r="I308" t="str">
        <f>'Source Table'!$I$5</f>
        <v>أسبوعية</v>
      </c>
      <c r="J308" s="27">
        <v>0</v>
      </c>
      <c r="K308">
        <v>2020</v>
      </c>
    </row>
    <row r="309" ht="15.75" spans="1:11">
      <c r="A309" s="1" t="s">
        <v>5</v>
      </c>
      <c r="B309" s="1" t="s">
        <v>7</v>
      </c>
      <c r="C309" s="2" t="s">
        <v>82</v>
      </c>
      <c r="D309" s="3" t="s">
        <v>83</v>
      </c>
      <c r="E309" s="4" t="s">
        <v>84</v>
      </c>
      <c r="F309" t="str">
        <f>'Source Table'!$B$12</f>
        <v>Youths &amp; Arts Magazines &amp; Periodicals</v>
      </c>
      <c r="G309" t="str">
        <f>'Source Table'!$K$12</f>
        <v>المجلات والدوريات الشباب و الفنون</v>
      </c>
      <c r="H309" t="str">
        <f>'Source Table'!$I$6</f>
        <v>Weekly</v>
      </c>
      <c r="I309" t="str">
        <f>'Source Table'!$I$5</f>
        <v>أسبوعية</v>
      </c>
      <c r="J309" s="27">
        <v>10</v>
      </c>
      <c r="K309">
        <v>2020</v>
      </c>
    </row>
    <row r="310" ht="15.75" spans="1:11">
      <c r="A310" s="1" t="s">
        <v>5</v>
      </c>
      <c r="B310" s="1" t="s">
        <v>7</v>
      </c>
      <c r="C310" s="2" t="s">
        <v>82</v>
      </c>
      <c r="D310" s="3" t="s">
        <v>83</v>
      </c>
      <c r="E310" s="4" t="s">
        <v>84</v>
      </c>
      <c r="F310" t="str">
        <f>'Source Table'!$B$13</f>
        <v>Cultural &amp; Educational Magazines &amp; Periodicals</v>
      </c>
      <c r="G310" t="str">
        <f>'Source Table'!$K$13</f>
        <v>المجلات والدوريات الثقافية و المدرسية</v>
      </c>
      <c r="H310" t="str">
        <f>'Source Table'!$I$6</f>
        <v>Weekly</v>
      </c>
      <c r="I310" t="str">
        <f>'Source Table'!$I$5</f>
        <v>أسبوعية</v>
      </c>
      <c r="J310" s="27">
        <v>6</v>
      </c>
      <c r="K310">
        <v>2020</v>
      </c>
    </row>
    <row r="311" ht="15.75" spans="1:11">
      <c r="A311" s="1" t="s">
        <v>5</v>
      </c>
      <c r="B311" s="1" t="s">
        <v>7</v>
      </c>
      <c r="C311" s="2" t="s">
        <v>82</v>
      </c>
      <c r="D311" s="3" t="s">
        <v>83</v>
      </c>
      <c r="E311" s="4" t="s">
        <v>84</v>
      </c>
      <c r="F311" t="str">
        <f>'Source Table'!$B$14</f>
        <v>Religious Magazines &amp; Periodicals</v>
      </c>
      <c r="G311" t="str">
        <f>'Source Table'!$K$14</f>
        <v>المجلات والدوريات الدينية</v>
      </c>
      <c r="H311" t="str">
        <f>'Source Table'!$I$6</f>
        <v>Weekly</v>
      </c>
      <c r="I311" t="str">
        <f>'Source Table'!$I$5</f>
        <v>أسبوعية</v>
      </c>
      <c r="J311" s="27">
        <v>0</v>
      </c>
      <c r="K311">
        <v>2020</v>
      </c>
    </row>
    <row r="312" ht="15.75" spans="1:11">
      <c r="A312" s="1" t="s">
        <v>5</v>
      </c>
      <c r="B312" s="1" t="s">
        <v>7</v>
      </c>
      <c r="C312" s="2" t="s">
        <v>82</v>
      </c>
      <c r="D312" s="3" t="s">
        <v>83</v>
      </c>
      <c r="E312" s="4" t="s">
        <v>84</v>
      </c>
      <c r="F312" t="str">
        <f>'Source Table'!$B$15</f>
        <v>Scientific Magazines &amp; Periodicals</v>
      </c>
      <c r="G312" t="str">
        <f>'Source Table'!$K$15</f>
        <v>المجلات والدوريات العلمية</v>
      </c>
      <c r="H312" t="str">
        <f>'Source Table'!$I$6</f>
        <v>Weekly</v>
      </c>
      <c r="I312" t="str">
        <f>'Source Table'!$I$5</f>
        <v>أسبوعية</v>
      </c>
      <c r="J312" s="27">
        <v>0</v>
      </c>
      <c r="K312">
        <v>2020</v>
      </c>
    </row>
    <row r="313" ht="15.75" spans="1:11">
      <c r="A313" s="1" t="s">
        <v>5</v>
      </c>
      <c r="B313" s="1" t="s">
        <v>7</v>
      </c>
      <c r="C313" s="2" t="s">
        <v>82</v>
      </c>
      <c r="D313" s="3" t="s">
        <v>83</v>
      </c>
      <c r="E313" s="4" t="s">
        <v>84</v>
      </c>
      <c r="F313" t="str">
        <f>'Source Table'!$B$16</f>
        <v>Financial Magazines &amp; Periodicals</v>
      </c>
      <c r="G313" t="str">
        <f>'Source Table'!$K$16</f>
        <v>المجلات والدوريات المالية</v>
      </c>
      <c r="H313" t="str">
        <f>'Source Table'!$I$6</f>
        <v>Weekly</v>
      </c>
      <c r="I313" t="str">
        <f>'Source Table'!$I$5</f>
        <v>أسبوعية</v>
      </c>
      <c r="J313" s="27">
        <v>6</v>
      </c>
      <c r="K313">
        <v>2020</v>
      </c>
    </row>
    <row r="314" ht="15.75" spans="1:11">
      <c r="A314" s="1" t="s">
        <v>5</v>
      </c>
      <c r="B314" s="1" t="s">
        <v>7</v>
      </c>
      <c r="C314" s="2" t="s">
        <v>82</v>
      </c>
      <c r="D314" s="3" t="s">
        <v>83</v>
      </c>
      <c r="E314" s="4" t="s">
        <v>84</v>
      </c>
      <c r="F314" t="str">
        <f>'Source Table'!$B$17</f>
        <v>Tourist Magazines &amp; Periodicals</v>
      </c>
      <c r="G314" t="str">
        <f>'Source Table'!$K$17</f>
        <v>المجلات والدوريات سياحية</v>
      </c>
      <c r="H314" t="str">
        <f>'Source Table'!$I$6</f>
        <v>Weekly</v>
      </c>
      <c r="I314" t="str">
        <f>'Source Table'!$I$5</f>
        <v>أسبوعية</v>
      </c>
      <c r="J314" s="27">
        <v>4</v>
      </c>
      <c r="K314">
        <v>2020</v>
      </c>
    </row>
    <row r="315" ht="16.5" spans="1:11">
      <c r="A315" s="1" t="s">
        <v>5</v>
      </c>
      <c r="B315" s="1" t="s">
        <v>7</v>
      </c>
      <c r="C315" s="2" t="s">
        <v>82</v>
      </c>
      <c r="D315" s="3" t="s">
        <v>83</v>
      </c>
      <c r="E315" s="4" t="s">
        <v>84</v>
      </c>
      <c r="F315" t="str">
        <f>'Source Table'!$B$18</f>
        <v>Other Magazines &amp; Periodicals</v>
      </c>
      <c r="G315" t="str">
        <f>'Source Table'!$K$18</f>
        <v>المجلات والدوريات أخرى</v>
      </c>
      <c r="H315" t="str">
        <f>'Source Table'!$I$6</f>
        <v>Weekly</v>
      </c>
      <c r="I315" t="str">
        <f>'Source Table'!$I$5</f>
        <v>أسبوعية</v>
      </c>
      <c r="J315" s="28">
        <v>98</v>
      </c>
      <c r="K315">
        <v>2020</v>
      </c>
    </row>
    <row r="316" ht="15.75" spans="1:11">
      <c r="A316" s="1" t="s">
        <v>5</v>
      </c>
      <c r="B316" s="1" t="s">
        <v>7</v>
      </c>
      <c r="C316" s="2" t="s">
        <v>82</v>
      </c>
      <c r="D316" s="3" t="s">
        <v>83</v>
      </c>
      <c r="E316" s="4" t="s">
        <v>84</v>
      </c>
      <c r="F316" t="str">
        <f>'Source Table'!$B$7</f>
        <v>Political Newspapers</v>
      </c>
      <c r="G316" t="str">
        <f>'Source Table'!$K$7</f>
        <v>صحف سياسية</v>
      </c>
      <c r="H316" t="str">
        <f>'Source Table'!$H$6</f>
        <v>Monthly</v>
      </c>
      <c r="I316" t="str">
        <f>'Source Table'!$H$5</f>
        <v>شهرية</v>
      </c>
      <c r="J316" s="27">
        <v>2</v>
      </c>
      <c r="K316">
        <v>2020</v>
      </c>
    </row>
    <row r="317" ht="15.75" spans="1:11">
      <c r="A317" s="1" t="s">
        <v>5</v>
      </c>
      <c r="B317" s="1" t="s">
        <v>7</v>
      </c>
      <c r="C317" s="2" t="s">
        <v>82</v>
      </c>
      <c r="D317" s="3" t="s">
        <v>83</v>
      </c>
      <c r="E317" s="4" t="s">
        <v>84</v>
      </c>
      <c r="F317" t="str">
        <f>'Source Table'!$B$8</f>
        <v>Parties Newspapers</v>
      </c>
      <c r="G317" t="str">
        <f>'Source Table'!$K$8</f>
        <v>صحف حزبية</v>
      </c>
      <c r="H317" t="str">
        <f>'Source Table'!$H$6</f>
        <v>Monthly</v>
      </c>
      <c r="I317" t="str">
        <f>'Source Table'!$H$5</f>
        <v>شهرية</v>
      </c>
      <c r="J317" s="27">
        <v>0</v>
      </c>
      <c r="K317">
        <v>2020</v>
      </c>
    </row>
    <row r="318" ht="15.75" spans="1:11">
      <c r="A318" s="1" t="s">
        <v>5</v>
      </c>
      <c r="B318" s="1" t="s">
        <v>7</v>
      </c>
      <c r="C318" s="2" t="s">
        <v>82</v>
      </c>
      <c r="D318" s="3" t="s">
        <v>83</v>
      </c>
      <c r="E318" s="4" t="s">
        <v>84</v>
      </c>
      <c r="F318" t="str">
        <f>'Source Table'!$B$9</f>
        <v>Children Magazines &amp; Periodicals</v>
      </c>
      <c r="G318" t="str">
        <f>'Source Table'!$K$9</f>
        <v>المجلات والدوريات الأطفال</v>
      </c>
      <c r="H318" t="str">
        <f>'Source Table'!$H$6</f>
        <v>Monthly</v>
      </c>
      <c r="I318" t="str">
        <f>'Source Table'!$H$5</f>
        <v>شهرية</v>
      </c>
      <c r="J318" s="27">
        <v>16</v>
      </c>
      <c r="K318">
        <v>2020</v>
      </c>
    </row>
    <row r="319" ht="15.75" spans="1:11">
      <c r="A319" s="1" t="s">
        <v>5</v>
      </c>
      <c r="B319" s="1" t="s">
        <v>7</v>
      </c>
      <c r="C319" s="2" t="s">
        <v>82</v>
      </c>
      <c r="D319" s="3" t="s">
        <v>83</v>
      </c>
      <c r="E319" s="4" t="s">
        <v>84</v>
      </c>
      <c r="F319" t="str">
        <f>'Source Table'!$B$10</f>
        <v>Economic Magazines &amp; Periodicals</v>
      </c>
      <c r="G319" t="str">
        <f>'Source Table'!$K$10</f>
        <v>المجلات والدوريات الاقتصادية</v>
      </c>
      <c r="H319" t="str">
        <f>'Source Table'!$H$6</f>
        <v>Monthly</v>
      </c>
      <c r="I319" t="str">
        <f>'Source Table'!$H$5</f>
        <v>شهرية</v>
      </c>
      <c r="J319" s="27">
        <v>60</v>
      </c>
      <c r="K319">
        <v>2020</v>
      </c>
    </row>
    <row r="320" ht="15.75" spans="1:11">
      <c r="A320" s="1" t="s">
        <v>5</v>
      </c>
      <c r="B320" s="1" t="s">
        <v>7</v>
      </c>
      <c r="C320" s="2" t="s">
        <v>82</v>
      </c>
      <c r="D320" s="3" t="s">
        <v>83</v>
      </c>
      <c r="E320" s="4" t="s">
        <v>84</v>
      </c>
      <c r="F320" t="str">
        <f>'Source Table'!$B$11</f>
        <v>Army &amp; Police Magazines &amp; Periodicals</v>
      </c>
      <c r="G320" t="str">
        <f>'Source Table'!$K$11</f>
        <v>المجلات والدوريات العسكرية و شرطية</v>
      </c>
      <c r="H320" t="str">
        <f>'Source Table'!$H$6</f>
        <v>Monthly</v>
      </c>
      <c r="I320" t="str">
        <f>'Source Table'!$H$5</f>
        <v>شهرية</v>
      </c>
      <c r="J320" s="27">
        <v>1</v>
      </c>
      <c r="K320">
        <v>2020</v>
      </c>
    </row>
    <row r="321" ht="15.75" spans="1:11">
      <c r="A321" s="1" t="s">
        <v>5</v>
      </c>
      <c r="B321" s="1" t="s">
        <v>7</v>
      </c>
      <c r="C321" s="2" t="s">
        <v>82</v>
      </c>
      <c r="D321" s="3" t="s">
        <v>83</v>
      </c>
      <c r="E321" s="4" t="s">
        <v>84</v>
      </c>
      <c r="F321" t="str">
        <f>'Source Table'!$B$12</f>
        <v>Youths &amp; Arts Magazines &amp; Periodicals</v>
      </c>
      <c r="G321" t="str">
        <f>'Source Table'!$K$12</f>
        <v>المجلات والدوريات الشباب و الفنون</v>
      </c>
      <c r="H321" t="str">
        <f>'Source Table'!$H$6</f>
        <v>Monthly</v>
      </c>
      <c r="I321" t="str">
        <f>'Source Table'!$H$5</f>
        <v>شهرية</v>
      </c>
      <c r="J321" s="27">
        <v>8</v>
      </c>
      <c r="K321">
        <v>2020</v>
      </c>
    </row>
    <row r="322" ht="15.75" spans="1:11">
      <c r="A322" s="1" t="s">
        <v>5</v>
      </c>
      <c r="B322" s="1" t="s">
        <v>7</v>
      </c>
      <c r="C322" s="2" t="s">
        <v>82</v>
      </c>
      <c r="D322" s="3" t="s">
        <v>83</v>
      </c>
      <c r="E322" s="4" t="s">
        <v>84</v>
      </c>
      <c r="F322" t="str">
        <f>'Source Table'!$B$13</f>
        <v>Cultural &amp; Educational Magazines &amp; Periodicals</v>
      </c>
      <c r="G322" t="str">
        <f>'Source Table'!$K$13</f>
        <v>المجلات والدوريات الثقافية و المدرسية</v>
      </c>
      <c r="H322" t="str">
        <f>'Source Table'!$H$6</f>
        <v>Monthly</v>
      </c>
      <c r="I322" t="str">
        <f>'Source Table'!$H$5</f>
        <v>شهرية</v>
      </c>
      <c r="J322" s="27">
        <v>35</v>
      </c>
      <c r="K322">
        <v>2020</v>
      </c>
    </row>
    <row r="323" ht="15.75" spans="1:11">
      <c r="A323" s="1" t="s">
        <v>5</v>
      </c>
      <c r="B323" s="1" t="s">
        <v>7</v>
      </c>
      <c r="C323" s="2" t="s">
        <v>82</v>
      </c>
      <c r="D323" s="3" t="s">
        <v>83</v>
      </c>
      <c r="E323" s="4" t="s">
        <v>84</v>
      </c>
      <c r="F323" t="str">
        <f>'Source Table'!$B$14</f>
        <v>Religious Magazines &amp; Periodicals</v>
      </c>
      <c r="G323" t="str">
        <f>'Source Table'!$K$14</f>
        <v>المجلات والدوريات الدينية</v>
      </c>
      <c r="H323" t="str">
        <f>'Source Table'!$H$6</f>
        <v>Monthly</v>
      </c>
      <c r="I323" t="str">
        <f>'Source Table'!$H$5</f>
        <v>شهرية</v>
      </c>
      <c r="J323" s="27">
        <v>6</v>
      </c>
      <c r="K323">
        <v>2020</v>
      </c>
    </row>
    <row r="324" ht="15.75" spans="1:11">
      <c r="A324" s="1" t="s">
        <v>5</v>
      </c>
      <c r="B324" s="1" t="s">
        <v>7</v>
      </c>
      <c r="C324" s="2" t="s">
        <v>82</v>
      </c>
      <c r="D324" s="3" t="s">
        <v>83</v>
      </c>
      <c r="E324" s="4" t="s">
        <v>84</v>
      </c>
      <c r="F324" t="str">
        <f>'Source Table'!$B$15</f>
        <v>Scientific Magazines &amp; Periodicals</v>
      </c>
      <c r="G324" t="str">
        <f>'Source Table'!$K$15</f>
        <v>المجلات والدوريات العلمية</v>
      </c>
      <c r="H324" t="str">
        <f>'Source Table'!$H$6</f>
        <v>Monthly</v>
      </c>
      <c r="I324" t="str">
        <f>'Source Table'!$H$5</f>
        <v>شهرية</v>
      </c>
      <c r="J324" s="27">
        <v>12</v>
      </c>
      <c r="K324">
        <v>2020</v>
      </c>
    </row>
    <row r="325" ht="15.75" spans="1:11">
      <c r="A325" s="1" t="s">
        <v>5</v>
      </c>
      <c r="B325" s="1" t="s">
        <v>7</v>
      </c>
      <c r="C325" s="2" t="s">
        <v>82</v>
      </c>
      <c r="D325" s="3" t="s">
        <v>83</v>
      </c>
      <c r="E325" s="4" t="s">
        <v>84</v>
      </c>
      <c r="F325" t="str">
        <f>'Source Table'!$B$16</f>
        <v>Financial Magazines &amp; Periodicals</v>
      </c>
      <c r="G325" t="str">
        <f>'Source Table'!$K$16</f>
        <v>المجلات والدوريات المالية</v>
      </c>
      <c r="H325" t="str">
        <f>'Source Table'!$H$6</f>
        <v>Monthly</v>
      </c>
      <c r="I325" t="str">
        <f>'Source Table'!$H$5</f>
        <v>شهرية</v>
      </c>
      <c r="J325" s="27">
        <v>11</v>
      </c>
      <c r="K325">
        <v>2020</v>
      </c>
    </row>
    <row r="326" ht="15.75" spans="1:11">
      <c r="A326" s="1" t="s">
        <v>5</v>
      </c>
      <c r="B326" s="1" t="s">
        <v>7</v>
      </c>
      <c r="C326" s="2" t="s">
        <v>82</v>
      </c>
      <c r="D326" s="3" t="s">
        <v>83</v>
      </c>
      <c r="E326" s="4" t="s">
        <v>84</v>
      </c>
      <c r="F326" t="str">
        <f>'Source Table'!$B$17</f>
        <v>Tourist Magazines &amp; Periodicals</v>
      </c>
      <c r="G326" t="str">
        <f>'Source Table'!$K$17</f>
        <v>المجلات والدوريات سياحية</v>
      </c>
      <c r="H326" t="str">
        <f>'Source Table'!$H$6</f>
        <v>Monthly</v>
      </c>
      <c r="I326" t="str">
        <f>'Source Table'!$H$5</f>
        <v>شهرية</v>
      </c>
      <c r="J326" s="27">
        <v>12</v>
      </c>
      <c r="K326">
        <v>2020</v>
      </c>
    </row>
    <row r="327" ht="16.5" spans="1:11">
      <c r="A327" s="1" t="s">
        <v>5</v>
      </c>
      <c r="B327" s="1" t="s">
        <v>7</v>
      </c>
      <c r="C327" s="2" t="s">
        <v>82</v>
      </c>
      <c r="D327" s="3" t="s">
        <v>83</v>
      </c>
      <c r="E327" s="4" t="s">
        <v>84</v>
      </c>
      <c r="F327" t="str">
        <f>'Source Table'!$B$18</f>
        <v>Other Magazines &amp; Periodicals</v>
      </c>
      <c r="G327" t="str">
        <f>'Source Table'!$K$18</f>
        <v>المجلات والدوريات أخرى</v>
      </c>
      <c r="H327" t="str">
        <f>'Source Table'!$H$6</f>
        <v>Monthly</v>
      </c>
      <c r="I327" t="str">
        <f>'Source Table'!$H$5</f>
        <v>شهرية</v>
      </c>
      <c r="J327" s="28">
        <v>205</v>
      </c>
      <c r="K327">
        <v>2020</v>
      </c>
    </row>
    <row r="328" ht="15.75" spans="1:11">
      <c r="A328" s="1" t="s">
        <v>5</v>
      </c>
      <c r="B328" s="1" t="s">
        <v>7</v>
      </c>
      <c r="C328" s="2" t="s">
        <v>82</v>
      </c>
      <c r="D328" s="3" t="s">
        <v>83</v>
      </c>
      <c r="E328" s="4" t="s">
        <v>84</v>
      </c>
      <c r="F328" t="str">
        <f>'Source Table'!$B$7</f>
        <v>Political Newspapers</v>
      </c>
      <c r="G328" t="str">
        <f>'Source Table'!$K$7</f>
        <v>صحف سياسية</v>
      </c>
      <c r="I328" t="str">
        <f>'Source Table'!$G$5</f>
        <v>فصلية</v>
      </c>
      <c r="J328" s="25">
        <v>0</v>
      </c>
      <c r="K328">
        <v>2020</v>
      </c>
    </row>
    <row r="329" ht="15.75" spans="1:11">
      <c r="A329" s="1" t="s">
        <v>5</v>
      </c>
      <c r="B329" s="1" t="s">
        <v>7</v>
      </c>
      <c r="C329" s="2" t="s">
        <v>82</v>
      </c>
      <c r="D329" s="3" t="s">
        <v>83</v>
      </c>
      <c r="E329" s="4" t="s">
        <v>84</v>
      </c>
      <c r="F329" t="str">
        <f>'Source Table'!$B$8</f>
        <v>Parties Newspapers</v>
      </c>
      <c r="G329" t="str">
        <f>'Source Table'!$K$8</f>
        <v>صحف حزبية</v>
      </c>
      <c r="I329" t="str">
        <f>'Source Table'!$G$5</f>
        <v>فصلية</v>
      </c>
      <c r="J329" s="25">
        <v>0</v>
      </c>
      <c r="K329">
        <v>2020</v>
      </c>
    </row>
    <row r="330" ht="15.75" spans="1:11">
      <c r="A330" s="1" t="s">
        <v>5</v>
      </c>
      <c r="B330" s="1" t="s">
        <v>7</v>
      </c>
      <c r="C330" s="2" t="s">
        <v>82</v>
      </c>
      <c r="D330" s="3" t="s">
        <v>83</v>
      </c>
      <c r="E330" s="4" t="s">
        <v>84</v>
      </c>
      <c r="F330" t="str">
        <f>'Source Table'!$B$9</f>
        <v>Children Magazines &amp; Periodicals</v>
      </c>
      <c r="G330" t="str">
        <f>'Source Table'!$K$9</f>
        <v>المجلات والدوريات الأطفال</v>
      </c>
      <c r="I330" t="str">
        <f>'Source Table'!$G$5</f>
        <v>فصلية</v>
      </c>
      <c r="J330" s="25">
        <v>0</v>
      </c>
      <c r="K330">
        <v>2020</v>
      </c>
    </row>
    <row r="331" ht="15.75" spans="1:11">
      <c r="A331" s="1" t="s">
        <v>5</v>
      </c>
      <c r="B331" s="1" t="s">
        <v>7</v>
      </c>
      <c r="C331" s="2" t="s">
        <v>82</v>
      </c>
      <c r="D331" s="3" t="s">
        <v>83</v>
      </c>
      <c r="E331" s="4" t="s">
        <v>84</v>
      </c>
      <c r="F331" t="str">
        <f>'Source Table'!$B$10</f>
        <v>Economic Magazines &amp; Periodicals</v>
      </c>
      <c r="G331" t="str">
        <f>'Source Table'!$K$10</f>
        <v>المجلات والدوريات الاقتصادية</v>
      </c>
      <c r="I331" t="str">
        <f>'Source Table'!$G$5</f>
        <v>فصلية</v>
      </c>
      <c r="J331" s="25">
        <v>28</v>
      </c>
      <c r="K331">
        <v>2020</v>
      </c>
    </row>
    <row r="332" ht="15.75" spans="1:11">
      <c r="A332" s="1" t="s">
        <v>5</v>
      </c>
      <c r="B332" s="1" t="s">
        <v>7</v>
      </c>
      <c r="C332" s="2" t="s">
        <v>82</v>
      </c>
      <c r="D332" s="3" t="s">
        <v>83</v>
      </c>
      <c r="E332" s="4" t="s">
        <v>84</v>
      </c>
      <c r="F332" t="str">
        <f>'Source Table'!$B$11</f>
        <v>Army &amp; Police Magazines &amp; Periodicals</v>
      </c>
      <c r="G332" t="str">
        <f>'Source Table'!$K$11</f>
        <v>المجلات والدوريات العسكرية و شرطية</v>
      </c>
      <c r="I332" t="str">
        <f>'Source Table'!$G$5</f>
        <v>فصلية</v>
      </c>
      <c r="J332" s="25">
        <v>0</v>
      </c>
      <c r="K332">
        <v>2020</v>
      </c>
    </row>
    <row r="333" ht="15.75" spans="1:11">
      <c r="A333" s="1" t="s">
        <v>5</v>
      </c>
      <c r="B333" s="1" t="s">
        <v>7</v>
      </c>
      <c r="C333" s="2" t="s">
        <v>82</v>
      </c>
      <c r="D333" s="3" t="s">
        <v>83</v>
      </c>
      <c r="E333" s="4" t="s">
        <v>84</v>
      </c>
      <c r="F333" t="str">
        <f>'Source Table'!$B$12</f>
        <v>Youths &amp; Arts Magazines &amp; Periodicals</v>
      </c>
      <c r="G333" t="str">
        <f>'Source Table'!$K$12</f>
        <v>المجلات والدوريات الشباب و الفنون</v>
      </c>
      <c r="I333" t="str">
        <f>'Source Table'!$G$5</f>
        <v>فصلية</v>
      </c>
      <c r="J333" s="25">
        <v>5</v>
      </c>
      <c r="K333">
        <v>2020</v>
      </c>
    </row>
    <row r="334" ht="15.75" spans="1:11">
      <c r="A334" s="1" t="s">
        <v>5</v>
      </c>
      <c r="B334" s="1" t="s">
        <v>7</v>
      </c>
      <c r="C334" s="2" t="s">
        <v>82</v>
      </c>
      <c r="D334" s="3" t="s">
        <v>83</v>
      </c>
      <c r="E334" s="4" t="s">
        <v>84</v>
      </c>
      <c r="F334" t="str">
        <f>'Source Table'!$B$13</f>
        <v>Cultural &amp; Educational Magazines &amp; Periodicals</v>
      </c>
      <c r="G334" t="str">
        <f>'Source Table'!$K$13</f>
        <v>المجلات والدوريات الثقافية و المدرسية</v>
      </c>
      <c r="I334" t="str">
        <f>'Source Table'!$G$5</f>
        <v>فصلية</v>
      </c>
      <c r="J334" s="25">
        <v>21</v>
      </c>
      <c r="K334">
        <v>2020</v>
      </c>
    </row>
    <row r="335" ht="15.75" spans="1:11">
      <c r="A335" s="1" t="s">
        <v>5</v>
      </c>
      <c r="B335" s="1" t="s">
        <v>7</v>
      </c>
      <c r="C335" s="2" t="s">
        <v>82</v>
      </c>
      <c r="D335" s="3" t="s">
        <v>83</v>
      </c>
      <c r="E335" s="4" t="s">
        <v>84</v>
      </c>
      <c r="F335" t="str">
        <f>'Source Table'!$B$14</f>
        <v>Religious Magazines &amp; Periodicals</v>
      </c>
      <c r="G335" t="str">
        <f>'Source Table'!$K$14</f>
        <v>المجلات والدوريات الدينية</v>
      </c>
      <c r="I335" t="str">
        <f>'Source Table'!$G$5</f>
        <v>فصلية</v>
      </c>
      <c r="J335" s="25">
        <v>2</v>
      </c>
      <c r="K335">
        <v>2020</v>
      </c>
    </row>
    <row r="336" ht="15.75" spans="1:11">
      <c r="A336" s="1" t="s">
        <v>5</v>
      </c>
      <c r="B336" s="1" t="s">
        <v>7</v>
      </c>
      <c r="C336" s="2" t="s">
        <v>82</v>
      </c>
      <c r="D336" s="3" t="s">
        <v>83</v>
      </c>
      <c r="E336" s="4" t="s">
        <v>84</v>
      </c>
      <c r="F336" t="str">
        <f>'Source Table'!$B$15</f>
        <v>Scientific Magazines &amp; Periodicals</v>
      </c>
      <c r="G336" t="str">
        <f>'Source Table'!$K$15</f>
        <v>المجلات والدوريات العلمية</v>
      </c>
      <c r="I336" t="str">
        <f>'Source Table'!$G$5</f>
        <v>فصلية</v>
      </c>
      <c r="J336" s="25">
        <v>25</v>
      </c>
      <c r="K336">
        <v>2020</v>
      </c>
    </row>
    <row r="337" ht="15.75" spans="1:11">
      <c r="A337" s="1" t="s">
        <v>5</v>
      </c>
      <c r="B337" s="1" t="s">
        <v>7</v>
      </c>
      <c r="C337" s="2" t="s">
        <v>82</v>
      </c>
      <c r="D337" s="3" t="s">
        <v>83</v>
      </c>
      <c r="E337" s="4" t="s">
        <v>84</v>
      </c>
      <c r="F337" t="str">
        <f>'Source Table'!$B$16</f>
        <v>Financial Magazines &amp; Periodicals</v>
      </c>
      <c r="G337" t="str">
        <f>'Source Table'!$K$16</f>
        <v>المجلات والدوريات المالية</v>
      </c>
      <c r="I337" t="str">
        <f>'Source Table'!$G$5</f>
        <v>فصلية</v>
      </c>
      <c r="J337" s="25">
        <v>6</v>
      </c>
      <c r="K337">
        <v>2020</v>
      </c>
    </row>
    <row r="338" ht="15.75" spans="1:11">
      <c r="A338" s="1" t="s">
        <v>5</v>
      </c>
      <c r="B338" s="1" t="s">
        <v>7</v>
      </c>
      <c r="C338" s="2" t="s">
        <v>82</v>
      </c>
      <c r="D338" s="3" t="s">
        <v>83</v>
      </c>
      <c r="E338" s="4" t="s">
        <v>84</v>
      </c>
      <c r="F338" t="str">
        <f>'Source Table'!$B$17</f>
        <v>Tourist Magazines &amp; Periodicals</v>
      </c>
      <c r="G338" t="str">
        <f>'Source Table'!$K$17</f>
        <v>المجلات والدوريات سياحية</v>
      </c>
      <c r="I338" t="str">
        <f>'Source Table'!$G$5</f>
        <v>فصلية</v>
      </c>
      <c r="J338" s="25">
        <v>3</v>
      </c>
      <c r="K338">
        <v>2020</v>
      </c>
    </row>
    <row r="339" ht="16.5" spans="1:11">
      <c r="A339" s="1" t="s">
        <v>5</v>
      </c>
      <c r="B339" s="1" t="s">
        <v>7</v>
      </c>
      <c r="C339" s="2" t="s">
        <v>82</v>
      </c>
      <c r="D339" s="3" t="s">
        <v>83</v>
      </c>
      <c r="E339" s="4" t="s">
        <v>84</v>
      </c>
      <c r="F339" t="str">
        <f>'Source Table'!$B$18</f>
        <v>Other Magazines &amp; Periodicals</v>
      </c>
      <c r="G339" t="str">
        <f>'Source Table'!$K$18</f>
        <v>المجلات والدوريات أخرى</v>
      </c>
      <c r="I339" t="str">
        <f>'Source Table'!$G$5</f>
        <v>فصلية</v>
      </c>
      <c r="J339" s="26">
        <v>112</v>
      </c>
      <c r="K339">
        <v>2020</v>
      </c>
    </row>
    <row r="340" ht="15.75" spans="1:11">
      <c r="A340" s="1" t="s">
        <v>5</v>
      </c>
      <c r="B340" s="1" t="s">
        <v>7</v>
      </c>
      <c r="C340" s="2" t="s">
        <v>82</v>
      </c>
      <c r="D340" s="3" t="s">
        <v>83</v>
      </c>
      <c r="E340" s="4" t="s">
        <v>84</v>
      </c>
      <c r="F340" t="str">
        <f>'Source Table'!$B$7</f>
        <v>Political Newspapers</v>
      </c>
      <c r="G340" t="str">
        <f>'Source Table'!$K$7</f>
        <v>صحف سياسية</v>
      </c>
      <c r="I340" t="str">
        <f>'Source Table'!$F$5</f>
        <v>سنوية</v>
      </c>
      <c r="J340" s="25">
        <v>0</v>
      </c>
      <c r="K340">
        <v>2020</v>
      </c>
    </row>
    <row r="341" ht="15.75" spans="1:11">
      <c r="A341" s="1" t="s">
        <v>5</v>
      </c>
      <c r="B341" s="1" t="s">
        <v>7</v>
      </c>
      <c r="C341" s="2" t="s">
        <v>82</v>
      </c>
      <c r="D341" s="3" t="s">
        <v>83</v>
      </c>
      <c r="E341" s="4" t="s">
        <v>84</v>
      </c>
      <c r="F341" t="str">
        <f>'Source Table'!$B$8</f>
        <v>Parties Newspapers</v>
      </c>
      <c r="G341" t="str">
        <f>'Source Table'!$K$8</f>
        <v>صحف حزبية</v>
      </c>
      <c r="I341" t="str">
        <f>'Source Table'!$F$5</f>
        <v>سنوية</v>
      </c>
      <c r="J341" s="25">
        <v>0</v>
      </c>
      <c r="K341">
        <v>2020</v>
      </c>
    </row>
    <row r="342" ht="15.75" spans="1:11">
      <c r="A342" s="1" t="s">
        <v>5</v>
      </c>
      <c r="B342" s="1" t="s">
        <v>7</v>
      </c>
      <c r="C342" s="2" t="s">
        <v>82</v>
      </c>
      <c r="D342" s="3" t="s">
        <v>83</v>
      </c>
      <c r="E342" s="4" t="s">
        <v>84</v>
      </c>
      <c r="F342" t="str">
        <f>'Source Table'!$B$9</f>
        <v>Children Magazines &amp; Periodicals</v>
      </c>
      <c r="G342" t="str">
        <f>'Source Table'!$K$9</f>
        <v>المجلات والدوريات الأطفال</v>
      </c>
      <c r="I342" t="str">
        <f>'Source Table'!$F$5</f>
        <v>سنوية</v>
      </c>
      <c r="J342" s="25">
        <v>0</v>
      </c>
      <c r="K342">
        <v>2020</v>
      </c>
    </row>
    <row r="343" ht="15.75" spans="1:11">
      <c r="A343" s="1" t="s">
        <v>5</v>
      </c>
      <c r="B343" s="1" t="s">
        <v>7</v>
      </c>
      <c r="C343" s="2" t="s">
        <v>82</v>
      </c>
      <c r="D343" s="3" t="s">
        <v>83</v>
      </c>
      <c r="E343" s="4" t="s">
        <v>84</v>
      </c>
      <c r="F343" t="str">
        <f>'Source Table'!$B$10</f>
        <v>Economic Magazines &amp; Periodicals</v>
      </c>
      <c r="G343" t="str">
        <f>'Source Table'!$K$10</f>
        <v>المجلات والدوريات الاقتصادية</v>
      </c>
      <c r="I343" t="str">
        <f>'Source Table'!$F$5</f>
        <v>سنوية</v>
      </c>
      <c r="J343" s="25">
        <v>8</v>
      </c>
      <c r="K343">
        <v>2020</v>
      </c>
    </row>
    <row r="344" ht="15.75" spans="1:11">
      <c r="A344" s="1" t="s">
        <v>5</v>
      </c>
      <c r="B344" s="1" t="s">
        <v>7</v>
      </c>
      <c r="C344" s="2" t="s">
        <v>82</v>
      </c>
      <c r="D344" s="3" t="s">
        <v>83</v>
      </c>
      <c r="E344" s="4" t="s">
        <v>84</v>
      </c>
      <c r="F344" t="str">
        <f>'Source Table'!$B$11</f>
        <v>Army &amp; Police Magazines &amp; Periodicals</v>
      </c>
      <c r="G344" t="str">
        <f>'Source Table'!$K$11</f>
        <v>المجلات والدوريات العسكرية و شرطية</v>
      </c>
      <c r="I344" t="str">
        <f>'Source Table'!$F$5</f>
        <v>سنوية</v>
      </c>
      <c r="J344" s="25">
        <v>0</v>
      </c>
      <c r="K344">
        <v>2020</v>
      </c>
    </row>
    <row r="345" ht="15.75" spans="1:11">
      <c r="A345" s="1" t="s">
        <v>5</v>
      </c>
      <c r="B345" s="1" t="s">
        <v>7</v>
      </c>
      <c r="C345" s="2" t="s">
        <v>82</v>
      </c>
      <c r="D345" s="3" t="s">
        <v>83</v>
      </c>
      <c r="E345" s="4" t="s">
        <v>84</v>
      </c>
      <c r="F345" t="str">
        <f>'Source Table'!$B$12</f>
        <v>Youths &amp; Arts Magazines &amp; Periodicals</v>
      </c>
      <c r="G345" t="str">
        <f>'Source Table'!$K$12</f>
        <v>المجلات والدوريات الشباب و الفنون</v>
      </c>
      <c r="I345" t="str">
        <f>'Source Table'!$F$5</f>
        <v>سنوية</v>
      </c>
      <c r="J345" s="25">
        <v>1</v>
      </c>
      <c r="K345">
        <v>2020</v>
      </c>
    </row>
    <row r="346" ht="15.75" spans="1:11">
      <c r="A346" s="1" t="s">
        <v>5</v>
      </c>
      <c r="B346" s="1" t="s">
        <v>7</v>
      </c>
      <c r="C346" s="2" t="s">
        <v>82</v>
      </c>
      <c r="D346" s="3" t="s">
        <v>83</v>
      </c>
      <c r="E346" s="4" t="s">
        <v>84</v>
      </c>
      <c r="F346" t="str">
        <f>'Source Table'!$B$13</f>
        <v>Cultural &amp; Educational Magazines &amp; Periodicals</v>
      </c>
      <c r="G346" t="str">
        <f>'Source Table'!$K$13</f>
        <v>المجلات والدوريات الثقافية و المدرسية</v>
      </c>
      <c r="I346" t="str">
        <f>'Source Table'!$F$5</f>
        <v>سنوية</v>
      </c>
      <c r="J346" s="25">
        <v>2</v>
      </c>
      <c r="K346">
        <v>2020</v>
      </c>
    </row>
    <row r="347" ht="15.75" spans="1:11">
      <c r="A347" s="1" t="s">
        <v>5</v>
      </c>
      <c r="B347" s="1" t="s">
        <v>7</v>
      </c>
      <c r="C347" s="2" t="s">
        <v>82</v>
      </c>
      <c r="D347" s="3" t="s">
        <v>83</v>
      </c>
      <c r="E347" s="4" t="s">
        <v>84</v>
      </c>
      <c r="F347" t="str">
        <f>'Source Table'!$B$14</f>
        <v>Religious Magazines &amp; Periodicals</v>
      </c>
      <c r="G347" t="str">
        <f>'Source Table'!$K$14</f>
        <v>المجلات والدوريات الدينية</v>
      </c>
      <c r="I347" t="str">
        <f>'Source Table'!$F$5</f>
        <v>سنوية</v>
      </c>
      <c r="J347" s="25">
        <v>0</v>
      </c>
      <c r="K347">
        <v>2020</v>
      </c>
    </row>
    <row r="348" ht="15.75" spans="1:11">
      <c r="A348" s="1" t="s">
        <v>5</v>
      </c>
      <c r="B348" s="1" t="s">
        <v>7</v>
      </c>
      <c r="C348" s="2" t="s">
        <v>82</v>
      </c>
      <c r="D348" s="3" t="s">
        <v>83</v>
      </c>
      <c r="E348" s="4" t="s">
        <v>84</v>
      </c>
      <c r="F348" t="str">
        <f>'Source Table'!$B$15</f>
        <v>Scientific Magazines &amp; Periodicals</v>
      </c>
      <c r="G348" t="str">
        <f>'Source Table'!$K$15</f>
        <v>المجلات والدوريات العلمية</v>
      </c>
      <c r="I348" t="str">
        <f>'Source Table'!$F$5</f>
        <v>سنوية</v>
      </c>
      <c r="J348" s="25">
        <v>8</v>
      </c>
      <c r="K348">
        <v>2020</v>
      </c>
    </row>
    <row r="349" ht="15.75" spans="1:11">
      <c r="A349" s="1" t="s">
        <v>5</v>
      </c>
      <c r="B349" s="1" t="s">
        <v>7</v>
      </c>
      <c r="C349" s="2" t="s">
        <v>82</v>
      </c>
      <c r="D349" s="3" t="s">
        <v>83</v>
      </c>
      <c r="E349" s="4" t="s">
        <v>84</v>
      </c>
      <c r="F349" t="str">
        <f>'Source Table'!$B$16</f>
        <v>Financial Magazines &amp; Periodicals</v>
      </c>
      <c r="G349" t="str">
        <f>'Source Table'!$K$16</f>
        <v>المجلات والدوريات المالية</v>
      </c>
      <c r="I349" t="str">
        <f>'Source Table'!$F$5</f>
        <v>سنوية</v>
      </c>
      <c r="J349" s="25">
        <v>1</v>
      </c>
      <c r="K349">
        <v>2020</v>
      </c>
    </row>
    <row r="350" ht="15.75" spans="1:11">
      <c r="A350" s="1" t="s">
        <v>5</v>
      </c>
      <c r="B350" s="1" t="s">
        <v>7</v>
      </c>
      <c r="C350" s="2" t="s">
        <v>82</v>
      </c>
      <c r="D350" s="3" t="s">
        <v>83</v>
      </c>
      <c r="E350" s="4" t="s">
        <v>84</v>
      </c>
      <c r="F350" t="str">
        <f>'Source Table'!$B$17</f>
        <v>Tourist Magazines &amp; Periodicals</v>
      </c>
      <c r="G350" t="str">
        <f>'Source Table'!$K$17</f>
        <v>المجلات والدوريات سياحية</v>
      </c>
      <c r="I350" t="str">
        <f>'Source Table'!$F$5</f>
        <v>سنوية</v>
      </c>
      <c r="J350" s="25">
        <v>0</v>
      </c>
      <c r="K350">
        <v>2020</v>
      </c>
    </row>
    <row r="351" ht="16.5" spans="1:11">
      <c r="A351" s="1" t="s">
        <v>5</v>
      </c>
      <c r="B351" s="1" t="s">
        <v>7</v>
      </c>
      <c r="C351" s="2" t="s">
        <v>82</v>
      </c>
      <c r="D351" s="3" t="s">
        <v>83</v>
      </c>
      <c r="E351" s="4" t="s">
        <v>84</v>
      </c>
      <c r="F351" t="str">
        <f>'Source Table'!$B$18</f>
        <v>Other Magazines &amp; Periodicals</v>
      </c>
      <c r="G351" t="str">
        <f>'Source Table'!$K$18</f>
        <v>المجلات والدوريات أخرى</v>
      </c>
      <c r="I351" t="str">
        <f>'Source Table'!$F$5</f>
        <v>سنوية</v>
      </c>
      <c r="J351" s="26">
        <v>10</v>
      </c>
      <c r="K351">
        <v>2020</v>
      </c>
    </row>
    <row r="352" ht="15.75" spans="1:11">
      <c r="A352" s="1" t="s">
        <v>5</v>
      </c>
      <c r="B352" s="1" t="s">
        <v>7</v>
      </c>
      <c r="C352" s="2" t="s">
        <v>82</v>
      </c>
      <c r="D352" s="3" t="s">
        <v>83</v>
      </c>
      <c r="E352" s="4" t="s">
        <v>84</v>
      </c>
      <c r="F352" t="str">
        <f>'Source Table'!$B$7</f>
        <v>Political Newspapers</v>
      </c>
      <c r="G352" t="str">
        <f>'Source Table'!$K$7</f>
        <v>صحف سياسية</v>
      </c>
      <c r="I352" t="str">
        <f>'Source Table'!$E$5</f>
        <v>كل شهرين</v>
      </c>
      <c r="J352" s="27">
        <v>0</v>
      </c>
      <c r="K352">
        <v>2020</v>
      </c>
    </row>
    <row r="353" ht="15.75" spans="1:11">
      <c r="A353" s="1" t="s">
        <v>5</v>
      </c>
      <c r="B353" s="1" t="s">
        <v>7</v>
      </c>
      <c r="C353" s="2" t="s">
        <v>82</v>
      </c>
      <c r="D353" s="3" t="s">
        <v>83</v>
      </c>
      <c r="E353" s="4" t="s">
        <v>84</v>
      </c>
      <c r="F353" t="str">
        <f>'Source Table'!$B$8</f>
        <v>Parties Newspapers</v>
      </c>
      <c r="G353" t="str">
        <f>'Source Table'!$K$8</f>
        <v>صحف حزبية</v>
      </c>
      <c r="I353" t="str">
        <f>'Source Table'!$E$5</f>
        <v>كل شهرين</v>
      </c>
      <c r="J353" s="27">
        <v>0</v>
      </c>
      <c r="K353">
        <v>2020</v>
      </c>
    </row>
    <row r="354" ht="15.75" spans="1:11">
      <c r="A354" s="1" t="s">
        <v>5</v>
      </c>
      <c r="B354" s="1" t="s">
        <v>7</v>
      </c>
      <c r="C354" s="2" t="s">
        <v>82</v>
      </c>
      <c r="D354" s="3" t="s">
        <v>83</v>
      </c>
      <c r="E354" s="4" t="s">
        <v>84</v>
      </c>
      <c r="F354" t="str">
        <f>'Source Table'!$B$9</f>
        <v>Children Magazines &amp; Periodicals</v>
      </c>
      <c r="G354" t="str">
        <f>'Source Table'!$K$9</f>
        <v>المجلات والدوريات الأطفال</v>
      </c>
      <c r="I354" t="str">
        <f>'Source Table'!$E$5</f>
        <v>كل شهرين</v>
      </c>
      <c r="J354" s="27">
        <v>0</v>
      </c>
      <c r="K354">
        <v>2020</v>
      </c>
    </row>
    <row r="355" ht="15.75" spans="1:11">
      <c r="A355" s="1" t="s">
        <v>5</v>
      </c>
      <c r="B355" s="1" t="s">
        <v>7</v>
      </c>
      <c r="C355" s="2" t="s">
        <v>82</v>
      </c>
      <c r="D355" s="3" t="s">
        <v>83</v>
      </c>
      <c r="E355" s="4" t="s">
        <v>84</v>
      </c>
      <c r="F355" t="str">
        <f>'Source Table'!$B$10</f>
        <v>Economic Magazines &amp; Periodicals</v>
      </c>
      <c r="G355" t="str">
        <f>'Source Table'!$K$10</f>
        <v>المجلات والدوريات الاقتصادية</v>
      </c>
      <c r="I355" t="str">
        <f>'Source Table'!$E$5</f>
        <v>كل شهرين</v>
      </c>
      <c r="J355" s="27">
        <v>3</v>
      </c>
      <c r="K355">
        <v>2020</v>
      </c>
    </row>
    <row r="356" ht="15.75" spans="1:11">
      <c r="A356" s="1" t="s">
        <v>5</v>
      </c>
      <c r="B356" s="1" t="s">
        <v>7</v>
      </c>
      <c r="C356" s="2" t="s">
        <v>82</v>
      </c>
      <c r="D356" s="3" t="s">
        <v>83</v>
      </c>
      <c r="E356" s="4" t="s">
        <v>84</v>
      </c>
      <c r="F356" t="str">
        <f>'Source Table'!$B$11</f>
        <v>Army &amp; Police Magazines &amp; Periodicals</v>
      </c>
      <c r="G356" t="str">
        <f>'Source Table'!$K$11</f>
        <v>المجلات والدوريات العسكرية و شرطية</v>
      </c>
      <c r="I356" t="str">
        <f>'Source Table'!$E$5</f>
        <v>كل شهرين</v>
      </c>
      <c r="J356" s="27">
        <v>0</v>
      </c>
      <c r="K356">
        <v>2020</v>
      </c>
    </row>
    <row r="357" ht="15.75" spans="1:11">
      <c r="A357" s="1" t="s">
        <v>5</v>
      </c>
      <c r="B357" s="1" t="s">
        <v>7</v>
      </c>
      <c r="C357" s="2" t="s">
        <v>82</v>
      </c>
      <c r="D357" s="3" t="s">
        <v>83</v>
      </c>
      <c r="E357" s="4" t="s">
        <v>84</v>
      </c>
      <c r="F357" t="str">
        <f>'Source Table'!$B$12</f>
        <v>Youths &amp; Arts Magazines &amp; Periodicals</v>
      </c>
      <c r="G357" t="str">
        <f>'Source Table'!$K$12</f>
        <v>المجلات والدوريات الشباب و الفنون</v>
      </c>
      <c r="I357" t="str">
        <f>'Source Table'!$E$5</f>
        <v>كل شهرين</v>
      </c>
      <c r="J357" s="27">
        <v>0</v>
      </c>
      <c r="K357">
        <v>2020</v>
      </c>
    </row>
    <row r="358" ht="15.75" spans="1:11">
      <c r="A358" s="1" t="s">
        <v>5</v>
      </c>
      <c r="B358" s="1" t="s">
        <v>7</v>
      </c>
      <c r="C358" s="2" t="s">
        <v>82</v>
      </c>
      <c r="D358" s="3" t="s">
        <v>83</v>
      </c>
      <c r="E358" s="4" t="s">
        <v>84</v>
      </c>
      <c r="F358" t="str">
        <f>'Source Table'!$B$13</f>
        <v>Cultural &amp; Educational Magazines &amp; Periodicals</v>
      </c>
      <c r="G358" t="str">
        <f>'Source Table'!$K$13</f>
        <v>المجلات والدوريات الثقافية و المدرسية</v>
      </c>
      <c r="I358" t="str">
        <f>'Source Table'!$E$5</f>
        <v>كل شهرين</v>
      </c>
      <c r="J358" s="27">
        <v>3</v>
      </c>
      <c r="K358">
        <v>2020</v>
      </c>
    </row>
    <row r="359" ht="15.75" spans="1:11">
      <c r="A359" s="1" t="s">
        <v>5</v>
      </c>
      <c r="B359" s="1" t="s">
        <v>7</v>
      </c>
      <c r="C359" s="2" t="s">
        <v>82</v>
      </c>
      <c r="D359" s="3" t="s">
        <v>83</v>
      </c>
      <c r="E359" s="4" t="s">
        <v>84</v>
      </c>
      <c r="F359" t="str">
        <f>'Source Table'!$B$14</f>
        <v>Religious Magazines &amp; Periodicals</v>
      </c>
      <c r="G359" t="str">
        <f>'Source Table'!$K$14</f>
        <v>المجلات والدوريات الدينية</v>
      </c>
      <c r="I359" t="str">
        <f>'Source Table'!$E$5</f>
        <v>كل شهرين</v>
      </c>
      <c r="J359" s="27">
        <v>0</v>
      </c>
      <c r="K359">
        <v>2020</v>
      </c>
    </row>
    <row r="360" ht="15.75" spans="1:11">
      <c r="A360" s="1" t="s">
        <v>5</v>
      </c>
      <c r="B360" s="1" t="s">
        <v>7</v>
      </c>
      <c r="C360" s="2" t="s">
        <v>82</v>
      </c>
      <c r="D360" s="3" t="s">
        <v>83</v>
      </c>
      <c r="E360" s="4" t="s">
        <v>84</v>
      </c>
      <c r="F360" t="str">
        <f>'Source Table'!$B$15</f>
        <v>Scientific Magazines &amp; Periodicals</v>
      </c>
      <c r="G360" t="str">
        <f>'Source Table'!$K$15</f>
        <v>المجلات والدوريات العلمية</v>
      </c>
      <c r="I360" t="str">
        <f>'Source Table'!$E$5</f>
        <v>كل شهرين</v>
      </c>
      <c r="J360" s="27">
        <v>0</v>
      </c>
      <c r="K360">
        <v>2020</v>
      </c>
    </row>
    <row r="361" ht="15.75" spans="1:11">
      <c r="A361" s="1" t="s">
        <v>5</v>
      </c>
      <c r="B361" s="1" t="s">
        <v>7</v>
      </c>
      <c r="C361" s="2" t="s">
        <v>82</v>
      </c>
      <c r="D361" s="3" t="s">
        <v>83</v>
      </c>
      <c r="E361" s="4" t="s">
        <v>84</v>
      </c>
      <c r="F361" t="str">
        <f>'Source Table'!$B$16</f>
        <v>Financial Magazines &amp; Periodicals</v>
      </c>
      <c r="G361" t="str">
        <f>'Source Table'!$K$16</f>
        <v>المجلات والدوريات المالية</v>
      </c>
      <c r="I361" t="str">
        <f>'Source Table'!$E$5</f>
        <v>كل شهرين</v>
      </c>
      <c r="J361" s="27">
        <v>1</v>
      </c>
      <c r="K361">
        <v>2020</v>
      </c>
    </row>
    <row r="362" ht="15.75" spans="1:11">
      <c r="A362" s="1" t="s">
        <v>5</v>
      </c>
      <c r="B362" s="1" t="s">
        <v>7</v>
      </c>
      <c r="C362" s="2" t="s">
        <v>82</v>
      </c>
      <c r="D362" s="3" t="s">
        <v>83</v>
      </c>
      <c r="E362" s="4" t="s">
        <v>84</v>
      </c>
      <c r="F362" t="str">
        <f>'Source Table'!$B$17</f>
        <v>Tourist Magazines &amp; Periodicals</v>
      </c>
      <c r="G362" t="str">
        <f>'Source Table'!$K$17</f>
        <v>المجلات والدوريات سياحية</v>
      </c>
      <c r="I362" t="str">
        <f>'Source Table'!$E$5</f>
        <v>كل شهرين</v>
      </c>
      <c r="J362" s="27">
        <v>2</v>
      </c>
      <c r="K362">
        <v>2020</v>
      </c>
    </row>
    <row r="363" ht="16.5" spans="1:11">
      <c r="A363" s="1" t="s">
        <v>5</v>
      </c>
      <c r="B363" s="1" t="s">
        <v>7</v>
      </c>
      <c r="C363" s="2" t="s">
        <v>82</v>
      </c>
      <c r="D363" s="3" t="s">
        <v>83</v>
      </c>
      <c r="E363" s="4" t="s">
        <v>84</v>
      </c>
      <c r="F363" t="str">
        <f>'Source Table'!$B$18</f>
        <v>Other Magazines &amp; Periodicals</v>
      </c>
      <c r="G363" t="str">
        <f>'Source Table'!$K$18</f>
        <v>المجلات والدوريات أخرى</v>
      </c>
      <c r="I363" t="str">
        <f>'Source Table'!$E$5</f>
        <v>كل شهرين</v>
      </c>
      <c r="J363" s="28">
        <v>5</v>
      </c>
      <c r="K363">
        <v>2020</v>
      </c>
    </row>
    <row r="364" ht="15.75" spans="1:11">
      <c r="A364" s="1" t="s">
        <v>5</v>
      </c>
      <c r="B364" s="1" t="s">
        <v>7</v>
      </c>
      <c r="C364" s="2" t="s">
        <v>82</v>
      </c>
      <c r="D364" s="3" t="s">
        <v>83</v>
      </c>
      <c r="E364" s="4" t="s">
        <v>84</v>
      </c>
      <c r="F364" t="str">
        <f>'Source Table'!$B$7</f>
        <v>Political Newspapers</v>
      </c>
      <c r="G364" t="str">
        <f>'Source Table'!$K$7</f>
        <v>صحف سياسية</v>
      </c>
      <c r="I364" t="str">
        <f>'Source Table'!$D$5</f>
        <v>نصف سنوية</v>
      </c>
      <c r="J364" s="27">
        <v>0</v>
      </c>
      <c r="K364">
        <v>2020</v>
      </c>
    </row>
    <row r="365" ht="15.75" spans="1:11">
      <c r="A365" s="1" t="s">
        <v>5</v>
      </c>
      <c r="B365" s="1" t="s">
        <v>7</v>
      </c>
      <c r="C365" s="2" t="s">
        <v>82</v>
      </c>
      <c r="D365" s="3" t="s">
        <v>83</v>
      </c>
      <c r="E365" s="4" t="s">
        <v>84</v>
      </c>
      <c r="F365" t="str">
        <f>'Source Table'!$B$8</f>
        <v>Parties Newspapers</v>
      </c>
      <c r="G365" t="str">
        <f>'Source Table'!$K$8</f>
        <v>صحف حزبية</v>
      </c>
      <c r="I365" t="str">
        <f>'Source Table'!$D$5</f>
        <v>نصف سنوية</v>
      </c>
      <c r="J365" s="27">
        <v>1</v>
      </c>
      <c r="K365">
        <v>2020</v>
      </c>
    </row>
    <row r="366" ht="15.75" spans="1:11">
      <c r="A366" s="1" t="s">
        <v>5</v>
      </c>
      <c r="B366" s="1" t="s">
        <v>7</v>
      </c>
      <c r="C366" s="2" t="s">
        <v>82</v>
      </c>
      <c r="D366" s="3" t="s">
        <v>83</v>
      </c>
      <c r="E366" s="4" t="s">
        <v>84</v>
      </c>
      <c r="F366" t="str">
        <f>'Source Table'!$B$9</f>
        <v>Children Magazines &amp; Periodicals</v>
      </c>
      <c r="G366" t="str">
        <f>'Source Table'!$K$9</f>
        <v>المجلات والدوريات الأطفال</v>
      </c>
      <c r="I366" t="str">
        <f>'Source Table'!$D$5</f>
        <v>نصف سنوية</v>
      </c>
      <c r="J366" s="27">
        <v>1</v>
      </c>
      <c r="K366">
        <v>2020</v>
      </c>
    </row>
    <row r="367" ht="15.75" spans="1:11">
      <c r="A367" s="1" t="s">
        <v>5</v>
      </c>
      <c r="B367" s="1" t="s">
        <v>7</v>
      </c>
      <c r="C367" s="2" t="s">
        <v>82</v>
      </c>
      <c r="D367" s="3" t="s">
        <v>83</v>
      </c>
      <c r="E367" s="4" t="s">
        <v>84</v>
      </c>
      <c r="F367" t="str">
        <f>'Source Table'!$B$10</f>
        <v>Economic Magazines &amp; Periodicals</v>
      </c>
      <c r="G367" t="str">
        <f>'Source Table'!$K$10</f>
        <v>المجلات والدوريات الاقتصادية</v>
      </c>
      <c r="I367" t="str">
        <f>'Source Table'!$D$5</f>
        <v>نصف سنوية</v>
      </c>
      <c r="J367" s="27">
        <v>0</v>
      </c>
      <c r="K367">
        <v>2020</v>
      </c>
    </row>
    <row r="368" ht="15.75" spans="1:11">
      <c r="A368" s="1" t="s">
        <v>5</v>
      </c>
      <c r="B368" s="1" t="s">
        <v>7</v>
      </c>
      <c r="C368" s="2" t="s">
        <v>82</v>
      </c>
      <c r="D368" s="3" t="s">
        <v>83</v>
      </c>
      <c r="E368" s="4" t="s">
        <v>84</v>
      </c>
      <c r="F368" t="str">
        <f>'Source Table'!$B$11</f>
        <v>Army &amp; Police Magazines &amp; Periodicals</v>
      </c>
      <c r="G368" t="str">
        <f>'Source Table'!$K$11</f>
        <v>المجلات والدوريات العسكرية و شرطية</v>
      </c>
      <c r="I368" t="str">
        <f>'Source Table'!$D$5</f>
        <v>نصف سنوية</v>
      </c>
      <c r="J368" s="27">
        <v>1</v>
      </c>
      <c r="K368">
        <v>2020</v>
      </c>
    </row>
    <row r="369" ht="15.75" spans="1:11">
      <c r="A369" s="1" t="s">
        <v>5</v>
      </c>
      <c r="B369" s="1" t="s">
        <v>7</v>
      </c>
      <c r="C369" s="2" t="s">
        <v>82</v>
      </c>
      <c r="D369" s="3" t="s">
        <v>83</v>
      </c>
      <c r="E369" s="4" t="s">
        <v>84</v>
      </c>
      <c r="F369" t="str">
        <f>'Source Table'!$B$12</f>
        <v>Youths &amp; Arts Magazines &amp; Periodicals</v>
      </c>
      <c r="G369" t="str">
        <f>'Source Table'!$K$12</f>
        <v>المجلات والدوريات الشباب و الفنون</v>
      </c>
      <c r="I369" t="str">
        <f>'Source Table'!$D$5</f>
        <v>نصف سنوية</v>
      </c>
      <c r="J369" s="27">
        <v>0</v>
      </c>
      <c r="K369">
        <v>2020</v>
      </c>
    </row>
    <row r="370" ht="15.75" spans="1:11">
      <c r="A370" s="1" t="s">
        <v>5</v>
      </c>
      <c r="B370" s="1" t="s">
        <v>7</v>
      </c>
      <c r="C370" s="2" t="s">
        <v>82</v>
      </c>
      <c r="D370" s="3" t="s">
        <v>83</v>
      </c>
      <c r="E370" s="4" t="s">
        <v>84</v>
      </c>
      <c r="F370" t="str">
        <f>'Source Table'!$B$13</f>
        <v>Cultural &amp; Educational Magazines &amp; Periodicals</v>
      </c>
      <c r="G370" t="str">
        <f>'Source Table'!$K$13</f>
        <v>المجلات والدوريات الثقافية و المدرسية</v>
      </c>
      <c r="I370" t="str">
        <f>'Source Table'!$D$5</f>
        <v>نصف سنوية</v>
      </c>
      <c r="J370" s="27">
        <v>2</v>
      </c>
      <c r="K370">
        <v>2020</v>
      </c>
    </row>
    <row r="371" ht="15.75" spans="1:11">
      <c r="A371" s="1" t="s">
        <v>5</v>
      </c>
      <c r="B371" s="1" t="s">
        <v>7</v>
      </c>
      <c r="C371" s="2" t="s">
        <v>82</v>
      </c>
      <c r="D371" s="3" t="s">
        <v>83</v>
      </c>
      <c r="E371" s="4" t="s">
        <v>84</v>
      </c>
      <c r="F371" t="str">
        <f>'Source Table'!$B$14</f>
        <v>Religious Magazines &amp; Periodicals</v>
      </c>
      <c r="G371" t="str">
        <f>'Source Table'!$K$14</f>
        <v>المجلات والدوريات الدينية</v>
      </c>
      <c r="I371" t="str">
        <f>'Source Table'!$D$5</f>
        <v>نصف سنوية</v>
      </c>
      <c r="J371" s="27">
        <v>0</v>
      </c>
      <c r="K371">
        <v>2020</v>
      </c>
    </row>
    <row r="372" ht="15.75" spans="1:11">
      <c r="A372" s="1" t="s">
        <v>5</v>
      </c>
      <c r="B372" s="1" t="s">
        <v>7</v>
      </c>
      <c r="C372" s="2" t="s">
        <v>82</v>
      </c>
      <c r="D372" s="3" t="s">
        <v>83</v>
      </c>
      <c r="E372" s="4" t="s">
        <v>84</v>
      </c>
      <c r="F372" t="str">
        <f>'Source Table'!$B$15</f>
        <v>Scientific Magazines &amp; Periodicals</v>
      </c>
      <c r="G372" t="str">
        <f>'Source Table'!$K$15</f>
        <v>المجلات والدوريات العلمية</v>
      </c>
      <c r="I372" t="str">
        <f>'Source Table'!$D$5</f>
        <v>نصف سنوية</v>
      </c>
      <c r="J372" s="27">
        <v>0</v>
      </c>
      <c r="K372">
        <v>2020</v>
      </c>
    </row>
    <row r="373" ht="15.75" spans="1:11">
      <c r="A373" s="1" t="s">
        <v>5</v>
      </c>
      <c r="B373" s="1" t="s">
        <v>7</v>
      </c>
      <c r="C373" s="2" t="s">
        <v>82</v>
      </c>
      <c r="D373" s="3" t="s">
        <v>83</v>
      </c>
      <c r="E373" s="4" t="s">
        <v>84</v>
      </c>
      <c r="F373" t="str">
        <f>'Source Table'!$B$16</f>
        <v>Financial Magazines &amp; Periodicals</v>
      </c>
      <c r="G373" t="str">
        <f>'Source Table'!$K$16</f>
        <v>المجلات والدوريات المالية</v>
      </c>
      <c r="I373" t="str">
        <f>'Source Table'!$D$5</f>
        <v>نصف سنوية</v>
      </c>
      <c r="J373" s="27">
        <v>1</v>
      </c>
      <c r="K373">
        <v>2020</v>
      </c>
    </row>
    <row r="374" ht="15.75" spans="1:11">
      <c r="A374" s="1" t="s">
        <v>5</v>
      </c>
      <c r="B374" s="1" t="s">
        <v>7</v>
      </c>
      <c r="C374" s="2" t="s">
        <v>82</v>
      </c>
      <c r="D374" s="3" t="s">
        <v>83</v>
      </c>
      <c r="E374" s="4" t="s">
        <v>84</v>
      </c>
      <c r="F374" t="str">
        <f>'Source Table'!$B$17</f>
        <v>Tourist Magazines &amp; Periodicals</v>
      </c>
      <c r="G374" t="str">
        <f>'Source Table'!$K$17</f>
        <v>المجلات والدوريات سياحية</v>
      </c>
      <c r="I374" t="str">
        <f>'Source Table'!$D$5</f>
        <v>نصف سنوية</v>
      </c>
      <c r="J374" s="27">
        <v>0</v>
      </c>
      <c r="K374">
        <v>2020</v>
      </c>
    </row>
    <row r="375" ht="16.5" spans="1:11">
      <c r="A375" s="1" t="s">
        <v>5</v>
      </c>
      <c r="B375" s="1" t="s">
        <v>7</v>
      </c>
      <c r="C375" s="2" t="s">
        <v>82</v>
      </c>
      <c r="D375" s="3" t="s">
        <v>83</v>
      </c>
      <c r="E375" s="4" t="s">
        <v>84</v>
      </c>
      <c r="F375" t="str">
        <f>'Source Table'!$B$18</f>
        <v>Other Magazines &amp; Periodicals</v>
      </c>
      <c r="G375" t="str">
        <f>'Source Table'!$K$18</f>
        <v>المجلات والدوريات أخرى</v>
      </c>
      <c r="I375" t="str">
        <f>'Source Table'!$D$5</f>
        <v>نصف سنوية</v>
      </c>
      <c r="J375" s="28">
        <v>25</v>
      </c>
      <c r="K375">
        <v>2020</v>
      </c>
    </row>
    <row r="376" ht="15.75" spans="1:11">
      <c r="A376" s="1" t="s">
        <v>5</v>
      </c>
      <c r="B376" s="1" t="s">
        <v>7</v>
      </c>
      <c r="C376" s="2" t="s">
        <v>82</v>
      </c>
      <c r="D376" s="3" t="s">
        <v>83</v>
      </c>
      <c r="E376" s="4" t="s">
        <v>84</v>
      </c>
      <c r="F376" t="str">
        <f>'Source Table'!$B$7</f>
        <v>Political Newspapers</v>
      </c>
      <c r="G376" t="str">
        <f>'Source Table'!$K$7</f>
        <v>صحف سياسية</v>
      </c>
      <c r="I376" t="str">
        <f>'Source Table'!$C$5</f>
        <v>نصف شهرية</v>
      </c>
      <c r="J376" s="25">
        <v>0</v>
      </c>
      <c r="K376">
        <v>2020</v>
      </c>
    </row>
    <row r="377" ht="15.75" spans="1:11">
      <c r="A377" s="1" t="s">
        <v>5</v>
      </c>
      <c r="B377" s="1" t="s">
        <v>7</v>
      </c>
      <c r="C377" s="2" t="s">
        <v>82</v>
      </c>
      <c r="D377" s="3" t="s">
        <v>83</v>
      </c>
      <c r="E377" s="4" t="s">
        <v>84</v>
      </c>
      <c r="F377" t="str">
        <f>'Source Table'!$B$8</f>
        <v>Parties Newspapers</v>
      </c>
      <c r="G377" t="str">
        <f>'Source Table'!$K$8</f>
        <v>صحف حزبية</v>
      </c>
      <c r="I377" t="str">
        <f>'Source Table'!$C$5</f>
        <v>نصف شهرية</v>
      </c>
      <c r="J377" s="25">
        <v>0</v>
      </c>
      <c r="K377">
        <v>2020</v>
      </c>
    </row>
    <row r="378" ht="15.75" spans="1:11">
      <c r="A378" s="1" t="s">
        <v>5</v>
      </c>
      <c r="B378" s="1" t="s">
        <v>7</v>
      </c>
      <c r="C378" s="2" t="s">
        <v>82</v>
      </c>
      <c r="D378" s="3" t="s">
        <v>83</v>
      </c>
      <c r="E378" s="4" t="s">
        <v>84</v>
      </c>
      <c r="F378" t="str">
        <f>'Source Table'!$B$9</f>
        <v>Children Magazines &amp; Periodicals</v>
      </c>
      <c r="G378" t="str">
        <f>'Source Table'!$K$9</f>
        <v>المجلات والدوريات الأطفال</v>
      </c>
      <c r="I378" t="str">
        <f>'Source Table'!$C$5</f>
        <v>نصف شهرية</v>
      </c>
      <c r="J378" s="25">
        <v>1</v>
      </c>
      <c r="K378">
        <v>2020</v>
      </c>
    </row>
    <row r="379" ht="15.75" spans="1:11">
      <c r="A379" s="1" t="s">
        <v>5</v>
      </c>
      <c r="B379" s="1" t="s">
        <v>7</v>
      </c>
      <c r="C379" s="2" t="s">
        <v>82</v>
      </c>
      <c r="D379" s="3" t="s">
        <v>83</v>
      </c>
      <c r="E379" s="4" t="s">
        <v>84</v>
      </c>
      <c r="F379" t="str">
        <f>'Source Table'!$B$10</f>
        <v>Economic Magazines &amp; Periodicals</v>
      </c>
      <c r="G379" t="str">
        <f>'Source Table'!$K$10</f>
        <v>المجلات والدوريات الاقتصادية</v>
      </c>
      <c r="I379" t="str">
        <f>'Source Table'!$C$5</f>
        <v>نصف شهرية</v>
      </c>
      <c r="J379" s="25">
        <v>1</v>
      </c>
      <c r="K379">
        <v>2020</v>
      </c>
    </row>
    <row r="380" ht="15.75" spans="1:11">
      <c r="A380" s="1" t="s">
        <v>5</v>
      </c>
      <c r="B380" s="1" t="s">
        <v>7</v>
      </c>
      <c r="C380" s="2" t="s">
        <v>82</v>
      </c>
      <c r="D380" s="3" t="s">
        <v>83</v>
      </c>
      <c r="E380" s="4" t="s">
        <v>84</v>
      </c>
      <c r="F380" t="str">
        <f>'Source Table'!$B$11</f>
        <v>Army &amp; Police Magazines &amp; Periodicals</v>
      </c>
      <c r="G380" t="str">
        <f>'Source Table'!$K$11</f>
        <v>المجلات والدوريات العسكرية و شرطية</v>
      </c>
      <c r="I380" t="str">
        <f>'Source Table'!$C$5</f>
        <v>نصف شهرية</v>
      </c>
      <c r="J380" s="25">
        <v>0</v>
      </c>
      <c r="K380">
        <v>2020</v>
      </c>
    </row>
    <row r="381" ht="15.75" spans="1:11">
      <c r="A381" s="1" t="s">
        <v>5</v>
      </c>
      <c r="B381" s="1" t="s">
        <v>7</v>
      </c>
      <c r="C381" s="2" t="s">
        <v>82</v>
      </c>
      <c r="D381" s="3" t="s">
        <v>83</v>
      </c>
      <c r="E381" s="4" t="s">
        <v>84</v>
      </c>
      <c r="F381" t="str">
        <f>'Source Table'!$B$12</f>
        <v>Youths &amp; Arts Magazines &amp; Periodicals</v>
      </c>
      <c r="G381" t="str">
        <f>'Source Table'!$K$12</f>
        <v>المجلات والدوريات الشباب و الفنون</v>
      </c>
      <c r="I381" t="str">
        <f>'Source Table'!$C$5</f>
        <v>نصف شهرية</v>
      </c>
      <c r="J381" s="25">
        <v>1</v>
      </c>
      <c r="K381">
        <v>2020</v>
      </c>
    </row>
    <row r="382" ht="15.75" spans="1:11">
      <c r="A382" s="1" t="s">
        <v>5</v>
      </c>
      <c r="B382" s="1" t="s">
        <v>7</v>
      </c>
      <c r="C382" s="2" t="s">
        <v>82</v>
      </c>
      <c r="D382" s="3" t="s">
        <v>83</v>
      </c>
      <c r="E382" s="4" t="s">
        <v>84</v>
      </c>
      <c r="F382" t="str">
        <f>'Source Table'!$B$13</f>
        <v>Cultural &amp; Educational Magazines &amp; Periodicals</v>
      </c>
      <c r="G382" t="str">
        <f>'Source Table'!$K$13</f>
        <v>المجلات والدوريات الثقافية و المدرسية</v>
      </c>
      <c r="I382" t="str">
        <f>'Source Table'!$C$5</f>
        <v>نصف شهرية</v>
      </c>
      <c r="J382" s="25">
        <v>7</v>
      </c>
      <c r="K382">
        <v>2020</v>
      </c>
    </row>
    <row r="383" ht="15.75" spans="1:11">
      <c r="A383" s="1" t="s">
        <v>5</v>
      </c>
      <c r="B383" s="1" t="s">
        <v>7</v>
      </c>
      <c r="C383" s="2" t="s">
        <v>82</v>
      </c>
      <c r="D383" s="3" t="s">
        <v>83</v>
      </c>
      <c r="E383" s="4" t="s">
        <v>84</v>
      </c>
      <c r="F383" t="str">
        <f>'Source Table'!$B$14</f>
        <v>Religious Magazines &amp; Periodicals</v>
      </c>
      <c r="G383" t="str">
        <f>'Source Table'!$K$14</f>
        <v>المجلات والدوريات الدينية</v>
      </c>
      <c r="I383" t="str">
        <f>'Source Table'!$C$5</f>
        <v>نصف شهرية</v>
      </c>
      <c r="J383" s="25">
        <v>0</v>
      </c>
      <c r="K383">
        <v>2020</v>
      </c>
    </row>
    <row r="384" ht="15.75" spans="1:11">
      <c r="A384" s="1" t="s">
        <v>5</v>
      </c>
      <c r="B384" s="1" t="s">
        <v>7</v>
      </c>
      <c r="C384" s="2" t="s">
        <v>82</v>
      </c>
      <c r="D384" s="3" t="s">
        <v>83</v>
      </c>
      <c r="E384" s="4" t="s">
        <v>84</v>
      </c>
      <c r="F384" t="str">
        <f>'Source Table'!$B$15</f>
        <v>Scientific Magazines &amp; Periodicals</v>
      </c>
      <c r="G384" t="str">
        <f>'Source Table'!$K$15</f>
        <v>المجلات والدوريات العلمية</v>
      </c>
      <c r="I384" t="str">
        <f>'Source Table'!$C$5</f>
        <v>نصف شهرية</v>
      </c>
      <c r="J384" s="25">
        <v>2</v>
      </c>
      <c r="K384">
        <v>2020</v>
      </c>
    </row>
    <row r="385" ht="15.75" spans="1:11">
      <c r="A385" s="1" t="s">
        <v>5</v>
      </c>
      <c r="B385" s="1" t="s">
        <v>7</v>
      </c>
      <c r="C385" s="2" t="s">
        <v>82</v>
      </c>
      <c r="D385" s="3" t="s">
        <v>83</v>
      </c>
      <c r="E385" s="4" t="s">
        <v>84</v>
      </c>
      <c r="F385" t="str">
        <f>'Source Table'!$B$16</f>
        <v>Financial Magazines &amp; Periodicals</v>
      </c>
      <c r="G385" t="str">
        <f>'Source Table'!$K$16</f>
        <v>المجلات والدوريات المالية</v>
      </c>
      <c r="I385" t="str">
        <f>'Source Table'!$C$5</f>
        <v>نصف شهرية</v>
      </c>
      <c r="J385" s="25">
        <v>1</v>
      </c>
      <c r="K385">
        <v>2020</v>
      </c>
    </row>
    <row r="386" ht="15.75" spans="1:11">
      <c r="A386" s="1" t="s">
        <v>5</v>
      </c>
      <c r="B386" s="1" t="s">
        <v>7</v>
      </c>
      <c r="C386" s="2" t="s">
        <v>82</v>
      </c>
      <c r="D386" s="3" t="s">
        <v>83</v>
      </c>
      <c r="E386" s="4" t="s">
        <v>84</v>
      </c>
      <c r="F386" t="str">
        <f>'Source Table'!$B$17</f>
        <v>Tourist Magazines &amp; Periodicals</v>
      </c>
      <c r="G386" t="str">
        <f>'Source Table'!$K$17</f>
        <v>المجلات والدوريات سياحية</v>
      </c>
      <c r="I386" t="str">
        <f>'Source Table'!$C$5</f>
        <v>نصف شهرية</v>
      </c>
      <c r="J386" s="25">
        <v>2</v>
      </c>
      <c r="K386">
        <v>2020</v>
      </c>
    </row>
    <row r="387" ht="16.5" spans="1:11">
      <c r="A387" s="1" t="s">
        <v>5</v>
      </c>
      <c r="B387" s="1" t="s">
        <v>7</v>
      </c>
      <c r="C387" s="2" t="s">
        <v>82</v>
      </c>
      <c r="D387" s="3" t="s">
        <v>83</v>
      </c>
      <c r="E387" s="4" t="s">
        <v>84</v>
      </c>
      <c r="F387" t="str">
        <f>'Source Table'!$B$18</f>
        <v>Other Magazines &amp; Periodicals</v>
      </c>
      <c r="G387" t="str">
        <f>'Source Table'!$K$18</f>
        <v>المجلات والدوريات أخرى</v>
      </c>
      <c r="I387" t="str">
        <f>'Source Table'!$C$5</f>
        <v>نصف شهرية</v>
      </c>
      <c r="J387" s="26">
        <v>44</v>
      </c>
      <c r="K387">
        <v>2020</v>
      </c>
    </row>
    <row r="388" ht="15.75" spans="1:11">
      <c r="A388" s="1" t="s">
        <v>5</v>
      </c>
      <c r="B388" s="1" t="s">
        <v>7</v>
      </c>
      <c r="C388" s="2" t="s">
        <v>82</v>
      </c>
      <c r="D388" s="3" t="s">
        <v>83</v>
      </c>
      <c r="E388" s="4" t="s">
        <v>84</v>
      </c>
      <c r="F388" t="str">
        <f>'Source Table'!$B$7</f>
        <v>Political Newspapers</v>
      </c>
      <c r="G388" t="str">
        <f>'Source Table'!$K$7</f>
        <v>صحف سياسية</v>
      </c>
      <c r="H388" t="str">
        <f>'Source Table'!$J$6</f>
        <v>Daily</v>
      </c>
      <c r="I388" t="str">
        <f>'Source Table'!$J$5</f>
        <v>يومية</v>
      </c>
      <c r="J388" s="25">
        <v>9</v>
      </c>
      <c r="K388">
        <v>2019</v>
      </c>
    </row>
    <row r="389" ht="15.75" spans="1:11">
      <c r="A389" s="1" t="s">
        <v>5</v>
      </c>
      <c r="B389" s="1" t="s">
        <v>7</v>
      </c>
      <c r="C389" s="2" t="s">
        <v>82</v>
      </c>
      <c r="D389" s="3" t="s">
        <v>83</v>
      </c>
      <c r="E389" s="4" t="s">
        <v>84</v>
      </c>
      <c r="F389" t="str">
        <f>'Source Table'!$B$8</f>
        <v>Parties Newspapers</v>
      </c>
      <c r="G389" t="str">
        <f>'Source Table'!$K$8</f>
        <v>صحف حزبية</v>
      </c>
      <c r="H389" t="str">
        <f>'Source Table'!$J$6</f>
        <v>Daily</v>
      </c>
      <c r="I389" t="str">
        <f>'Source Table'!$J$5</f>
        <v>يومية</v>
      </c>
      <c r="J389" s="25">
        <v>0</v>
      </c>
      <c r="K389">
        <v>2019</v>
      </c>
    </row>
    <row r="390" ht="15.75" spans="1:11">
      <c r="A390" s="1" t="s">
        <v>5</v>
      </c>
      <c r="B390" s="1" t="s">
        <v>7</v>
      </c>
      <c r="C390" s="2" t="s">
        <v>82</v>
      </c>
      <c r="D390" s="3" t="s">
        <v>83</v>
      </c>
      <c r="E390" s="4" t="s">
        <v>84</v>
      </c>
      <c r="F390" t="str">
        <f>'Source Table'!$B$9</f>
        <v>Children Magazines &amp; Periodicals</v>
      </c>
      <c r="G390" t="str">
        <f>'Source Table'!$K$9</f>
        <v>المجلات والدوريات الأطفال</v>
      </c>
      <c r="H390" t="str">
        <f>'Source Table'!$J$6</f>
        <v>Daily</v>
      </c>
      <c r="I390" t="str">
        <f>'Source Table'!$J$5</f>
        <v>يومية</v>
      </c>
      <c r="J390" s="25">
        <v>0</v>
      </c>
      <c r="K390">
        <v>2019</v>
      </c>
    </row>
    <row r="391" ht="15.75" spans="1:11">
      <c r="A391" s="1" t="s">
        <v>5</v>
      </c>
      <c r="B391" s="1" t="s">
        <v>7</v>
      </c>
      <c r="C391" s="2" t="s">
        <v>82</v>
      </c>
      <c r="D391" s="3" t="s">
        <v>83</v>
      </c>
      <c r="E391" s="4" t="s">
        <v>84</v>
      </c>
      <c r="F391" t="str">
        <f>'Source Table'!$B$10</f>
        <v>Economic Magazines &amp; Periodicals</v>
      </c>
      <c r="G391" t="str">
        <f>'Source Table'!$K$10</f>
        <v>المجلات والدوريات الاقتصادية</v>
      </c>
      <c r="H391" t="str">
        <f>'Source Table'!$J$6</f>
        <v>Daily</v>
      </c>
      <c r="I391" t="str">
        <f>'Source Table'!$J$5</f>
        <v>يومية</v>
      </c>
      <c r="J391" s="25">
        <v>0</v>
      </c>
      <c r="K391">
        <v>2019</v>
      </c>
    </row>
    <row r="392" ht="15.75" spans="1:11">
      <c r="A392" s="1" t="s">
        <v>5</v>
      </c>
      <c r="B392" s="1" t="s">
        <v>7</v>
      </c>
      <c r="C392" s="2" t="s">
        <v>82</v>
      </c>
      <c r="D392" s="3" t="s">
        <v>83</v>
      </c>
      <c r="E392" s="4" t="s">
        <v>84</v>
      </c>
      <c r="F392" t="str">
        <f>'Source Table'!$B$11</f>
        <v>Army &amp; Police Magazines &amp; Periodicals</v>
      </c>
      <c r="G392" t="str">
        <f>'Source Table'!$K$11</f>
        <v>المجلات والدوريات العسكرية و شرطية</v>
      </c>
      <c r="H392" t="str">
        <f>'Source Table'!$J$6</f>
        <v>Daily</v>
      </c>
      <c r="I392" t="str">
        <f>'Source Table'!$J$5</f>
        <v>يومية</v>
      </c>
      <c r="J392" s="25">
        <v>0</v>
      </c>
      <c r="K392">
        <v>2019</v>
      </c>
    </row>
    <row r="393" ht="15.75" spans="1:11">
      <c r="A393" s="1" t="s">
        <v>5</v>
      </c>
      <c r="B393" s="1" t="s">
        <v>7</v>
      </c>
      <c r="C393" s="2" t="s">
        <v>82</v>
      </c>
      <c r="D393" s="3" t="s">
        <v>83</v>
      </c>
      <c r="E393" s="4" t="s">
        <v>84</v>
      </c>
      <c r="F393" t="str">
        <f>'Source Table'!$B$12</f>
        <v>Youths &amp; Arts Magazines &amp; Periodicals</v>
      </c>
      <c r="G393" t="str">
        <f>'Source Table'!$K$12</f>
        <v>المجلات والدوريات الشباب و الفنون</v>
      </c>
      <c r="H393" t="str">
        <f>'Source Table'!$J$6</f>
        <v>Daily</v>
      </c>
      <c r="I393" t="str">
        <f>'Source Table'!$J$5</f>
        <v>يومية</v>
      </c>
      <c r="J393" s="25">
        <v>0</v>
      </c>
      <c r="K393">
        <v>2019</v>
      </c>
    </row>
    <row r="394" ht="15.75" spans="1:11">
      <c r="A394" s="1" t="s">
        <v>5</v>
      </c>
      <c r="B394" s="1" t="s">
        <v>7</v>
      </c>
      <c r="C394" s="2" t="s">
        <v>82</v>
      </c>
      <c r="D394" s="3" t="s">
        <v>83</v>
      </c>
      <c r="E394" s="4" t="s">
        <v>84</v>
      </c>
      <c r="F394" t="str">
        <f>'Source Table'!$B$13</f>
        <v>Cultural &amp; Educational Magazines &amp; Periodicals</v>
      </c>
      <c r="G394" t="str">
        <f>'Source Table'!$K$13</f>
        <v>المجلات والدوريات الثقافية و المدرسية</v>
      </c>
      <c r="H394" t="str">
        <f>'Source Table'!$J$6</f>
        <v>Daily</v>
      </c>
      <c r="I394" t="str">
        <f>'Source Table'!$J$5</f>
        <v>يومية</v>
      </c>
      <c r="J394" s="25">
        <v>0</v>
      </c>
      <c r="K394">
        <v>2019</v>
      </c>
    </row>
    <row r="395" ht="15.75" spans="1:11">
      <c r="A395" s="1" t="s">
        <v>5</v>
      </c>
      <c r="B395" s="1" t="s">
        <v>7</v>
      </c>
      <c r="C395" s="2" t="s">
        <v>82</v>
      </c>
      <c r="D395" s="3" t="s">
        <v>83</v>
      </c>
      <c r="E395" s="4" t="s">
        <v>84</v>
      </c>
      <c r="F395" t="str">
        <f>'Source Table'!$B$14</f>
        <v>Religious Magazines &amp; Periodicals</v>
      </c>
      <c r="G395" t="str">
        <f>'Source Table'!$K$14</f>
        <v>المجلات والدوريات الدينية</v>
      </c>
      <c r="H395" t="str">
        <f>'Source Table'!$J$6</f>
        <v>Daily</v>
      </c>
      <c r="I395" t="str">
        <f>'Source Table'!$J$5</f>
        <v>يومية</v>
      </c>
      <c r="J395" s="25">
        <v>0</v>
      </c>
      <c r="K395">
        <v>2019</v>
      </c>
    </row>
    <row r="396" ht="15.75" spans="1:11">
      <c r="A396" s="1" t="s">
        <v>5</v>
      </c>
      <c r="B396" s="1" t="s">
        <v>7</v>
      </c>
      <c r="C396" s="2" t="s">
        <v>82</v>
      </c>
      <c r="D396" s="3" t="s">
        <v>83</v>
      </c>
      <c r="E396" s="4" t="s">
        <v>84</v>
      </c>
      <c r="F396" t="str">
        <f>'Source Table'!$B$15</f>
        <v>Scientific Magazines &amp; Periodicals</v>
      </c>
      <c r="G396" t="str">
        <f>'Source Table'!$K$15</f>
        <v>المجلات والدوريات العلمية</v>
      </c>
      <c r="H396" t="str">
        <f>'Source Table'!$J$6</f>
        <v>Daily</v>
      </c>
      <c r="I396" t="str">
        <f>'Source Table'!$J$5</f>
        <v>يومية</v>
      </c>
      <c r="J396" s="25">
        <v>0</v>
      </c>
      <c r="K396">
        <v>2019</v>
      </c>
    </row>
    <row r="397" ht="15.75" spans="1:11">
      <c r="A397" s="1" t="s">
        <v>5</v>
      </c>
      <c r="B397" s="1" t="s">
        <v>7</v>
      </c>
      <c r="C397" s="2" t="s">
        <v>82</v>
      </c>
      <c r="D397" s="3" t="s">
        <v>83</v>
      </c>
      <c r="E397" s="4" t="s">
        <v>84</v>
      </c>
      <c r="F397" t="str">
        <f>'Source Table'!$B$16</f>
        <v>Financial Magazines &amp; Periodicals</v>
      </c>
      <c r="G397" t="str">
        <f>'Source Table'!$K$16</f>
        <v>المجلات والدوريات المالية</v>
      </c>
      <c r="H397" t="str">
        <f>'Source Table'!$J$6</f>
        <v>Daily</v>
      </c>
      <c r="I397" t="str">
        <f>'Source Table'!$J$5</f>
        <v>يومية</v>
      </c>
      <c r="J397" s="25">
        <v>0</v>
      </c>
      <c r="K397">
        <v>2019</v>
      </c>
    </row>
    <row r="398" ht="15.75" spans="1:11">
      <c r="A398" s="1" t="s">
        <v>5</v>
      </c>
      <c r="B398" s="1" t="s">
        <v>7</v>
      </c>
      <c r="C398" s="2" t="s">
        <v>82</v>
      </c>
      <c r="D398" s="3" t="s">
        <v>83</v>
      </c>
      <c r="E398" s="4" t="s">
        <v>84</v>
      </c>
      <c r="F398" t="str">
        <f>'Source Table'!$B$17</f>
        <v>Tourist Magazines &amp; Periodicals</v>
      </c>
      <c r="G398" t="str">
        <f>'Source Table'!$K$17</f>
        <v>المجلات والدوريات سياحية</v>
      </c>
      <c r="H398" t="str">
        <f>'Source Table'!$J$6</f>
        <v>Daily</v>
      </c>
      <c r="I398" t="str">
        <f>'Source Table'!$J$5</f>
        <v>يومية</v>
      </c>
      <c r="J398" s="25">
        <v>0</v>
      </c>
      <c r="K398">
        <v>2019</v>
      </c>
    </row>
    <row r="399" ht="16.5" spans="1:11">
      <c r="A399" s="1" t="s">
        <v>5</v>
      </c>
      <c r="B399" s="1" t="s">
        <v>7</v>
      </c>
      <c r="C399" s="2" t="s">
        <v>82</v>
      </c>
      <c r="D399" s="3" t="s">
        <v>83</v>
      </c>
      <c r="E399" s="4" t="s">
        <v>84</v>
      </c>
      <c r="F399" t="str">
        <f>'Source Table'!$B$18</f>
        <v>Other Magazines &amp; Periodicals</v>
      </c>
      <c r="G399" t="str">
        <f>'Source Table'!$K$18</f>
        <v>المجلات والدوريات أخرى</v>
      </c>
      <c r="H399" t="str">
        <f>'Source Table'!$J$6</f>
        <v>Daily</v>
      </c>
      <c r="I399" t="str">
        <f>'Source Table'!$J$5</f>
        <v>يومية</v>
      </c>
      <c r="J399" s="26">
        <v>4</v>
      </c>
      <c r="K399">
        <v>2019</v>
      </c>
    </row>
    <row r="400" ht="15.75" spans="1:11">
      <c r="A400" s="1" t="s">
        <v>5</v>
      </c>
      <c r="B400" s="1" t="s">
        <v>7</v>
      </c>
      <c r="C400" s="2" t="s">
        <v>82</v>
      </c>
      <c r="D400" s="3" t="s">
        <v>83</v>
      </c>
      <c r="E400" s="4" t="s">
        <v>84</v>
      </c>
      <c r="F400" t="str">
        <f>'Source Table'!$B$7</f>
        <v>Political Newspapers</v>
      </c>
      <c r="G400" t="str">
        <f>'Source Table'!$K$7</f>
        <v>صحف سياسية</v>
      </c>
      <c r="H400" t="str">
        <f>'Source Table'!$I$6</f>
        <v>Weekly</v>
      </c>
      <c r="I400" t="str">
        <f>'Source Table'!$I$5</f>
        <v>أسبوعية</v>
      </c>
      <c r="J400" s="27">
        <v>9</v>
      </c>
      <c r="K400">
        <v>2019</v>
      </c>
    </row>
    <row r="401" ht="15.75" spans="1:11">
      <c r="A401" s="1" t="s">
        <v>5</v>
      </c>
      <c r="B401" s="1" t="s">
        <v>7</v>
      </c>
      <c r="C401" s="2" t="s">
        <v>82</v>
      </c>
      <c r="D401" s="3" t="s">
        <v>83</v>
      </c>
      <c r="E401" s="4" t="s">
        <v>84</v>
      </c>
      <c r="F401" t="str">
        <f>'Source Table'!$B$8</f>
        <v>Parties Newspapers</v>
      </c>
      <c r="G401" t="str">
        <f>'Source Table'!$K$8</f>
        <v>صحف حزبية</v>
      </c>
      <c r="H401" t="str">
        <f>'Source Table'!$I$6</f>
        <v>Weekly</v>
      </c>
      <c r="I401" t="str">
        <f>'Source Table'!$I$5</f>
        <v>أسبوعية</v>
      </c>
      <c r="J401" s="27">
        <v>9</v>
      </c>
      <c r="K401">
        <v>2019</v>
      </c>
    </row>
    <row r="402" ht="15.75" spans="1:11">
      <c r="A402" s="1" t="s">
        <v>5</v>
      </c>
      <c r="B402" s="1" t="s">
        <v>7</v>
      </c>
      <c r="C402" s="2" t="s">
        <v>82</v>
      </c>
      <c r="D402" s="3" t="s">
        <v>83</v>
      </c>
      <c r="E402" s="4" t="s">
        <v>84</v>
      </c>
      <c r="F402" t="str">
        <f>'Source Table'!$B$9</f>
        <v>Children Magazines &amp; Periodicals</v>
      </c>
      <c r="G402" t="str">
        <f>'Source Table'!$K$9</f>
        <v>المجلات والدوريات الأطفال</v>
      </c>
      <c r="H402" t="str">
        <f>'Source Table'!$I$6</f>
        <v>Weekly</v>
      </c>
      <c r="I402" t="str">
        <f>'Source Table'!$I$5</f>
        <v>أسبوعية</v>
      </c>
      <c r="J402" s="27">
        <v>2</v>
      </c>
      <c r="K402">
        <v>2019</v>
      </c>
    </row>
    <row r="403" ht="15.75" spans="1:11">
      <c r="A403" s="1" t="s">
        <v>5</v>
      </c>
      <c r="B403" s="1" t="s">
        <v>7</v>
      </c>
      <c r="C403" s="2" t="s">
        <v>82</v>
      </c>
      <c r="D403" s="3" t="s">
        <v>83</v>
      </c>
      <c r="E403" s="4" t="s">
        <v>84</v>
      </c>
      <c r="F403" t="str">
        <f>'Source Table'!$B$10</f>
        <v>Economic Magazines &amp; Periodicals</v>
      </c>
      <c r="G403" t="str">
        <f>'Source Table'!$K$10</f>
        <v>المجلات والدوريات الاقتصادية</v>
      </c>
      <c r="H403" t="str">
        <f>'Source Table'!$I$6</f>
        <v>Weekly</v>
      </c>
      <c r="I403" t="str">
        <f>'Source Table'!$I$5</f>
        <v>أسبوعية</v>
      </c>
      <c r="J403" s="27">
        <v>23</v>
      </c>
      <c r="K403">
        <v>2019</v>
      </c>
    </row>
    <row r="404" ht="15.75" spans="1:11">
      <c r="A404" s="1" t="s">
        <v>5</v>
      </c>
      <c r="B404" s="1" t="s">
        <v>7</v>
      </c>
      <c r="C404" s="2" t="s">
        <v>82</v>
      </c>
      <c r="D404" s="3" t="s">
        <v>83</v>
      </c>
      <c r="E404" s="4" t="s">
        <v>84</v>
      </c>
      <c r="F404" t="str">
        <f>'Source Table'!$B$11</f>
        <v>Army &amp; Police Magazines &amp; Periodicals</v>
      </c>
      <c r="G404" t="str">
        <f>'Source Table'!$K$11</f>
        <v>المجلات والدوريات العسكرية و شرطية</v>
      </c>
      <c r="H404" t="str">
        <f>'Source Table'!$I$6</f>
        <v>Weekly</v>
      </c>
      <c r="I404" t="str">
        <f>'Source Table'!$I$5</f>
        <v>أسبوعية</v>
      </c>
      <c r="J404" s="27">
        <v>0</v>
      </c>
      <c r="K404">
        <v>2019</v>
      </c>
    </row>
    <row r="405" ht="15.75" spans="1:11">
      <c r="A405" s="1" t="s">
        <v>5</v>
      </c>
      <c r="B405" s="1" t="s">
        <v>7</v>
      </c>
      <c r="C405" s="2" t="s">
        <v>82</v>
      </c>
      <c r="D405" s="3" t="s">
        <v>83</v>
      </c>
      <c r="E405" s="4" t="s">
        <v>84</v>
      </c>
      <c r="F405" t="str">
        <f>'Source Table'!$B$12</f>
        <v>Youths &amp; Arts Magazines &amp; Periodicals</v>
      </c>
      <c r="G405" t="str">
        <f>'Source Table'!$K$12</f>
        <v>المجلات والدوريات الشباب و الفنون</v>
      </c>
      <c r="H405" t="str">
        <f>'Source Table'!$I$6</f>
        <v>Weekly</v>
      </c>
      <c r="I405" t="str">
        <f>'Source Table'!$I$5</f>
        <v>أسبوعية</v>
      </c>
      <c r="J405" s="27">
        <v>10</v>
      </c>
      <c r="K405">
        <v>2019</v>
      </c>
    </row>
    <row r="406" ht="15.75" spans="1:11">
      <c r="A406" s="1" t="s">
        <v>5</v>
      </c>
      <c r="B406" s="1" t="s">
        <v>7</v>
      </c>
      <c r="C406" s="2" t="s">
        <v>82</v>
      </c>
      <c r="D406" s="3" t="s">
        <v>83</v>
      </c>
      <c r="E406" s="4" t="s">
        <v>84</v>
      </c>
      <c r="F406" t="str">
        <f>'Source Table'!$B$13</f>
        <v>Cultural &amp; Educational Magazines &amp; Periodicals</v>
      </c>
      <c r="G406" t="str">
        <f>'Source Table'!$K$13</f>
        <v>المجلات والدوريات الثقافية و المدرسية</v>
      </c>
      <c r="H406" t="str">
        <f>'Source Table'!$I$6</f>
        <v>Weekly</v>
      </c>
      <c r="I406" t="str">
        <f>'Source Table'!$I$5</f>
        <v>أسبوعية</v>
      </c>
      <c r="J406" s="27">
        <v>6</v>
      </c>
      <c r="K406">
        <v>2019</v>
      </c>
    </row>
    <row r="407" ht="15.75" spans="1:11">
      <c r="A407" s="1" t="s">
        <v>5</v>
      </c>
      <c r="B407" s="1" t="s">
        <v>7</v>
      </c>
      <c r="C407" s="2" t="s">
        <v>82</v>
      </c>
      <c r="D407" s="3" t="s">
        <v>83</v>
      </c>
      <c r="E407" s="4" t="s">
        <v>84</v>
      </c>
      <c r="F407" t="str">
        <f>'Source Table'!$B$14</f>
        <v>Religious Magazines &amp; Periodicals</v>
      </c>
      <c r="G407" t="str">
        <f>'Source Table'!$K$14</f>
        <v>المجلات والدوريات الدينية</v>
      </c>
      <c r="H407" t="str">
        <f>'Source Table'!$I$6</f>
        <v>Weekly</v>
      </c>
      <c r="I407" t="str">
        <f>'Source Table'!$I$5</f>
        <v>أسبوعية</v>
      </c>
      <c r="J407" s="27">
        <v>0</v>
      </c>
      <c r="K407">
        <v>2019</v>
      </c>
    </row>
    <row r="408" ht="15.75" spans="1:11">
      <c r="A408" s="1" t="s">
        <v>5</v>
      </c>
      <c r="B408" s="1" t="s">
        <v>7</v>
      </c>
      <c r="C408" s="2" t="s">
        <v>82</v>
      </c>
      <c r="D408" s="3" t="s">
        <v>83</v>
      </c>
      <c r="E408" s="4" t="s">
        <v>84</v>
      </c>
      <c r="F408" t="str">
        <f>'Source Table'!$B$15</f>
        <v>Scientific Magazines &amp; Periodicals</v>
      </c>
      <c r="G408" t="str">
        <f>'Source Table'!$K$15</f>
        <v>المجلات والدوريات العلمية</v>
      </c>
      <c r="H408" t="str">
        <f>'Source Table'!$I$6</f>
        <v>Weekly</v>
      </c>
      <c r="I408" t="str">
        <f>'Source Table'!$I$5</f>
        <v>أسبوعية</v>
      </c>
      <c r="J408" s="27">
        <v>0</v>
      </c>
      <c r="K408">
        <v>2019</v>
      </c>
    </row>
    <row r="409" ht="15.75" spans="1:11">
      <c r="A409" s="1" t="s">
        <v>5</v>
      </c>
      <c r="B409" s="1" t="s">
        <v>7</v>
      </c>
      <c r="C409" s="2" t="s">
        <v>82</v>
      </c>
      <c r="D409" s="3" t="s">
        <v>83</v>
      </c>
      <c r="E409" s="4" t="s">
        <v>84</v>
      </c>
      <c r="F409" t="str">
        <f>'Source Table'!$B$16</f>
        <v>Financial Magazines &amp; Periodicals</v>
      </c>
      <c r="G409" t="str">
        <f>'Source Table'!$K$16</f>
        <v>المجلات والدوريات المالية</v>
      </c>
      <c r="H409" t="str">
        <f>'Source Table'!$I$6</f>
        <v>Weekly</v>
      </c>
      <c r="I409" t="str">
        <f>'Source Table'!$I$5</f>
        <v>أسبوعية</v>
      </c>
      <c r="J409" s="27">
        <v>6</v>
      </c>
      <c r="K409">
        <v>2019</v>
      </c>
    </row>
    <row r="410" ht="15.75" spans="1:11">
      <c r="A410" s="1" t="s">
        <v>5</v>
      </c>
      <c r="B410" s="1" t="s">
        <v>7</v>
      </c>
      <c r="C410" s="2" t="s">
        <v>82</v>
      </c>
      <c r="D410" s="3" t="s">
        <v>83</v>
      </c>
      <c r="E410" s="4" t="s">
        <v>84</v>
      </c>
      <c r="F410" t="str">
        <f>'Source Table'!$B$17</f>
        <v>Tourist Magazines &amp; Periodicals</v>
      </c>
      <c r="G410" t="str">
        <f>'Source Table'!$K$17</f>
        <v>المجلات والدوريات سياحية</v>
      </c>
      <c r="H410" t="str">
        <f>'Source Table'!$I$6</f>
        <v>Weekly</v>
      </c>
      <c r="I410" t="str">
        <f>'Source Table'!$I$5</f>
        <v>أسبوعية</v>
      </c>
      <c r="J410" s="27">
        <v>4</v>
      </c>
      <c r="K410">
        <v>2019</v>
      </c>
    </row>
    <row r="411" ht="16.5" spans="1:11">
      <c r="A411" s="1" t="s">
        <v>5</v>
      </c>
      <c r="B411" s="1" t="s">
        <v>7</v>
      </c>
      <c r="C411" s="2" t="s">
        <v>82</v>
      </c>
      <c r="D411" s="3" t="s">
        <v>83</v>
      </c>
      <c r="E411" s="4" t="s">
        <v>84</v>
      </c>
      <c r="F411" t="str">
        <f>'Source Table'!$B$18</f>
        <v>Other Magazines &amp; Periodicals</v>
      </c>
      <c r="G411" t="str">
        <f>'Source Table'!$K$18</f>
        <v>المجلات والدوريات أخرى</v>
      </c>
      <c r="H411" t="str">
        <f>'Source Table'!$I$6</f>
        <v>Weekly</v>
      </c>
      <c r="I411" t="str">
        <f>'Source Table'!$I$5</f>
        <v>أسبوعية</v>
      </c>
      <c r="J411" s="28">
        <v>98</v>
      </c>
      <c r="K411">
        <v>2019</v>
      </c>
    </row>
    <row r="412" ht="15.75" spans="1:11">
      <c r="A412" s="1" t="s">
        <v>5</v>
      </c>
      <c r="B412" s="1" t="s">
        <v>7</v>
      </c>
      <c r="C412" s="2" t="s">
        <v>82</v>
      </c>
      <c r="D412" s="3" t="s">
        <v>83</v>
      </c>
      <c r="E412" s="4" t="s">
        <v>84</v>
      </c>
      <c r="F412" t="str">
        <f>'Source Table'!$B$7</f>
        <v>Political Newspapers</v>
      </c>
      <c r="G412" t="str">
        <f>'Source Table'!$K$7</f>
        <v>صحف سياسية</v>
      </c>
      <c r="H412" t="str">
        <f>'Source Table'!$H$6</f>
        <v>Monthly</v>
      </c>
      <c r="I412" t="str">
        <f>'Source Table'!$H$5</f>
        <v>شهرية</v>
      </c>
      <c r="J412" s="27">
        <v>2</v>
      </c>
      <c r="K412">
        <v>2019</v>
      </c>
    </row>
    <row r="413" ht="15.75" spans="1:11">
      <c r="A413" s="1" t="s">
        <v>5</v>
      </c>
      <c r="B413" s="1" t="s">
        <v>7</v>
      </c>
      <c r="C413" s="2" t="s">
        <v>82</v>
      </c>
      <c r="D413" s="3" t="s">
        <v>83</v>
      </c>
      <c r="E413" s="4" t="s">
        <v>84</v>
      </c>
      <c r="F413" t="str">
        <f>'Source Table'!$B$8</f>
        <v>Parties Newspapers</v>
      </c>
      <c r="G413" t="str">
        <f>'Source Table'!$K$8</f>
        <v>صحف حزبية</v>
      </c>
      <c r="H413" t="str">
        <f>'Source Table'!$H$6</f>
        <v>Monthly</v>
      </c>
      <c r="I413" t="str">
        <f>'Source Table'!$H$5</f>
        <v>شهرية</v>
      </c>
      <c r="J413" s="27">
        <v>0</v>
      </c>
      <c r="K413">
        <v>2019</v>
      </c>
    </row>
    <row r="414" ht="15.75" spans="1:11">
      <c r="A414" s="1" t="s">
        <v>5</v>
      </c>
      <c r="B414" s="1" t="s">
        <v>7</v>
      </c>
      <c r="C414" s="2" t="s">
        <v>82</v>
      </c>
      <c r="D414" s="3" t="s">
        <v>83</v>
      </c>
      <c r="E414" s="4" t="s">
        <v>84</v>
      </c>
      <c r="F414" t="str">
        <f>'Source Table'!$B$9</f>
        <v>Children Magazines &amp; Periodicals</v>
      </c>
      <c r="G414" t="str">
        <f>'Source Table'!$K$9</f>
        <v>المجلات والدوريات الأطفال</v>
      </c>
      <c r="H414" t="str">
        <f>'Source Table'!$H$6</f>
        <v>Monthly</v>
      </c>
      <c r="I414" t="str">
        <f>'Source Table'!$H$5</f>
        <v>شهرية</v>
      </c>
      <c r="J414" s="27">
        <v>16</v>
      </c>
      <c r="K414">
        <v>2019</v>
      </c>
    </row>
    <row r="415" ht="15.75" spans="1:11">
      <c r="A415" s="1" t="s">
        <v>5</v>
      </c>
      <c r="B415" s="1" t="s">
        <v>7</v>
      </c>
      <c r="C415" s="2" t="s">
        <v>82</v>
      </c>
      <c r="D415" s="3" t="s">
        <v>83</v>
      </c>
      <c r="E415" s="4" t="s">
        <v>84</v>
      </c>
      <c r="F415" t="str">
        <f>'Source Table'!$B$10</f>
        <v>Economic Magazines &amp; Periodicals</v>
      </c>
      <c r="G415" t="str">
        <f>'Source Table'!$K$10</f>
        <v>المجلات والدوريات الاقتصادية</v>
      </c>
      <c r="H415" t="str">
        <f>'Source Table'!$H$6</f>
        <v>Monthly</v>
      </c>
      <c r="I415" t="str">
        <f>'Source Table'!$H$5</f>
        <v>شهرية</v>
      </c>
      <c r="J415" s="27">
        <v>59</v>
      </c>
      <c r="K415">
        <v>2019</v>
      </c>
    </row>
    <row r="416" ht="15.75" spans="1:11">
      <c r="A416" s="1" t="s">
        <v>5</v>
      </c>
      <c r="B416" s="1" t="s">
        <v>7</v>
      </c>
      <c r="C416" s="2" t="s">
        <v>82</v>
      </c>
      <c r="D416" s="3" t="s">
        <v>83</v>
      </c>
      <c r="E416" s="4" t="s">
        <v>84</v>
      </c>
      <c r="F416" t="str">
        <f>'Source Table'!$B$11</f>
        <v>Army &amp; Police Magazines &amp; Periodicals</v>
      </c>
      <c r="G416" t="str">
        <f>'Source Table'!$K$11</f>
        <v>المجلات والدوريات العسكرية و شرطية</v>
      </c>
      <c r="H416" t="str">
        <f>'Source Table'!$H$6</f>
        <v>Monthly</v>
      </c>
      <c r="I416" t="str">
        <f>'Source Table'!$H$5</f>
        <v>شهرية</v>
      </c>
      <c r="J416" s="27">
        <v>1</v>
      </c>
      <c r="K416">
        <v>2019</v>
      </c>
    </row>
    <row r="417" ht="15.75" spans="1:11">
      <c r="A417" s="1" t="s">
        <v>5</v>
      </c>
      <c r="B417" s="1" t="s">
        <v>7</v>
      </c>
      <c r="C417" s="2" t="s">
        <v>82</v>
      </c>
      <c r="D417" s="3" t="s">
        <v>83</v>
      </c>
      <c r="E417" s="4" t="s">
        <v>84</v>
      </c>
      <c r="F417" t="str">
        <f>'Source Table'!$B$12</f>
        <v>Youths &amp; Arts Magazines &amp; Periodicals</v>
      </c>
      <c r="G417" t="str">
        <f>'Source Table'!$K$12</f>
        <v>المجلات والدوريات الشباب و الفنون</v>
      </c>
      <c r="H417" t="str">
        <f>'Source Table'!$H$6</f>
        <v>Monthly</v>
      </c>
      <c r="I417" t="str">
        <f>'Source Table'!$H$5</f>
        <v>شهرية</v>
      </c>
      <c r="J417" s="27">
        <v>8</v>
      </c>
      <c r="K417">
        <v>2019</v>
      </c>
    </row>
    <row r="418" ht="15.75" spans="1:11">
      <c r="A418" s="1" t="s">
        <v>5</v>
      </c>
      <c r="B418" s="1" t="s">
        <v>7</v>
      </c>
      <c r="C418" s="2" t="s">
        <v>82</v>
      </c>
      <c r="D418" s="3" t="s">
        <v>83</v>
      </c>
      <c r="E418" s="4" t="s">
        <v>84</v>
      </c>
      <c r="F418" t="str">
        <f>'Source Table'!$B$13</f>
        <v>Cultural &amp; Educational Magazines &amp; Periodicals</v>
      </c>
      <c r="G418" t="str">
        <f>'Source Table'!$K$13</f>
        <v>المجلات والدوريات الثقافية و المدرسية</v>
      </c>
      <c r="H418" t="str">
        <f>'Source Table'!$H$6</f>
        <v>Monthly</v>
      </c>
      <c r="I418" t="str">
        <f>'Source Table'!$H$5</f>
        <v>شهرية</v>
      </c>
      <c r="J418" s="27">
        <v>35</v>
      </c>
      <c r="K418">
        <v>2019</v>
      </c>
    </row>
    <row r="419" ht="15.75" spans="1:11">
      <c r="A419" s="1" t="s">
        <v>5</v>
      </c>
      <c r="B419" s="1" t="s">
        <v>7</v>
      </c>
      <c r="C419" s="2" t="s">
        <v>82</v>
      </c>
      <c r="D419" s="3" t="s">
        <v>83</v>
      </c>
      <c r="E419" s="4" t="s">
        <v>84</v>
      </c>
      <c r="F419" t="str">
        <f>'Source Table'!$B$14</f>
        <v>Religious Magazines &amp; Periodicals</v>
      </c>
      <c r="G419" t="str">
        <f>'Source Table'!$K$14</f>
        <v>المجلات والدوريات الدينية</v>
      </c>
      <c r="H419" t="str">
        <f>'Source Table'!$H$6</f>
        <v>Monthly</v>
      </c>
      <c r="I419" t="str">
        <f>'Source Table'!$H$5</f>
        <v>شهرية</v>
      </c>
      <c r="J419" s="27">
        <v>6</v>
      </c>
      <c r="K419">
        <v>2019</v>
      </c>
    </row>
    <row r="420" ht="15.75" spans="1:11">
      <c r="A420" s="1" t="s">
        <v>5</v>
      </c>
      <c r="B420" s="1" t="s">
        <v>7</v>
      </c>
      <c r="C420" s="2" t="s">
        <v>82</v>
      </c>
      <c r="D420" s="3" t="s">
        <v>83</v>
      </c>
      <c r="E420" s="4" t="s">
        <v>84</v>
      </c>
      <c r="F420" t="str">
        <f>'Source Table'!$B$15</f>
        <v>Scientific Magazines &amp; Periodicals</v>
      </c>
      <c r="G420" t="str">
        <f>'Source Table'!$K$15</f>
        <v>المجلات والدوريات العلمية</v>
      </c>
      <c r="H420" t="str">
        <f>'Source Table'!$H$6</f>
        <v>Monthly</v>
      </c>
      <c r="I420" t="str">
        <f>'Source Table'!$H$5</f>
        <v>شهرية</v>
      </c>
      <c r="J420" s="27">
        <v>12</v>
      </c>
      <c r="K420">
        <v>2019</v>
      </c>
    </row>
    <row r="421" ht="15.75" spans="1:11">
      <c r="A421" s="1" t="s">
        <v>5</v>
      </c>
      <c r="B421" s="1" t="s">
        <v>7</v>
      </c>
      <c r="C421" s="2" t="s">
        <v>82</v>
      </c>
      <c r="D421" s="3" t="s">
        <v>83</v>
      </c>
      <c r="E421" s="4" t="s">
        <v>84</v>
      </c>
      <c r="F421" t="str">
        <f>'Source Table'!$B$16</f>
        <v>Financial Magazines &amp; Periodicals</v>
      </c>
      <c r="G421" t="str">
        <f>'Source Table'!$K$16</f>
        <v>المجلات والدوريات المالية</v>
      </c>
      <c r="H421" t="str">
        <f>'Source Table'!$H$6</f>
        <v>Monthly</v>
      </c>
      <c r="I421" t="str">
        <f>'Source Table'!$H$5</f>
        <v>شهرية</v>
      </c>
      <c r="J421" s="27">
        <v>11</v>
      </c>
      <c r="K421">
        <v>2019</v>
      </c>
    </row>
    <row r="422" ht="15.75" spans="1:11">
      <c r="A422" s="1" t="s">
        <v>5</v>
      </c>
      <c r="B422" s="1" t="s">
        <v>7</v>
      </c>
      <c r="C422" s="2" t="s">
        <v>82</v>
      </c>
      <c r="D422" s="3" t="s">
        <v>83</v>
      </c>
      <c r="E422" s="4" t="s">
        <v>84</v>
      </c>
      <c r="F422" t="str">
        <f>'Source Table'!$B$17</f>
        <v>Tourist Magazines &amp; Periodicals</v>
      </c>
      <c r="G422" t="str">
        <f>'Source Table'!$K$17</f>
        <v>المجلات والدوريات سياحية</v>
      </c>
      <c r="H422" t="str">
        <f>'Source Table'!$H$6</f>
        <v>Monthly</v>
      </c>
      <c r="I422" t="str">
        <f>'Source Table'!$H$5</f>
        <v>شهرية</v>
      </c>
      <c r="J422" s="27">
        <v>11</v>
      </c>
      <c r="K422">
        <v>2019</v>
      </c>
    </row>
    <row r="423" ht="16.5" spans="1:11">
      <c r="A423" s="1" t="s">
        <v>5</v>
      </c>
      <c r="B423" s="1" t="s">
        <v>7</v>
      </c>
      <c r="C423" s="2" t="s">
        <v>82</v>
      </c>
      <c r="D423" s="3" t="s">
        <v>83</v>
      </c>
      <c r="E423" s="4" t="s">
        <v>84</v>
      </c>
      <c r="F423" t="str">
        <f>'Source Table'!$B$18</f>
        <v>Other Magazines &amp; Periodicals</v>
      </c>
      <c r="G423" t="str">
        <f>'Source Table'!$K$18</f>
        <v>المجلات والدوريات أخرى</v>
      </c>
      <c r="H423" t="str">
        <f>'Source Table'!$H$6</f>
        <v>Monthly</v>
      </c>
      <c r="I423" t="str">
        <f>'Source Table'!$H$5</f>
        <v>شهرية</v>
      </c>
      <c r="J423" s="28">
        <v>205</v>
      </c>
      <c r="K423">
        <v>2019</v>
      </c>
    </row>
    <row r="424" ht="15.75" spans="1:11">
      <c r="A424" s="1" t="s">
        <v>5</v>
      </c>
      <c r="B424" s="1" t="s">
        <v>7</v>
      </c>
      <c r="C424" s="2" t="s">
        <v>82</v>
      </c>
      <c r="D424" s="3" t="s">
        <v>83</v>
      </c>
      <c r="E424" s="4" t="s">
        <v>84</v>
      </c>
      <c r="F424" t="str">
        <f>'Source Table'!$B$7</f>
        <v>Political Newspapers</v>
      </c>
      <c r="G424" t="str">
        <f>'Source Table'!$K$7</f>
        <v>صحف سياسية</v>
      </c>
      <c r="I424" t="str">
        <f>'Source Table'!$G$5</f>
        <v>فصلية</v>
      </c>
      <c r="J424" s="25">
        <v>0</v>
      </c>
      <c r="K424">
        <v>2019</v>
      </c>
    </row>
    <row r="425" ht="15.75" spans="1:11">
      <c r="A425" s="1" t="s">
        <v>5</v>
      </c>
      <c r="B425" s="1" t="s">
        <v>7</v>
      </c>
      <c r="C425" s="2" t="s">
        <v>82</v>
      </c>
      <c r="D425" s="3" t="s">
        <v>83</v>
      </c>
      <c r="E425" s="4" t="s">
        <v>84</v>
      </c>
      <c r="F425" t="str">
        <f>'Source Table'!$B$8</f>
        <v>Parties Newspapers</v>
      </c>
      <c r="G425" t="str">
        <f>'Source Table'!$K$8</f>
        <v>صحف حزبية</v>
      </c>
      <c r="I425" t="str">
        <f>'Source Table'!$G$5</f>
        <v>فصلية</v>
      </c>
      <c r="J425" s="25">
        <v>0</v>
      </c>
      <c r="K425">
        <v>2019</v>
      </c>
    </row>
    <row r="426" ht="15.75" spans="1:11">
      <c r="A426" s="1" t="s">
        <v>5</v>
      </c>
      <c r="B426" s="1" t="s">
        <v>7</v>
      </c>
      <c r="C426" s="2" t="s">
        <v>82</v>
      </c>
      <c r="D426" s="3" t="s">
        <v>83</v>
      </c>
      <c r="E426" s="4" t="s">
        <v>84</v>
      </c>
      <c r="F426" t="str">
        <f>'Source Table'!$B$9</f>
        <v>Children Magazines &amp; Periodicals</v>
      </c>
      <c r="G426" t="str">
        <f>'Source Table'!$K$9</f>
        <v>المجلات والدوريات الأطفال</v>
      </c>
      <c r="I426" t="str">
        <f>'Source Table'!$G$5</f>
        <v>فصلية</v>
      </c>
      <c r="J426" s="25">
        <v>0</v>
      </c>
      <c r="K426">
        <v>2019</v>
      </c>
    </row>
    <row r="427" ht="15.75" spans="1:11">
      <c r="A427" s="1" t="s">
        <v>5</v>
      </c>
      <c r="B427" s="1" t="s">
        <v>7</v>
      </c>
      <c r="C427" s="2" t="s">
        <v>82</v>
      </c>
      <c r="D427" s="3" t="s">
        <v>83</v>
      </c>
      <c r="E427" s="4" t="s">
        <v>84</v>
      </c>
      <c r="F427" t="str">
        <f>'Source Table'!$B$10</f>
        <v>Economic Magazines &amp; Periodicals</v>
      </c>
      <c r="G427" t="str">
        <f>'Source Table'!$K$10</f>
        <v>المجلات والدوريات الاقتصادية</v>
      </c>
      <c r="I427" t="str">
        <f>'Source Table'!$G$5</f>
        <v>فصلية</v>
      </c>
      <c r="J427" s="25">
        <v>28</v>
      </c>
      <c r="K427">
        <v>2019</v>
      </c>
    </row>
    <row r="428" ht="15.75" spans="1:11">
      <c r="A428" s="1" t="s">
        <v>5</v>
      </c>
      <c r="B428" s="1" t="s">
        <v>7</v>
      </c>
      <c r="C428" s="2" t="s">
        <v>82</v>
      </c>
      <c r="D428" s="3" t="s">
        <v>83</v>
      </c>
      <c r="E428" s="4" t="s">
        <v>84</v>
      </c>
      <c r="F428" t="str">
        <f>'Source Table'!$B$11</f>
        <v>Army &amp; Police Magazines &amp; Periodicals</v>
      </c>
      <c r="G428" t="str">
        <f>'Source Table'!$K$11</f>
        <v>المجلات والدوريات العسكرية و شرطية</v>
      </c>
      <c r="I428" t="str">
        <f>'Source Table'!$G$5</f>
        <v>فصلية</v>
      </c>
      <c r="J428" s="25">
        <v>0</v>
      </c>
      <c r="K428">
        <v>2019</v>
      </c>
    </row>
    <row r="429" ht="15.75" spans="1:11">
      <c r="A429" s="1" t="s">
        <v>5</v>
      </c>
      <c r="B429" s="1" t="s">
        <v>7</v>
      </c>
      <c r="C429" s="2" t="s">
        <v>82</v>
      </c>
      <c r="D429" s="3" t="s">
        <v>83</v>
      </c>
      <c r="E429" s="4" t="s">
        <v>84</v>
      </c>
      <c r="F429" t="str">
        <f>'Source Table'!$B$12</f>
        <v>Youths &amp; Arts Magazines &amp; Periodicals</v>
      </c>
      <c r="G429" t="str">
        <f>'Source Table'!$K$12</f>
        <v>المجلات والدوريات الشباب و الفنون</v>
      </c>
      <c r="I429" t="str">
        <f>'Source Table'!$G$5</f>
        <v>فصلية</v>
      </c>
      <c r="J429" s="25">
        <v>5</v>
      </c>
      <c r="K429">
        <v>2019</v>
      </c>
    </row>
    <row r="430" ht="15.75" spans="1:11">
      <c r="A430" s="1" t="s">
        <v>5</v>
      </c>
      <c r="B430" s="1" t="s">
        <v>7</v>
      </c>
      <c r="C430" s="2" t="s">
        <v>82</v>
      </c>
      <c r="D430" s="3" t="s">
        <v>83</v>
      </c>
      <c r="E430" s="4" t="s">
        <v>84</v>
      </c>
      <c r="F430" t="str">
        <f>'Source Table'!$B$13</f>
        <v>Cultural &amp; Educational Magazines &amp; Periodicals</v>
      </c>
      <c r="G430" t="str">
        <f>'Source Table'!$K$13</f>
        <v>المجلات والدوريات الثقافية و المدرسية</v>
      </c>
      <c r="I430" t="str">
        <f>'Source Table'!$G$5</f>
        <v>فصلية</v>
      </c>
      <c r="J430" s="25">
        <v>21</v>
      </c>
      <c r="K430">
        <v>2019</v>
      </c>
    </row>
    <row r="431" ht="15.75" spans="1:11">
      <c r="A431" s="1" t="s">
        <v>5</v>
      </c>
      <c r="B431" s="1" t="s">
        <v>7</v>
      </c>
      <c r="C431" s="2" t="s">
        <v>82</v>
      </c>
      <c r="D431" s="3" t="s">
        <v>83</v>
      </c>
      <c r="E431" s="4" t="s">
        <v>84</v>
      </c>
      <c r="F431" t="str">
        <f>'Source Table'!$B$14</f>
        <v>Religious Magazines &amp; Periodicals</v>
      </c>
      <c r="G431" t="str">
        <f>'Source Table'!$K$14</f>
        <v>المجلات والدوريات الدينية</v>
      </c>
      <c r="I431" t="str">
        <f>'Source Table'!$G$5</f>
        <v>فصلية</v>
      </c>
      <c r="J431" s="25">
        <v>2</v>
      </c>
      <c r="K431">
        <v>2019</v>
      </c>
    </row>
    <row r="432" ht="15.75" spans="1:11">
      <c r="A432" s="1" t="s">
        <v>5</v>
      </c>
      <c r="B432" s="1" t="s">
        <v>7</v>
      </c>
      <c r="C432" s="2" t="s">
        <v>82</v>
      </c>
      <c r="D432" s="3" t="s">
        <v>83</v>
      </c>
      <c r="E432" s="4" t="s">
        <v>84</v>
      </c>
      <c r="F432" t="str">
        <f>'Source Table'!$B$15</f>
        <v>Scientific Magazines &amp; Periodicals</v>
      </c>
      <c r="G432" t="str">
        <f>'Source Table'!$K$15</f>
        <v>المجلات والدوريات العلمية</v>
      </c>
      <c r="I432" t="str">
        <f>'Source Table'!$G$5</f>
        <v>فصلية</v>
      </c>
      <c r="J432" s="25">
        <v>24</v>
      </c>
      <c r="K432">
        <v>2019</v>
      </c>
    </row>
    <row r="433" ht="15.75" spans="1:11">
      <c r="A433" s="1" t="s">
        <v>5</v>
      </c>
      <c r="B433" s="1" t="s">
        <v>7</v>
      </c>
      <c r="C433" s="2" t="s">
        <v>82</v>
      </c>
      <c r="D433" s="3" t="s">
        <v>83</v>
      </c>
      <c r="E433" s="4" t="s">
        <v>84</v>
      </c>
      <c r="F433" t="str">
        <f>'Source Table'!$B$16</f>
        <v>Financial Magazines &amp; Periodicals</v>
      </c>
      <c r="G433" t="str">
        <f>'Source Table'!$K$16</f>
        <v>المجلات والدوريات المالية</v>
      </c>
      <c r="I433" t="str">
        <f>'Source Table'!$G$5</f>
        <v>فصلية</v>
      </c>
      <c r="J433" s="25">
        <v>6</v>
      </c>
      <c r="K433">
        <v>2019</v>
      </c>
    </row>
    <row r="434" ht="15.75" spans="1:11">
      <c r="A434" s="1" t="s">
        <v>5</v>
      </c>
      <c r="B434" s="1" t="s">
        <v>7</v>
      </c>
      <c r="C434" s="2" t="s">
        <v>82</v>
      </c>
      <c r="D434" s="3" t="s">
        <v>83</v>
      </c>
      <c r="E434" s="4" t="s">
        <v>84</v>
      </c>
      <c r="F434" t="str">
        <f>'Source Table'!$B$17</f>
        <v>Tourist Magazines &amp; Periodicals</v>
      </c>
      <c r="G434" t="str">
        <f>'Source Table'!$K$17</f>
        <v>المجلات والدوريات سياحية</v>
      </c>
      <c r="I434" t="str">
        <f>'Source Table'!$G$5</f>
        <v>فصلية</v>
      </c>
      <c r="J434" s="25">
        <v>3</v>
      </c>
      <c r="K434">
        <v>2019</v>
      </c>
    </row>
    <row r="435" ht="16.5" spans="1:11">
      <c r="A435" s="1" t="s">
        <v>5</v>
      </c>
      <c r="B435" s="1" t="s">
        <v>7</v>
      </c>
      <c r="C435" s="2" t="s">
        <v>82</v>
      </c>
      <c r="D435" s="3" t="s">
        <v>83</v>
      </c>
      <c r="E435" s="4" t="s">
        <v>84</v>
      </c>
      <c r="F435" t="str">
        <f>'Source Table'!$B$18</f>
        <v>Other Magazines &amp; Periodicals</v>
      </c>
      <c r="G435" t="str">
        <f>'Source Table'!$K$18</f>
        <v>المجلات والدوريات أخرى</v>
      </c>
      <c r="I435" t="str">
        <f>'Source Table'!$G$5</f>
        <v>فصلية</v>
      </c>
      <c r="J435" s="26">
        <v>111</v>
      </c>
      <c r="K435">
        <v>2019</v>
      </c>
    </row>
    <row r="436" ht="15.75" spans="1:11">
      <c r="A436" s="1" t="s">
        <v>5</v>
      </c>
      <c r="B436" s="1" t="s">
        <v>7</v>
      </c>
      <c r="C436" s="2" t="s">
        <v>82</v>
      </c>
      <c r="D436" s="3" t="s">
        <v>83</v>
      </c>
      <c r="E436" s="4" t="s">
        <v>84</v>
      </c>
      <c r="F436" t="str">
        <f>'Source Table'!$B$7</f>
        <v>Political Newspapers</v>
      </c>
      <c r="G436" t="str">
        <f>'Source Table'!$K$7</f>
        <v>صحف سياسية</v>
      </c>
      <c r="I436" t="str">
        <f>'Source Table'!$F$5</f>
        <v>سنوية</v>
      </c>
      <c r="J436" s="25">
        <v>0</v>
      </c>
      <c r="K436">
        <v>2019</v>
      </c>
    </row>
    <row r="437" ht="15.75" spans="1:11">
      <c r="A437" s="1" t="s">
        <v>5</v>
      </c>
      <c r="B437" s="1" t="s">
        <v>7</v>
      </c>
      <c r="C437" s="2" t="s">
        <v>82</v>
      </c>
      <c r="D437" s="3" t="s">
        <v>83</v>
      </c>
      <c r="E437" s="4" t="s">
        <v>84</v>
      </c>
      <c r="F437" t="str">
        <f>'Source Table'!$B$8</f>
        <v>Parties Newspapers</v>
      </c>
      <c r="G437" t="str">
        <f>'Source Table'!$K$8</f>
        <v>صحف حزبية</v>
      </c>
      <c r="I437" t="str">
        <f>'Source Table'!$F$5</f>
        <v>سنوية</v>
      </c>
      <c r="J437" s="25">
        <v>0</v>
      </c>
      <c r="K437">
        <v>2019</v>
      </c>
    </row>
    <row r="438" ht="15.75" spans="1:11">
      <c r="A438" s="1" t="s">
        <v>5</v>
      </c>
      <c r="B438" s="1" t="s">
        <v>7</v>
      </c>
      <c r="C438" s="2" t="s">
        <v>82</v>
      </c>
      <c r="D438" s="3" t="s">
        <v>83</v>
      </c>
      <c r="E438" s="4" t="s">
        <v>84</v>
      </c>
      <c r="F438" t="str">
        <f>'Source Table'!$B$9</f>
        <v>Children Magazines &amp; Periodicals</v>
      </c>
      <c r="G438" t="str">
        <f>'Source Table'!$K$9</f>
        <v>المجلات والدوريات الأطفال</v>
      </c>
      <c r="I438" t="str">
        <f>'Source Table'!$F$5</f>
        <v>سنوية</v>
      </c>
      <c r="J438" s="25">
        <v>0</v>
      </c>
      <c r="K438">
        <v>2019</v>
      </c>
    </row>
    <row r="439" ht="15.75" spans="1:11">
      <c r="A439" s="1" t="s">
        <v>5</v>
      </c>
      <c r="B439" s="1" t="s">
        <v>7</v>
      </c>
      <c r="C439" s="2" t="s">
        <v>82</v>
      </c>
      <c r="D439" s="3" t="s">
        <v>83</v>
      </c>
      <c r="E439" s="4" t="s">
        <v>84</v>
      </c>
      <c r="F439" t="str">
        <f>'Source Table'!$B$10</f>
        <v>Economic Magazines &amp; Periodicals</v>
      </c>
      <c r="G439" t="str">
        <f>'Source Table'!$K$10</f>
        <v>المجلات والدوريات الاقتصادية</v>
      </c>
      <c r="I439" t="str">
        <f>'Source Table'!$F$5</f>
        <v>سنوية</v>
      </c>
      <c r="J439" s="25">
        <v>8</v>
      </c>
      <c r="K439">
        <v>2019</v>
      </c>
    </row>
    <row r="440" ht="15.75" spans="1:11">
      <c r="A440" s="1" t="s">
        <v>5</v>
      </c>
      <c r="B440" s="1" t="s">
        <v>7</v>
      </c>
      <c r="C440" s="2" t="s">
        <v>82</v>
      </c>
      <c r="D440" s="3" t="s">
        <v>83</v>
      </c>
      <c r="E440" s="4" t="s">
        <v>84</v>
      </c>
      <c r="F440" t="str">
        <f>'Source Table'!$B$11</f>
        <v>Army &amp; Police Magazines &amp; Periodicals</v>
      </c>
      <c r="G440" t="str">
        <f>'Source Table'!$K$11</f>
        <v>المجلات والدوريات العسكرية و شرطية</v>
      </c>
      <c r="I440" t="str">
        <f>'Source Table'!$F$5</f>
        <v>سنوية</v>
      </c>
      <c r="J440" s="25">
        <v>0</v>
      </c>
      <c r="K440">
        <v>2019</v>
      </c>
    </row>
    <row r="441" ht="15.75" spans="1:11">
      <c r="A441" s="1" t="s">
        <v>5</v>
      </c>
      <c r="B441" s="1" t="s">
        <v>7</v>
      </c>
      <c r="C441" s="2" t="s">
        <v>82</v>
      </c>
      <c r="D441" s="3" t="s">
        <v>83</v>
      </c>
      <c r="E441" s="4" t="s">
        <v>84</v>
      </c>
      <c r="F441" t="str">
        <f>'Source Table'!$B$12</f>
        <v>Youths &amp; Arts Magazines &amp; Periodicals</v>
      </c>
      <c r="G441" t="str">
        <f>'Source Table'!$K$12</f>
        <v>المجلات والدوريات الشباب و الفنون</v>
      </c>
      <c r="I441" t="str">
        <f>'Source Table'!$F$5</f>
        <v>سنوية</v>
      </c>
      <c r="J441" s="25">
        <v>1</v>
      </c>
      <c r="K441">
        <v>2019</v>
      </c>
    </row>
    <row r="442" ht="15.75" spans="1:11">
      <c r="A442" s="1" t="s">
        <v>5</v>
      </c>
      <c r="B442" s="1" t="s">
        <v>7</v>
      </c>
      <c r="C442" s="2" t="s">
        <v>82</v>
      </c>
      <c r="D442" s="3" t="s">
        <v>83</v>
      </c>
      <c r="E442" s="4" t="s">
        <v>84</v>
      </c>
      <c r="F442" t="str">
        <f>'Source Table'!$B$13</f>
        <v>Cultural &amp; Educational Magazines &amp; Periodicals</v>
      </c>
      <c r="G442" t="str">
        <f>'Source Table'!$K$13</f>
        <v>المجلات والدوريات الثقافية و المدرسية</v>
      </c>
      <c r="I442" t="str">
        <f>'Source Table'!$F$5</f>
        <v>سنوية</v>
      </c>
      <c r="J442" s="25">
        <v>2</v>
      </c>
      <c r="K442">
        <v>2019</v>
      </c>
    </row>
    <row r="443" ht="15.75" spans="1:11">
      <c r="A443" s="1" t="s">
        <v>5</v>
      </c>
      <c r="B443" s="1" t="s">
        <v>7</v>
      </c>
      <c r="C443" s="2" t="s">
        <v>82</v>
      </c>
      <c r="D443" s="3" t="s">
        <v>83</v>
      </c>
      <c r="E443" s="4" t="s">
        <v>84</v>
      </c>
      <c r="F443" t="str">
        <f>'Source Table'!$B$14</f>
        <v>Religious Magazines &amp; Periodicals</v>
      </c>
      <c r="G443" t="str">
        <f>'Source Table'!$K$14</f>
        <v>المجلات والدوريات الدينية</v>
      </c>
      <c r="I443" t="str">
        <f>'Source Table'!$F$5</f>
        <v>سنوية</v>
      </c>
      <c r="J443" s="25">
        <v>0</v>
      </c>
      <c r="K443">
        <v>2019</v>
      </c>
    </row>
    <row r="444" ht="15.75" spans="1:11">
      <c r="A444" s="1" t="s">
        <v>5</v>
      </c>
      <c r="B444" s="1" t="s">
        <v>7</v>
      </c>
      <c r="C444" s="2" t="s">
        <v>82</v>
      </c>
      <c r="D444" s="3" t="s">
        <v>83</v>
      </c>
      <c r="E444" s="4" t="s">
        <v>84</v>
      </c>
      <c r="F444" t="str">
        <f>'Source Table'!$B$15</f>
        <v>Scientific Magazines &amp; Periodicals</v>
      </c>
      <c r="G444" t="str">
        <f>'Source Table'!$K$15</f>
        <v>المجلات والدوريات العلمية</v>
      </c>
      <c r="I444" t="str">
        <f>'Source Table'!$F$5</f>
        <v>سنوية</v>
      </c>
      <c r="J444" s="25">
        <v>8</v>
      </c>
      <c r="K444">
        <v>2019</v>
      </c>
    </row>
    <row r="445" ht="15.75" spans="1:11">
      <c r="A445" s="1" t="s">
        <v>5</v>
      </c>
      <c r="B445" s="1" t="s">
        <v>7</v>
      </c>
      <c r="C445" s="2" t="s">
        <v>82</v>
      </c>
      <c r="D445" s="3" t="s">
        <v>83</v>
      </c>
      <c r="E445" s="4" t="s">
        <v>84</v>
      </c>
      <c r="F445" t="str">
        <f>'Source Table'!$B$16</f>
        <v>Financial Magazines &amp; Periodicals</v>
      </c>
      <c r="G445" t="str">
        <f>'Source Table'!$K$16</f>
        <v>المجلات والدوريات المالية</v>
      </c>
      <c r="I445" t="str">
        <f>'Source Table'!$F$5</f>
        <v>سنوية</v>
      </c>
      <c r="J445" s="25">
        <v>1</v>
      </c>
      <c r="K445">
        <v>2019</v>
      </c>
    </row>
    <row r="446" ht="15.75" spans="1:11">
      <c r="A446" s="1" t="s">
        <v>5</v>
      </c>
      <c r="B446" s="1" t="s">
        <v>7</v>
      </c>
      <c r="C446" s="2" t="s">
        <v>82</v>
      </c>
      <c r="D446" s="3" t="s">
        <v>83</v>
      </c>
      <c r="E446" s="4" t="s">
        <v>84</v>
      </c>
      <c r="F446" t="str">
        <f>'Source Table'!$B$17</f>
        <v>Tourist Magazines &amp; Periodicals</v>
      </c>
      <c r="G446" t="str">
        <f>'Source Table'!$K$17</f>
        <v>المجلات والدوريات سياحية</v>
      </c>
      <c r="I446" t="str">
        <f>'Source Table'!$F$5</f>
        <v>سنوية</v>
      </c>
      <c r="J446" s="25">
        <v>0</v>
      </c>
      <c r="K446">
        <v>2019</v>
      </c>
    </row>
    <row r="447" ht="16.5" spans="1:11">
      <c r="A447" s="1" t="s">
        <v>5</v>
      </c>
      <c r="B447" s="1" t="s">
        <v>7</v>
      </c>
      <c r="C447" s="2" t="s">
        <v>82</v>
      </c>
      <c r="D447" s="3" t="s">
        <v>83</v>
      </c>
      <c r="E447" s="4" t="s">
        <v>84</v>
      </c>
      <c r="F447" t="str">
        <f>'Source Table'!$B$18</f>
        <v>Other Magazines &amp; Periodicals</v>
      </c>
      <c r="G447" t="str">
        <f>'Source Table'!$K$18</f>
        <v>المجلات والدوريات أخرى</v>
      </c>
      <c r="I447" t="str">
        <f>'Source Table'!$F$5</f>
        <v>سنوية</v>
      </c>
      <c r="J447" s="26">
        <v>10</v>
      </c>
      <c r="K447">
        <v>2019</v>
      </c>
    </row>
    <row r="448" ht="15.75" spans="1:11">
      <c r="A448" s="1" t="s">
        <v>5</v>
      </c>
      <c r="B448" s="1" t="s">
        <v>7</v>
      </c>
      <c r="C448" s="2" t="s">
        <v>82</v>
      </c>
      <c r="D448" s="3" t="s">
        <v>83</v>
      </c>
      <c r="E448" s="4" t="s">
        <v>84</v>
      </c>
      <c r="F448" t="str">
        <f>'Source Table'!$B$7</f>
        <v>Political Newspapers</v>
      </c>
      <c r="G448" t="str">
        <f>'Source Table'!$K$7</f>
        <v>صحف سياسية</v>
      </c>
      <c r="I448" t="str">
        <f>'Source Table'!$E$5</f>
        <v>كل شهرين</v>
      </c>
      <c r="J448" s="27">
        <v>0</v>
      </c>
      <c r="K448">
        <v>2019</v>
      </c>
    </row>
    <row r="449" ht="15.75" spans="1:11">
      <c r="A449" s="1" t="s">
        <v>5</v>
      </c>
      <c r="B449" s="1" t="s">
        <v>7</v>
      </c>
      <c r="C449" s="2" t="s">
        <v>82</v>
      </c>
      <c r="D449" s="3" t="s">
        <v>83</v>
      </c>
      <c r="E449" s="4" t="s">
        <v>84</v>
      </c>
      <c r="F449" t="str">
        <f>'Source Table'!$B$8</f>
        <v>Parties Newspapers</v>
      </c>
      <c r="G449" t="str">
        <f>'Source Table'!$K$8</f>
        <v>صحف حزبية</v>
      </c>
      <c r="I449" t="str">
        <f>'Source Table'!$E$5</f>
        <v>كل شهرين</v>
      </c>
      <c r="J449" s="27">
        <v>0</v>
      </c>
      <c r="K449">
        <v>2019</v>
      </c>
    </row>
    <row r="450" ht="15.75" spans="1:11">
      <c r="A450" s="1" t="s">
        <v>5</v>
      </c>
      <c r="B450" s="1" t="s">
        <v>7</v>
      </c>
      <c r="C450" s="2" t="s">
        <v>82</v>
      </c>
      <c r="D450" s="3" t="s">
        <v>83</v>
      </c>
      <c r="E450" s="4" t="s">
        <v>84</v>
      </c>
      <c r="F450" t="str">
        <f>'Source Table'!$B$9</f>
        <v>Children Magazines &amp; Periodicals</v>
      </c>
      <c r="G450" t="str">
        <f>'Source Table'!$K$9</f>
        <v>المجلات والدوريات الأطفال</v>
      </c>
      <c r="I450" t="str">
        <f>'Source Table'!$E$5</f>
        <v>كل شهرين</v>
      </c>
      <c r="J450" s="27">
        <v>0</v>
      </c>
      <c r="K450">
        <v>2019</v>
      </c>
    </row>
    <row r="451" ht="15.75" spans="1:11">
      <c r="A451" s="1" t="s">
        <v>5</v>
      </c>
      <c r="B451" s="1" t="s">
        <v>7</v>
      </c>
      <c r="C451" s="2" t="s">
        <v>82</v>
      </c>
      <c r="D451" s="3" t="s">
        <v>83</v>
      </c>
      <c r="E451" s="4" t="s">
        <v>84</v>
      </c>
      <c r="F451" t="str">
        <f>'Source Table'!$B$10</f>
        <v>Economic Magazines &amp; Periodicals</v>
      </c>
      <c r="G451" t="str">
        <f>'Source Table'!$K$10</f>
        <v>المجلات والدوريات الاقتصادية</v>
      </c>
      <c r="I451" t="str">
        <f>'Source Table'!$E$5</f>
        <v>كل شهرين</v>
      </c>
      <c r="J451" s="27">
        <v>3</v>
      </c>
      <c r="K451">
        <v>2019</v>
      </c>
    </row>
    <row r="452" ht="15.75" spans="1:11">
      <c r="A452" s="1" t="s">
        <v>5</v>
      </c>
      <c r="B452" s="1" t="s">
        <v>7</v>
      </c>
      <c r="C452" s="2" t="s">
        <v>82</v>
      </c>
      <c r="D452" s="3" t="s">
        <v>83</v>
      </c>
      <c r="E452" s="4" t="s">
        <v>84</v>
      </c>
      <c r="F452" t="str">
        <f>'Source Table'!$B$11</f>
        <v>Army &amp; Police Magazines &amp; Periodicals</v>
      </c>
      <c r="G452" t="str">
        <f>'Source Table'!$K$11</f>
        <v>المجلات والدوريات العسكرية و شرطية</v>
      </c>
      <c r="I452" t="str">
        <f>'Source Table'!$E$5</f>
        <v>كل شهرين</v>
      </c>
      <c r="J452" s="27">
        <v>0</v>
      </c>
      <c r="K452">
        <v>2019</v>
      </c>
    </row>
    <row r="453" ht="15.75" spans="1:11">
      <c r="A453" s="1" t="s">
        <v>5</v>
      </c>
      <c r="B453" s="1" t="s">
        <v>7</v>
      </c>
      <c r="C453" s="2" t="s">
        <v>82</v>
      </c>
      <c r="D453" s="3" t="s">
        <v>83</v>
      </c>
      <c r="E453" s="4" t="s">
        <v>84</v>
      </c>
      <c r="F453" t="str">
        <f>'Source Table'!$B$12</f>
        <v>Youths &amp; Arts Magazines &amp; Periodicals</v>
      </c>
      <c r="G453" t="str">
        <f>'Source Table'!$K$12</f>
        <v>المجلات والدوريات الشباب و الفنون</v>
      </c>
      <c r="I453" t="str">
        <f>'Source Table'!$E$5</f>
        <v>كل شهرين</v>
      </c>
      <c r="J453" s="27">
        <v>0</v>
      </c>
      <c r="K453">
        <v>2019</v>
      </c>
    </row>
    <row r="454" ht="15.75" spans="1:11">
      <c r="A454" s="1" t="s">
        <v>5</v>
      </c>
      <c r="B454" s="1" t="s">
        <v>7</v>
      </c>
      <c r="C454" s="2" t="s">
        <v>82</v>
      </c>
      <c r="D454" s="3" t="s">
        <v>83</v>
      </c>
      <c r="E454" s="4" t="s">
        <v>84</v>
      </c>
      <c r="F454" t="str">
        <f>'Source Table'!$B$13</f>
        <v>Cultural &amp; Educational Magazines &amp; Periodicals</v>
      </c>
      <c r="G454" t="str">
        <f>'Source Table'!$K$13</f>
        <v>المجلات والدوريات الثقافية و المدرسية</v>
      </c>
      <c r="I454" t="str">
        <f>'Source Table'!$E$5</f>
        <v>كل شهرين</v>
      </c>
      <c r="J454" s="27">
        <v>2</v>
      </c>
      <c r="K454">
        <v>2019</v>
      </c>
    </row>
    <row r="455" ht="15.75" spans="1:11">
      <c r="A455" s="1" t="s">
        <v>5</v>
      </c>
      <c r="B455" s="1" t="s">
        <v>7</v>
      </c>
      <c r="C455" s="2" t="s">
        <v>82</v>
      </c>
      <c r="D455" s="3" t="s">
        <v>83</v>
      </c>
      <c r="E455" s="4" t="s">
        <v>84</v>
      </c>
      <c r="F455" t="str">
        <f>'Source Table'!$B$14</f>
        <v>Religious Magazines &amp; Periodicals</v>
      </c>
      <c r="G455" t="str">
        <f>'Source Table'!$K$14</f>
        <v>المجلات والدوريات الدينية</v>
      </c>
      <c r="I455" t="str">
        <f>'Source Table'!$E$5</f>
        <v>كل شهرين</v>
      </c>
      <c r="J455" s="27">
        <v>0</v>
      </c>
      <c r="K455">
        <v>2019</v>
      </c>
    </row>
    <row r="456" ht="15.75" spans="1:11">
      <c r="A456" s="1" t="s">
        <v>5</v>
      </c>
      <c r="B456" s="1" t="s">
        <v>7</v>
      </c>
      <c r="C456" s="2" t="s">
        <v>82</v>
      </c>
      <c r="D456" s="3" t="s">
        <v>83</v>
      </c>
      <c r="E456" s="4" t="s">
        <v>84</v>
      </c>
      <c r="F456" t="str">
        <f>'Source Table'!$B$15</f>
        <v>Scientific Magazines &amp; Periodicals</v>
      </c>
      <c r="G456" t="str">
        <f>'Source Table'!$K$15</f>
        <v>المجلات والدوريات العلمية</v>
      </c>
      <c r="I456" t="str">
        <f>'Source Table'!$E$5</f>
        <v>كل شهرين</v>
      </c>
      <c r="J456" s="27">
        <v>0</v>
      </c>
      <c r="K456">
        <v>2019</v>
      </c>
    </row>
    <row r="457" ht="15.75" spans="1:11">
      <c r="A457" s="1" t="s">
        <v>5</v>
      </c>
      <c r="B457" s="1" t="s">
        <v>7</v>
      </c>
      <c r="C457" s="2" t="s">
        <v>82</v>
      </c>
      <c r="D457" s="3" t="s">
        <v>83</v>
      </c>
      <c r="E457" s="4" t="s">
        <v>84</v>
      </c>
      <c r="F457" t="str">
        <f>'Source Table'!$B$16</f>
        <v>Financial Magazines &amp; Periodicals</v>
      </c>
      <c r="G457" t="str">
        <f>'Source Table'!$K$16</f>
        <v>المجلات والدوريات المالية</v>
      </c>
      <c r="I457" t="str">
        <f>'Source Table'!$E$5</f>
        <v>كل شهرين</v>
      </c>
      <c r="J457" s="27">
        <v>1</v>
      </c>
      <c r="K457">
        <v>2019</v>
      </c>
    </row>
    <row r="458" ht="15.75" spans="1:11">
      <c r="A458" s="1" t="s">
        <v>5</v>
      </c>
      <c r="B458" s="1" t="s">
        <v>7</v>
      </c>
      <c r="C458" s="2" t="s">
        <v>82</v>
      </c>
      <c r="D458" s="3" t="s">
        <v>83</v>
      </c>
      <c r="E458" s="4" t="s">
        <v>84</v>
      </c>
      <c r="F458" t="str">
        <f>'Source Table'!$B$17</f>
        <v>Tourist Magazines &amp; Periodicals</v>
      </c>
      <c r="G458" t="str">
        <f>'Source Table'!$K$17</f>
        <v>المجلات والدوريات سياحية</v>
      </c>
      <c r="I458" t="str">
        <f>'Source Table'!$E$5</f>
        <v>كل شهرين</v>
      </c>
      <c r="J458" s="27">
        <v>2</v>
      </c>
      <c r="K458">
        <v>2019</v>
      </c>
    </row>
    <row r="459" ht="16.5" spans="1:11">
      <c r="A459" s="1" t="s">
        <v>5</v>
      </c>
      <c r="B459" s="1" t="s">
        <v>7</v>
      </c>
      <c r="C459" s="2" t="s">
        <v>82</v>
      </c>
      <c r="D459" s="3" t="s">
        <v>83</v>
      </c>
      <c r="E459" s="4" t="s">
        <v>84</v>
      </c>
      <c r="F459" t="str">
        <f>'Source Table'!$B$18</f>
        <v>Other Magazines &amp; Periodicals</v>
      </c>
      <c r="G459" t="str">
        <f>'Source Table'!$K$18</f>
        <v>المجلات والدوريات أخرى</v>
      </c>
      <c r="I459" t="str">
        <f>'Source Table'!$E$5</f>
        <v>كل شهرين</v>
      </c>
      <c r="J459" s="28">
        <v>5</v>
      </c>
      <c r="K459">
        <v>2019</v>
      </c>
    </row>
    <row r="460" ht="15.75" spans="1:11">
      <c r="A460" s="1" t="s">
        <v>5</v>
      </c>
      <c r="B460" s="1" t="s">
        <v>7</v>
      </c>
      <c r="C460" s="2" t="s">
        <v>82</v>
      </c>
      <c r="D460" s="3" t="s">
        <v>83</v>
      </c>
      <c r="E460" s="4" t="s">
        <v>84</v>
      </c>
      <c r="F460" t="str">
        <f>'Source Table'!$B$7</f>
        <v>Political Newspapers</v>
      </c>
      <c r="G460" t="str">
        <f>'Source Table'!$K$7</f>
        <v>صحف سياسية</v>
      </c>
      <c r="I460" t="str">
        <f>'Source Table'!$D$5</f>
        <v>نصف سنوية</v>
      </c>
      <c r="J460" s="27">
        <v>0</v>
      </c>
      <c r="K460">
        <v>2019</v>
      </c>
    </row>
    <row r="461" ht="15.75" spans="1:11">
      <c r="A461" s="1" t="s">
        <v>5</v>
      </c>
      <c r="B461" s="1" t="s">
        <v>7</v>
      </c>
      <c r="C461" s="2" t="s">
        <v>82</v>
      </c>
      <c r="D461" s="3" t="s">
        <v>83</v>
      </c>
      <c r="E461" s="4" t="s">
        <v>84</v>
      </c>
      <c r="F461" t="str">
        <f>'Source Table'!$B$8</f>
        <v>Parties Newspapers</v>
      </c>
      <c r="G461" t="str">
        <f>'Source Table'!$K$8</f>
        <v>صحف حزبية</v>
      </c>
      <c r="I461" t="str">
        <f>'Source Table'!$D$5</f>
        <v>نصف سنوية</v>
      </c>
      <c r="J461" s="27">
        <v>1</v>
      </c>
      <c r="K461">
        <v>2019</v>
      </c>
    </row>
    <row r="462" ht="15.75" spans="1:11">
      <c r="A462" s="1" t="s">
        <v>5</v>
      </c>
      <c r="B462" s="1" t="s">
        <v>7</v>
      </c>
      <c r="C462" s="2" t="s">
        <v>82</v>
      </c>
      <c r="D462" s="3" t="s">
        <v>83</v>
      </c>
      <c r="E462" s="4" t="s">
        <v>84</v>
      </c>
      <c r="F462" t="str">
        <f>'Source Table'!$B$9</f>
        <v>Children Magazines &amp; Periodicals</v>
      </c>
      <c r="G462" t="str">
        <f>'Source Table'!$K$9</f>
        <v>المجلات والدوريات الأطفال</v>
      </c>
      <c r="I462" t="str">
        <f>'Source Table'!$D$5</f>
        <v>نصف سنوية</v>
      </c>
      <c r="J462" s="27">
        <v>1</v>
      </c>
      <c r="K462">
        <v>2019</v>
      </c>
    </row>
    <row r="463" ht="15.75" spans="1:11">
      <c r="A463" s="1" t="s">
        <v>5</v>
      </c>
      <c r="B463" s="1" t="s">
        <v>7</v>
      </c>
      <c r="C463" s="2" t="s">
        <v>82</v>
      </c>
      <c r="D463" s="3" t="s">
        <v>83</v>
      </c>
      <c r="E463" s="4" t="s">
        <v>84</v>
      </c>
      <c r="F463" t="str">
        <f>'Source Table'!$B$10</f>
        <v>Economic Magazines &amp; Periodicals</v>
      </c>
      <c r="G463" t="str">
        <f>'Source Table'!$K$10</f>
        <v>المجلات والدوريات الاقتصادية</v>
      </c>
      <c r="I463" t="str">
        <f>'Source Table'!$D$5</f>
        <v>نصف سنوية</v>
      </c>
      <c r="J463" s="27">
        <v>0</v>
      </c>
      <c r="K463">
        <v>2019</v>
      </c>
    </row>
    <row r="464" ht="15.75" spans="1:11">
      <c r="A464" s="1" t="s">
        <v>5</v>
      </c>
      <c r="B464" s="1" t="s">
        <v>7</v>
      </c>
      <c r="C464" s="2" t="s">
        <v>82</v>
      </c>
      <c r="D464" s="3" t="s">
        <v>83</v>
      </c>
      <c r="E464" s="4" t="s">
        <v>84</v>
      </c>
      <c r="F464" t="str">
        <f>'Source Table'!$B$11</f>
        <v>Army &amp; Police Magazines &amp; Periodicals</v>
      </c>
      <c r="G464" t="str">
        <f>'Source Table'!$K$11</f>
        <v>المجلات والدوريات العسكرية و شرطية</v>
      </c>
      <c r="I464" t="str">
        <f>'Source Table'!$D$5</f>
        <v>نصف سنوية</v>
      </c>
      <c r="J464" s="27">
        <v>1</v>
      </c>
      <c r="K464">
        <v>2019</v>
      </c>
    </row>
    <row r="465" ht="15.75" spans="1:11">
      <c r="A465" s="1" t="s">
        <v>5</v>
      </c>
      <c r="B465" s="1" t="s">
        <v>7</v>
      </c>
      <c r="C465" s="2" t="s">
        <v>82</v>
      </c>
      <c r="D465" s="3" t="s">
        <v>83</v>
      </c>
      <c r="E465" s="4" t="s">
        <v>84</v>
      </c>
      <c r="F465" t="str">
        <f>'Source Table'!$B$12</f>
        <v>Youths &amp; Arts Magazines &amp; Periodicals</v>
      </c>
      <c r="G465" t="str">
        <f>'Source Table'!$K$12</f>
        <v>المجلات والدوريات الشباب و الفنون</v>
      </c>
      <c r="I465" t="str">
        <f>'Source Table'!$D$5</f>
        <v>نصف سنوية</v>
      </c>
      <c r="J465" s="27">
        <v>0</v>
      </c>
      <c r="K465">
        <v>2019</v>
      </c>
    </row>
    <row r="466" ht="15.75" spans="1:11">
      <c r="A466" s="1" t="s">
        <v>5</v>
      </c>
      <c r="B466" s="1" t="s">
        <v>7</v>
      </c>
      <c r="C466" s="2" t="s">
        <v>82</v>
      </c>
      <c r="D466" s="3" t="s">
        <v>83</v>
      </c>
      <c r="E466" s="4" t="s">
        <v>84</v>
      </c>
      <c r="F466" t="str">
        <f>'Source Table'!$B$13</f>
        <v>Cultural &amp; Educational Magazines &amp; Periodicals</v>
      </c>
      <c r="G466" t="str">
        <f>'Source Table'!$K$13</f>
        <v>المجلات والدوريات الثقافية و المدرسية</v>
      </c>
      <c r="I466" t="str">
        <f>'Source Table'!$D$5</f>
        <v>نصف سنوية</v>
      </c>
      <c r="J466" s="27">
        <v>2</v>
      </c>
      <c r="K466">
        <v>2019</v>
      </c>
    </row>
    <row r="467" ht="15.75" spans="1:11">
      <c r="A467" s="1" t="s">
        <v>5</v>
      </c>
      <c r="B467" s="1" t="s">
        <v>7</v>
      </c>
      <c r="C467" s="2" t="s">
        <v>82</v>
      </c>
      <c r="D467" s="3" t="s">
        <v>83</v>
      </c>
      <c r="E467" s="4" t="s">
        <v>84</v>
      </c>
      <c r="F467" t="str">
        <f>'Source Table'!$B$14</f>
        <v>Religious Magazines &amp; Periodicals</v>
      </c>
      <c r="G467" t="str">
        <f>'Source Table'!$K$14</f>
        <v>المجلات والدوريات الدينية</v>
      </c>
      <c r="I467" t="str">
        <f>'Source Table'!$D$5</f>
        <v>نصف سنوية</v>
      </c>
      <c r="J467" s="27">
        <v>0</v>
      </c>
      <c r="K467">
        <v>2019</v>
      </c>
    </row>
    <row r="468" ht="15.75" spans="1:11">
      <c r="A468" s="1" t="s">
        <v>5</v>
      </c>
      <c r="B468" s="1" t="s">
        <v>7</v>
      </c>
      <c r="C468" s="2" t="s">
        <v>82</v>
      </c>
      <c r="D468" s="3" t="s">
        <v>83</v>
      </c>
      <c r="E468" s="4" t="s">
        <v>84</v>
      </c>
      <c r="F468" t="str">
        <f>'Source Table'!$B$15</f>
        <v>Scientific Magazines &amp; Periodicals</v>
      </c>
      <c r="G468" t="str">
        <f>'Source Table'!$K$15</f>
        <v>المجلات والدوريات العلمية</v>
      </c>
      <c r="I468" t="str">
        <f>'Source Table'!$D$5</f>
        <v>نصف سنوية</v>
      </c>
      <c r="J468" s="27">
        <v>0</v>
      </c>
      <c r="K468">
        <v>2019</v>
      </c>
    </row>
    <row r="469" ht="15.75" spans="1:11">
      <c r="A469" s="1" t="s">
        <v>5</v>
      </c>
      <c r="B469" s="1" t="s">
        <v>7</v>
      </c>
      <c r="C469" s="2" t="s">
        <v>82</v>
      </c>
      <c r="D469" s="3" t="s">
        <v>83</v>
      </c>
      <c r="E469" s="4" t="s">
        <v>84</v>
      </c>
      <c r="F469" t="str">
        <f>'Source Table'!$B$16</f>
        <v>Financial Magazines &amp; Periodicals</v>
      </c>
      <c r="G469" t="str">
        <f>'Source Table'!$K$16</f>
        <v>المجلات والدوريات المالية</v>
      </c>
      <c r="I469" t="str">
        <f>'Source Table'!$D$5</f>
        <v>نصف سنوية</v>
      </c>
      <c r="J469" s="27">
        <v>1</v>
      </c>
      <c r="K469">
        <v>2019</v>
      </c>
    </row>
    <row r="470" ht="15.75" spans="1:11">
      <c r="A470" s="1" t="s">
        <v>5</v>
      </c>
      <c r="B470" s="1" t="s">
        <v>7</v>
      </c>
      <c r="C470" s="2" t="s">
        <v>82</v>
      </c>
      <c r="D470" s="3" t="s">
        <v>83</v>
      </c>
      <c r="E470" s="4" t="s">
        <v>84</v>
      </c>
      <c r="F470" t="str">
        <f>'Source Table'!$B$17</f>
        <v>Tourist Magazines &amp; Periodicals</v>
      </c>
      <c r="G470" t="str">
        <f>'Source Table'!$K$17</f>
        <v>المجلات والدوريات سياحية</v>
      </c>
      <c r="I470" t="str">
        <f>'Source Table'!$D$5</f>
        <v>نصف سنوية</v>
      </c>
      <c r="J470" s="27">
        <v>0</v>
      </c>
      <c r="K470">
        <v>2019</v>
      </c>
    </row>
    <row r="471" ht="16.5" spans="1:11">
      <c r="A471" s="1" t="s">
        <v>5</v>
      </c>
      <c r="B471" s="1" t="s">
        <v>7</v>
      </c>
      <c r="C471" s="2" t="s">
        <v>82</v>
      </c>
      <c r="D471" s="3" t="s">
        <v>83</v>
      </c>
      <c r="E471" s="4" t="s">
        <v>84</v>
      </c>
      <c r="F471" t="str">
        <f>'Source Table'!$B$18</f>
        <v>Other Magazines &amp; Periodicals</v>
      </c>
      <c r="G471" t="str">
        <f>'Source Table'!$K$18</f>
        <v>المجلات والدوريات أخرى</v>
      </c>
      <c r="I471" t="str">
        <f>'Source Table'!$D$5</f>
        <v>نصف سنوية</v>
      </c>
      <c r="J471" s="28">
        <v>24</v>
      </c>
      <c r="K471">
        <v>2019</v>
      </c>
    </row>
    <row r="472" ht="15.75" spans="1:11">
      <c r="A472" s="1" t="s">
        <v>5</v>
      </c>
      <c r="B472" s="1" t="s">
        <v>7</v>
      </c>
      <c r="C472" s="2" t="s">
        <v>82</v>
      </c>
      <c r="D472" s="3" t="s">
        <v>83</v>
      </c>
      <c r="E472" s="4" t="s">
        <v>84</v>
      </c>
      <c r="F472" t="str">
        <f>'Source Table'!$B$7</f>
        <v>Political Newspapers</v>
      </c>
      <c r="G472" t="str">
        <f>'Source Table'!$K$7</f>
        <v>صحف سياسية</v>
      </c>
      <c r="I472" t="str">
        <f>'Source Table'!$C$5</f>
        <v>نصف شهرية</v>
      </c>
      <c r="J472" s="25">
        <v>0</v>
      </c>
      <c r="K472">
        <v>2019</v>
      </c>
    </row>
    <row r="473" ht="15.75" spans="1:11">
      <c r="A473" s="1" t="s">
        <v>5</v>
      </c>
      <c r="B473" s="1" t="s">
        <v>7</v>
      </c>
      <c r="C473" s="2" t="s">
        <v>82</v>
      </c>
      <c r="D473" s="3" t="s">
        <v>83</v>
      </c>
      <c r="E473" s="4" t="s">
        <v>84</v>
      </c>
      <c r="F473" t="str">
        <f>'Source Table'!$B$8</f>
        <v>Parties Newspapers</v>
      </c>
      <c r="G473" t="str">
        <f>'Source Table'!$K$8</f>
        <v>صحف حزبية</v>
      </c>
      <c r="I473" t="str">
        <f>'Source Table'!$C$5</f>
        <v>نصف شهرية</v>
      </c>
      <c r="J473" s="25">
        <v>0</v>
      </c>
      <c r="K473">
        <v>2019</v>
      </c>
    </row>
    <row r="474" ht="15.75" spans="1:11">
      <c r="A474" s="1" t="s">
        <v>5</v>
      </c>
      <c r="B474" s="1" t="s">
        <v>7</v>
      </c>
      <c r="C474" s="2" t="s">
        <v>82</v>
      </c>
      <c r="D474" s="3" t="s">
        <v>83</v>
      </c>
      <c r="E474" s="4" t="s">
        <v>84</v>
      </c>
      <c r="F474" t="str">
        <f>'Source Table'!$B$9</f>
        <v>Children Magazines &amp; Periodicals</v>
      </c>
      <c r="G474" t="str">
        <f>'Source Table'!$K$9</f>
        <v>المجلات والدوريات الأطفال</v>
      </c>
      <c r="I474" t="str">
        <f>'Source Table'!$C$5</f>
        <v>نصف شهرية</v>
      </c>
      <c r="J474" s="25">
        <v>1</v>
      </c>
      <c r="K474">
        <v>2019</v>
      </c>
    </row>
    <row r="475" ht="15.75" spans="1:11">
      <c r="A475" s="1" t="s">
        <v>5</v>
      </c>
      <c r="B475" s="1" t="s">
        <v>7</v>
      </c>
      <c r="C475" s="2" t="s">
        <v>82</v>
      </c>
      <c r="D475" s="3" t="s">
        <v>83</v>
      </c>
      <c r="E475" s="4" t="s">
        <v>84</v>
      </c>
      <c r="F475" t="str">
        <f>'Source Table'!$B$10</f>
        <v>Economic Magazines &amp; Periodicals</v>
      </c>
      <c r="G475" t="str">
        <f>'Source Table'!$K$10</f>
        <v>المجلات والدوريات الاقتصادية</v>
      </c>
      <c r="I475" t="str">
        <f>'Source Table'!$C$5</f>
        <v>نصف شهرية</v>
      </c>
      <c r="J475" s="25">
        <v>0</v>
      </c>
      <c r="K475">
        <v>2019</v>
      </c>
    </row>
    <row r="476" ht="15.75" spans="1:11">
      <c r="A476" s="1" t="s">
        <v>5</v>
      </c>
      <c r="B476" s="1" t="s">
        <v>7</v>
      </c>
      <c r="C476" s="2" t="s">
        <v>82</v>
      </c>
      <c r="D476" s="3" t="s">
        <v>83</v>
      </c>
      <c r="E476" s="4" t="s">
        <v>84</v>
      </c>
      <c r="F476" t="str">
        <f>'Source Table'!$B$11</f>
        <v>Army &amp; Police Magazines &amp; Periodicals</v>
      </c>
      <c r="G476" t="str">
        <f>'Source Table'!$K$11</f>
        <v>المجلات والدوريات العسكرية و شرطية</v>
      </c>
      <c r="I476" t="str">
        <f>'Source Table'!$C$5</f>
        <v>نصف شهرية</v>
      </c>
      <c r="J476" s="25">
        <v>0</v>
      </c>
      <c r="K476">
        <v>2019</v>
      </c>
    </row>
    <row r="477" ht="15.75" spans="1:11">
      <c r="A477" s="1" t="s">
        <v>5</v>
      </c>
      <c r="B477" s="1" t="s">
        <v>7</v>
      </c>
      <c r="C477" s="2" t="s">
        <v>82</v>
      </c>
      <c r="D477" s="3" t="s">
        <v>83</v>
      </c>
      <c r="E477" s="4" t="s">
        <v>84</v>
      </c>
      <c r="F477" t="str">
        <f>'Source Table'!$B$12</f>
        <v>Youths &amp; Arts Magazines &amp; Periodicals</v>
      </c>
      <c r="G477" t="str">
        <f>'Source Table'!$K$12</f>
        <v>المجلات والدوريات الشباب و الفنون</v>
      </c>
      <c r="I477" t="str">
        <f>'Source Table'!$C$5</f>
        <v>نصف شهرية</v>
      </c>
      <c r="J477" s="25">
        <v>1</v>
      </c>
      <c r="K477">
        <v>2019</v>
      </c>
    </row>
    <row r="478" ht="15.75" spans="1:11">
      <c r="A478" s="1" t="s">
        <v>5</v>
      </c>
      <c r="B478" s="1" t="s">
        <v>7</v>
      </c>
      <c r="C478" s="2" t="s">
        <v>82</v>
      </c>
      <c r="D478" s="3" t="s">
        <v>83</v>
      </c>
      <c r="E478" s="4" t="s">
        <v>84</v>
      </c>
      <c r="F478" t="str">
        <f>'Source Table'!$B$13</f>
        <v>Cultural &amp; Educational Magazines &amp; Periodicals</v>
      </c>
      <c r="G478" t="str">
        <f>'Source Table'!$K$13</f>
        <v>المجلات والدوريات الثقافية و المدرسية</v>
      </c>
      <c r="I478" t="str">
        <f>'Source Table'!$C$5</f>
        <v>نصف شهرية</v>
      </c>
      <c r="J478" s="25">
        <v>7</v>
      </c>
      <c r="K478">
        <v>2019</v>
      </c>
    </row>
    <row r="479" ht="15.75" spans="1:11">
      <c r="A479" s="1" t="s">
        <v>5</v>
      </c>
      <c r="B479" s="1" t="s">
        <v>7</v>
      </c>
      <c r="C479" s="2" t="s">
        <v>82</v>
      </c>
      <c r="D479" s="3" t="s">
        <v>83</v>
      </c>
      <c r="E479" s="4" t="s">
        <v>84</v>
      </c>
      <c r="F479" t="str">
        <f>'Source Table'!$B$14</f>
        <v>Religious Magazines &amp; Periodicals</v>
      </c>
      <c r="G479" t="str">
        <f>'Source Table'!$K$14</f>
        <v>المجلات والدوريات الدينية</v>
      </c>
      <c r="I479" t="str">
        <f>'Source Table'!$C$5</f>
        <v>نصف شهرية</v>
      </c>
      <c r="J479" s="25">
        <v>0</v>
      </c>
      <c r="K479">
        <v>2019</v>
      </c>
    </row>
    <row r="480" ht="15.75" spans="1:11">
      <c r="A480" s="1" t="s">
        <v>5</v>
      </c>
      <c r="B480" s="1" t="s">
        <v>7</v>
      </c>
      <c r="C480" s="2" t="s">
        <v>82</v>
      </c>
      <c r="D480" s="3" t="s">
        <v>83</v>
      </c>
      <c r="E480" s="4" t="s">
        <v>84</v>
      </c>
      <c r="F480" t="str">
        <f>'Source Table'!$B$15</f>
        <v>Scientific Magazines &amp; Periodicals</v>
      </c>
      <c r="G480" t="str">
        <f>'Source Table'!$K$15</f>
        <v>المجلات والدوريات العلمية</v>
      </c>
      <c r="I480" t="str">
        <f>'Source Table'!$C$5</f>
        <v>نصف شهرية</v>
      </c>
      <c r="J480" s="25">
        <v>2</v>
      </c>
      <c r="K480">
        <v>2019</v>
      </c>
    </row>
    <row r="481" ht="15.75" spans="1:11">
      <c r="A481" s="1" t="s">
        <v>5</v>
      </c>
      <c r="B481" s="1" t="s">
        <v>7</v>
      </c>
      <c r="C481" s="2" t="s">
        <v>82</v>
      </c>
      <c r="D481" s="3" t="s">
        <v>83</v>
      </c>
      <c r="E481" s="4" t="s">
        <v>84</v>
      </c>
      <c r="F481" t="str">
        <f>'Source Table'!$B$16</f>
        <v>Financial Magazines &amp; Periodicals</v>
      </c>
      <c r="G481" t="str">
        <f>'Source Table'!$K$16</f>
        <v>المجلات والدوريات المالية</v>
      </c>
      <c r="I481" t="str">
        <f>'Source Table'!$C$5</f>
        <v>نصف شهرية</v>
      </c>
      <c r="J481" s="25">
        <v>1</v>
      </c>
      <c r="K481">
        <v>2019</v>
      </c>
    </row>
    <row r="482" ht="15.75" spans="1:11">
      <c r="A482" s="1" t="s">
        <v>5</v>
      </c>
      <c r="B482" s="1" t="s">
        <v>7</v>
      </c>
      <c r="C482" s="2" t="s">
        <v>82</v>
      </c>
      <c r="D482" s="3" t="s">
        <v>83</v>
      </c>
      <c r="E482" s="4" t="s">
        <v>84</v>
      </c>
      <c r="F482" t="str">
        <f>'Source Table'!$B$17</f>
        <v>Tourist Magazines &amp; Periodicals</v>
      </c>
      <c r="G482" t="str">
        <f>'Source Table'!$K$17</f>
        <v>المجلات والدوريات سياحية</v>
      </c>
      <c r="I482" t="str">
        <f>'Source Table'!$C$5</f>
        <v>نصف شهرية</v>
      </c>
      <c r="J482" s="25">
        <v>2</v>
      </c>
      <c r="K482">
        <v>2019</v>
      </c>
    </row>
    <row r="483" ht="16.5" spans="1:11">
      <c r="A483" s="1" t="s">
        <v>5</v>
      </c>
      <c r="B483" s="1" t="s">
        <v>7</v>
      </c>
      <c r="C483" s="2" t="s">
        <v>82</v>
      </c>
      <c r="D483" s="3" t="s">
        <v>83</v>
      </c>
      <c r="E483" s="4" t="s">
        <v>84</v>
      </c>
      <c r="F483" t="str">
        <f>'Source Table'!$B$18</f>
        <v>Other Magazines &amp; Periodicals</v>
      </c>
      <c r="G483" t="str">
        <f>'Source Table'!$K$18</f>
        <v>المجلات والدوريات أخرى</v>
      </c>
      <c r="I483" t="str">
        <f>'Source Table'!$C$5</f>
        <v>نصف شهرية</v>
      </c>
      <c r="J483" s="26">
        <v>44</v>
      </c>
      <c r="K483">
        <v>2019</v>
      </c>
    </row>
    <row r="484" ht="15.75" spans="1:11">
      <c r="A484" s="1" t="s">
        <v>5</v>
      </c>
      <c r="B484" s="1" t="s">
        <v>7</v>
      </c>
      <c r="C484" s="2" t="s">
        <v>82</v>
      </c>
      <c r="D484" s="3" t="s">
        <v>83</v>
      </c>
      <c r="E484" s="4" t="s">
        <v>84</v>
      </c>
      <c r="F484" t="str">
        <f>'Source Table'!$B$7</f>
        <v>Political Newspapers</v>
      </c>
      <c r="G484" t="str">
        <f>'Source Table'!$K$7</f>
        <v>صحف سياسية</v>
      </c>
      <c r="H484" t="str">
        <f>'Source Table'!$J$6</f>
        <v>Daily</v>
      </c>
      <c r="I484" t="str">
        <f>'Source Table'!$J$5</f>
        <v>يومية</v>
      </c>
      <c r="J484" s="29">
        <v>10</v>
      </c>
      <c r="K484">
        <v>2018</v>
      </c>
    </row>
    <row r="485" ht="15.75" spans="1:11">
      <c r="A485" s="1" t="s">
        <v>5</v>
      </c>
      <c r="B485" s="1" t="s">
        <v>7</v>
      </c>
      <c r="C485" s="2" t="s">
        <v>82</v>
      </c>
      <c r="D485" s="3" t="s">
        <v>83</v>
      </c>
      <c r="E485" s="4" t="s">
        <v>84</v>
      </c>
      <c r="F485" t="str">
        <f>'Source Table'!$B$8</f>
        <v>Parties Newspapers</v>
      </c>
      <c r="G485" t="str">
        <f>'Source Table'!$K$8</f>
        <v>صحف حزبية</v>
      </c>
      <c r="H485" t="str">
        <f>'Source Table'!$J$6</f>
        <v>Daily</v>
      </c>
      <c r="I485" t="str">
        <f>'Source Table'!$J$5</f>
        <v>يومية</v>
      </c>
      <c r="J485" s="29">
        <v>0</v>
      </c>
      <c r="K485">
        <v>2018</v>
      </c>
    </row>
    <row r="486" ht="15.75" spans="1:11">
      <c r="A486" s="1" t="s">
        <v>5</v>
      </c>
      <c r="B486" s="1" t="s">
        <v>7</v>
      </c>
      <c r="C486" s="2" t="s">
        <v>82</v>
      </c>
      <c r="D486" s="3" t="s">
        <v>83</v>
      </c>
      <c r="E486" s="4" t="s">
        <v>84</v>
      </c>
      <c r="F486" t="str">
        <f>'Source Table'!$B$9</f>
        <v>Children Magazines &amp; Periodicals</v>
      </c>
      <c r="G486" t="str">
        <f>'Source Table'!$K$9</f>
        <v>المجلات والدوريات الأطفال</v>
      </c>
      <c r="H486" t="str">
        <f>'Source Table'!$J$6</f>
        <v>Daily</v>
      </c>
      <c r="I486" t="str">
        <f>'Source Table'!$J$5</f>
        <v>يومية</v>
      </c>
      <c r="J486" s="29">
        <v>0</v>
      </c>
      <c r="K486">
        <v>2018</v>
      </c>
    </row>
    <row r="487" ht="15.75" spans="1:11">
      <c r="A487" s="1" t="s">
        <v>5</v>
      </c>
      <c r="B487" s="1" t="s">
        <v>7</v>
      </c>
      <c r="C487" s="2" t="s">
        <v>82</v>
      </c>
      <c r="D487" s="3" t="s">
        <v>83</v>
      </c>
      <c r="E487" s="4" t="s">
        <v>84</v>
      </c>
      <c r="F487" t="str">
        <f>'Source Table'!$B$10</f>
        <v>Economic Magazines &amp; Periodicals</v>
      </c>
      <c r="G487" t="str">
        <f>'Source Table'!$K$10</f>
        <v>المجلات والدوريات الاقتصادية</v>
      </c>
      <c r="H487" t="str">
        <f>'Source Table'!$J$6</f>
        <v>Daily</v>
      </c>
      <c r="I487" t="str">
        <f>'Source Table'!$J$5</f>
        <v>يومية</v>
      </c>
      <c r="J487" s="29">
        <v>0</v>
      </c>
      <c r="K487">
        <v>2018</v>
      </c>
    </row>
    <row r="488" ht="15.75" spans="1:11">
      <c r="A488" s="1" t="s">
        <v>5</v>
      </c>
      <c r="B488" s="1" t="s">
        <v>7</v>
      </c>
      <c r="C488" s="2" t="s">
        <v>82</v>
      </c>
      <c r="D488" s="3" t="s">
        <v>83</v>
      </c>
      <c r="E488" s="4" t="s">
        <v>84</v>
      </c>
      <c r="F488" t="str">
        <f>'Source Table'!$B$11</f>
        <v>Army &amp; Police Magazines &amp; Periodicals</v>
      </c>
      <c r="G488" t="str">
        <f>'Source Table'!$K$11</f>
        <v>المجلات والدوريات العسكرية و شرطية</v>
      </c>
      <c r="H488" t="str">
        <f>'Source Table'!$J$6</f>
        <v>Daily</v>
      </c>
      <c r="I488" t="str">
        <f>'Source Table'!$J$5</f>
        <v>يومية</v>
      </c>
      <c r="J488" s="29">
        <v>0</v>
      </c>
      <c r="K488">
        <v>2018</v>
      </c>
    </row>
    <row r="489" ht="15.75" spans="1:11">
      <c r="A489" s="1" t="s">
        <v>5</v>
      </c>
      <c r="B489" s="1" t="s">
        <v>7</v>
      </c>
      <c r="C489" s="2" t="s">
        <v>82</v>
      </c>
      <c r="D489" s="3" t="s">
        <v>83</v>
      </c>
      <c r="E489" s="4" t="s">
        <v>84</v>
      </c>
      <c r="F489" t="str">
        <f>'Source Table'!$B$12</f>
        <v>Youths &amp; Arts Magazines &amp; Periodicals</v>
      </c>
      <c r="G489" t="str">
        <f>'Source Table'!$K$12</f>
        <v>المجلات والدوريات الشباب و الفنون</v>
      </c>
      <c r="H489" t="str">
        <f>'Source Table'!$J$6</f>
        <v>Daily</v>
      </c>
      <c r="I489" t="str">
        <f>'Source Table'!$J$5</f>
        <v>يومية</v>
      </c>
      <c r="J489" s="29">
        <v>0</v>
      </c>
      <c r="K489">
        <v>2018</v>
      </c>
    </row>
    <row r="490" ht="15.75" spans="1:11">
      <c r="A490" s="1" t="s">
        <v>5</v>
      </c>
      <c r="B490" s="1" t="s">
        <v>7</v>
      </c>
      <c r="C490" s="2" t="s">
        <v>82</v>
      </c>
      <c r="D490" s="3" t="s">
        <v>83</v>
      </c>
      <c r="E490" s="4" t="s">
        <v>84</v>
      </c>
      <c r="F490" t="str">
        <f>'Source Table'!$B$13</f>
        <v>Cultural &amp; Educational Magazines &amp; Periodicals</v>
      </c>
      <c r="G490" t="str">
        <f>'Source Table'!$K$13</f>
        <v>المجلات والدوريات الثقافية و المدرسية</v>
      </c>
      <c r="H490" t="str">
        <f>'Source Table'!$J$6</f>
        <v>Daily</v>
      </c>
      <c r="I490" t="str">
        <f>'Source Table'!$J$5</f>
        <v>يومية</v>
      </c>
      <c r="J490" s="29">
        <v>0</v>
      </c>
      <c r="K490">
        <v>2018</v>
      </c>
    </row>
    <row r="491" ht="15.75" spans="1:11">
      <c r="A491" s="1" t="s">
        <v>5</v>
      </c>
      <c r="B491" s="1" t="s">
        <v>7</v>
      </c>
      <c r="C491" s="2" t="s">
        <v>82</v>
      </c>
      <c r="D491" s="3" t="s">
        <v>83</v>
      </c>
      <c r="E491" s="4" t="s">
        <v>84</v>
      </c>
      <c r="F491" t="str">
        <f>'Source Table'!$B$14</f>
        <v>Religious Magazines &amp; Periodicals</v>
      </c>
      <c r="G491" t="str">
        <f>'Source Table'!$K$14</f>
        <v>المجلات والدوريات الدينية</v>
      </c>
      <c r="H491" t="str">
        <f>'Source Table'!$J$6</f>
        <v>Daily</v>
      </c>
      <c r="I491" t="str">
        <f>'Source Table'!$J$5</f>
        <v>يومية</v>
      </c>
      <c r="J491" s="29">
        <v>0</v>
      </c>
      <c r="K491">
        <v>2018</v>
      </c>
    </row>
    <row r="492" ht="15.75" spans="1:11">
      <c r="A492" s="1" t="s">
        <v>5</v>
      </c>
      <c r="B492" s="1" t="s">
        <v>7</v>
      </c>
      <c r="C492" s="2" t="s">
        <v>82</v>
      </c>
      <c r="D492" s="3" t="s">
        <v>83</v>
      </c>
      <c r="E492" s="4" t="s">
        <v>84</v>
      </c>
      <c r="F492" t="str">
        <f>'Source Table'!$B$15</f>
        <v>Scientific Magazines &amp; Periodicals</v>
      </c>
      <c r="G492" t="str">
        <f>'Source Table'!$K$15</f>
        <v>المجلات والدوريات العلمية</v>
      </c>
      <c r="H492" t="str">
        <f>'Source Table'!$J$6</f>
        <v>Daily</v>
      </c>
      <c r="I492" t="str">
        <f>'Source Table'!$J$5</f>
        <v>يومية</v>
      </c>
      <c r="J492" s="29">
        <v>0</v>
      </c>
      <c r="K492">
        <v>2018</v>
      </c>
    </row>
    <row r="493" ht="15.75" spans="1:11">
      <c r="A493" s="1" t="s">
        <v>5</v>
      </c>
      <c r="B493" s="1" t="s">
        <v>7</v>
      </c>
      <c r="C493" s="2" t="s">
        <v>82</v>
      </c>
      <c r="D493" s="3" t="s">
        <v>83</v>
      </c>
      <c r="E493" s="4" t="s">
        <v>84</v>
      </c>
      <c r="F493" t="str">
        <f>'Source Table'!$B$16</f>
        <v>Financial Magazines &amp; Periodicals</v>
      </c>
      <c r="G493" t="str">
        <f>'Source Table'!$K$16</f>
        <v>المجلات والدوريات المالية</v>
      </c>
      <c r="H493" t="str">
        <f>'Source Table'!$J$6</f>
        <v>Daily</v>
      </c>
      <c r="I493" t="str">
        <f>'Source Table'!$J$5</f>
        <v>يومية</v>
      </c>
      <c r="J493" s="29">
        <v>0</v>
      </c>
      <c r="K493">
        <v>2018</v>
      </c>
    </row>
    <row r="494" ht="15.75" spans="1:11">
      <c r="A494" s="1" t="s">
        <v>5</v>
      </c>
      <c r="B494" s="1" t="s">
        <v>7</v>
      </c>
      <c r="C494" s="2" t="s">
        <v>82</v>
      </c>
      <c r="D494" s="3" t="s">
        <v>83</v>
      </c>
      <c r="E494" s="4" t="s">
        <v>84</v>
      </c>
      <c r="F494" t="str">
        <f>'Source Table'!$B$17</f>
        <v>Tourist Magazines &amp; Periodicals</v>
      </c>
      <c r="G494" t="str">
        <f>'Source Table'!$K$17</f>
        <v>المجلات والدوريات سياحية</v>
      </c>
      <c r="H494" t="str">
        <f>'Source Table'!$J$6</f>
        <v>Daily</v>
      </c>
      <c r="I494" t="str">
        <f>'Source Table'!$J$5</f>
        <v>يومية</v>
      </c>
      <c r="J494" s="29">
        <v>0</v>
      </c>
      <c r="K494">
        <v>2018</v>
      </c>
    </row>
    <row r="495" ht="16.5" spans="1:11">
      <c r="A495" s="1" t="s">
        <v>5</v>
      </c>
      <c r="B495" s="1" t="s">
        <v>7</v>
      </c>
      <c r="C495" s="2" t="s">
        <v>82</v>
      </c>
      <c r="D495" s="3" t="s">
        <v>83</v>
      </c>
      <c r="E495" s="4" t="s">
        <v>84</v>
      </c>
      <c r="F495" t="str">
        <f>'Source Table'!$B$18</f>
        <v>Other Magazines &amp; Periodicals</v>
      </c>
      <c r="G495" t="str">
        <f>'Source Table'!$K$18</f>
        <v>المجلات والدوريات أخرى</v>
      </c>
      <c r="H495" t="str">
        <f>'Source Table'!$J$6</f>
        <v>Daily</v>
      </c>
      <c r="I495" t="str">
        <f>'Source Table'!$J$5</f>
        <v>يومية</v>
      </c>
      <c r="J495" s="30">
        <v>4</v>
      </c>
      <c r="K495">
        <v>2018</v>
      </c>
    </row>
    <row r="496" ht="15.75" spans="1:11">
      <c r="A496" s="1" t="s">
        <v>5</v>
      </c>
      <c r="B496" s="1" t="s">
        <v>7</v>
      </c>
      <c r="C496" s="2" t="s">
        <v>82</v>
      </c>
      <c r="D496" s="3" t="s">
        <v>83</v>
      </c>
      <c r="E496" s="4" t="s">
        <v>84</v>
      </c>
      <c r="F496" t="str">
        <f>'Source Table'!$B$7</f>
        <v>Political Newspapers</v>
      </c>
      <c r="G496" t="str">
        <f>'Source Table'!$K$7</f>
        <v>صحف سياسية</v>
      </c>
      <c r="H496" t="str">
        <f>'Source Table'!$I$6</f>
        <v>Weekly</v>
      </c>
      <c r="I496" t="str">
        <f>'Source Table'!$I$5</f>
        <v>أسبوعية</v>
      </c>
      <c r="J496" s="31">
        <v>15</v>
      </c>
      <c r="K496">
        <v>2018</v>
      </c>
    </row>
    <row r="497" ht="15.75" spans="1:11">
      <c r="A497" s="1" t="s">
        <v>5</v>
      </c>
      <c r="B497" s="1" t="s">
        <v>7</v>
      </c>
      <c r="C497" s="2" t="s">
        <v>82</v>
      </c>
      <c r="D497" s="3" t="s">
        <v>83</v>
      </c>
      <c r="E497" s="4" t="s">
        <v>84</v>
      </c>
      <c r="F497" t="str">
        <f>'Source Table'!$B$8</f>
        <v>Parties Newspapers</v>
      </c>
      <c r="G497" t="str">
        <f>'Source Table'!$K$8</f>
        <v>صحف حزبية</v>
      </c>
      <c r="H497" t="str">
        <f>'Source Table'!$I$6</f>
        <v>Weekly</v>
      </c>
      <c r="I497" t="str">
        <f>'Source Table'!$I$5</f>
        <v>أسبوعية</v>
      </c>
      <c r="J497" s="31">
        <v>9</v>
      </c>
      <c r="K497">
        <v>2018</v>
      </c>
    </row>
    <row r="498" ht="15.75" spans="1:11">
      <c r="A498" s="1" t="s">
        <v>5</v>
      </c>
      <c r="B498" s="1" t="s">
        <v>7</v>
      </c>
      <c r="C498" s="2" t="s">
        <v>82</v>
      </c>
      <c r="D498" s="3" t="s">
        <v>83</v>
      </c>
      <c r="E498" s="4" t="s">
        <v>84</v>
      </c>
      <c r="F498" t="str">
        <f>'Source Table'!$B$9</f>
        <v>Children Magazines &amp; Periodicals</v>
      </c>
      <c r="G498" t="str">
        <f>'Source Table'!$K$9</f>
        <v>المجلات والدوريات الأطفال</v>
      </c>
      <c r="H498" t="str">
        <f>'Source Table'!$I$6</f>
        <v>Weekly</v>
      </c>
      <c r="I498" t="str">
        <f>'Source Table'!$I$5</f>
        <v>أسبوعية</v>
      </c>
      <c r="J498" s="31">
        <v>1</v>
      </c>
      <c r="K498">
        <v>2018</v>
      </c>
    </row>
    <row r="499" ht="15.75" spans="1:11">
      <c r="A499" s="1" t="s">
        <v>5</v>
      </c>
      <c r="B499" s="1" t="s">
        <v>7</v>
      </c>
      <c r="C499" s="2" t="s">
        <v>82</v>
      </c>
      <c r="D499" s="3" t="s">
        <v>83</v>
      </c>
      <c r="E499" s="4" t="s">
        <v>84</v>
      </c>
      <c r="F499" t="str">
        <f>'Source Table'!$B$10</f>
        <v>Economic Magazines &amp; Periodicals</v>
      </c>
      <c r="G499" t="str">
        <f>'Source Table'!$K$10</f>
        <v>المجلات والدوريات الاقتصادية</v>
      </c>
      <c r="H499" t="str">
        <f>'Source Table'!$I$6</f>
        <v>Weekly</v>
      </c>
      <c r="I499" t="str">
        <f>'Source Table'!$I$5</f>
        <v>أسبوعية</v>
      </c>
      <c r="J499" s="31">
        <v>25</v>
      </c>
      <c r="K499">
        <v>2018</v>
      </c>
    </row>
    <row r="500" ht="15.75" spans="1:11">
      <c r="A500" s="1" t="s">
        <v>5</v>
      </c>
      <c r="B500" s="1" t="s">
        <v>7</v>
      </c>
      <c r="C500" s="2" t="s">
        <v>82</v>
      </c>
      <c r="D500" s="3" t="s">
        <v>83</v>
      </c>
      <c r="E500" s="4" t="s">
        <v>84</v>
      </c>
      <c r="F500" t="str">
        <f>'Source Table'!$B$11</f>
        <v>Army &amp; Police Magazines &amp; Periodicals</v>
      </c>
      <c r="G500" t="str">
        <f>'Source Table'!$K$11</f>
        <v>المجلات والدوريات العسكرية و شرطية</v>
      </c>
      <c r="H500" t="str">
        <f>'Source Table'!$I$6</f>
        <v>Weekly</v>
      </c>
      <c r="I500" t="str">
        <f>'Source Table'!$I$5</f>
        <v>أسبوعية</v>
      </c>
      <c r="J500" s="31">
        <v>0</v>
      </c>
      <c r="K500">
        <v>2018</v>
      </c>
    </row>
    <row r="501" ht="15.75" spans="1:11">
      <c r="A501" s="1" t="s">
        <v>5</v>
      </c>
      <c r="B501" s="1" t="s">
        <v>7</v>
      </c>
      <c r="C501" s="2" t="s">
        <v>82</v>
      </c>
      <c r="D501" s="3" t="s">
        <v>83</v>
      </c>
      <c r="E501" s="4" t="s">
        <v>84</v>
      </c>
      <c r="F501" t="str">
        <f>'Source Table'!$B$12</f>
        <v>Youths &amp; Arts Magazines &amp; Periodicals</v>
      </c>
      <c r="G501" t="str">
        <f>'Source Table'!$K$12</f>
        <v>المجلات والدوريات الشباب و الفنون</v>
      </c>
      <c r="H501" t="str">
        <f>'Source Table'!$I$6</f>
        <v>Weekly</v>
      </c>
      <c r="I501" t="str">
        <f>'Source Table'!$I$5</f>
        <v>أسبوعية</v>
      </c>
      <c r="J501" s="31">
        <v>5</v>
      </c>
      <c r="K501">
        <v>2018</v>
      </c>
    </row>
    <row r="502" ht="15.75" spans="1:11">
      <c r="A502" s="1" t="s">
        <v>5</v>
      </c>
      <c r="B502" s="1" t="s">
        <v>7</v>
      </c>
      <c r="C502" s="2" t="s">
        <v>82</v>
      </c>
      <c r="D502" s="3" t="s">
        <v>83</v>
      </c>
      <c r="E502" s="4" t="s">
        <v>84</v>
      </c>
      <c r="F502" t="str">
        <f>'Source Table'!$B$13</f>
        <v>Cultural &amp; Educational Magazines &amp; Periodicals</v>
      </c>
      <c r="G502" t="str">
        <f>'Source Table'!$K$13</f>
        <v>المجلات والدوريات الثقافية و المدرسية</v>
      </c>
      <c r="H502" t="str">
        <f>'Source Table'!$I$6</f>
        <v>Weekly</v>
      </c>
      <c r="I502" t="str">
        <f>'Source Table'!$I$5</f>
        <v>أسبوعية</v>
      </c>
      <c r="J502" s="31">
        <v>6</v>
      </c>
      <c r="K502">
        <v>2018</v>
      </c>
    </row>
    <row r="503" ht="15.75" spans="1:11">
      <c r="A503" s="1" t="s">
        <v>5</v>
      </c>
      <c r="B503" s="1" t="s">
        <v>7</v>
      </c>
      <c r="C503" s="2" t="s">
        <v>82</v>
      </c>
      <c r="D503" s="3" t="s">
        <v>83</v>
      </c>
      <c r="E503" s="4" t="s">
        <v>84</v>
      </c>
      <c r="F503" t="str">
        <f>'Source Table'!$B$14</f>
        <v>Religious Magazines &amp; Periodicals</v>
      </c>
      <c r="G503" t="str">
        <f>'Source Table'!$K$14</f>
        <v>المجلات والدوريات الدينية</v>
      </c>
      <c r="H503" t="str">
        <f>'Source Table'!$I$6</f>
        <v>Weekly</v>
      </c>
      <c r="I503" t="str">
        <f>'Source Table'!$I$5</f>
        <v>أسبوعية</v>
      </c>
      <c r="J503" s="31">
        <v>0</v>
      </c>
      <c r="K503">
        <v>2018</v>
      </c>
    </row>
    <row r="504" ht="15.75" spans="1:11">
      <c r="A504" s="1" t="s">
        <v>5</v>
      </c>
      <c r="B504" s="1" t="s">
        <v>7</v>
      </c>
      <c r="C504" s="2" t="s">
        <v>82</v>
      </c>
      <c r="D504" s="3" t="s">
        <v>83</v>
      </c>
      <c r="E504" s="4" t="s">
        <v>84</v>
      </c>
      <c r="F504" t="str">
        <f>'Source Table'!$B$15</f>
        <v>Scientific Magazines &amp; Periodicals</v>
      </c>
      <c r="G504" t="str">
        <f>'Source Table'!$K$15</f>
        <v>المجلات والدوريات العلمية</v>
      </c>
      <c r="H504" t="str">
        <f>'Source Table'!$I$6</f>
        <v>Weekly</v>
      </c>
      <c r="I504" t="str">
        <f>'Source Table'!$I$5</f>
        <v>أسبوعية</v>
      </c>
      <c r="J504" s="31">
        <v>0</v>
      </c>
      <c r="K504">
        <v>2018</v>
      </c>
    </row>
    <row r="505" ht="15.75" spans="1:11">
      <c r="A505" s="1" t="s">
        <v>5</v>
      </c>
      <c r="B505" s="1" t="s">
        <v>7</v>
      </c>
      <c r="C505" s="2" t="s">
        <v>82</v>
      </c>
      <c r="D505" s="3" t="s">
        <v>83</v>
      </c>
      <c r="E505" s="4" t="s">
        <v>84</v>
      </c>
      <c r="F505" t="str">
        <f>'Source Table'!$B$16</f>
        <v>Financial Magazines &amp; Periodicals</v>
      </c>
      <c r="G505" t="str">
        <f>'Source Table'!$K$16</f>
        <v>المجلات والدوريات المالية</v>
      </c>
      <c r="H505" t="str">
        <f>'Source Table'!$I$6</f>
        <v>Weekly</v>
      </c>
      <c r="I505" t="str">
        <f>'Source Table'!$I$5</f>
        <v>أسبوعية</v>
      </c>
      <c r="J505" s="31">
        <v>6</v>
      </c>
      <c r="K505">
        <v>2018</v>
      </c>
    </row>
    <row r="506" ht="15.75" spans="1:11">
      <c r="A506" s="1" t="s">
        <v>5</v>
      </c>
      <c r="B506" s="1" t="s">
        <v>7</v>
      </c>
      <c r="C506" s="2" t="s">
        <v>82</v>
      </c>
      <c r="D506" s="3" t="s">
        <v>83</v>
      </c>
      <c r="E506" s="4" t="s">
        <v>84</v>
      </c>
      <c r="F506" t="str">
        <f>'Source Table'!$B$17</f>
        <v>Tourist Magazines &amp; Periodicals</v>
      </c>
      <c r="G506" t="str">
        <f>'Source Table'!$K$17</f>
        <v>المجلات والدوريات سياحية</v>
      </c>
      <c r="H506" t="str">
        <f>'Source Table'!$I$6</f>
        <v>Weekly</v>
      </c>
      <c r="I506" t="str">
        <f>'Source Table'!$I$5</f>
        <v>أسبوعية</v>
      </c>
      <c r="J506" s="31">
        <v>4</v>
      </c>
      <c r="K506">
        <v>2018</v>
      </c>
    </row>
    <row r="507" ht="16.5" spans="1:11">
      <c r="A507" s="1" t="s">
        <v>5</v>
      </c>
      <c r="B507" s="1" t="s">
        <v>7</v>
      </c>
      <c r="C507" s="2" t="s">
        <v>82</v>
      </c>
      <c r="D507" s="3" t="s">
        <v>83</v>
      </c>
      <c r="E507" s="4" t="s">
        <v>84</v>
      </c>
      <c r="F507" t="str">
        <f>'Source Table'!$B$18</f>
        <v>Other Magazines &amp; Periodicals</v>
      </c>
      <c r="G507" t="str">
        <f>'Source Table'!$K$18</f>
        <v>المجلات والدوريات أخرى</v>
      </c>
      <c r="H507" t="str">
        <f>'Source Table'!$I$6</f>
        <v>Weekly</v>
      </c>
      <c r="I507" t="str">
        <f>'Source Table'!$I$5</f>
        <v>أسبوعية</v>
      </c>
      <c r="J507" s="32">
        <v>102</v>
      </c>
      <c r="K507">
        <v>2018</v>
      </c>
    </row>
    <row r="508" ht="15.75" spans="1:11">
      <c r="A508" s="1" t="s">
        <v>5</v>
      </c>
      <c r="B508" s="1" t="s">
        <v>7</v>
      </c>
      <c r="C508" s="2" t="s">
        <v>82</v>
      </c>
      <c r="D508" s="3" t="s">
        <v>83</v>
      </c>
      <c r="E508" s="4" t="s">
        <v>84</v>
      </c>
      <c r="F508" t="str">
        <f>'Source Table'!$B$7</f>
        <v>Political Newspapers</v>
      </c>
      <c r="G508" t="str">
        <f>'Source Table'!$K$7</f>
        <v>صحف سياسية</v>
      </c>
      <c r="H508" t="str">
        <f>'Source Table'!$H$6</f>
        <v>Monthly</v>
      </c>
      <c r="I508" t="str">
        <f>'Source Table'!$H$5</f>
        <v>شهرية</v>
      </c>
      <c r="J508" s="31">
        <v>3</v>
      </c>
      <c r="K508">
        <v>2018</v>
      </c>
    </row>
    <row r="509" ht="15.75" spans="1:11">
      <c r="A509" s="1" t="s">
        <v>5</v>
      </c>
      <c r="B509" s="1" t="s">
        <v>7</v>
      </c>
      <c r="C509" s="2" t="s">
        <v>82</v>
      </c>
      <c r="D509" s="3" t="s">
        <v>83</v>
      </c>
      <c r="E509" s="4" t="s">
        <v>84</v>
      </c>
      <c r="F509" t="str">
        <f>'Source Table'!$B$8</f>
        <v>Parties Newspapers</v>
      </c>
      <c r="G509" t="str">
        <f>'Source Table'!$K$8</f>
        <v>صحف حزبية</v>
      </c>
      <c r="H509" t="str">
        <f>'Source Table'!$H$6</f>
        <v>Monthly</v>
      </c>
      <c r="I509" t="str">
        <f>'Source Table'!$H$5</f>
        <v>شهرية</v>
      </c>
      <c r="J509" s="31">
        <v>0</v>
      </c>
      <c r="K509">
        <v>2018</v>
      </c>
    </row>
    <row r="510" ht="15.75" spans="1:11">
      <c r="A510" s="1" t="s">
        <v>5</v>
      </c>
      <c r="B510" s="1" t="s">
        <v>7</v>
      </c>
      <c r="C510" s="2" t="s">
        <v>82</v>
      </c>
      <c r="D510" s="3" t="s">
        <v>83</v>
      </c>
      <c r="E510" s="4" t="s">
        <v>84</v>
      </c>
      <c r="F510" t="str">
        <f>'Source Table'!$B$9</f>
        <v>Children Magazines &amp; Periodicals</v>
      </c>
      <c r="G510" t="str">
        <f>'Source Table'!$K$9</f>
        <v>المجلات والدوريات الأطفال</v>
      </c>
      <c r="H510" t="str">
        <f>'Source Table'!$H$6</f>
        <v>Monthly</v>
      </c>
      <c r="I510" t="str">
        <f>'Source Table'!$H$5</f>
        <v>شهرية</v>
      </c>
      <c r="J510" s="31">
        <v>19</v>
      </c>
      <c r="K510">
        <v>2018</v>
      </c>
    </row>
    <row r="511" ht="15.75" spans="1:11">
      <c r="A511" s="1" t="s">
        <v>5</v>
      </c>
      <c r="B511" s="1" t="s">
        <v>7</v>
      </c>
      <c r="C511" s="2" t="s">
        <v>82</v>
      </c>
      <c r="D511" s="3" t="s">
        <v>83</v>
      </c>
      <c r="E511" s="4" t="s">
        <v>84</v>
      </c>
      <c r="F511" t="str">
        <f>'Source Table'!$B$10</f>
        <v>Economic Magazines &amp; Periodicals</v>
      </c>
      <c r="G511" t="str">
        <f>'Source Table'!$K$10</f>
        <v>المجلات والدوريات الاقتصادية</v>
      </c>
      <c r="H511" t="str">
        <f>'Source Table'!$H$6</f>
        <v>Monthly</v>
      </c>
      <c r="I511" t="str">
        <f>'Source Table'!$H$5</f>
        <v>شهرية</v>
      </c>
      <c r="J511" s="31">
        <v>50</v>
      </c>
      <c r="K511">
        <v>2018</v>
      </c>
    </row>
    <row r="512" ht="15.75" spans="1:11">
      <c r="A512" s="1" t="s">
        <v>5</v>
      </c>
      <c r="B512" s="1" t="s">
        <v>7</v>
      </c>
      <c r="C512" s="2" t="s">
        <v>82</v>
      </c>
      <c r="D512" s="3" t="s">
        <v>83</v>
      </c>
      <c r="E512" s="4" t="s">
        <v>84</v>
      </c>
      <c r="F512" t="str">
        <f>'Source Table'!$B$11</f>
        <v>Army &amp; Police Magazines &amp; Periodicals</v>
      </c>
      <c r="G512" t="str">
        <f>'Source Table'!$K$11</f>
        <v>المجلات والدوريات العسكرية و شرطية</v>
      </c>
      <c r="H512" t="str">
        <f>'Source Table'!$H$6</f>
        <v>Monthly</v>
      </c>
      <c r="I512" t="str">
        <f>'Source Table'!$H$5</f>
        <v>شهرية</v>
      </c>
      <c r="J512" s="31">
        <v>1</v>
      </c>
      <c r="K512">
        <v>2018</v>
      </c>
    </row>
    <row r="513" ht="15.75" spans="1:11">
      <c r="A513" s="1" t="s">
        <v>5</v>
      </c>
      <c r="B513" s="1" t="s">
        <v>7</v>
      </c>
      <c r="C513" s="2" t="s">
        <v>82</v>
      </c>
      <c r="D513" s="3" t="s">
        <v>83</v>
      </c>
      <c r="E513" s="4" t="s">
        <v>84</v>
      </c>
      <c r="F513" t="str">
        <f>'Source Table'!$B$12</f>
        <v>Youths &amp; Arts Magazines &amp; Periodicals</v>
      </c>
      <c r="G513" t="str">
        <f>'Source Table'!$K$12</f>
        <v>المجلات والدوريات الشباب و الفنون</v>
      </c>
      <c r="H513" t="str">
        <f>'Source Table'!$H$6</f>
        <v>Monthly</v>
      </c>
      <c r="I513" t="str">
        <f>'Source Table'!$H$5</f>
        <v>شهرية</v>
      </c>
      <c r="J513" s="31">
        <v>8</v>
      </c>
      <c r="K513">
        <v>2018</v>
      </c>
    </row>
    <row r="514" ht="15.75" spans="1:11">
      <c r="A514" s="1" t="s">
        <v>5</v>
      </c>
      <c r="B514" s="1" t="s">
        <v>7</v>
      </c>
      <c r="C514" s="2" t="s">
        <v>82</v>
      </c>
      <c r="D514" s="3" t="s">
        <v>83</v>
      </c>
      <c r="E514" s="4" t="s">
        <v>84</v>
      </c>
      <c r="F514" t="str">
        <f>'Source Table'!$B$13</f>
        <v>Cultural &amp; Educational Magazines &amp; Periodicals</v>
      </c>
      <c r="G514" t="str">
        <f>'Source Table'!$K$13</f>
        <v>المجلات والدوريات الثقافية و المدرسية</v>
      </c>
      <c r="H514" t="str">
        <f>'Source Table'!$H$6</f>
        <v>Monthly</v>
      </c>
      <c r="I514" t="str">
        <f>'Source Table'!$H$5</f>
        <v>شهرية</v>
      </c>
      <c r="J514" s="31">
        <v>35</v>
      </c>
      <c r="K514">
        <v>2018</v>
      </c>
    </row>
    <row r="515" ht="15.75" spans="1:11">
      <c r="A515" s="1" t="s">
        <v>5</v>
      </c>
      <c r="B515" s="1" t="s">
        <v>7</v>
      </c>
      <c r="C515" s="2" t="s">
        <v>82</v>
      </c>
      <c r="D515" s="3" t="s">
        <v>83</v>
      </c>
      <c r="E515" s="4" t="s">
        <v>84</v>
      </c>
      <c r="F515" t="str">
        <f>'Source Table'!$B$14</f>
        <v>Religious Magazines &amp; Periodicals</v>
      </c>
      <c r="G515" t="str">
        <f>'Source Table'!$K$14</f>
        <v>المجلات والدوريات الدينية</v>
      </c>
      <c r="H515" t="str">
        <f>'Source Table'!$H$6</f>
        <v>Monthly</v>
      </c>
      <c r="I515" t="str">
        <f>'Source Table'!$H$5</f>
        <v>شهرية</v>
      </c>
      <c r="J515" s="31">
        <v>8</v>
      </c>
      <c r="K515">
        <v>2018</v>
      </c>
    </row>
    <row r="516" ht="15.75" spans="1:11">
      <c r="A516" s="1" t="s">
        <v>5</v>
      </c>
      <c r="B516" s="1" t="s">
        <v>7</v>
      </c>
      <c r="C516" s="2" t="s">
        <v>82</v>
      </c>
      <c r="D516" s="3" t="s">
        <v>83</v>
      </c>
      <c r="E516" s="4" t="s">
        <v>84</v>
      </c>
      <c r="F516" t="str">
        <f>'Source Table'!$B$15</f>
        <v>Scientific Magazines &amp; Periodicals</v>
      </c>
      <c r="G516" t="str">
        <f>'Source Table'!$K$15</f>
        <v>المجلات والدوريات العلمية</v>
      </c>
      <c r="H516" t="str">
        <f>'Source Table'!$H$6</f>
        <v>Monthly</v>
      </c>
      <c r="I516" t="str">
        <f>'Source Table'!$H$5</f>
        <v>شهرية</v>
      </c>
      <c r="J516" s="31">
        <v>13</v>
      </c>
      <c r="K516">
        <v>2018</v>
      </c>
    </row>
    <row r="517" ht="15.75" spans="1:11">
      <c r="A517" s="1" t="s">
        <v>5</v>
      </c>
      <c r="B517" s="1" t="s">
        <v>7</v>
      </c>
      <c r="C517" s="2" t="s">
        <v>82</v>
      </c>
      <c r="D517" s="3" t="s">
        <v>83</v>
      </c>
      <c r="E517" s="4" t="s">
        <v>84</v>
      </c>
      <c r="F517" t="str">
        <f>'Source Table'!$B$16</f>
        <v>Financial Magazines &amp; Periodicals</v>
      </c>
      <c r="G517" t="str">
        <f>'Source Table'!$K$16</f>
        <v>المجلات والدوريات المالية</v>
      </c>
      <c r="H517" t="str">
        <f>'Source Table'!$H$6</f>
        <v>Monthly</v>
      </c>
      <c r="I517" t="str">
        <f>'Source Table'!$H$5</f>
        <v>شهرية</v>
      </c>
      <c r="J517" s="31">
        <v>11</v>
      </c>
      <c r="K517">
        <v>2018</v>
      </c>
    </row>
    <row r="518" ht="15.75" spans="1:11">
      <c r="A518" s="1" t="s">
        <v>5</v>
      </c>
      <c r="B518" s="1" t="s">
        <v>7</v>
      </c>
      <c r="C518" s="2" t="s">
        <v>82</v>
      </c>
      <c r="D518" s="3" t="s">
        <v>83</v>
      </c>
      <c r="E518" s="4" t="s">
        <v>84</v>
      </c>
      <c r="F518" t="str">
        <f>'Source Table'!$B$17</f>
        <v>Tourist Magazines &amp; Periodicals</v>
      </c>
      <c r="G518" t="str">
        <f>'Source Table'!$K$17</f>
        <v>المجلات والدوريات سياحية</v>
      </c>
      <c r="H518" t="str">
        <f>'Source Table'!$H$6</f>
        <v>Monthly</v>
      </c>
      <c r="I518" t="str">
        <f>'Source Table'!$H$5</f>
        <v>شهرية</v>
      </c>
      <c r="J518" s="31">
        <v>13</v>
      </c>
      <c r="K518">
        <v>2018</v>
      </c>
    </row>
    <row r="519" ht="16.5" spans="1:11">
      <c r="A519" s="1" t="s">
        <v>5</v>
      </c>
      <c r="B519" s="1" t="s">
        <v>7</v>
      </c>
      <c r="C519" s="2" t="s">
        <v>82</v>
      </c>
      <c r="D519" s="3" t="s">
        <v>83</v>
      </c>
      <c r="E519" s="4" t="s">
        <v>84</v>
      </c>
      <c r="F519" t="str">
        <f>'Source Table'!$B$18</f>
        <v>Other Magazines &amp; Periodicals</v>
      </c>
      <c r="G519" t="str">
        <f>'Source Table'!$K$18</f>
        <v>المجلات والدوريات أخرى</v>
      </c>
      <c r="H519" t="str">
        <f>'Source Table'!$H$6</f>
        <v>Monthly</v>
      </c>
      <c r="I519" t="str">
        <f>'Source Table'!$H$5</f>
        <v>شهرية</v>
      </c>
      <c r="J519" s="32">
        <v>210</v>
      </c>
      <c r="K519">
        <v>2018</v>
      </c>
    </row>
    <row r="520" ht="15.75" spans="1:11">
      <c r="A520" s="1" t="s">
        <v>5</v>
      </c>
      <c r="B520" s="1" t="s">
        <v>7</v>
      </c>
      <c r="C520" s="2" t="s">
        <v>82</v>
      </c>
      <c r="D520" s="3" t="s">
        <v>83</v>
      </c>
      <c r="E520" s="4" t="s">
        <v>84</v>
      </c>
      <c r="F520" t="str">
        <f>'Source Table'!$B$7</f>
        <v>Political Newspapers</v>
      </c>
      <c r="G520" t="str">
        <f>'Source Table'!$K$7</f>
        <v>صحف سياسية</v>
      </c>
      <c r="I520" t="str">
        <f>'Source Table'!$G$5</f>
        <v>فصلية</v>
      </c>
      <c r="J520" s="29">
        <v>0</v>
      </c>
      <c r="K520">
        <v>2018</v>
      </c>
    </row>
    <row r="521" ht="15.75" spans="1:11">
      <c r="A521" s="1" t="s">
        <v>5</v>
      </c>
      <c r="B521" s="1" t="s">
        <v>7</v>
      </c>
      <c r="C521" s="2" t="s">
        <v>82</v>
      </c>
      <c r="D521" s="3" t="s">
        <v>83</v>
      </c>
      <c r="E521" s="4" t="s">
        <v>84</v>
      </c>
      <c r="F521" t="str">
        <f>'Source Table'!$B$8</f>
        <v>Parties Newspapers</v>
      </c>
      <c r="G521" t="str">
        <f>'Source Table'!$K$8</f>
        <v>صحف حزبية</v>
      </c>
      <c r="I521" t="str">
        <f>'Source Table'!$G$5</f>
        <v>فصلية</v>
      </c>
      <c r="J521" s="29">
        <v>0</v>
      </c>
      <c r="K521">
        <v>2018</v>
      </c>
    </row>
    <row r="522" ht="15.75" spans="1:11">
      <c r="A522" s="1" t="s">
        <v>5</v>
      </c>
      <c r="B522" s="1" t="s">
        <v>7</v>
      </c>
      <c r="C522" s="2" t="s">
        <v>82</v>
      </c>
      <c r="D522" s="3" t="s">
        <v>83</v>
      </c>
      <c r="E522" s="4" t="s">
        <v>84</v>
      </c>
      <c r="F522" t="str">
        <f>'Source Table'!$B$9</f>
        <v>Children Magazines &amp; Periodicals</v>
      </c>
      <c r="G522" t="str">
        <f>'Source Table'!$K$9</f>
        <v>المجلات والدوريات الأطفال</v>
      </c>
      <c r="I522" t="str">
        <f>'Source Table'!$G$5</f>
        <v>فصلية</v>
      </c>
      <c r="J522" s="29">
        <v>2</v>
      </c>
      <c r="K522">
        <v>2018</v>
      </c>
    </row>
    <row r="523" ht="15.75" spans="1:11">
      <c r="A523" s="1" t="s">
        <v>5</v>
      </c>
      <c r="B523" s="1" t="s">
        <v>7</v>
      </c>
      <c r="C523" s="2" t="s">
        <v>82</v>
      </c>
      <c r="D523" s="3" t="s">
        <v>83</v>
      </c>
      <c r="E523" s="4" t="s">
        <v>84</v>
      </c>
      <c r="F523" t="str">
        <f>'Source Table'!$B$10</f>
        <v>Economic Magazines &amp; Periodicals</v>
      </c>
      <c r="G523" t="str">
        <f>'Source Table'!$K$10</f>
        <v>المجلات والدوريات الاقتصادية</v>
      </c>
      <c r="I523" t="str">
        <f>'Source Table'!$G$5</f>
        <v>فصلية</v>
      </c>
      <c r="J523" s="29">
        <v>29</v>
      </c>
      <c r="K523">
        <v>2018</v>
      </c>
    </row>
    <row r="524" ht="15.75" spans="1:11">
      <c r="A524" s="1" t="s">
        <v>5</v>
      </c>
      <c r="B524" s="1" t="s">
        <v>7</v>
      </c>
      <c r="C524" s="2" t="s">
        <v>82</v>
      </c>
      <c r="D524" s="3" t="s">
        <v>83</v>
      </c>
      <c r="E524" s="4" t="s">
        <v>84</v>
      </c>
      <c r="F524" t="str">
        <f>'Source Table'!$B$11</f>
        <v>Army &amp; Police Magazines &amp; Periodicals</v>
      </c>
      <c r="G524" t="str">
        <f>'Source Table'!$K$11</f>
        <v>المجلات والدوريات العسكرية و شرطية</v>
      </c>
      <c r="I524" t="str">
        <f>'Source Table'!$G$5</f>
        <v>فصلية</v>
      </c>
      <c r="J524" s="29">
        <v>0</v>
      </c>
      <c r="K524">
        <v>2018</v>
      </c>
    </row>
    <row r="525" ht="15.75" spans="1:11">
      <c r="A525" s="1" t="s">
        <v>5</v>
      </c>
      <c r="B525" s="1" t="s">
        <v>7</v>
      </c>
      <c r="C525" s="2" t="s">
        <v>82</v>
      </c>
      <c r="D525" s="3" t="s">
        <v>83</v>
      </c>
      <c r="E525" s="4" t="s">
        <v>84</v>
      </c>
      <c r="F525" t="str">
        <f>'Source Table'!$B$12</f>
        <v>Youths &amp; Arts Magazines &amp; Periodicals</v>
      </c>
      <c r="G525" t="str">
        <f>'Source Table'!$K$12</f>
        <v>المجلات والدوريات الشباب و الفنون</v>
      </c>
      <c r="I525" t="str">
        <f>'Source Table'!$G$5</f>
        <v>فصلية</v>
      </c>
      <c r="J525" s="29">
        <v>5</v>
      </c>
      <c r="K525">
        <v>2018</v>
      </c>
    </row>
    <row r="526" ht="15.75" spans="1:11">
      <c r="A526" s="1" t="s">
        <v>5</v>
      </c>
      <c r="B526" s="1" t="s">
        <v>7</v>
      </c>
      <c r="C526" s="2" t="s">
        <v>82</v>
      </c>
      <c r="D526" s="3" t="s">
        <v>83</v>
      </c>
      <c r="E526" s="4" t="s">
        <v>84</v>
      </c>
      <c r="F526" t="str">
        <f>'Source Table'!$B$13</f>
        <v>Cultural &amp; Educational Magazines &amp; Periodicals</v>
      </c>
      <c r="G526" t="str">
        <f>'Source Table'!$K$13</f>
        <v>المجلات والدوريات الثقافية و المدرسية</v>
      </c>
      <c r="I526" t="str">
        <f>'Source Table'!$G$5</f>
        <v>فصلية</v>
      </c>
      <c r="J526" s="29">
        <v>21</v>
      </c>
      <c r="K526">
        <v>2018</v>
      </c>
    </row>
    <row r="527" ht="15.75" spans="1:11">
      <c r="A527" s="1" t="s">
        <v>5</v>
      </c>
      <c r="B527" s="1" t="s">
        <v>7</v>
      </c>
      <c r="C527" s="2" t="s">
        <v>82</v>
      </c>
      <c r="D527" s="3" t="s">
        <v>83</v>
      </c>
      <c r="E527" s="4" t="s">
        <v>84</v>
      </c>
      <c r="F527" t="str">
        <f>'Source Table'!$B$14</f>
        <v>Religious Magazines &amp; Periodicals</v>
      </c>
      <c r="G527" t="str">
        <f>'Source Table'!$K$14</f>
        <v>المجلات والدوريات الدينية</v>
      </c>
      <c r="I527" t="str">
        <f>'Source Table'!$G$5</f>
        <v>فصلية</v>
      </c>
      <c r="J527" s="29">
        <v>0</v>
      </c>
      <c r="K527">
        <v>2018</v>
      </c>
    </row>
    <row r="528" ht="15.75" spans="1:11">
      <c r="A528" s="1" t="s">
        <v>5</v>
      </c>
      <c r="B528" s="1" t="s">
        <v>7</v>
      </c>
      <c r="C528" s="2" t="s">
        <v>82</v>
      </c>
      <c r="D528" s="3" t="s">
        <v>83</v>
      </c>
      <c r="E528" s="4" t="s">
        <v>84</v>
      </c>
      <c r="F528" t="str">
        <f>'Source Table'!$B$15</f>
        <v>Scientific Magazines &amp; Periodicals</v>
      </c>
      <c r="G528" t="str">
        <f>'Source Table'!$K$15</f>
        <v>المجلات والدوريات العلمية</v>
      </c>
      <c r="I528" t="str">
        <f>'Source Table'!$G$5</f>
        <v>فصلية</v>
      </c>
      <c r="J528" s="29">
        <v>25</v>
      </c>
      <c r="K528">
        <v>2018</v>
      </c>
    </row>
    <row r="529" ht="15.75" spans="1:11">
      <c r="A529" s="1" t="s">
        <v>5</v>
      </c>
      <c r="B529" s="1" t="s">
        <v>7</v>
      </c>
      <c r="C529" s="2" t="s">
        <v>82</v>
      </c>
      <c r="D529" s="3" t="s">
        <v>83</v>
      </c>
      <c r="E529" s="4" t="s">
        <v>84</v>
      </c>
      <c r="F529" t="str">
        <f>'Source Table'!$B$16</f>
        <v>Financial Magazines &amp; Periodicals</v>
      </c>
      <c r="G529" t="str">
        <f>'Source Table'!$K$16</f>
        <v>المجلات والدوريات المالية</v>
      </c>
      <c r="I529" t="str">
        <f>'Source Table'!$G$5</f>
        <v>فصلية</v>
      </c>
      <c r="J529" s="29">
        <v>6</v>
      </c>
      <c r="K529">
        <v>2018</v>
      </c>
    </row>
    <row r="530" ht="15.75" spans="1:11">
      <c r="A530" s="1" t="s">
        <v>5</v>
      </c>
      <c r="B530" s="1" t="s">
        <v>7</v>
      </c>
      <c r="C530" s="2" t="s">
        <v>82</v>
      </c>
      <c r="D530" s="3" t="s">
        <v>83</v>
      </c>
      <c r="E530" s="4" t="s">
        <v>84</v>
      </c>
      <c r="F530" t="str">
        <f>'Source Table'!$B$17</f>
        <v>Tourist Magazines &amp; Periodicals</v>
      </c>
      <c r="G530" t="str">
        <f>'Source Table'!$K$17</f>
        <v>المجلات والدوريات سياحية</v>
      </c>
      <c r="I530" t="str">
        <f>'Source Table'!$G$5</f>
        <v>فصلية</v>
      </c>
      <c r="J530" s="29">
        <v>3</v>
      </c>
      <c r="K530">
        <v>2018</v>
      </c>
    </row>
    <row r="531" ht="16.5" spans="1:11">
      <c r="A531" s="1" t="s">
        <v>5</v>
      </c>
      <c r="B531" s="1" t="s">
        <v>7</v>
      </c>
      <c r="C531" s="2" t="s">
        <v>82</v>
      </c>
      <c r="D531" s="3" t="s">
        <v>83</v>
      </c>
      <c r="E531" s="4" t="s">
        <v>84</v>
      </c>
      <c r="F531" t="str">
        <f>'Source Table'!$B$18</f>
        <v>Other Magazines &amp; Periodicals</v>
      </c>
      <c r="G531" t="str">
        <f>'Source Table'!$K$18</f>
        <v>المجلات والدوريات أخرى</v>
      </c>
      <c r="I531" t="str">
        <f>'Source Table'!$G$5</f>
        <v>فصلية</v>
      </c>
      <c r="J531" s="30">
        <v>114</v>
      </c>
      <c r="K531">
        <v>2018</v>
      </c>
    </row>
    <row r="532" ht="15.75" spans="1:11">
      <c r="A532" s="1" t="s">
        <v>5</v>
      </c>
      <c r="B532" s="1" t="s">
        <v>7</v>
      </c>
      <c r="C532" s="2" t="s">
        <v>82</v>
      </c>
      <c r="D532" s="3" t="s">
        <v>83</v>
      </c>
      <c r="E532" s="4" t="s">
        <v>84</v>
      </c>
      <c r="F532" t="str">
        <f>'Source Table'!$B$7</f>
        <v>Political Newspapers</v>
      </c>
      <c r="G532" t="str">
        <f>'Source Table'!$K$7</f>
        <v>صحف سياسية</v>
      </c>
      <c r="I532" t="str">
        <f>'Source Table'!$F$5</f>
        <v>سنوية</v>
      </c>
      <c r="J532" s="29">
        <v>1</v>
      </c>
      <c r="K532">
        <v>2018</v>
      </c>
    </row>
    <row r="533" ht="15.75" spans="1:11">
      <c r="A533" s="1" t="s">
        <v>5</v>
      </c>
      <c r="B533" s="1" t="s">
        <v>7</v>
      </c>
      <c r="C533" s="2" t="s">
        <v>82</v>
      </c>
      <c r="D533" s="3" t="s">
        <v>83</v>
      </c>
      <c r="E533" s="4" t="s">
        <v>84</v>
      </c>
      <c r="F533" t="str">
        <f>'Source Table'!$B$8</f>
        <v>Parties Newspapers</v>
      </c>
      <c r="G533" t="str">
        <f>'Source Table'!$K$8</f>
        <v>صحف حزبية</v>
      </c>
      <c r="I533" t="str">
        <f>'Source Table'!$F$5</f>
        <v>سنوية</v>
      </c>
      <c r="J533" s="29">
        <v>0</v>
      </c>
      <c r="K533">
        <v>2018</v>
      </c>
    </row>
    <row r="534" ht="15.75" spans="1:11">
      <c r="A534" s="1" t="s">
        <v>5</v>
      </c>
      <c r="B534" s="1" t="s">
        <v>7</v>
      </c>
      <c r="C534" s="2" t="s">
        <v>82</v>
      </c>
      <c r="D534" s="3" t="s">
        <v>83</v>
      </c>
      <c r="E534" s="4" t="s">
        <v>84</v>
      </c>
      <c r="F534" t="str">
        <f>'Source Table'!$B$9</f>
        <v>Children Magazines &amp; Periodicals</v>
      </c>
      <c r="G534" t="str">
        <f>'Source Table'!$K$9</f>
        <v>المجلات والدوريات الأطفال</v>
      </c>
      <c r="I534" t="str">
        <f>'Source Table'!$F$5</f>
        <v>سنوية</v>
      </c>
      <c r="J534" s="29">
        <v>0</v>
      </c>
      <c r="K534">
        <v>2018</v>
      </c>
    </row>
    <row r="535" ht="15.75" spans="1:11">
      <c r="A535" s="1" t="s">
        <v>5</v>
      </c>
      <c r="B535" s="1" t="s">
        <v>7</v>
      </c>
      <c r="C535" s="2" t="s">
        <v>82</v>
      </c>
      <c r="D535" s="3" t="s">
        <v>83</v>
      </c>
      <c r="E535" s="4" t="s">
        <v>84</v>
      </c>
      <c r="F535" t="str">
        <f>'Source Table'!$B$10</f>
        <v>Economic Magazines &amp; Periodicals</v>
      </c>
      <c r="G535" t="str">
        <f>'Source Table'!$K$10</f>
        <v>المجلات والدوريات الاقتصادية</v>
      </c>
      <c r="I535" t="str">
        <f>'Source Table'!$F$5</f>
        <v>سنوية</v>
      </c>
      <c r="J535" s="29">
        <v>0</v>
      </c>
      <c r="K535">
        <v>2018</v>
      </c>
    </row>
    <row r="536" ht="15.75" spans="1:11">
      <c r="A536" s="1" t="s">
        <v>5</v>
      </c>
      <c r="B536" s="1" t="s">
        <v>7</v>
      </c>
      <c r="C536" s="2" t="s">
        <v>82</v>
      </c>
      <c r="D536" s="3" t="s">
        <v>83</v>
      </c>
      <c r="E536" s="4" t="s">
        <v>84</v>
      </c>
      <c r="F536" t="str">
        <f>'Source Table'!$B$11</f>
        <v>Army &amp; Police Magazines &amp; Periodicals</v>
      </c>
      <c r="G536" t="str">
        <f>'Source Table'!$K$11</f>
        <v>المجلات والدوريات العسكرية و شرطية</v>
      </c>
      <c r="I536" t="str">
        <f>'Source Table'!$F$5</f>
        <v>سنوية</v>
      </c>
      <c r="J536" s="29">
        <v>0</v>
      </c>
      <c r="K536">
        <v>2018</v>
      </c>
    </row>
    <row r="537" ht="15.75" spans="1:11">
      <c r="A537" s="1" t="s">
        <v>5</v>
      </c>
      <c r="B537" s="1" t="s">
        <v>7</v>
      </c>
      <c r="C537" s="2" t="s">
        <v>82</v>
      </c>
      <c r="D537" s="3" t="s">
        <v>83</v>
      </c>
      <c r="E537" s="4" t="s">
        <v>84</v>
      </c>
      <c r="F537" t="str">
        <f>'Source Table'!$B$12</f>
        <v>Youths &amp; Arts Magazines &amp; Periodicals</v>
      </c>
      <c r="G537" t="str">
        <f>'Source Table'!$K$12</f>
        <v>المجلات والدوريات الشباب و الفنون</v>
      </c>
      <c r="I537" t="str">
        <f>'Source Table'!$F$5</f>
        <v>سنوية</v>
      </c>
      <c r="J537" s="29">
        <v>1</v>
      </c>
      <c r="K537">
        <v>2018</v>
      </c>
    </row>
    <row r="538" ht="15.75" spans="1:11">
      <c r="A538" s="1" t="s">
        <v>5</v>
      </c>
      <c r="B538" s="1" t="s">
        <v>7</v>
      </c>
      <c r="C538" s="2" t="s">
        <v>82</v>
      </c>
      <c r="D538" s="3" t="s">
        <v>83</v>
      </c>
      <c r="E538" s="4" t="s">
        <v>84</v>
      </c>
      <c r="F538" t="str">
        <f>'Source Table'!$B$13</f>
        <v>Cultural &amp; Educational Magazines &amp; Periodicals</v>
      </c>
      <c r="G538" t="str">
        <f>'Source Table'!$K$13</f>
        <v>المجلات والدوريات الثقافية و المدرسية</v>
      </c>
      <c r="I538" t="str">
        <f>'Source Table'!$F$5</f>
        <v>سنوية</v>
      </c>
      <c r="J538" s="29">
        <v>2</v>
      </c>
      <c r="K538">
        <v>2018</v>
      </c>
    </row>
    <row r="539" ht="15.75" spans="1:11">
      <c r="A539" s="1" t="s">
        <v>5</v>
      </c>
      <c r="B539" s="1" t="s">
        <v>7</v>
      </c>
      <c r="C539" s="2" t="s">
        <v>82</v>
      </c>
      <c r="D539" s="3" t="s">
        <v>83</v>
      </c>
      <c r="E539" s="4" t="s">
        <v>84</v>
      </c>
      <c r="F539" t="str">
        <f>'Source Table'!$B$14</f>
        <v>Religious Magazines &amp; Periodicals</v>
      </c>
      <c r="G539" t="str">
        <f>'Source Table'!$K$14</f>
        <v>المجلات والدوريات الدينية</v>
      </c>
      <c r="I539" t="str">
        <f>'Source Table'!$F$5</f>
        <v>سنوية</v>
      </c>
      <c r="J539" s="29">
        <v>0</v>
      </c>
      <c r="K539">
        <v>2018</v>
      </c>
    </row>
    <row r="540" ht="15.75" spans="1:11">
      <c r="A540" s="1" t="s">
        <v>5</v>
      </c>
      <c r="B540" s="1" t="s">
        <v>7</v>
      </c>
      <c r="C540" s="2" t="s">
        <v>82</v>
      </c>
      <c r="D540" s="3" t="s">
        <v>83</v>
      </c>
      <c r="E540" s="4" t="s">
        <v>84</v>
      </c>
      <c r="F540" t="str">
        <f>'Source Table'!$B$15</f>
        <v>Scientific Magazines &amp; Periodicals</v>
      </c>
      <c r="G540" t="str">
        <f>'Source Table'!$K$15</f>
        <v>المجلات والدوريات العلمية</v>
      </c>
      <c r="I540" t="str">
        <f>'Source Table'!$F$5</f>
        <v>سنوية</v>
      </c>
      <c r="J540" s="29">
        <v>1</v>
      </c>
      <c r="K540">
        <v>2018</v>
      </c>
    </row>
    <row r="541" ht="15.75" spans="1:11">
      <c r="A541" s="1" t="s">
        <v>5</v>
      </c>
      <c r="B541" s="1" t="s">
        <v>7</v>
      </c>
      <c r="C541" s="2" t="s">
        <v>82</v>
      </c>
      <c r="D541" s="3" t="s">
        <v>83</v>
      </c>
      <c r="E541" s="4" t="s">
        <v>84</v>
      </c>
      <c r="F541" t="str">
        <f>'Source Table'!$B$16</f>
        <v>Financial Magazines &amp; Periodicals</v>
      </c>
      <c r="G541" t="str">
        <f>'Source Table'!$K$16</f>
        <v>المجلات والدوريات المالية</v>
      </c>
      <c r="I541" t="str">
        <f>'Source Table'!$F$5</f>
        <v>سنوية</v>
      </c>
      <c r="J541" s="29">
        <v>1</v>
      </c>
      <c r="K541">
        <v>2018</v>
      </c>
    </row>
    <row r="542" ht="15.75" spans="1:11">
      <c r="A542" s="1" t="s">
        <v>5</v>
      </c>
      <c r="B542" s="1" t="s">
        <v>7</v>
      </c>
      <c r="C542" s="2" t="s">
        <v>82</v>
      </c>
      <c r="D542" s="3" t="s">
        <v>83</v>
      </c>
      <c r="E542" s="4" t="s">
        <v>84</v>
      </c>
      <c r="F542" t="str">
        <f>'Source Table'!$B$17</f>
        <v>Tourist Magazines &amp; Periodicals</v>
      </c>
      <c r="G542" t="str">
        <f>'Source Table'!$K$17</f>
        <v>المجلات والدوريات سياحية</v>
      </c>
      <c r="I542" t="str">
        <f>'Source Table'!$F$5</f>
        <v>سنوية</v>
      </c>
      <c r="J542" s="29">
        <v>0</v>
      </c>
      <c r="K542">
        <v>2018</v>
      </c>
    </row>
    <row r="543" ht="16.5" spans="1:11">
      <c r="A543" s="1" t="s">
        <v>5</v>
      </c>
      <c r="B543" s="1" t="s">
        <v>7</v>
      </c>
      <c r="C543" s="2" t="s">
        <v>82</v>
      </c>
      <c r="D543" s="3" t="s">
        <v>83</v>
      </c>
      <c r="E543" s="4" t="s">
        <v>84</v>
      </c>
      <c r="F543" t="str">
        <f>'Source Table'!$B$18</f>
        <v>Other Magazines &amp; Periodicals</v>
      </c>
      <c r="G543" t="str">
        <f>'Source Table'!$K$18</f>
        <v>المجلات والدوريات أخرى</v>
      </c>
      <c r="I543" t="str">
        <f>'Source Table'!$F$5</f>
        <v>سنوية</v>
      </c>
      <c r="J543" s="30">
        <v>12</v>
      </c>
      <c r="K543">
        <v>2018</v>
      </c>
    </row>
    <row r="544" ht="15.75" spans="1:11">
      <c r="A544" s="1" t="s">
        <v>5</v>
      </c>
      <c r="B544" s="1" t="s">
        <v>7</v>
      </c>
      <c r="C544" s="2" t="s">
        <v>82</v>
      </c>
      <c r="D544" s="3" t="s">
        <v>83</v>
      </c>
      <c r="E544" s="4" t="s">
        <v>84</v>
      </c>
      <c r="F544" t="str">
        <f>'Source Table'!$B$7</f>
        <v>Political Newspapers</v>
      </c>
      <c r="G544" t="str">
        <f>'Source Table'!$K$7</f>
        <v>صحف سياسية</v>
      </c>
      <c r="I544" t="str">
        <f>'Source Table'!$E$5</f>
        <v>كل شهرين</v>
      </c>
      <c r="J544" s="31">
        <v>0</v>
      </c>
      <c r="K544">
        <v>2018</v>
      </c>
    </row>
    <row r="545" ht="15.75" spans="1:11">
      <c r="A545" s="1" t="s">
        <v>5</v>
      </c>
      <c r="B545" s="1" t="s">
        <v>7</v>
      </c>
      <c r="C545" s="2" t="s">
        <v>82</v>
      </c>
      <c r="D545" s="3" t="s">
        <v>83</v>
      </c>
      <c r="E545" s="4" t="s">
        <v>84</v>
      </c>
      <c r="F545" t="str">
        <f>'Source Table'!$B$8</f>
        <v>Parties Newspapers</v>
      </c>
      <c r="G545" t="str">
        <f>'Source Table'!$K$8</f>
        <v>صحف حزبية</v>
      </c>
      <c r="I545" t="str">
        <f>'Source Table'!$E$5</f>
        <v>كل شهرين</v>
      </c>
      <c r="J545" s="31">
        <v>0</v>
      </c>
      <c r="K545">
        <v>2018</v>
      </c>
    </row>
    <row r="546" ht="15.75" spans="1:11">
      <c r="A546" s="1" t="s">
        <v>5</v>
      </c>
      <c r="B546" s="1" t="s">
        <v>7</v>
      </c>
      <c r="C546" s="2" t="s">
        <v>82</v>
      </c>
      <c r="D546" s="3" t="s">
        <v>83</v>
      </c>
      <c r="E546" s="4" t="s">
        <v>84</v>
      </c>
      <c r="F546" t="str">
        <f>'Source Table'!$B$9</f>
        <v>Children Magazines &amp; Periodicals</v>
      </c>
      <c r="G546" t="str">
        <f>'Source Table'!$K$9</f>
        <v>المجلات والدوريات الأطفال</v>
      </c>
      <c r="I546" t="str">
        <f>'Source Table'!$E$5</f>
        <v>كل شهرين</v>
      </c>
      <c r="J546" s="31">
        <v>0</v>
      </c>
      <c r="K546">
        <v>2018</v>
      </c>
    </row>
    <row r="547" ht="15.75" spans="1:11">
      <c r="A547" s="1" t="s">
        <v>5</v>
      </c>
      <c r="B547" s="1" t="s">
        <v>7</v>
      </c>
      <c r="C547" s="2" t="s">
        <v>82</v>
      </c>
      <c r="D547" s="3" t="s">
        <v>83</v>
      </c>
      <c r="E547" s="4" t="s">
        <v>84</v>
      </c>
      <c r="F547" t="str">
        <f>'Source Table'!$B$10</f>
        <v>Economic Magazines &amp; Periodicals</v>
      </c>
      <c r="G547" t="str">
        <f>'Source Table'!$K$10</f>
        <v>المجلات والدوريات الاقتصادية</v>
      </c>
      <c r="I547" t="str">
        <f>'Source Table'!$E$5</f>
        <v>كل شهرين</v>
      </c>
      <c r="J547" s="31">
        <v>0</v>
      </c>
      <c r="K547">
        <v>2018</v>
      </c>
    </row>
    <row r="548" ht="15.75" spans="1:11">
      <c r="A548" s="1" t="s">
        <v>5</v>
      </c>
      <c r="B548" s="1" t="s">
        <v>7</v>
      </c>
      <c r="C548" s="2" t="s">
        <v>82</v>
      </c>
      <c r="D548" s="3" t="s">
        <v>83</v>
      </c>
      <c r="E548" s="4" t="s">
        <v>84</v>
      </c>
      <c r="F548" t="str">
        <f>'Source Table'!$B$11</f>
        <v>Army &amp; Police Magazines &amp; Periodicals</v>
      </c>
      <c r="G548" t="str">
        <f>'Source Table'!$K$11</f>
        <v>المجلات والدوريات العسكرية و شرطية</v>
      </c>
      <c r="I548" t="str">
        <f>'Source Table'!$E$5</f>
        <v>كل شهرين</v>
      </c>
      <c r="J548" s="31">
        <v>0</v>
      </c>
      <c r="K548">
        <v>2018</v>
      </c>
    </row>
    <row r="549" ht="15.75" spans="1:11">
      <c r="A549" s="1" t="s">
        <v>5</v>
      </c>
      <c r="B549" s="1" t="s">
        <v>7</v>
      </c>
      <c r="C549" s="2" t="s">
        <v>82</v>
      </c>
      <c r="D549" s="3" t="s">
        <v>83</v>
      </c>
      <c r="E549" s="4" t="s">
        <v>84</v>
      </c>
      <c r="F549" t="str">
        <f>'Source Table'!$B$12</f>
        <v>Youths &amp; Arts Magazines &amp; Periodicals</v>
      </c>
      <c r="G549" t="str">
        <f>'Source Table'!$K$12</f>
        <v>المجلات والدوريات الشباب و الفنون</v>
      </c>
      <c r="I549" t="str">
        <f>'Source Table'!$E$5</f>
        <v>كل شهرين</v>
      </c>
      <c r="J549" s="31">
        <v>0</v>
      </c>
      <c r="K549">
        <v>2018</v>
      </c>
    </row>
    <row r="550" ht="15.75" spans="1:11">
      <c r="A550" s="1" t="s">
        <v>5</v>
      </c>
      <c r="B550" s="1" t="s">
        <v>7</v>
      </c>
      <c r="C550" s="2" t="s">
        <v>82</v>
      </c>
      <c r="D550" s="3" t="s">
        <v>83</v>
      </c>
      <c r="E550" s="4" t="s">
        <v>84</v>
      </c>
      <c r="F550" t="str">
        <f>'Source Table'!$B$13</f>
        <v>Cultural &amp; Educational Magazines &amp; Periodicals</v>
      </c>
      <c r="G550" t="str">
        <f>'Source Table'!$K$13</f>
        <v>المجلات والدوريات الثقافية و المدرسية</v>
      </c>
      <c r="I550" t="str">
        <f>'Source Table'!$E$5</f>
        <v>كل شهرين</v>
      </c>
      <c r="J550" s="31">
        <v>2</v>
      </c>
      <c r="K550">
        <v>2018</v>
      </c>
    </row>
    <row r="551" ht="15.75" spans="1:11">
      <c r="A551" s="1" t="s">
        <v>5</v>
      </c>
      <c r="B551" s="1" t="s">
        <v>7</v>
      </c>
      <c r="C551" s="2" t="s">
        <v>82</v>
      </c>
      <c r="D551" s="3" t="s">
        <v>83</v>
      </c>
      <c r="E551" s="4" t="s">
        <v>84</v>
      </c>
      <c r="F551" t="str">
        <f>'Source Table'!$B$14</f>
        <v>Religious Magazines &amp; Periodicals</v>
      </c>
      <c r="G551" t="str">
        <f>'Source Table'!$K$14</f>
        <v>المجلات والدوريات الدينية</v>
      </c>
      <c r="I551" t="str">
        <f>'Source Table'!$E$5</f>
        <v>كل شهرين</v>
      </c>
      <c r="J551" s="31">
        <v>0</v>
      </c>
      <c r="K551">
        <v>2018</v>
      </c>
    </row>
    <row r="552" ht="15.75" spans="1:11">
      <c r="A552" s="1" t="s">
        <v>5</v>
      </c>
      <c r="B552" s="1" t="s">
        <v>7</v>
      </c>
      <c r="C552" s="2" t="s">
        <v>82</v>
      </c>
      <c r="D552" s="3" t="s">
        <v>83</v>
      </c>
      <c r="E552" s="4" t="s">
        <v>84</v>
      </c>
      <c r="F552" t="str">
        <f>'Source Table'!$B$15</f>
        <v>Scientific Magazines &amp; Periodicals</v>
      </c>
      <c r="G552" t="str">
        <f>'Source Table'!$K$15</f>
        <v>المجلات والدوريات العلمية</v>
      </c>
      <c r="I552" t="str">
        <f>'Source Table'!$E$5</f>
        <v>كل شهرين</v>
      </c>
      <c r="J552" s="31">
        <v>2</v>
      </c>
      <c r="K552">
        <v>2018</v>
      </c>
    </row>
    <row r="553" ht="15.75" spans="1:11">
      <c r="A553" s="1" t="s">
        <v>5</v>
      </c>
      <c r="B553" s="1" t="s">
        <v>7</v>
      </c>
      <c r="C553" s="2" t="s">
        <v>82</v>
      </c>
      <c r="D553" s="3" t="s">
        <v>83</v>
      </c>
      <c r="E553" s="4" t="s">
        <v>84</v>
      </c>
      <c r="F553" t="str">
        <f>'Source Table'!$B$16</f>
        <v>Financial Magazines &amp; Periodicals</v>
      </c>
      <c r="G553" t="str">
        <f>'Source Table'!$K$16</f>
        <v>المجلات والدوريات المالية</v>
      </c>
      <c r="I553" t="str">
        <f>'Source Table'!$E$5</f>
        <v>كل شهرين</v>
      </c>
      <c r="J553" s="31">
        <v>1</v>
      </c>
      <c r="K553">
        <v>2018</v>
      </c>
    </row>
    <row r="554" ht="15.75" spans="1:11">
      <c r="A554" s="1" t="s">
        <v>5</v>
      </c>
      <c r="B554" s="1" t="s">
        <v>7</v>
      </c>
      <c r="C554" s="2" t="s">
        <v>82</v>
      </c>
      <c r="D554" s="3" t="s">
        <v>83</v>
      </c>
      <c r="E554" s="4" t="s">
        <v>84</v>
      </c>
      <c r="F554" t="str">
        <f>'Source Table'!$B$17</f>
        <v>Tourist Magazines &amp; Periodicals</v>
      </c>
      <c r="G554" t="str">
        <f>'Source Table'!$K$17</f>
        <v>المجلات والدوريات سياحية</v>
      </c>
      <c r="I554" t="str">
        <f>'Source Table'!$E$5</f>
        <v>كل شهرين</v>
      </c>
      <c r="J554" s="31">
        <v>2</v>
      </c>
      <c r="K554">
        <v>2018</v>
      </c>
    </row>
    <row r="555" ht="16.5" spans="1:11">
      <c r="A555" s="1" t="s">
        <v>5</v>
      </c>
      <c r="B555" s="1" t="s">
        <v>7</v>
      </c>
      <c r="C555" s="2" t="s">
        <v>82</v>
      </c>
      <c r="D555" s="3" t="s">
        <v>83</v>
      </c>
      <c r="E555" s="4" t="s">
        <v>84</v>
      </c>
      <c r="F555" t="str">
        <f>'Source Table'!$B$18</f>
        <v>Other Magazines &amp; Periodicals</v>
      </c>
      <c r="G555" t="str">
        <f>'Source Table'!$K$18</f>
        <v>المجلات والدوريات أخرى</v>
      </c>
      <c r="I555" t="str">
        <f>'Source Table'!$E$5</f>
        <v>كل شهرين</v>
      </c>
      <c r="J555" s="32">
        <v>6</v>
      </c>
      <c r="K555">
        <v>2018</v>
      </c>
    </row>
    <row r="556" ht="15.75" spans="1:11">
      <c r="A556" s="1" t="s">
        <v>5</v>
      </c>
      <c r="B556" s="1" t="s">
        <v>7</v>
      </c>
      <c r="C556" s="2" t="s">
        <v>82</v>
      </c>
      <c r="D556" s="3" t="s">
        <v>83</v>
      </c>
      <c r="E556" s="4" t="s">
        <v>84</v>
      </c>
      <c r="F556" t="str">
        <f>'Source Table'!$B$7</f>
        <v>Political Newspapers</v>
      </c>
      <c r="G556" t="str">
        <f>'Source Table'!$K$7</f>
        <v>صحف سياسية</v>
      </c>
      <c r="I556" t="str">
        <f>'Source Table'!$D$5</f>
        <v>نصف سنوية</v>
      </c>
      <c r="J556" s="31">
        <v>0</v>
      </c>
      <c r="K556">
        <v>2018</v>
      </c>
    </row>
    <row r="557" ht="15.75" spans="1:11">
      <c r="A557" s="1" t="s">
        <v>5</v>
      </c>
      <c r="B557" s="1" t="s">
        <v>7</v>
      </c>
      <c r="C557" s="2" t="s">
        <v>82</v>
      </c>
      <c r="D557" s="3" t="s">
        <v>83</v>
      </c>
      <c r="E557" s="4" t="s">
        <v>84</v>
      </c>
      <c r="F557" t="str">
        <f>'Source Table'!$B$8</f>
        <v>Parties Newspapers</v>
      </c>
      <c r="G557" t="str">
        <f>'Source Table'!$K$8</f>
        <v>صحف حزبية</v>
      </c>
      <c r="I557" t="str">
        <f>'Source Table'!$D$5</f>
        <v>نصف سنوية</v>
      </c>
      <c r="J557" s="31">
        <v>1</v>
      </c>
      <c r="K557">
        <v>2018</v>
      </c>
    </row>
    <row r="558" ht="15.75" spans="1:11">
      <c r="A558" s="1" t="s">
        <v>5</v>
      </c>
      <c r="B558" s="1" t="s">
        <v>7</v>
      </c>
      <c r="C558" s="2" t="s">
        <v>82</v>
      </c>
      <c r="D558" s="3" t="s">
        <v>83</v>
      </c>
      <c r="E558" s="4" t="s">
        <v>84</v>
      </c>
      <c r="F558" t="str">
        <f>'Source Table'!$B$9</f>
        <v>Children Magazines &amp; Periodicals</v>
      </c>
      <c r="G558" t="str">
        <f>'Source Table'!$K$9</f>
        <v>المجلات والدوريات الأطفال</v>
      </c>
      <c r="I558" t="str">
        <f>'Source Table'!$D$5</f>
        <v>نصف سنوية</v>
      </c>
      <c r="J558" s="31">
        <v>2</v>
      </c>
      <c r="K558">
        <v>2018</v>
      </c>
    </row>
    <row r="559" ht="15.75" spans="1:11">
      <c r="A559" s="1" t="s">
        <v>5</v>
      </c>
      <c r="B559" s="1" t="s">
        <v>7</v>
      </c>
      <c r="C559" s="2" t="s">
        <v>82</v>
      </c>
      <c r="D559" s="3" t="s">
        <v>83</v>
      </c>
      <c r="E559" s="4" t="s">
        <v>84</v>
      </c>
      <c r="F559" t="str">
        <f>'Source Table'!$B$10</f>
        <v>Economic Magazines &amp; Periodicals</v>
      </c>
      <c r="G559" t="str">
        <f>'Source Table'!$K$10</f>
        <v>المجلات والدوريات الاقتصادية</v>
      </c>
      <c r="I559" t="str">
        <f>'Source Table'!$D$5</f>
        <v>نصف سنوية</v>
      </c>
      <c r="J559" s="31">
        <v>0</v>
      </c>
      <c r="K559">
        <v>2018</v>
      </c>
    </row>
    <row r="560" ht="15.75" spans="1:11">
      <c r="A560" s="1" t="s">
        <v>5</v>
      </c>
      <c r="B560" s="1" t="s">
        <v>7</v>
      </c>
      <c r="C560" s="2" t="s">
        <v>82</v>
      </c>
      <c r="D560" s="3" t="s">
        <v>83</v>
      </c>
      <c r="E560" s="4" t="s">
        <v>84</v>
      </c>
      <c r="F560" t="str">
        <f>'Source Table'!$B$11</f>
        <v>Army &amp; Police Magazines &amp; Periodicals</v>
      </c>
      <c r="G560" t="str">
        <f>'Source Table'!$K$11</f>
        <v>المجلات والدوريات العسكرية و شرطية</v>
      </c>
      <c r="I560" t="str">
        <f>'Source Table'!$D$5</f>
        <v>نصف سنوية</v>
      </c>
      <c r="J560" s="31">
        <v>0</v>
      </c>
      <c r="K560">
        <v>2018</v>
      </c>
    </row>
    <row r="561" ht="15.75" spans="1:11">
      <c r="A561" s="1" t="s">
        <v>5</v>
      </c>
      <c r="B561" s="1" t="s">
        <v>7</v>
      </c>
      <c r="C561" s="2" t="s">
        <v>82</v>
      </c>
      <c r="D561" s="3" t="s">
        <v>83</v>
      </c>
      <c r="E561" s="4" t="s">
        <v>84</v>
      </c>
      <c r="F561" t="str">
        <f>'Source Table'!$B$12</f>
        <v>Youths &amp; Arts Magazines &amp; Periodicals</v>
      </c>
      <c r="G561" t="str">
        <f>'Source Table'!$K$12</f>
        <v>المجلات والدوريات الشباب و الفنون</v>
      </c>
      <c r="I561" t="str">
        <f>'Source Table'!$D$5</f>
        <v>نصف سنوية</v>
      </c>
      <c r="J561" s="31">
        <v>0</v>
      </c>
      <c r="K561">
        <v>2018</v>
      </c>
    </row>
    <row r="562" ht="15.75" spans="1:11">
      <c r="A562" s="1" t="s">
        <v>5</v>
      </c>
      <c r="B562" s="1" t="s">
        <v>7</v>
      </c>
      <c r="C562" s="2" t="s">
        <v>82</v>
      </c>
      <c r="D562" s="3" t="s">
        <v>83</v>
      </c>
      <c r="E562" s="4" t="s">
        <v>84</v>
      </c>
      <c r="F562" t="str">
        <f>'Source Table'!$B$13</f>
        <v>Cultural &amp; Educational Magazines &amp; Periodicals</v>
      </c>
      <c r="G562" t="str">
        <f>'Source Table'!$K$13</f>
        <v>المجلات والدوريات الثقافية و المدرسية</v>
      </c>
      <c r="I562" t="str">
        <f>'Source Table'!$D$5</f>
        <v>نصف سنوية</v>
      </c>
      <c r="J562" s="31">
        <v>2</v>
      </c>
      <c r="K562">
        <v>2018</v>
      </c>
    </row>
    <row r="563" ht="15.75" spans="1:11">
      <c r="A563" s="1" t="s">
        <v>5</v>
      </c>
      <c r="B563" s="1" t="s">
        <v>7</v>
      </c>
      <c r="C563" s="2" t="s">
        <v>82</v>
      </c>
      <c r="D563" s="3" t="s">
        <v>83</v>
      </c>
      <c r="E563" s="4" t="s">
        <v>84</v>
      </c>
      <c r="F563" t="str">
        <f>'Source Table'!$B$14</f>
        <v>Religious Magazines &amp; Periodicals</v>
      </c>
      <c r="G563" t="str">
        <f>'Source Table'!$K$14</f>
        <v>المجلات والدوريات الدينية</v>
      </c>
      <c r="I563" t="str">
        <f>'Source Table'!$D$5</f>
        <v>نصف سنوية</v>
      </c>
      <c r="J563" s="31">
        <v>2</v>
      </c>
      <c r="K563">
        <v>2018</v>
      </c>
    </row>
    <row r="564" ht="15.75" spans="1:11">
      <c r="A564" s="1" t="s">
        <v>5</v>
      </c>
      <c r="B564" s="1" t="s">
        <v>7</v>
      </c>
      <c r="C564" s="2" t="s">
        <v>82</v>
      </c>
      <c r="D564" s="3" t="s">
        <v>83</v>
      </c>
      <c r="E564" s="4" t="s">
        <v>84</v>
      </c>
      <c r="F564" t="str">
        <f>'Source Table'!$B$15</f>
        <v>Scientific Magazines &amp; Periodicals</v>
      </c>
      <c r="G564" t="str">
        <f>'Source Table'!$K$15</f>
        <v>المجلات والدوريات العلمية</v>
      </c>
      <c r="I564" t="str">
        <f>'Source Table'!$D$5</f>
        <v>نصف سنوية</v>
      </c>
      <c r="J564" s="31">
        <v>6</v>
      </c>
      <c r="K564">
        <v>2018</v>
      </c>
    </row>
    <row r="565" ht="15.75" spans="1:11">
      <c r="A565" s="1" t="s">
        <v>5</v>
      </c>
      <c r="B565" s="1" t="s">
        <v>7</v>
      </c>
      <c r="C565" s="2" t="s">
        <v>82</v>
      </c>
      <c r="D565" s="3" t="s">
        <v>83</v>
      </c>
      <c r="E565" s="4" t="s">
        <v>84</v>
      </c>
      <c r="F565" t="str">
        <f>'Source Table'!$B$16</f>
        <v>Financial Magazines &amp; Periodicals</v>
      </c>
      <c r="G565" t="str">
        <f>'Source Table'!$K$16</f>
        <v>المجلات والدوريات المالية</v>
      </c>
      <c r="I565" t="str">
        <f>'Source Table'!$D$5</f>
        <v>نصف سنوية</v>
      </c>
      <c r="J565" s="31">
        <v>1</v>
      </c>
      <c r="K565">
        <v>2018</v>
      </c>
    </row>
    <row r="566" ht="15.75" spans="1:11">
      <c r="A566" s="1" t="s">
        <v>5</v>
      </c>
      <c r="B566" s="1" t="s">
        <v>7</v>
      </c>
      <c r="C566" s="2" t="s">
        <v>82</v>
      </c>
      <c r="D566" s="3" t="s">
        <v>83</v>
      </c>
      <c r="E566" s="4" t="s">
        <v>84</v>
      </c>
      <c r="F566" t="str">
        <f>'Source Table'!$B$17</f>
        <v>Tourist Magazines &amp; Periodicals</v>
      </c>
      <c r="G566" t="str">
        <f>'Source Table'!$K$17</f>
        <v>المجلات والدوريات سياحية</v>
      </c>
      <c r="I566" t="str">
        <f>'Source Table'!$D$5</f>
        <v>نصف سنوية</v>
      </c>
      <c r="J566" s="31">
        <v>0</v>
      </c>
      <c r="K566">
        <v>2018</v>
      </c>
    </row>
    <row r="567" ht="16.5" spans="1:11">
      <c r="A567" s="1" t="s">
        <v>5</v>
      </c>
      <c r="B567" s="1" t="s">
        <v>7</v>
      </c>
      <c r="C567" s="2" t="s">
        <v>82</v>
      </c>
      <c r="D567" s="3" t="s">
        <v>83</v>
      </c>
      <c r="E567" s="4" t="s">
        <v>84</v>
      </c>
      <c r="F567" t="str">
        <f>'Source Table'!$B$18</f>
        <v>Other Magazines &amp; Periodicals</v>
      </c>
      <c r="G567" t="str">
        <f>'Source Table'!$K$18</f>
        <v>المجلات والدوريات أخرى</v>
      </c>
      <c r="I567" t="str">
        <f>'Source Table'!$D$5</f>
        <v>نصف سنوية</v>
      </c>
      <c r="J567" s="32">
        <v>27</v>
      </c>
      <c r="K567">
        <v>2018</v>
      </c>
    </row>
    <row r="568" ht="15.75" spans="1:11">
      <c r="A568" s="1" t="s">
        <v>5</v>
      </c>
      <c r="B568" s="1" t="s">
        <v>7</v>
      </c>
      <c r="C568" s="2" t="s">
        <v>82</v>
      </c>
      <c r="D568" s="3" t="s">
        <v>83</v>
      </c>
      <c r="E568" s="4" t="s">
        <v>84</v>
      </c>
      <c r="F568" t="str">
        <f>'Source Table'!$B$7</f>
        <v>Political Newspapers</v>
      </c>
      <c r="G568" t="str">
        <f>'Source Table'!$K$7</f>
        <v>صحف سياسية</v>
      </c>
      <c r="I568" t="str">
        <f>'Source Table'!$C$5</f>
        <v>نصف شهرية</v>
      </c>
      <c r="J568" s="29">
        <v>0</v>
      </c>
      <c r="K568">
        <v>2018</v>
      </c>
    </row>
    <row r="569" ht="15.75" spans="1:11">
      <c r="A569" s="1" t="s">
        <v>5</v>
      </c>
      <c r="B569" s="1" t="s">
        <v>7</v>
      </c>
      <c r="C569" s="2" t="s">
        <v>82</v>
      </c>
      <c r="D569" s="3" t="s">
        <v>83</v>
      </c>
      <c r="E569" s="4" t="s">
        <v>84</v>
      </c>
      <c r="F569" t="str">
        <f>'Source Table'!$B$8</f>
        <v>Parties Newspapers</v>
      </c>
      <c r="G569" t="str">
        <f>'Source Table'!$K$8</f>
        <v>صحف حزبية</v>
      </c>
      <c r="I569" t="str">
        <f>'Source Table'!$C$5</f>
        <v>نصف شهرية</v>
      </c>
      <c r="J569" s="29">
        <v>0</v>
      </c>
      <c r="K569">
        <v>2018</v>
      </c>
    </row>
    <row r="570" ht="15.75" spans="1:11">
      <c r="A570" s="1" t="s">
        <v>5</v>
      </c>
      <c r="B570" s="1" t="s">
        <v>7</v>
      </c>
      <c r="C570" s="2" t="s">
        <v>82</v>
      </c>
      <c r="D570" s="3" t="s">
        <v>83</v>
      </c>
      <c r="E570" s="4" t="s">
        <v>84</v>
      </c>
      <c r="F570" t="str">
        <f>'Source Table'!$B$9</f>
        <v>Children Magazines &amp; Periodicals</v>
      </c>
      <c r="G570" t="str">
        <f>'Source Table'!$K$9</f>
        <v>المجلات والدوريات الأطفال</v>
      </c>
      <c r="I570" t="str">
        <f>'Source Table'!$C$5</f>
        <v>نصف شهرية</v>
      </c>
      <c r="J570" s="29">
        <v>2</v>
      </c>
      <c r="K570">
        <v>2018</v>
      </c>
    </row>
    <row r="571" ht="15.75" spans="1:11">
      <c r="A571" s="1" t="s">
        <v>5</v>
      </c>
      <c r="B571" s="1" t="s">
        <v>7</v>
      </c>
      <c r="C571" s="2" t="s">
        <v>82</v>
      </c>
      <c r="D571" s="3" t="s">
        <v>83</v>
      </c>
      <c r="E571" s="4" t="s">
        <v>84</v>
      </c>
      <c r="F571" t="str">
        <f>'Source Table'!$B$10</f>
        <v>Economic Magazines &amp; Periodicals</v>
      </c>
      <c r="G571" t="str">
        <f>'Source Table'!$K$10</f>
        <v>المجلات والدوريات الاقتصادية</v>
      </c>
      <c r="I571" t="str">
        <f>'Source Table'!$C$5</f>
        <v>نصف شهرية</v>
      </c>
      <c r="J571" s="29">
        <v>0</v>
      </c>
      <c r="K571">
        <v>2018</v>
      </c>
    </row>
    <row r="572" ht="15.75" spans="1:11">
      <c r="A572" s="1" t="s">
        <v>5</v>
      </c>
      <c r="B572" s="1" t="s">
        <v>7</v>
      </c>
      <c r="C572" s="2" t="s">
        <v>82</v>
      </c>
      <c r="D572" s="3" t="s">
        <v>83</v>
      </c>
      <c r="E572" s="4" t="s">
        <v>84</v>
      </c>
      <c r="F572" t="str">
        <f>'Source Table'!$B$11</f>
        <v>Army &amp; Police Magazines &amp; Periodicals</v>
      </c>
      <c r="G572" t="str">
        <f>'Source Table'!$K$11</f>
        <v>المجلات والدوريات العسكرية و شرطية</v>
      </c>
      <c r="I572" t="str">
        <f>'Source Table'!$C$5</f>
        <v>نصف شهرية</v>
      </c>
      <c r="J572" s="29">
        <v>0</v>
      </c>
      <c r="K572">
        <v>2018</v>
      </c>
    </row>
    <row r="573" ht="15.75" spans="1:11">
      <c r="A573" s="1" t="s">
        <v>5</v>
      </c>
      <c r="B573" s="1" t="s">
        <v>7</v>
      </c>
      <c r="C573" s="2" t="s">
        <v>82</v>
      </c>
      <c r="D573" s="3" t="s">
        <v>83</v>
      </c>
      <c r="E573" s="4" t="s">
        <v>84</v>
      </c>
      <c r="F573" t="str">
        <f>'Source Table'!$B$12</f>
        <v>Youths &amp; Arts Magazines &amp; Periodicals</v>
      </c>
      <c r="G573" t="str">
        <f>'Source Table'!$K$12</f>
        <v>المجلات والدوريات الشباب و الفنون</v>
      </c>
      <c r="I573" t="str">
        <f>'Source Table'!$C$5</f>
        <v>نصف شهرية</v>
      </c>
      <c r="J573" s="29">
        <v>1</v>
      </c>
      <c r="K573">
        <v>2018</v>
      </c>
    </row>
    <row r="574" ht="15.75" spans="1:11">
      <c r="A574" s="1" t="s">
        <v>5</v>
      </c>
      <c r="B574" s="1" t="s">
        <v>7</v>
      </c>
      <c r="C574" s="2" t="s">
        <v>82</v>
      </c>
      <c r="D574" s="3" t="s">
        <v>83</v>
      </c>
      <c r="E574" s="4" t="s">
        <v>84</v>
      </c>
      <c r="F574" t="str">
        <f>'Source Table'!$B$13</f>
        <v>Cultural &amp; Educational Magazines &amp; Periodicals</v>
      </c>
      <c r="G574" t="str">
        <f>'Source Table'!$K$13</f>
        <v>المجلات والدوريات الثقافية و المدرسية</v>
      </c>
      <c r="I574" t="str">
        <f>'Source Table'!$C$5</f>
        <v>نصف شهرية</v>
      </c>
      <c r="J574" s="29">
        <v>5</v>
      </c>
      <c r="K574">
        <v>2018</v>
      </c>
    </row>
    <row r="575" ht="15.75" spans="1:11">
      <c r="A575" s="1" t="s">
        <v>5</v>
      </c>
      <c r="B575" s="1" t="s">
        <v>7</v>
      </c>
      <c r="C575" s="2" t="s">
        <v>82</v>
      </c>
      <c r="D575" s="3" t="s">
        <v>83</v>
      </c>
      <c r="E575" s="4" t="s">
        <v>84</v>
      </c>
      <c r="F575" t="str">
        <f>'Source Table'!$B$14</f>
        <v>Religious Magazines &amp; Periodicals</v>
      </c>
      <c r="G575" t="str">
        <f>'Source Table'!$K$14</f>
        <v>المجلات والدوريات الدينية</v>
      </c>
      <c r="I575" t="str">
        <f>'Source Table'!$C$5</f>
        <v>نصف شهرية</v>
      </c>
      <c r="J575" s="29">
        <v>0</v>
      </c>
      <c r="K575">
        <v>2018</v>
      </c>
    </row>
    <row r="576" ht="15.75" spans="1:11">
      <c r="A576" s="1" t="s">
        <v>5</v>
      </c>
      <c r="B576" s="1" t="s">
        <v>7</v>
      </c>
      <c r="C576" s="2" t="s">
        <v>82</v>
      </c>
      <c r="D576" s="3" t="s">
        <v>83</v>
      </c>
      <c r="E576" s="4" t="s">
        <v>84</v>
      </c>
      <c r="F576" t="str">
        <f>'Source Table'!$B$15</f>
        <v>Scientific Magazines &amp; Periodicals</v>
      </c>
      <c r="G576" t="str">
        <f>'Source Table'!$K$15</f>
        <v>المجلات والدوريات العلمية</v>
      </c>
      <c r="I576" t="str">
        <f>'Source Table'!$C$5</f>
        <v>نصف شهرية</v>
      </c>
      <c r="J576" s="29">
        <v>4</v>
      </c>
      <c r="K576">
        <v>2018</v>
      </c>
    </row>
    <row r="577" ht="15.75" spans="1:11">
      <c r="A577" s="1" t="s">
        <v>5</v>
      </c>
      <c r="B577" s="1" t="s">
        <v>7</v>
      </c>
      <c r="C577" s="2" t="s">
        <v>82</v>
      </c>
      <c r="D577" s="3" t="s">
        <v>83</v>
      </c>
      <c r="E577" s="4" t="s">
        <v>84</v>
      </c>
      <c r="F577" t="str">
        <f>'Source Table'!$B$16</f>
        <v>Financial Magazines &amp; Periodicals</v>
      </c>
      <c r="G577" t="str">
        <f>'Source Table'!$K$16</f>
        <v>المجلات والدوريات المالية</v>
      </c>
      <c r="I577" t="str">
        <f>'Source Table'!$C$5</f>
        <v>نصف شهرية</v>
      </c>
      <c r="J577" s="29">
        <v>1</v>
      </c>
      <c r="K577">
        <v>2018</v>
      </c>
    </row>
    <row r="578" ht="15.75" spans="1:11">
      <c r="A578" s="1" t="s">
        <v>5</v>
      </c>
      <c r="B578" s="1" t="s">
        <v>7</v>
      </c>
      <c r="C578" s="2" t="s">
        <v>82</v>
      </c>
      <c r="D578" s="3" t="s">
        <v>83</v>
      </c>
      <c r="E578" s="4" t="s">
        <v>84</v>
      </c>
      <c r="F578" t="str">
        <f>'Source Table'!$B$17</f>
        <v>Tourist Magazines &amp; Periodicals</v>
      </c>
      <c r="G578" t="str">
        <f>'Source Table'!$K$17</f>
        <v>المجلات والدوريات سياحية</v>
      </c>
      <c r="I578" t="str">
        <f>'Source Table'!$C$5</f>
        <v>نصف شهرية</v>
      </c>
      <c r="J578" s="29">
        <v>2</v>
      </c>
      <c r="K578">
        <v>2018</v>
      </c>
    </row>
    <row r="579" ht="16.5" spans="1:11">
      <c r="A579" s="1" t="s">
        <v>5</v>
      </c>
      <c r="B579" s="1" t="s">
        <v>7</v>
      </c>
      <c r="C579" s="2" t="s">
        <v>82</v>
      </c>
      <c r="D579" s="3" t="s">
        <v>83</v>
      </c>
      <c r="E579" s="4" t="s">
        <v>84</v>
      </c>
      <c r="F579" t="str">
        <f>'Source Table'!$B$18</f>
        <v>Other Magazines &amp; Periodicals</v>
      </c>
      <c r="G579" t="str">
        <f>'Source Table'!$K$18</f>
        <v>المجلات والدوريات أخرى</v>
      </c>
      <c r="I579" t="str">
        <f>'Source Table'!$C$5</f>
        <v>نصف شهرية</v>
      </c>
      <c r="J579" s="30">
        <v>47</v>
      </c>
      <c r="K579">
        <v>2018</v>
      </c>
    </row>
    <row r="580" ht="15.75" spans="1:11">
      <c r="A580" s="1" t="s">
        <v>5</v>
      </c>
      <c r="B580" s="1" t="s">
        <v>7</v>
      </c>
      <c r="C580" s="2" t="s">
        <v>82</v>
      </c>
      <c r="D580" s="3" t="s">
        <v>83</v>
      </c>
      <c r="E580" s="4" t="s">
        <v>84</v>
      </c>
      <c r="F580" t="str">
        <f>'Source Table'!$B$7</f>
        <v>Political Newspapers</v>
      </c>
      <c r="G580" t="str">
        <f>'Source Table'!$K$7</f>
        <v>صحف سياسية</v>
      </c>
      <c r="H580" t="str">
        <f>'Source Table'!$J$6</f>
        <v>Daily</v>
      </c>
      <c r="I580" t="str">
        <f>'Source Table'!$J$5</f>
        <v>يومية</v>
      </c>
      <c r="J580" s="33">
        <v>10</v>
      </c>
      <c r="K580">
        <v>2017</v>
      </c>
    </row>
    <row r="581" ht="15.75" spans="1:11">
      <c r="A581" s="1" t="s">
        <v>5</v>
      </c>
      <c r="B581" s="1" t="s">
        <v>7</v>
      </c>
      <c r="C581" s="2" t="s">
        <v>82</v>
      </c>
      <c r="D581" s="3" t="s">
        <v>83</v>
      </c>
      <c r="E581" s="4" t="s">
        <v>84</v>
      </c>
      <c r="F581" t="str">
        <f>'Source Table'!$B$8</f>
        <v>Parties Newspapers</v>
      </c>
      <c r="G581" t="str">
        <f>'Source Table'!$K$8</f>
        <v>صحف حزبية</v>
      </c>
      <c r="H581" t="str">
        <f>'Source Table'!$J$6</f>
        <v>Daily</v>
      </c>
      <c r="I581" t="str">
        <f>'Source Table'!$J$5</f>
        <v>يومية</v>
      </c>
      <c r="J581" s="33">
        <v>0</v>
      </c>
      <c r="K581">
        <v>2017</v>
      </c>
    </row>
    <row r="582" ht="15.75" spans="1:11">
      <c r="A582" s="1" t="s">
        <v>5</v>
      </c>
      <c r="B582" s="1" t="s">
        <v>7</v>
      </c>
      <c r="C582" s="2" t="s">
        <v>82</v>
      </c>
      <c r="D582" s="3" t="s">
        <v>83</v>
      </c>
      <c r="E582" s="4" t="s">
        <v>84</v>
      </c>
      <c r="F582" t="str">
        <f>'Source Table'!$B$9</f>
        <v>Children Magazines &amp; Periodicals</v>
      </c>
      <c r="G582" t="str">
        <f>'Source Table'!$K$9</f>
        <v>المجلات والدوريات الأطفال</v>
      </c>
      <c r="H582" t="str">
        <f>'Source Table'!$J$6</f>
        <v>Daily</v>
      </c>
      <c r="I582" t="str">
        <f>'Source Table'!$J$5</f>
        <v>يومية</v>
      </c>
      <c r="J582" s="33">
        <v>0</v>
      </c>
      <c r="K582">
        <v>2017</v>
      </c>
    </row>
    <row r="583" ht="15.75" spans="1:11">
      <c r="A583" s="1" t="s">
        <v>5</v>
      </c>
      <c r="B583" s="1" t="s">
        <v>7</v>
      </c>
      <c r="C583" s="2" t="s">
        <v>82</v>
      </c>
      <c r="D583" s="3" t="s">
        <v>83</v>
      </c>
      <c r="E583" s="4" t="s">
        <v>84</v>
      </c>
      <c r="F583" t="str">
        <f>'Source Table'!$B$10</f>
        <v>Economic Magazines &amp; Periodicals</v>
      </c>
      <c r="G583" t="str">
        <f>'Source Table'!$K$10</f>
        <v>المجلات والدوريات الاقتصادية</v>
      </c>
      <c r="H583" t="str">
        <f>'Source Table'!$J$6</f>
        <v>Daily</v>
      </c>
      <c r="I583" t="str">
        <f>'Source Table'!$J$5</f>
        <v>يومية</v>
      </c>
      <c r="J583" s="33">
        <v>0</v>
      </c>
      <c r="K583">
        <v>2017</v>
      </c>
    </row>
    <row r="584" ht="15.75" spans="1:11">
      <c r="A584" s="1" t="s">
        <v>5</v>
      </c>
      <c r="B584" s="1" t="s">
        <v>7</v>
      </c>
      <c r="C584" s="2" t="s">
        <v>82</v>
      </c>
      <c r="D584" s="3" t="s">
        <v>83</v>
      </c>
      <c r="E584" s="4" t="s">
        <v>84</v>
      </c>
      <c r="F584" t="str">
        <f>'Source Table'!$B$11</f>
        <v>Army &amp; Police Magazines &amp; Periodicals</v>
      </c>
      <c r="G584" t="str">
        <f>'Source Table'!$K$11</f>
        <v>المجلات والدوريات العسكرية و شرطية</v>
      </c>
      <c r="H584" t="str">
        <f>'Source Table'!$J$6</f>
        <v>Daily</v>
      </c>
      <c r="I584" t="str">
        <f>'Source Table'!$J$5</f>
        <v>يومية</v>
      </c>
      <c r="J584" s="33">
        <v>0</v>
      </c>
      <c r="K584">
        <v>2017</v>
      </c>
    </row>
    <row r="585" ht="15.75" spans="1:11">
      <c r="A585" s="1" t="s">
        <v>5</v>
      </c>
      <c r="B585" s="1" t="s">
        <v>7</v>
      </c>
      <c r="C585" s="2" t="s">
        <v>82</v>
      </c>
      <c r="D585" s="3" t="s">
        <v>83</v>
      </c>
      <c r="E585" s="4" t="s">
        <v>84</v>
      </c>
      <c r="F585" t="str">
        <f>'Source Table'!$B$12</f>
        <v>Youths &amp; Arts Magazines &amp; Periodicals</v>
      </c>
      <c r="G585" t="str">
        <f>'Source Table'!$K$12</f>
        <v>المجلات والدوريات الشباب و الفنون</v>
      </c>
      <c r="H585" t="str">
        <f>'Source Table'!$J$6</f>
        <v>Daily</v>
      </c>
      <c r="I585" t="str">
        <f>'Source Table'!$J$5</f>
        <v>يومية</v>
      </c>
      <c r="J585" s="33">
        <v>0</v>
      </c>
      <c r="K585">
        <v>2017</v>
      </c>
    </row>
    <row r="586" ht="15.75" spans="1:11">
      <c r="A586" s="1" t="s">
        <v>5</v>
      </c>
      <c r="B586" s="1" t="s">
        <v>7</v>
      </c>
      <c r="C586" s="2" t="s">
        <v>82</v>
      </c>
      <c r="D586" s="3" t="s">
        <v>83</v>
      </c>
      <c r="E586" s="4" t="s">
        <v>84</v>
      </c>
      <c r="F586" t="str">
        <f>'Source Table'!$B$13</f>
        <v>Cultural &amp; Educational Magazines &amp; Periodicals</v>
      </c>
      <c r="G586" t="str">
        <f>'Source Table'!$K$13</f>
        <v>المجلات والدوريات الثقافية و المدرسية</v>
      </c>
      <c r="H586" t="str">
        <f>'Source Table'!$J$6</f>
        <v>Daily</v>
      </c>
      <c r="I586" t="str">
        <f>'Source Table'!$J$5</f>
        <v>يومية</v>
      </c>
      <c r="J586" s="33">
        <v>0</v>
      </c>
      <c r="K586">
        <v>2017</v>
      </c>
    </row>
    <row r="587" ht="15.75" spans="1:11">
      <c r="A587" s="1" t="s">
        <v>5</v>
      </c>
      <c r="B587" s="1" t="s">
        <v>7</v>
      </c>
      <c r="C587" s="2" t="s">
        <v>82</v>
      </c>
      <c r="D587" s="3" t="s">
        <v>83</v>
      </c>
      <c r="E587" s="4" t="s">
        <v>84</v>
      </c>
      <c r="F587" t="str">
        <f>'Source Table'!$B$14</f>
        <v>Religious Magazines &amp; Periodicals</v>
      </c>
      <c r="G587" t="str">
        <f>'Source Table'!$K$14</f>
        <v>المجلات والدوريات الدينية</v>
      </c>
      <c r="H587" t="str">
        <f>'Source Table'!$J$6</f>
        <v>Daily</v>
      </c>
      <c r="I587" t="str">
        <f>'Source Table'!$J$5</f>
        <v>يومية</v>
      </c>
      <c r="J587" s="33">
        <v>0</v>
      </c>
      <c r="K587">
        <v>2017</v>
      </c>
    </row>
    <row r="588" ht="15.75" spans="1:11">
      <c r="A588" s="1" t="s">
        <v>5</v>
      </c>
      <c r="B588" s="1" t="s">
        <v>7</v>
      </c>
      <c r="C588" s="2" t="s">
        <v>82</v>
      </c>
      <c r="D588" s="3" t="s">
        <v>83</v>
      </c>
      <c r="E588" s="4" t="s">
        <v>84</v>
      </c>
      <c r="F588" t="str">
        <f>'Source Table'!$B$15</f>
        <v>Scientific Magazines &amp; Periodicals</v>
      </c>
      <c r="G588" t="str">
        <f>'Source Table'!$K$15</f>
        <v>المجلات والدوريات العلمية</v>
      </c>
      <c r="H588" t="str">
        <f>'Source Table'!$J$6</f>
        <v>Daily</v>
      </c>
      <c r="I588" t="str">
        <f>'Source Table'!$J$5</f>
        <v>يومية</v>
      </c>
      <c r="J588" s="33">
        <v>0</v>
      </c>
      <c r="K588">
        <v>2017</v>
      </c>
    </row>
    <row r="589" ht="15.75" spans="1:11">
      <c r="A589" s="1" t="s">
        <v>5</v>
      </c>
      <c r="B589" s="1" t="s">
        <v>7</v>
      </c>
      <c r="C589" s="2" t="s">
        <v>82</v>
      </c>
      <c r="D589" s="3" t="s">
        <v>83</v>
      </c>
      <c r="E589" s="4" t="s">
        <v>84</v>
      </c>
      <c r="F589" t="str">
        <f>'Source Table'!$B$16</f>
        <v>Financial Magazines &amp; Periodicals</v>
      </c>
      <c r="G589" t="str">
        <f>'Source Table'!$K$16</f>
        <v>المجلات والدوريات المالية</v>
      </c>
      <c r="H589" t="str">
        <f>'Source Table'!$J$6</f>
        <v>Daily</v>
      </c>
      <c r="I589" t="str">
        <f>'Source Table'!$J$5</f>
        <v>يومية</v>
      </c>
      <c r="J589" s="33">
        <v>0</v>
      </c>
      <c r="K589">
        <v>2017</v>
      </c>
    </row>
    <row r="590" ht="15.75" spans="1:11">
      <c r="A590" s="1" t="s">
        <v>5</v>
      </c>
      <c r="B590" s="1" t="s">
        <v>7</v>
      </c>
      <c r="C590" s="2" t="s">
        <v>82</v>
      </c>
      <c r="D590" s="3" t="s">
        <v>83</v>
      </c>
      <c r="E590" s="4" t="s">
        <v>84</v>
      </c>
      <c r="F590" t="str">
        <f>'Source Table'!$B$17</f>
        <v>Tourist Magazines &amp; Periodicals</v>
      </c>
      <c r="G590" t="str">
        <f>'Source Table'!$K$17</f>
        <v>المجلات والدوريات سياحية</v>
      </c>
      <c r="H590" t="str">
        <f>'Source Table'!$J$6</f>
        <v>Daily</v>
      </c>
      <c r="I590" t="str">
        <f>'Source Table'!$J$5</f>
        <v>يومية</v>
      </c>
      <c r="J590" s="33">
        <v>0</v>
      </c>
      <c r="K590">
        <v>2017</v>
      </c>
    </row>
    <row r="591" ht="16.5" spans="1:11">
      <c r="A591" s="1" t="s">
        <v>5</v>
      </c>
      <c r="B591" s="1" t="s">
        <v>7</v>
      </c>
      <c r="C591" s="2" t="s">
        <v>82</v>
      </c>
      <c r="D591" s="3" t="s">
        <v>83</v>
      </c>
      <c r="E591" s="4" t="s">
        <v>84</v>
      </c>
      <c r="F591" t="str">
        <f>'Source Table'!$B$18</f>
        <v>Other Magazines &amp; Periodicals</v>
      </c>
      <c r="G591" t="str">
        <f>'Source Table'!$K$18</f>
        <v>المجلات والدوريات أخرى</v>
      </c>
      <c r="H591" t="str">
        <f>'Source Table'!$J$6</f>
        <v>Daily</v>
      </c>
      <c r="I591" t="str">
        <f>'Source Table'!$J$5</f>
        <v>يومية</v>
      </c>
      <c r="J591" s="34">
        <v>4</v>
      </c>
      <c r="K591">
        <v>2017</v>
      </c>
    </row>
    <row r="592" ht="15.75" spans="1:11">
      <c r="A592" s="1" t="s">
        <v>5</v>
      </c>
      <c r="B592" s="1" t="s">
        <v>7</v>
      </c>
      <c r="C592" s="2" t="s">
        <v>82</v>
      </c>
      <c r="D592" s="3" t="s">
        <v>83</v>
      </c>
      <c r="E592" s="4" t="s">
        <v>84</v>
      </c>
      <c r="F592" t="str">
        <f>'Source Table'!$B$7</f>
        <v>Political Newspapers</v>
      </c>
      <c r="G592" t="str">
        <f>'Source Table'!$K$7</f>
        <v>صحف سياسية</v>
      </c>
      <c r="H592" t="str">
        <f>'Source Table'!$I$6</f>
        <v>Weekly</v>
      </c>
      <c r="I592" t="str">
        <f>'Source Table'!$I$5</f>
        <v>أسبوعية</v>
      </c>
      <c r="J592" s="33">
        <v>15</v>
      </c>
      <c r="K592">
        <v>2017</v>
      </c>
    </row>
    <row r="593" ht="15.75" spans="1:11">
      <c r="A593" s="1" t="s">
        <v>5</v>
      </c>
      <c r="B593" s="1" t="s">
        <v>7</v>
      </c>
      <c r="C593" s="2" t="s">
        <v>82</v>
      </c>
      <c r="D593" s="3" t="s">
        <v>83</v>
      </c>
      <c r="E593" s="4" t="s">
        <v>84</v>
      </c>
      <c r="F593" t="str">
        <f>'Source Table'!$B$8</f>
        <v>Parties Newspapers</v>
      </c>
      <c r="G593" t="str">
        <f>'Source Table'!$K$8</f>
        <v>صحف حزبية</v>
      </c>
      <c r="H593" t="str">
        <f>'Source Table'!$I$6</f>
        <v>Weekly</v>
      </c>
      <c r="I593" t="str">
        <f>'Source Table'!$I$5</f>
        <v>أسبوعية</v>
      </c>
      <c r="J593" s="33">
        <v>9</v>
      </c>
      <c r="K593">
        <v>2017</v>
      </c>
    </row>
    <row r="594" ht="15.75" spans="1:11">
      <c r="A594" s="1" t="s">
        <v>5</v>
      </c>
      <c r="B594" s="1" t="s">
        <v>7</v>
      </c>
      <c r="C594" s="2" t="s">
        <v>82</v>
      </c>
      <c r="D594" s="3" t="s">
        <v>83</v>
      </c>
      <c r="E594" s="4" t="s">
        <v>84</v>
      </c>
      <c r="F594" t="str">
        <f>'Source Table'!$B$9</f>
        <v>Children Magazines &amp; Periodicals</v>
      </c>
      <c r="G594" t="str">
        <f>'Source Table'!$K$9</f>
        <v>المجلات والدوريات الأطفال</v>
      </c>
      <c r="H594" t="str">
        <f>'Source Table'!$I$6</f>
        <v>Weekly</v>
      </c>
      <c r="I594" t="str">
        <f>'Source Table'!$I$5</f>
        <v>أسبوعية</v>
      </c>
      <c r="J594" s="33">
        <v>1</v>
      </c>
      <c r="K594">
        <v>2017</v>
      </c>
    </row>
    <row r="595" ht="15.75" spans="1:11">
      <c r="A595" s="1" t="s">
        <v>5</v>
      </c>
      <c r="B595" s="1" t="s">
        <v>7</v>
      </c>
      <c r="C595" s="2" t="s">
        <v>82</v>
      </c>
      <c r="D595" s="3" t="s">
        <v>83</v>
      </c>
      <c r="E595" s="4" t="s">
        <v>84</v>
      </c>
      <c r="F595" t="str">
        <f>'Source Table'!$B$10</f>
        <v>Economic Magazines &amp; Periodicals</v>
      </c>
      <c r="G595" t="str">
        <f>'Source Table'!$K$10</f>
        <v>المجلات والدوريات الاقتصادية</v>
      </c>
      <c r="H595" t="str">
        <f>'Source Table'!$I$6</f>
        <v>Weekly</v>
      </c>
      <c r="I595" t="str">
        <f>'Source Table'!$I$5</f>
        <v>أسبوعية</v>
      </c>
      <c r="J595" s="33">
        <v>25</v>
      </c>
      <c r="K595">
        <v>2017</v>
      </c>
    </row>
    <row r="596" ht="15.75" spans="1:11">
      <c r="A596" s="1" t="s">
        <v>5</v>
      </c>
      <c r="B596" s="1" t="s">
        <v>7</v>
      </c>
      <c r="C596" s="2" t="s">
        <v>82</v>
      </c>
      <c r="D596" s="3" t="s">
        <v>83</v>
      </c>
      <c r="E596" s="4" t="s">
        <v>84</v>
      </c>
      <c r="F596" t="str">
        <f>'Source Table'!$B$11</f>
        <v>Army &amp; Police Magazines &amp; Periodicals</v>
      </c>
      <c r="G596" t="str">
        <f>'Source Table'!$K$11</f>
        <v>المجلات والدوريات العسكرية و شرطية</v>
      </c>
      <c r="H596" t="str">
        <f>'Source Table'!$I$6</f>
        <v>Weekly</v>
      </c>
      <c r="I596" t="str">
        <f>'Source Table'!$I$5</f>
        <v>أسبوعية</v>
      </c>
      <c r="J596" s="33">
        <v>0</v>
      </c>
      <c r="K596">
        <v>2017</v>
      </c>
    </row>
    <row r="597" ht="15.75" spans="1:11">
      <c r="A597" s="1" t="s">
        <v>5</v>
      </c>
      <c r="B597" s="1" t="s">
        <v>7</v>
      </c>
      <c r="C597" s="2" t="s">
        <v>82</v>
      </c>
      <c r="D597" s="3" t="s">
        <v>83</v>
      </c>
      <c r="E597" s="4" t="s">
        <v>84</v>
      </c>
      <c r="F597" t="str">
        <f>'Source Table'!$B$12</f>
        <v>Youths &amp; Arts Magazines &amp; Periodicals</v>
      </c>
      <c r="G597" t="str">
        <f>'Source Table'!$K$12</f>
        <v>المجلات والدوريات الشباب و الفنون</v>
      </c>
      <c r="H597" t="str">
        <f>'Source Table'!$I$6</f>
        <v>Weekly</v>
      </c>
      <c r="I597" t="str">
        <f>'Source Table'!$I$5</f>
        <v>أسبوعية</v>
      </c>
      <c r="J597" s="33">
        <v>5</v>
      </c>
      <c r="K597">
        <v>2017</v>
      </c>
    </row>
    <row r="598" ht="15.75" spans="1:11">
      <c r="A598" s="1" t="s">
        <v>5</v>
      </c>
      <c r="B598" s="1" t="s">
        <v>7</v>
      </c>
      <c r="C598" s="2" t="s">
        <v>82</v>
      </c>
      <c r="D598" s="3" t="s">
        <v>83</v>
      </c>
      <c r="E598" s="4" t="s">
        <v>84</v>
      </c>
      <c r="F598" t="str">
        <f>'Source Table'!$B$13</f>
        <v>Cultural &amp; Educational Magazines &amp; Periodicals</v>
      </c>
      <c r="G598" t="str">
        <f>'Source Table'!$K$13</f>
        <v>المجلات والدوريات الثقافية و المدرسية</v>
      </c>
      <c r="H598" t="str">
        <f>'Source Table'!$I$6</f>
        <v>Weekly</v>
      </c>
      <c r="I598" t="str">
        <f>'Source Table'!$I$5</f>
        <v>أسبوعية</v>
      </c>
      <c r="J598" s="33">
        <v>6</v>
      </c>
      <c r="K598">
        <v>2017</v>
      </c>
    </row>
    <row r="599" ht="15.75" spans="1:11">
      <c r="A599" s="1" t="s">
        <v>5</v>
      </c>
      <c r="B599" s="1" t="s">
        <v>7</v>
      </c>
      <c r="C599" s="2" t="s">
        <v>82</v>
      </c>
      <c r="D599" s="3" t="s">
        <v>83</v>
      </c>
      <c r="E599" s="4" t="s">
        <v>84</v>
      </c>
      <c r="F599" t="str">
        <f>'Source Table'!$B$14</f>
        <v>Religious Magazines &amp; Periodicals</v>
      </c>
      <c r="G599" t="str">
        <f>'Source Table'!$K$14</f>
        <v>المجلات والدوريات الدينية</v>
      </c>
      <c r="H599" t="str">
        <f>'Source Table'!$I$6</f>
        <v>Weekly</v>
      </c>
      <c r="I599" t="str">
        <f>'Source Table'!$I$5</f>
        <v>أسبوعية</v>
      </c>
      <c r="J599" s="33">
        <v>0</v>
      </c>
      <c r="K599">
        <v>2017</v>
      </c>
    </row>
    <row r="600" ht="15.75" spans="1:11">
      <c r="A600" s="1" t="s">
        <v>5</v>
      </c>
      <c r="B600" s="1" t="s">
        <v>7</v>
      </c>
      <c r="C600" s="2" t="s">
        <v>82</v>
      </c>
      <c r="D600" s="3" t="s">
        <v>83</v>
      </c>
      <c r="E600" s="4" t="s">
        <v>84</v>
      </c>
      <c r="F600" t="str">
        <f>'Source Table'!$B$15</f>
        <v>Scientific Magazines &amp; Periodicals</v>
      </c>
      <c r="G600" t="str">
        <f>'Source Table'!$K$15</f>
        <v>المجلات والدوريات العلمية</v>
      </c>
      <c r="H600" t="str">
        <f>'Source Table'!$I$6</f>
        <v>Weekly</v>
      </c>
      <c r="I600" t="str">
        <f>'Source Table'!$I$5</f>
        <v>أسبوعية</v>
      </c>
      <c r="J600" s="33">
        <v>0</v>
      </c>
      <c r="K600">
        <v>2017</v>
      </c>
    </row>
    <row r="601" ht="15.75" spans="1:11">
      <c r="A601" s="1" t="s">
        <v>5</v>
      </c>
      <c r="B601" s="1" t="s">
        <v>7</v>
      </c>
      <c r="C601" s="2" t="s">
        <v>82</v>
      </c>
      <c r="D601" s="3" t="s">
        <v>83</v>
      </c>
      <c r="E601" s="4" t="s">
        <v>84</v>
      </c>
      <c r="F601" t="str">
        <f>'Source Table'!$B$16</f>
        <v>Financial Magazines &amp; Periodicals</v>
      </c>
      <c r="G601" t="str">
        <f>'Source Table'!$K$16</f>
        <v>المجلات والدوريات المالية</v>
      </c>
      <c r="H601" t="str">
        <f>'Source Table'!$I$6</f>
        <v>Weekly</v>
      </c>
      <c r="I601" t="str">
        <f>'Source Table'!$I$5</f>
        <v>أسبوعية</v>
      </c>
      <c r="J601" s="33">
        <v>6</v>
      </c>
      <c r="K601">
        <v>2017</v>
      </c>
    </row>
    <row r="602" ht="15.75" spans="1:11">
      <c r="A602" s="1" t="s">
        <v>5</v>
      </c>
      <c r="B602" s="1" t="s">
        <v>7</v>
      </c>
      <c r="C602" s="2" t="s">
        <v>82</v>
      </c>
      <c r="D602" s="3" t="s">
        <v>83</v>
      </c>
      <c r="E602" s="4" t="s">
        <v>84</v>
      </c>
      <c r="F602" t="str">
        <f>'Source Table'!$B$17</f>
        <v>Tourist Magazines &amp; Periodicals</v>
      </c>
      <c r="G602" t="str">
        <f>'Source Table'!$K$17</f>
        <v>المجلات والدوريات سياحية</v>
      </c>
      <c r="H602" t="str">
        <f>'Source Table'!$I$6</f>
        <v>Weekly</v>
      </c>
      <c r="I602" t="str">
        <f>'Source Table'!$I$5</f>
        <v>أسبوعية</v>
      </c>
      <c r="J602" s="33">
        <v>4</v>
      </c>
      <c r="K602">
        <v>2017</v>
      </c>
    </row>
    <row r="603" ht="16.5" spans="1:11">
      <c r="A603" s="1" t="s">
        <v>5</v>
      </c>
      <c r="B603" s="1" t="s">
        <v>7</v>
      </c>
      <c r="C603" s="2" t="s">
        <v>82</v>
      </c>
      <c r="D603" s="3" t="s">
        <v>83</v>
      </c>
      <c r="E603" s="4" t="s">
        <v>84</v>
      </c>
      <c r="F603" t="str">
        <f>'Source Table'!$B$18</f>
        <v>Other Magazines &amp; Periodicals</v>
      </c>
      <c r="G603" t="str">
        <f>'Source Table'!$K$18</f>
        <v>المجلات والدوريات أخرى</v>
      </c>
      <c r="H603" t="str">
        <f>'Source Table'!$I$6</f>
        <v>Weekly</v>
      </c>
      <c r="I603" t="str">
        <f>'Source Table'!$I$5</f>
        <v>أسبوعية</v>
      </c>
      <c r="J603" s="34">
        <v>102</v>
      </c>
      <c r="K603">
        <v>2017</v>
      </c>
    </row>
    <row r="604" ht="15.75" spans="1:11">
      <c r="A604" s="1" t="s">
        <v>5</v>
      </c>
      <c r="B604" s="1" t="s">
        <v>7</v>
      </c>
      <c r="C604" s="2" t="s">
        <v>82</v>
      </c>
      <c r="D604" s="3" t="s">
        <v>83</v>
      </c>
      <c r="E604" s="4" t="s">
        <v>84</v>
      </c>
      <c r="F604" t="str">
        <f>'Source Table'!$B$7</f>
        <v>Political Newspapers</v>
      </c>
      <c r="G604" t="str">
        <f>'Source Table'!$K$7</f>
        <v>صحف سياسية</v>
      </c>
      <c r="H604" t="str">
        <f>'Source Table'!$H$6</f>
        <v>Monthly</v>
      </c>
      <c r="I604" t="str">
        <f>'Source Table'!$H$5</f>
        <v>شهرية</v>
      </c>
      <c r="J604" s="33">
        <v>3</v>
      </c>
      <c r="K604">
        <v>2017</v>
      </c>
    </row>
    <row r="605" ht="15.75" spans="1:11">
      <c r="A605" s="1" t="s">
        <v>5</v>
      </c>
      <c r="B605" s="1" t="s">
        <v>7</v>
      </c>
      <c r="C605" s="2" t="s">
        <v>82</v>
      </c>
      <c r="D605" s="3" t="s">
        <v>83</v>
      </c>
      <c r="E605" s="4" t="s">
        <v>84</v>
      </c>
      <c r="F605" t="str">
        <f>'Source Table'!$B$8</f>
        <v>Parties Newspapers</v>
      </c>
      <c r="G605" t="str">
        <f>'Source Table'!$K$8</f>
        <v>صحف حزبية</v>
      </c>
      <c r="H605" t="str">
        <f>'Source Table'!$H$6</f>
        <v>Monthly</v>
      </c>
      <c r="I605" t="str">
        <f>'Source Table'!$H$5</f>
        <v>شهرية</v>
      </c>
      <c r="J605" s="33">
        <v>0</v>
      </c>
      <c r="K605">
        <v>2017</v>
      </c>
    </row>
    <row r="606" ht="15.75" spans="1:11">
      <c r="A606" s="1" t="s">
        <v>5</v>
      </c>
      <c r="B606" s="1" t="s">
        <v>7</v>
      </c>
      <c r="C606" s="2" t="s">
        <v>82</v>
      </c>
      <c r="D606" s="3" t="s">
        <v>83</v>
      </c>
      <c r="E606" s="4" t="s">
        <v>84</v>
      </c>
      <c r="F606" t="str">
        <f>'Source Table'!$B$9</f>
        <v>Children Magazines &amp; Periodicals</v>
      </c>
      <c r="G606" t="str">
        <f>'Source Table'!$K$9</f>
        <v>المجلات والدوريات الأطفال</v>
      </c>
      <c r="H606" t="str">
        <f>'Source Table'!$H$6</f>
        <v>Monthly</v>
      </c>
      <c r="I606" t="str">
        <f>'Source Table'!$H$5</f>
        <v>شهرية</v>
      </c>
      <c r="J606" s="33">
        <v>19</v>
      </c>
      <c r="K606">
        <v>2017</v>
      </c>
    </row>
    <row r="607" ht="15.75" spans="1:11">
      <c r="A607" s="1" t="s">
        <v>5</v>
      </c>
      <c r="B607" s="1" t="s">
        <v>7</v>
      </c>
      <c r="C607" s="2" t="s">
        <v>82</v>
      </c>
      <c r="D607" s="3" t="s">
        <v>83</v>
      </c>
      <c r="E607" s="4" t="s">
        <v>84</v>
      </c>
      <c r="F607" t="str">
        <f>'Source Table'!$B$10</f>
        <v>Economic Magazines &amp; Periodicals</v>
      </c>
      <c r="G607" t="str">
        <f>'Source Table'!$K$10</f>
        <v>المجلات والدوريات الاقتصادية</v>
      </c>
      <c r="H607" t="str">
        <f>'Source Table'!$H$6</f>
        <v>Monthly</v>
      </c>
      <c r="I607" t="str">
        <f>'Source Table'!$H$5</f>
        <v>شهرية</v>
      </c>
      <c r="J607" s="33">
        <v>50</v>
      </c>
      <c r="K607">
        <v>2017</v>
      </c>
    </row>
    <row r="608" ht="15.75" spans="1:11">
      <c r="A608" s="1" t="s">
        <v>5</v>
      </c>
      <c r="B608" s="1" t="s">
        <v>7</v>
      </c>
      <c r="C608" s="2" t="s">
        <v>82</v>
      </c>
      <c r="D608" s="3" t="s">
        <v>83</v>
      </c>
      <c r="E608" s="4" t="s">
        <v>84</v>
      </c>
      <c r="F608" t="str">
        <f>'Source Table'!$B$11</f>
        <v>Army &amp; Police Magazines &amp; Periodicals</v>
      </c>
      <c r="G608" t="str">
        <f>'Source Table'!$K$11</f>
        <v>المجلات والدوريات العسكرية و شرطية</v>
      </c>
      <c r="H608" t="str">
        <f>'Source Table'!$H$6</f>
        <v>Monthly</v>
      </c>
      <c r="I608" t="str">
        <f>'Source Table'!$H$5</f>
        <v>شهرية</v>
      </c>
      <c r="J608" s="33">
        <v>1</v>
      </c>
      <c r="K608">
        <v>2017</v>
      </c>
    </row>
    <row r="609" ht="15.75" spans="1:11">
      <c r="A609" s="1" t="s">
        <v>5</v>
      </c>
      <c r="B609" s="1" t="s">
        <v>7</v>
      </c>
      <c r="C609" s="2" t="s">
        <v>82</v>
      </c>
      <c r="D609" s="3" t="s">
        <v>83</v>
      </c>
      <c r="E609" s="4" t="s">
        <v>84</v>
      </c>
      <c r="F609" t="str">
        <f>'Source Table'!$B$12</f>
        <v>Youths &amp; Arts Magazines &amp; Periodicals</v>
      </c>
      <c r="G609" t="str">
        <f>'Source Table'!$K$12</f>
        <v>المجلات والدوريات الشباب و الفنون</v>
      </c>
      <c r="H609" t="str">
        <f>'Source Table'!$H$6</f>
        <v>Monthly</v>
      </c>
      <c r="I609" t="str">
        <f>'Source Table'!$H$5</f>
        <v>شهرية</v>
      </c>
      <c r="J609" s="33">
        <v>8</v>
      </c>
      <c r="K609">
        <v>2017</v>
      </c>
    </row>
    <row r="610" ht="15.75" spans="1:11">
      <c r="A610" s="1" t="s">
        <v>5</v>
      </c>
      <c r="B610" s="1" t="s">
        <v>7</v>
      </c>
      <c r="C610" s="2" t="s">
        <v>82</v>
      </c>
      <c r="D610" s="3" t="s">
        <v>83</v>
      </c>
      <c r="E610" s="4" t="s">
        <v>84</v>
      </c>
      <c r="F610" t="str">
        <f>'Source Table'!$B$13</f>
        <v>Cultural &amp; Educational Magazines &amp; Periodicals</v>
      </c>
      <c r="G610" t="str">
        <f>'Source Table'!$K$13</f>
        <v>المجلات والدوريات الثقافية و المدرسية</v>
      </c>
      <c r="H610" t="str">
        <f>'Source Table'!$H$6</f>
        <v>Monthly</v>
      </c>
      <c r="I610" t="str">
        <f>'Source Table'!$H$5</f>
        <v>شهرية</v>
      </c>
      <c r="J610" s="33">
        <v>30</v>
      </c>
      <c r="K610">
        <v>2017</v>
      </c>
    </row>
    <row r="611" ht="15.75" spans="1:11">
      <c r="A611" s="1" t="s">
        <v>5</v>
      </c>
      <c r="B611" s="1" t="s">
        <v>7</v>
      </c>
      <c r="C611" s="2" t="s">
        <v>82</v>
      </c>
      <c r="D611" s="3" t="s">
        <v>83</v>
      </c>
      <c r="E611" s="4" t="s">
        <v>84</v>
      </c>
      <c r="F611" t="str">
        <f>'Source Table'!$B$14</f>
        <v>Religious Magazines &amp; Periodicals</v>
      </c>
      <c r="G611" t="str">
        <f>'Source Table'!$K$14</f>
        <v>المجلات والدوريات الدينية</v>
      </c>
      <c r="H611" t="str">
        <f>'Source Table'!$H$6</f>
        <v>Monthly</v>
      </c>
      <c r="I611" t="str">
        <f>'Source Table'!$H$5</f>
        <v>شهرية</v>
      </c>
      <c r="J611" s="33">
        <v>3</v>
      </c>
      <c r="K611">
        <v>2017</v>
      </c>
    </row>
    <row r="612" ht="15.75" spans="1:11">
      <c r="A612" s="1" t="s">
        <v>5</v>
      </c>
      <c r="B612" s="1" t="s">
        <v>7</v>
      </c>
      <c r="C612" s="2" t="s">
        <v>82</v>
      </c>
      <c r="D612" s="3" t="s">
        <v>83</v>
      </c>
      <c r="E612" s="4" t="s">
        <v>84</v>
      </c>
      <c r="F612" t="str">
        <f>'Source Table'!$B$15</f>
        <v>Scientific Magazines &amp; Periodicals</v>
      </c>
      <c r="G612" t="str">
        <f>'Source Table'!$K$15</f>
        <v>المجلات والدوريات العلمية</v>
      </c>
      <c r="H612" t="str">
        <f>'Source Table'!$H$6</f>
        <v>Monthly</v>
      </c>
      <c r="I612" t="str">
        <f>'Source Table'!$H$5</f>
        <v>شهرية</v>
      </c>
      <c r="J612" s="33">
        <v>5</v>
      </c>
      <c r="K612">
        <v>2017</v>
      </c>
    </row>
    <row r="613" ht="15.75" spans="1:11">
      <c r="A613" s="1" t="s">
        <v>5</v>
      </c>
      <c r="B613" s="1" t="s">
        <v>7</v>
      </c>
      <c r="C613" s="2" t="s">
        <v>82</v>
      </c>
      <c r="D613" s="3" t="s">
        <v>83</v>
      </c>
      <c r="E613" s="4" t="s">
        <v>84</v>
      </c>
      <c r="F613" t="str">
        <f>'Source Table'!$B$16</f>
        <v>Financial Magazines &amp; Periodicals</v>
      </c>
      <c r="G613" t="str">
        <f>'Source Table'!$K$16</f>
        <v>المجلات والدوريات المالية</v>
      </c>
      <c r="H613" t="str">
        <f>'Source Table'!$H$6</f>
        <v>Monthly</v>
      </c>
      <c r="I613" t="str">
        <f>'Source Table'!$H$5</f>
        <v>شهرية</v>
      </c>
      <c r="J613" s="33">
        <v>11</v>
      </c>
      <c r="K613">
        <v>2017</v>
      </c>
    </row>
    <row r="614" ht="15.75" spans="1:11">
      <c r="A614" s="1" t="s">
        <v>5</v>
      </c>
      <c r="B614" s="1" t="s">
        <v>7</v>
      </c>
      <c r="C614" s="2" t="s">
        <v>82</v>
      </c>
      <c r="D614" s="3" t="s">
        <v>83</v>
      </c>
      <c r="E614" s="4" t="s">
        <v>84</v>
      </c>
      <c r="F614" t="str">
        <f>'Source Table'!$B$17</f>
        <v>Tourist Magazines &amp; Periodicals</v>
      </c>
      <c r="G614" t="str">
        <f>'Source Table'!$K$17</f>
        <v>المجلات والدوريات سياحية</v>
      </c>
      <c r="H614" t="str">
        <f>'Source Table'!$H$6</f>
        <v>Monthly</v>
      </c>
      <c r="I614" t="str">
        <f>'Source Table'!$H$5</f>
        <v>شهرية</v>
      </c>
      <c r="J614" s="33">
        <v>13</v>
      </c>
      <c r="K614">
        <v>2017</v>
      </c>
    </row>
    <row r="615" ht="16.5" spans="1:11">
      <c r="A615" s="1" t="s">
        <v>5</v>
      </c>
      <c r="B615" s="1" t="s">
        <v>7</v>
      </c>
      <c r="C615" s="2" t="s">
        <v>82</v>
      </c>
      <c r="D615" s="3" t="s">
        <v>83</v>
      </c>
      <c r="E615" s="4" t="s">
        <v>84</v>
      </c>
      <c r="F615" t="str">
        <f>'Source Table'!$B$18</f>
        <v>Other Magazines &amp; Periodicals</v>
      </c>
      <c r="G615" t="str">
        <f>'Source Table'!$K$18</f>
        <v>المجلات والدوريات أخرى</v>
      </c>
      <c r="H615" t="str">
        <f>'Source Table'!$H$6</f>
        <v>Monthly</v>
      </c>
      <c r="I615" t="str">
        <f>'Source Table'!$H$5</f>
        <v>شهرية</v>
      </c>
      <c r="J615" s="34">
        <v>210</v>
      </c>
      <c r="K615">
        <v>2017</v>
      </c>
    </row>
    <row r="616" ht="15.75" spans="1:11">
      <c r="A616" s="1" t="s">
        <v>5</v>
      </c>
      <c r="B616" s="1" t="s">
        <v>7</v>
      </c>
      <c r="C616" s="2" t="s">
        <v>82</v>
      </c>
      <c r="D616" s="3" t="s">
        <v>83</v>
      </c>
      <c r="E616" s="4" t="s">
        <v>84</v>
      </c>
      <c r="F616" t="str">
        <f>'Source Table'!$B$7</f>
        <v>Political Newspapers</v>
      </c>
      <c r="G616" t="str">
        <f>'Source Table'!$K$7</f>
        <v>صحف سياسية</v>
      </c>
      <c r="I616" t="str">
        <f>'Source Table'!$G$5</f>
        <v>فصلية</v>
      </c>
      <c r="J616" s="33">
        <v>0</v>
      </c>
      <c r="K616">
        <v>2017</v>
      </c>
    </row>
    <row r="617" ht="15.75" spans="1:11">
      <c r="A617" s="1" t="s">
        <v>5</v>
      </c>
      <c r="B617" s="1" t="s">
        <v>7</v>
      </c>
      <c r="C617" s="2" t="s">
        <v>82</v>
      </c>
      <c r="D617" s="3" t="s">
        <v>83</v>
      </c>
      <c r="E617" s="4" t="s">
        <v>84</v>
      </c>
      <c r="F617" t="str">
        <f>'Source Table'!$B$8</f>
        <v>Parties Newspapers</v>
      </c>
      <c r="G617" t="str">
        <f>'Source Table'!$K$8</f>
        <v>صحف حزبية</v>
      </c>
      <c r="I617" t="str">
        <f>'Source Table'!$G$5</f>
        <v>فصلية</v>
      </c>
      <c r="J617" s="33">
        <v>0</v>
      </c>
      <c r="K617">
        <v>2017</v>
      </c>
    </row>
    <row r="618" ht="15.75" spans="1:11">
      <c r="A618" s="1" t="s">
        <v>5</v>
      </c>
      <c r="B618" s="1" t="s">
        <v>7</v>
      </c>
      <c r="C618" s="2" t="s">
        <v>82</v>
      </c>
      <c r="D618" s="3" t="s">
        <v>83</v>
      </c>
      <c r="E618" s="4" t="s">
        <v>84</v>
      </c>
      <c r="F618" t="str">
        <f>'Source Table'!$B$9</f>
        <v>Children Magazines &amp; Periodicals</v>
      </c>
      <c r="G618" t="str">
        <f>'Source Table'!$K$9</f>
        <v>المجلات والدوريات الأطفال</v>
      </c>
      <c r="I618" t="str">
        <f>'Source Table'!$G$5</f>
        <v>فصلية</v>
      </c>
      <c r="J618" s="33">
        <v>0</v>
      </c>
      <c r="K618">
        <v>2017</v>
      </c>
    </row>
    <row r="619" ht="15.75" spans="1:11">
      <c r="A619" s="1" t="s">
        <v>5</v>
      </c>
      <c r="B619" s="1" t="s">
        <v>7</v>
      </c>
      <c r="C619" s="2" t="s">
        <v>82</v>
      </c>
      <c r="D619" s="3" t="s">
        <v>83</v>
      </c>
      <c r="E619" s="4" t="s">
        <v>84</v>
      </c>
      <c r="F619" t="str">
        <f>'Source Table'!$B$10</f>
        <v>Economic Magazines &amp; Periodicals</v>
      </c>
      <c r="G619" t="str">
        <f>'Source Table'!$K$10</f>
        <v>المجلات والدوريات الاقتصادية</v>
      </c>
      <c r="I619" t="str">
        <f>'Source Table'!$G$5</f>
        <v>فصلية</v>
      </c>
      <c r="J619" s="33">
        <v>29</v>
      </c>
      <c r="K619">
        <v>2017</v>
      </c>
    </row>
    <row r="620" ht="15.75" spans="1:11">
      <c r="A620" s="1" t="s">
        <v>5</v>
      </c>
      <c r="B620" s="1" t="s">
        <v>7</v>
      </c>
      <c r="C620" s="2" t="s">
        <v>82</v>
      </c>
      <c r="D620" s="3" t="s">
        <v>83</v>
      </c>
      <c r="E620" s="4" t="s">
        <v>84</v>
      </c>
      <c r="F620" t="str">
        <f>'Source Table'!$B$11</f>
        <v>Army &amp; Police Magazines &amp; Periodicals</v>
      </c>
      <c r="G620" t="str">
        <f>'Source Table'!$K$11</f>
        <v>المجلات والدوريات العسكرية و شرطية</v>
      </c>
      <c r="I620" t="str">
        <f>'Source Table'!$G$5</f>
        <v>فصلية</v>
      </c>
      <c r="J620" s="33">
        <v>0</v>
      </c>
      <c r="K620">
        <v>2017</v>
      </c>
    </row>
    <row r="621" ht="15.75" spans="1:11">
      <c r="A621" s="1" t="s">
        <v>5</v>
      </c>
      <c r="B621" s="1" t="s">
        <v>7</v>
      </c>
      <c r="C621" s="2" t="s">
        <v>82</v>
      </c>
      <c r="D621" s="3" t="s">
        <v>83</v>
      </c>
      <c r="E621" s="4" t="s">
        <v>84</v>
      </c>
      <c r="F621" t="str">
        <f>'Source Table'!$B$12</f>
        <v>Youths &amp; Arts Magazines &amp; Periodicals</v>
      </c>
      <c r="G621" t="str">
        <f>'Source Table'!$K$12</f>
        <v>المجلات والدوريات الشباب و الفنون</v>
      </c>
      <c r="I621" t="str">
        <f>'Source Table'!$G$5</f>
        <v>فصلية</v>
      </c>
      <c r="J621" s="33">
        <v>5</v>
      </c>
      <c r="K621">
        <v>2017</v>
      </c>
    </row>
    <row r="622" ht="15.75" spans="1:11">
      <c r="A622" s="1" t="s">
        <v>5</v>
      </c>
      <c r="B622" s="1" t="s">
        <v>7</v>
      </c>
      <c r="C622" s="2" t="s">
        <v>82</v>
      </c>
      <c r="D622" s="3" t="s">
        <v>83</v>
      </c>
      <c r="E622" s="4" t="s">
        <v>84</v>
      </c>
      <c r="F622" t="str">
        <f>'Source Table'!$B$13</f>
        <v>Cultural &amp; Educational Magazines &amp; Periodicals</v>
      </c>
      <c r="G622" t="str">
        <f>'Source Table'!$K$13</f>
        <v>المجلات والدوريات الثقافية و المدرسية</v>
      </c>
      <c r="I622" t="str">
        <f>'Source Table'!$G$5</f>
        <v>فصلية</v>
      </c>
      <c r="J622" s="33">
        <v>21</v>
      </c>
      <c r="K622">
        <v>2017</v>
      </c>
    </row>
    <row r="623" ht="15.75" spans="1:11">
      <c r="A623" s="1" t="s">
        <v>5</v>
      </c>
      <c r="B623" s="1" t="s">
        <v>7</v>
      </c>
      <c r="C623" s="2" t="s">
        <v>82</v>
      </c>
      <c r="D623" s="3" t="s">
        <v>83</v>
      </c>
      <c r="E623" s="4" t="s">
        <v>84</v>
      </c>
      <c r="F623" t="str">
        <f>'Source Table'!$B$14</f>
        <v>Religious Magazines &amp; Periodicals</v>
      </c>
      <c r="G623" t="str">
        <f>'Source Table'!$K$14</f>
        <v>المجلات والدوريات الدينية</v>
      </c>
      <c r="I623" t="str">
        <f>'Source Table'!$G$5</f>
        <v>فصلية</v>
      </c>
      <c r="J623" s="33">
        <v>0</v>
      </c>
      <c r="K623">
        <v>2017</v>
      </c>
    </row>
    <row r="624" ht="15.75" spans="1:11">
      <c r="A624" s="1" t="s">
        <v>5</v>
      </c>
      <c r="B624" s="1" t="s">
        <v>7</v>
      </c>
      <c r="C624" s="2" t="s">
        <v>82</v>
      </c>
      <c r="D624" s="3" t="s">
        <v>83</v>
      </c>
      <c r="E624" s="4" t="s">
        <v>84</v>
      </c>
      <c r="F624" t="str">
        <f>'Source Table'!$B$15</f>
        <v>Scientific Magazines &amp; Periodicals</v>
      </c>
      <c r="G624" t="str">
        <f>'Source Table'!$K$15</f>
        <v>المجلات والدوريات العلمية</v>
      </c>
      <c r="I624" t="str">
        <f>'Source Table'!$G$5</f>
        <v>فصلية</v>
      </c>
      <c r="J624" s="33">
        <v>9</v>
      </c>
      <c r="K624">
        <v>2017</v>
      </c>
    </row>
    <row r="625" ht="15.75" spans="1:11">
      <c r="A625" s="1" t="s">
        <v>5</v>
      </c>
      <c r="B625" s="1" t="s">
        <v>7</v>
      </c>
      <c r="C625" s="2" t="s">
        <v>82</v>
      </c>
      <c r="D625" s="3" t="s">
        <v>83</v>
      </c>
      <c r="E625" s="4" t="s">
        <v>84</v>
      </c>
      <c r="F625" t="str">
        <f>'Source Table'!$B$16</f>
        <v>Financial Magazines &amp; Periodicals</v>
      </c>
      <c r="G625" t="str">
        <f>'Source Table'!$K$16</f>
        <v>المجلات والدوريات المالية</v>
      </c>
      <c r="I625" t="str">
        <f>'Source Table'!$G$5</f>
        <v>فصلية</v>
      </c>
      <c r="J625" s="33">
        <v>6</v>
      </c>
      <c r="K625">
        <v>2017</v>
      </c>
    </row>
    <row r="626" ht="15.75" spans="1:11">
      <c r="A626" s="1" t="s">
        <v>5</v>
      </c>
      <c r="B626" s="1" t="s">
        <v>7</v>
      </c>
      <c r="C626" s="2" t="s">
        <v>82</v>
      </c>
      <c r="D626" s="3" t="s">
        <v>83</v>
      </c>
      <c r="E626" s="4" t="s">
        <v>84</v>
      </c>
      <c r="F626" t="str">
        <f>'Source Table'!$B$17</f>
        <v>Tourist Magazines &amp; Periodicals</v>
      </c>
      <c r="G626" t="str">
        <f>'Source Table'!$K$17</f>
        <v>المجلات والدوريات سياحية</v>
      </c>
      <c r="I626" t="str">
        <f>'Source Table'!$G$5</f>
        <v>فصلية</v>
      </c>
      <c r="J626" s="33">
        <v>3</v>
      </c>
      <c r="K626">
        <v>2017</v>
      </c>
    </row>
    <row r="627" ht="16.5" spans="1:11">
      <c r="A627" s="1" t="s">
        <v>5</v>
      </c>
      <c r="B627" s="1" t="s">
        <v>7</v>
      </c>
      <c r="C627" s="2" t="s">
        <v>82</v>
      </c>
      <c r="D627" s="3" t="s">
        <v>83</v>
      </c>
      <c r="E627" s="4" t="s">
        <v>84</v>
      </c>
      <c r="F627" t="str">
        <f>'Source Table'!$B$18</f>
        <v>Other Magazines &amp; Periodicals</v>
      </c>
      <c r="G627" t="str">
        <f>'Source Table'!$K$18</f>
        <v>المجلات والدوريات أخرى</v>
      </c>
      <c r="I627" t="str">
        <f>'Source Table'!$G$5</f>
        <v>فصلية</v>
      </c>
      <c r="J627" s="34">
        <v>114</v>
      </c>
      <c r="K627">
        <v>2017</v>
      </c>
    </row>
    <row r="628" ht="15.75" spans="1:11">
      <c r="A628" s="1" t="s">
        <v>5</v>
      </c>
      <c r="B628" s="1" t="s">
        <v>7</v>
      </c>
      <c r="C628" s="2" t="s">
        <v>82</v>
      </c>
      <c r="D628" s="3" t="s">
        <v>83</v>
      </c>
      <c r="E628" s="4" t="s">
        <v>84</v>
      </c>
      <c r="F628" t="str">
        <f>'Source Table'!$B$7</f>
        <v>Political Newspapers</v>
      </c>
      <c r="G628" t="str">
        <f>'Source Table'!$K$7</f>
        <v>صحف سياسية</v>
      </c>
      <c r="I628" t="str">
        <f>'Source Table'!$F$5</f>
        <v>سنوية</v>
      </c>
      <c r="J628" s="5"/>
      <c r="K628">
        <v>2017</v>
      </c>
    </row>
    <row r="629" ht="15.75" spans="1:11">
      <c r="A629" s="1" t="s">
        <v>5</v>
      </c>
      <c r="B629" s="1" t="s">
        <v>7</v>
      </c>
      <c r="C629" s="2" t="s">
        <v>82</v>
      </c>
      <c r="D629" s="3" t="s">
        <v>83</v>
      </c>
      <c r="E629" s="4" t="s">
        <v>84</v>
      </c>
      <c r="F629" t="str">
        <f>'Source Table'!$B$8</f>
        <v>Parties Newspapers</v>
      </c>
      <c r="G629" t="str">
        <f>'Source Table'!$K$8</f>
        <v>صحف حزبية</v>
      </c>
      <c r="I629" t="str">
        <f>'Source Table'!$F$5</f>
        <v>سنوية</v>
      </c>
      <c r="J629" s="5"/>
      <c r="K629">
        <v>2017</v>
      </c>
    </row>
    <row r="630" ht="15.75" spans="1:11">
      <c r="A630" s="1" t="s">
        <v>5</v>
      </c>
      <c r="B630" s="1" t="s">
        <v>7</v>
      </c>
      <c r="C630" s="2" t="s">
        <v>82</v>
      </c>
      <c r="D630" s="3" t="s">
        <v>83</v>
      </c>
      <c r="E630" s="4" t="s">
        <v>84</v>
      </c>
      <c r="F630" t="str">
        <f>'Source Table'!$B$9</f>
        <v>Children Magazines &amp; Periodicals</v>
      </c>
      <c r="G630" t="str">
        <f>'Source Table'!$K$9</f>
        <v>المجلات والدوريات الأطفال</v>
      </c>
      <c r="I630" t="str">
        <f>'Source Table'!$F$5</f>
        <v>سنوية</v>
      </c>
      <c r="J630" s="5"/>
      <c r="K630">
        <v>2017</v>
      </c>
    </row>
    <row r="631" ht="15.75" spans="1:11">
      <c r="A631" s="1" t="s">
        <v>5</v>
      </c>
      <c r="B631" s="1" t="s">
        <v>7</v>
      </c>
      <c r="C631" s="2" t="s">
        <v>82</v>
      </c>
      <c r="D631" s="3" t="s">
        <v>83</v>
      </c>
      <c r="E631" s="4" t="s">
        <v>84</v>
      </c>
      <c r="F631" t="str">
        <f>'Source Table'!$B$10</f>
        <v>Economic Magazines &amp; Periodicals</v>
      </c>
      <c r="G631" t="str">
        <f>'Source Table'!$K$10</f>
        <v>المجلات والدوريات الاقتصادية</v>
      </c>
      <c r="I631" t="str">
        <f>'Source Table'!$F$5</f>
        <v>سنوية</v>
      </c>
      <c r="J631" s="5"/>
      <c r="K631">
        <v>2017</v>
      </c>
    </row>
    <row r="632" ht="15.75" spans="1:11">
      <c r="A632" s="1" t="s">
        <v>5</v>
      </c>
      <c r="B632" s="1" t="s">
        <v>7</v>
      </c>
      <c r="C632" s="2" t="s">
        <v>82</v>
      </c>
      <c r="D632" s="3" t="s">
        <v>83</v>
      </c>
      <c r="E632" s="4" t="s">
        <v>84</v>
      </c>
      <c r="F632" t="str">
        <f>'Source Table'!$B$11</f>
        <v>Army &amp; Police Magazines &amp; Periodicals</v>
      </c>
      <c r="G632" t="str">
        <f>'Source Table'!$K$11</f>
        <v>المجلات والدوريات العسكرية و شرطية</v>
      </c>
      <c r="I632" t="str">
        <f>'Source Table'!$F$5</f>
        <v>سنوية</v>
      </c>
      <c r="J632" s="5"/>
      <c r="K632">
        <v>2017</v>
      </c>
    </row>
    <row r="633" ht="15.75" spans="1:11">
      <c r="A633" s="1" t="s">
        <v>5</v>
      </c>
      <c r="B633" s="1" t="s">
        <v>7</v>
      </c>
      <c r="C633" s="2" t="s">
        <v>82</v>
      </c>
      <c r="D633" s="3" t="s">
        <v>83</v>
      </c>
      <c r="E633" s="4" t="s">
        <v>84</v>
      </c>
      <c r="F633" t="str">
        <f>'Source Table'!$B$12</f>
        <v>Youths &amp; Arts Magazines &amp; Periodicals</v>
      </c>
      <c r="G633" t="str">
        <f>'Source Table'!$K$12</f>
        <v>المجلات والدوريات الشباب و الفنون</v>
      </c>
      <c r="I633" t="str">
        <f>'Source Table'!$F$5</f>
        <v>سنوية</v>
      </c>
      <c r="J633" s="5"/>
      <c r="K633">
        <v>2017</v>
      </c>
    </row>
    <row r="634" ht="15.75" spans="1:11">
      <c r="A634" s="1" t="s">
        <v>5</v>
      </c>
      <c r="B634" s="1" t="s">
        <v>7</v>
      </c>
      <c r="C634" s="2" t="s">
        <v>82</v>
      </c>
      <c r="D634" s="3" t="s">
        <v>83</v>
      </c>
      <c r="E634" s="4" t="s">
        <v>84</v>
      </c>
      <c r="F634" t="str">
        <f>'Source Table'!$B$13</f>
        <v>Cultural &amp; Educational Magazines &amp; Periodicals</v>
      </c>
      <c r="G634" t="str">
        <f>'Source Table'!$K$13</f>
        <v>المجلات والدوريات الثقافية و المدرسية</v>
      </c>
      <c r="I634" t="str">
        <f>'Source Table'!$F$5</f>
        <v>سنوية</v>
      </c>
      <c r="J634" s="5"/>
      <c r="K634">
        <v>2017</v>
      </c>
    </row>
    <row r="635" ht="15.75" spans="1:11">
      <c r="A635" s="1" t="s">
        <v>5</v>
      </c>
      <c r="B635" s="1" t="s">
        <v>7</v>
      </c>
      <c r="C635" s="2" t="s">
        <v>82</v>
      </c>
      <c r="D635" s="3" t="s">
        <v>83</v>
      </c>
      <c r="E635" s="4" t="s">
        <v>84</v>
      </c>
      <c r="F635" t="str">
        <f>'Source Table'!$B$14</f>
        <v>Religious Magazines &amp; Periodicals</v>
      </c>
      <c r="G635" t="str">
        <f>'Source Table'!$K$14</f>
        <v>المجلات والدوريات الدينية</v>
      </c>
      <c r="I635" t="str">
        <f>'Source Table'!$F$5</f>
        <v>سنوية</v>
      </c>
      <c r="J635" s="5"/>
      <c r="K635">
        <v>2017</v>
      </c>
    </row>
    <row r="636" ht="15.75" spans="1:11">
      <c r="A636" s="1" t="s">
        <v>5</v>
      </c>
      <c r="B636" s="1" t="s">
        <v>7</v>
      </c>
      <c r="C636" s="2" t="s">
        <v>82</v>
      </c>
      <c r="D636" s="3" t="s">
        <v>83</v>
      </c>
      <c r="E636" s="4" t="s">
        <v>84</v>
      </c>
      <c r="F636" t="str">
        <f>'Source Table'!$B$15</f>
        <v>Scientific Magazines &amp; Periodicals</v>
      </c>
      <c r="G636" t="str">
        <f>'Source Table'!$K$15</f>
        <v>المجلات والدوريات العلمية</v>
      </c>
      <c r="I636" t="str">
        <f>'Source Table'!$F$5</f>
        <v>سنوية</v>
      </c>
      <c r="J636" s="5"/>
      <c r="K636">
        <v>2017</v>
      </c>
    </row>
    <row r="637" ht="15.75" spans="1:11">
      <c r="A637" s="1" t="s">
        <v>5</v>
      </c>
      <c r="B637" s="1" t="s">
        <v>7</v>
      </c>
      <c r="C637" s="2" t="s">
        <v>82</v>
      </c>
      <c r="D637" s="3" t="s">
        <v>83</v>
      </c>
      <c r="E637" s="4" t="s">
        <v>84</v>
      </c>
      <c r="F637" t="str">
        <f>'Source Table'!$B$16</f>
        <v>Financial Magazines &amp; Periodicals</v>
      </c>
      <c r="G637" t="str">
        <f>'Source Table'!$K$16</f>
        <v>المجلات والدوريات المالية</v>
      </c>
      <c r="I637" t="str">
        <f>'Source Table'!$F$5</f>
        <v>سنوية</v>
      </c>
      <c r="J637" s="5"/>
      <c r="K637">
        <v>2017</v>
      </c>
    </row>
    <row r="638" ht="15.75" spans="1:11">
      <c r="A638" s="1" t="s">
        <v>5</v>
      </c>
      <c r="B638" s="1" t="s">
        <v>7</v>
      </c>
      <c r="C638" s="2" t="s">
        <v>82</v>
      </c>
      <c r="D638" s="3" t="s">
        <v>83</v>
      </c>
      <c r="E638" s="4" t="s">
        <v>84</v>
      </c>
      <c r="F638" t="str">
        <f>'Source Table'!$B$17</f>
        <v>Tourist Magazines &amp; Periodicals</v>
      </c>
      <c r="G638" t="str">
        <f>'Source Table'!$K$17</f>
        <v>المجلات والدوريات سياحية</v>
      </c>
      <c r="I638" t="str">
        <f>'Source Table'!$F$5</f>
        <v>سنوية</v>
      </c>
      <c r="J638" s="5"/>
      <c r="K638">
        <v>2017</v>
      </c>
    </row>
    <row r="639" ht="15.75" spans="1:11">
      <c r="A639" s="1" t="s">
        <v>5</v>
      </c>
      <c r="B639" s="1" t="s">
        <v>7</v>
      </c>
      <c r="C639" s="2" t="s">
        <v>82</v>
      </c>
      <c r="D639" s="3" t="s">
        <v>83</v>
      </c>
      <c r="E639" s="4" t="s">
        <v>84</v>
      </c>
      <c r="F639" t="str">
        <f>'Source Table'!$B$18</f>
        <v>Other Magazines &amp; Periodicals</v>
      </c>
      <c r="G639" t="str">
        <f>'Source Table'!$K$18</f>
        <v>المجلات والدوريات أخرى</v>
      </c>
      <c r="I639" t="str">
        <f>'Source Table'!$F$5</f>
        <v>سنوية</v>
      </c>
      <c r="J639" s="6"/>
      <c r="K639">
        <v>2017</v>
      </c>
    </row>
    <row r="640" ht="15.75" spans="1:11">
      <c r="A640" s="1" t="s">
        <v>5</v>
      </c>
      <c r="B640" s="1" t="s">
        <v>7</v>
      </c>
      <c r="C640" s="2" t="s">
        <v>82</v>
      </c>
      <c r="D640" s="3" t="s">
        <v>83</v>
      </c>
      <c r="E640" s="4" t="s">
        <v>84</v>
      </c>
      <c r="F640" t="str">
        <f>'Source Table'!$B$7</f>
        <v>Political Newspapers</v>
      </c>
      <c r="G640" t="str">
        <f>'Source Table'!$K$7</f>
        <v>صحف سياسية</v>
      </c>
      <c r="I640" t="str">
        <f>'Source Table'!$E$5</f>
        <v>كل شهرين</v>
      </c>
      <c r="J640" s="7"/>
      <c r="K640">
        <v>2017</v>
      </c>
    </row>
    <row r="641" ht="15.75" spans="1:11">
      <c r="A641" s="1" t="s">
        <v>5</v>
      </c>
      <c r="B641" s="1" t="s">
        <v>7</v>
      </c>
      <c r="C641" s="2" t="s">
        <v>82</v>
      </c>
      <c r="D641" s="3" t="s">
        <v>83</v>
      </c>
      <c r="E641" s="4" t="s">
        <v>84</v>
      </c>
      <c r="F641" t="str">
        <f>'Source Table'!$B$8</f>
        <v>Parties Newspapers</v>
      </c>
      <c r="G641" t="str">
        <f>'Source Table'!$K$8</f>
        <v>صحف حزبية</v>
      </c>
      <c r="I641" t="str">
        <f>'Source Table'!$E$5</f>
        <v>كل شهرين</v>
      </c>
      <c r="J641" s="7"/>
      <c r="K641">
        <v>2017</v>
      </c>
    </row>
    <row r="642" ht="15.75" spans="1:11">
      <c r="A642" s="1" t="s">
        <v>5</v>
      </c>
      <c r="B642" s="1" t="s">
        <v>7</v>
      </c>
      <c r="C642" s="2" t="s">
        <v>82</v>
      </c>
      <c r="D642" s="3" t="s">
        <v>83</v>
      </c>
      <c r="E642" s="4" t="s">
        <v>84</v>
      </c>
      <c r="F642" t="str">
        <f>'Source Table'!$B$9</f>
        <v>Children Magazines &amp; Periodicals</v>
      </c>
      <c r="G642" t="str">
        <f>'Source Table'!$K$9</f>
        <v>المجلات والدوريات الأطفال</v>
      </c>
      <c r="I642" t="str">
        <f>'Source Table'!$E$5</f>
        <v>كل شهرين</v>
      </c>
      <c r="J642" s="7"/>
      <c r="K642">
        <v>2017</v>
      </c>
    </row>
    <row r="643" ht="15.75" spans="1:11">
      <c r="A643" s="1" t="s">
        <v>5</v>
      </c>
      <c r="B643" s="1" t="s">
        <v>7</v>
      </c>
      <c r="C643" s="2" t="s">
        <v>82</v>
      </c>
      <c r="D643" s="3" t="s">
        <v>83</v>
      </c>
      <c r="E643" s="4" t="s">
        <v>84</v>
      </c>
      <c r="F643" t="str">
        <f>'Source Table'!$B$10</f>
        <v>Economic Magazines &amp; Periodicals</v>
      </c>
      <c r="G643" t="str">
        <f>'Source Table'!$K$10</f>
        <v>المجلات والدوريات الاقتصادية</v>
      </c>
      <c r="I643" t="str">
        <f>'Source Table'!$E$5</f>
        <v>كل شهرين</v>
      </c>
      <c r="J643" s="7"/>
      <c r="K643">
        <v>2017</v>
      </c>
    </row>
    <row r="644" ht="15.75" spans="1:11">
      <c r="A644" s="1" t="s">
        <v>5</v>
      </c>
      <c r="B644" s="1" t="s">
        <v>7</v>
      </c>
      <c r="C644" s="2" t="s">
        <v>82</v>
      </c>
      <c r="D644" s="3" t="s">
        <v>83</v>
      </c>
      <c r="E644" s="4" t="s">
        <v>84</v>
      </c>
      <c r="F644" t="str">
        <f>'Source Table'!$B$11</f>
        <v>Army &amp; Police Magazines &amp; Periodicals</v>
      </c>
      <c r="G644" t="str">
        <f>'Source Table'!$K$11</f>
        <v>المجلات والدوريات العسكرية و شرطية</v>
      </c>
      <c r="I644" t="str">
        <f>'Source Table'!$E$5</f>
        <v>كل شهرين</v>
      </c>
      <c r="J644" s="7"/>
      <c r="K644">
        <v>2017</v>
      </c>
    </row>
    <row r="645" ht="15.75" spans="1:11">
      <c r="A645" s="1" t="s">
        <v>5</v>
      </c>
      <c r="B645" s="1" t="s">
        <v>7</v>
      </c>
      <c r="C645" s="2" t="s">
        <v>82</v>
      </c>
      <c r="D645" s="3" t="s">
        <v>83</v>
      </c>
      <c r="E645" s="4" t="s">
        <v>84</v>
      </c>
      <c r="F645" t="str">
        <f>'Source Table'!$B$12</f>
        <v>Youths &amp; Arts Magazines &amp; Periodicals</v>
      </c>
      <c r="G645" t="str">
        <f>'Source Table'!$K$12</f>
        <v>المجلات والدوريات الشباب و الفنون</v>
      </c>
      <c r="I645" t="str">
        <f>'Source Table'!$E$5</f>
        <v>كل شهرين</v>
      </c>
      <c r="J645" s="7"/>
      <c r="K645">
        <v>2017</v>
      </c>
    </row>
    <row r="646" ht="15.75" spans="1:11">
      <c r="A646" s="1" t="s">
        <v>5</v>
      </c>
      <c r="B646" s="1" t="s">
        <v>7</v>
      </c>
      <c r="C646" s="2" t="s">
        <v>82</v>
      </c>
      <c r="D646" s="3" t="s">
        <v>83</v>
      </c>
      <c r="E646" s="4" t="s">
        <v>84</v>
      </c>
      <c r="F646" t="str">
        <f>'Source Table'!$B$13</f>
        <v>Cultural &amp; Educational Magazines &amp; Periodicals</v>
      </c>
      <c r="G646" t="str">
        <f>'Source Table'!$K$13</f>
        <v>المجلات والدوريات الثقافية و المدرسية</v>
      </c>
      <c r="I646" t="str">
        <f>'Source Table'!$E$5</f>
        <v>كل شهرين</v>
      </c>
      <c r="J646" s="7"/>
      <c r="K646">
        <v>2017</v>
      </c>
    </row>
    <row r="647" ht="15.75" spans="1:11">
      <c r="A647" s="1" t="s">
        <v>5</v>
      </c>
      <c r="B647" s="1" t="s">
        <v>7</v>
      </c>
      <c r="C647" s="2" t="s">
        <v>82</v>
      </c>
      <c r="D647" s="3" t="s">
        <v>83</v>
      </c>
      <c r="E647" s="4" t="s">
        <v>84</v>
      </c>
      <c r="F647" t="str">
        <f>'Source Table'!$B$14</f>
        <v>Religious Magazines &amp; Periodicals</v>
      </c>
      <c r="G647" t="str">
        <f>'Source Table'!$K$14</f>
        <v>المجلات والدوريات الدينية</v>
      </c>
      <c r="I647" t="str">
        <f>'Source Table'!$E$5</f>
        <v>كل شهرين</v>
      </c>
      <c r="J647" s="7"/>
      <c r="K647">
        <v>2017</v>
      </c>
    </row>
    <row r="648" ht="15.75" spans="1:11">
      <c r="A648" s="1" t="s">
        <v>5</v>
      </c>
      <c r="B648" s="1" t="s">
        <v>7</v>
      </c>
      <c r="C648" s="2" t="s">
        <v>82</v>
      </c>
      <c r="D648" s="3" t="s">
        <v>83</v>
      </c>
      <c r="E648" s="4" t="s">
        <v>84</v>
      </c>
      <c r="F648" t="str">
        <f>'Source Table'!$B$15</f>
        <v>Scientific Magazines &amp; Periodicals</v>
      </c>
      <c r="G648" t="str">
        <f>'Source Table'!$K$15</f>
        <v>المجلات والدوريات العلمية</v>
      </c>
      <c r="I648" t="str">
        <f>'Source Table'!$E$5</f>
        <v>كل شهرين</v>
      </c>
      <c r="J648" s="7"/>
      <c r="K648">
        <v>2017</v>
      </c>
    </row>
    <row r="649" ht="15.75" spans="1:11">
      <c r="A649" s="1" t="s">
        <v>5</v>
      </c>
      <c r="B649" s="1" t="s">
        <v>7</v>
      </c>
      <c r="C649" s="2" t="s">
        <v>82</v>
      </c>
      <c r="D649" s="3" t="s">
        <v>83</v>
      </c>
      <c r="E649" s="4" t="s">
        <v>84</v>
      </c>
      <c r="F649" t="str">
        <f>'Source Table'!$B$16</f>
        <v>Financial Magazines &amp; Periodicals</v>
      </c>
      <c r="G649" t="str">
        <f>'Source Table'!$K$16</f>
        <v>المجلات والدوريات المالية</v>
      </c>
      <c r="I649" t="str">
        <f>'Source Table'!$E$5</f>
        <v>كل شهرين</v>
      </c>
      <c r="J649" s="7"/>
      <c r="K649">
        <v>2017</v>
      </c>
    </row>
    <row r="650" ht="15.75" spans="1:11">
      <c r="A650" s="1" t="s">
        <v>5</v>
      </c>
      <c r="B650" s="1" t="s">
        <v>7</v>
      </c>
      <c r="C650" s="2" t="s">
        <v>82</v>
      </c>
      <c r="D650" s="3" t="s">
        <v>83</v>
      </c>
      <c r="E650" s="4" t="s">
        <v>84</v>
      </c>
      <c r="F650" t="str">
        <f>'Source Table'!$B$17</f>
        <v>Tourist Magazines &amp; Periodicals</v>
      </c>
      <c r="G650" t="str">
        <f>'Source Table'!$K$17</f>
        <v>المجلات والدوريات سياحية</v>
      </c>
      <c r="I650" t="str">
        <f>'Source Table'!$E$5</f>
        <v>كل شهرين</v>
      </c>
      <c r="J650" s="7"/>
      <c r="K650">
        <v>2017</v>
      </c>
    </row>
    <row r="651" ht="15.75" spans="1:11">
      <c r="A651" s="1" t="s">
        <v>5</v>
      </c>
      <c r="B651" s="1" t="s">
        <v>7</v>
      </c>
      <c r="C651" s="2" t="s">
        <v>82</v>
      </c>
      <c r="D651" s="3" t="s">
        <v>83</v>
      </c>
      <c r="E651" s="4" t="s">
        <v>84</v>
      </c>
      <c r="F651" t="str">
        <f>'Source Table'!$B$18</f>
        <v>Other Magazines &amp; Periodicals</v>
      </c>
      <c r="G651" t="str">
        <f>'Source Table'!$K$18</f>
        <v>المجلات والدوريات أخرى</v>
      </c>
      <c r="I651" t="str">
        <f>'Source Table'!$E$5</f>
        <v>كل شهرين</v>
      </c>
      <c r="J651" s="8"/>
      <c r="K651">
        <v>2017</v>
      </c>
    </row>
    <row r="652" ht="15.75" spans="1:11">
      <c r="A652" s="1" t="s">
        <v>5</v>
      </c>
      <c r="B652" s="1" t="s">
        <v>7</v>
      </c>
      <c r="C652" s="2" t="s">
        <v>82</v>
      </c>
      <c r="D652" s="3" t="s">
        <v>83</v>
      </c>
      <c r="E652" s="4" t="s">
        <v>84</v>
      </c>
      <c r="F652" t="str">
        <f>'Source Table'!$B$7</f>
        <v>Political Newspapers</v>
      </c>
      <c r="G652" t="str">
        <f>'Source Table'!$K$7</f>
        <v>صحف سياسية</v>
      </c>
      <c r="I652" t="str">
        <f>'Source Table'!$D$5</f>
        <v>نصف سنوية</v>
      </c>
      <c r="J652" s="7"/>
      <c r="K652">
        <v>2017</v>
      </c>
    </row>
    <row r="653" ht="15.75" spans="1:11">
      <c r="A653" s="1" t="s">
        <v>5</v>
      </c>
      <c r="B653" s="1" t="s">
        <v>7</v>
      </c>
      <c r="C653" s="2" t="s">
        <v>82</v>
      </c>
      <c r="D653" s="3" t="s">
        <v>83</v>
      </c>
      <c r="E653" s="4" t="s">
        <v>84</v>
      </c>
      <c r="F653" t="str">
        <f>'Source Table'!$B$8</f>
        <v>Parties Newspapers</v>
      </c>
      <c r="G653" t="str">
        <f>'Source Table'!$K$8</f>
        <v>صحف حزبية</v>
      </c>
      <c r="I653" t="str">
        <f>'Source Table'!$D$5</f>
        <v>نصف سنوية</v>
      </c>
      <c r="J653" s="7"/>
      <c r="K653">
        <v>2017</v>
      </c>
    </row>
    <row r="654" ht="15.75" spans="1:11">
      <c r="A654" s="1" t="s">
        <v>5</v>
      </c>
      <c r="B654" s="1" t="s">
        <v>7</v>
      </c>
      <c r="C654" s="2" t="s">
        <v>82</v>
      </c>
      <c r="D654" s="3" t="s">
        <v>83</v>
      </c>
      <c r="E654" s="4" t="s">
        <v>84</v>
      </c>
      <c r="F654" t="str">
        <f>'Source Table'!$B$9</f>
        <v>Children Magazines &amp; Periodicals</v>
      </c>
      <c r="G654" t="str">
        <f>'Source Table'!$K$9</f>
        <v>المجلات والدوريات الأطفال</v>
      </c>
      <c r="I654" t="str">
        <f>'Source Table'!$D$5</f>
        <v>نصف سنوية</v>
      </c>
      <c r="J654" s="7"/>
      <c r="K654">
        <v>2017</v>
      </c>
    </row>
    <row r="655" ht="15.75" spans="1:11">
      <c r="A655" s="1" t="s">
        <v>5</v>
      </c>
      <c r="B655" s="1" t="s">
        <v>7</v>
      </c>
      <c r="C655" s="2" t="s">
        <v>82</v>
      </c>
      <c r="D655" s="3" t="s">
        <v>83</v>
      </c>
      <c r="E655" s="4" t="s">
        <v>84</v>
      </c>
      <c r="F655" t="str">
        <f>'Source Table'!$B$10</f>
        <v>Economic Magazines &amp; Periodicals</v>
      </c>
      <c r="G655" t="str">
        <f>'Source Table'!$K$10</f>
        <v>المجلات والدوريات الاقتصادية</v>
      </c>
      <c r="I655" t="str">
        <f>'Source Table'!$D$5</f>
        <v>نصف سنوية</v>
      </c>
      <c r="J655" s="7"/>
      <c r="K655">
        <v>2017</v>
      </c>
    </row>
    <row r="656" ht="15.75" spans="1:11">
      <c r="A656" s="1" t="s">
        <v>5</v>
      </c>
      <c r="B656" s="1" t="s">
        <v>7</v>
      </c>
      <c r="C656" s="2" t="s">
        <v>82</v>
      </c>
      <c r="D656" s="3" t="s">
        <v>83</v>
      </c>
      <c r="E656" s="4" t="s">
        <v>84</v>
      </c>
      <c r="F656" t="str">
        <f>'Source Table'!$B$11</f>
        <v>Army &amp; Police Magazines &amp; Periodicals</v>
      </c>
      <c r="G656" t="str">
        <f>'Source Table'!$K$11</f>
        <v>المجلات والدوريات العسكرية و شرطية</v>
      </c>
      <c r="I656" t="str">
        <f>'Source Table'!$D$5</f>
        <v>نصف سنوية</v>
      </c>
      <c r="J656" s="7"/>
      <c r="K656">
        <v>2017</v>
      </c>
    </row>
    <row r="657" ht="15.75" spans="1:11">
      <c r="A657" s="1" t="s">
        <v>5</v>
      </c>
      <c r="B657" s="1" t="s">
        <v>7</v>
      </c>
      <c r="C657" s="2" t="s">
        <v>82</v>
      </c>
      <c r="D657" s="3" t="s">
        <v>83</v>
      </c>
      <c r="E657" s="4" t="s">
        <v>84</v>
      </c>
      <c r="F657" t="str">
        <f>'Source Table'!$B$12</f>
        <v>Youths &amp; Arts Magazines &amp; Periodicals</v>
      </c>
      <c r="G657" t="str">
        <f>'Source Table'!$K$12</f>
        <v>المجلات والدوريات الشباب و الفنون</v>
      </c>
      <c r="I657" t="str">
        <f>'Source Table'!$D$5</f>
        <v>نصف سنوية</v>
      </c>
      <c r="J657" s="7"/>
      <c r="K657">
        <v>2017</v>
      </c>
    </row>
    <row r="658" ht="15.75" spans="1:11">
      <c r="A658" s="1" t="s">
        <v>5</v>
      </c>
      <c r="B658" s="1" t="s">
        <v>7</v>
      </c>
      <c r="C658" s="2" t="s">
        <v>82</v>
      </c>
      <c r="D658" s="3" t="s">
        <v>83</v>
      </c>
      <c r="E658" s="4" t="s">
        <v>84</v>
      </c>
      <c r="F658" t="str">
        <f>'Source Table'!$B$13</f>
        <v>Cultural &amp; Educational Magazines &amp; Periodicals</v>
      </c>
      <c r="G658" t="str">
        <f>'Source Table'!$K$13</f>
        <v>المجلات والدوريات الثقافية و المدرسية</v>
      </c>
      <c r="I658" t="str">
        <f>'Source Table'!$D$5</f>
        <v>نصف سنوية</v>
      </c>
      <c r="J658" s="7"/>
      <c r="K658">
        <v>2017</v>
      </c>
    </row>
    <row r="659" ht="15.75" spans="1:11">
      <c r="A659" s="1" t="s">
        <v>5</v>
      </c>
      <c r="B659" s="1" t="s">
        <v>7</v>
      </c>
      <c r="C659" s="2" t="s">
        <v>82</v>
      </c>
      <c r="D659" s="3" t="s">
        <v>83</v>
      </c>
      <c r="E659" s="4" t="s">
        <v>84</v>
      </c>
      <c r="F659" t="str">
        <f>'Source Table'!$B$14</f>
        <v>Religious Magazines &amp; Periodicals</v>
      </c>
      <c r="G659" t="str">
        <f>'Source Table'!$K$14</f>
        <v>المجلات والدوريات الدينية</v>
      </c>
      <c r="I659" t="str">
        <f>'Source Table'!$D$5</f>
        <v>نصف سنوية</v>
      </c>
      <c r="J659" s="7"/>
      <c r="K659">
        <v>2017</v>
      </c>
    </row>
    <row r="660" ht="15.75" spans="1:11">
      <c r="A660" s="1" t="s">
        <v>5</v>
      </c>
      <c r="B660" s="1" t="s">
        <v>7</v>
      </c>
      <c r="C660" s="2" t="s">
        <v>82</v>
      </c>
      <c r="D660" s="3" t="s">
        <v>83</v>
      </c>
      <c r="E660" s="4" t="s">
        <v>84</v>
      </c>
      <c r="F660" t="str">
        <f>'Source Table'!$B$15</f>
        <v>Scientific Magazines &amp; Periodicals</v>
      </c>
      <c r="G660" t="str">
        <f>'Source Table'!$K$15</f>
        <v>المجلات والدوريات العلمية</v>
      </c>
      <c r="I660" t="str">
        <f>'Source Table'!$D$5</f>
        <v>نصف سنوية</v>
      </c>
      <c r="J660" s="7"/>
      <c r="K660">
        <v>2017</v>
      </c>
    </row>
    <row r="661" ht="15.75" spans="1:11">
      <c r="A661" s="1" t="s">
        <v>5</v>
      </c>
      <c r="B661" s="1" t="s">
        <v>7</v>
      </c>
      <c r="C661" s="2" t="s">
        <v>82</v>
      </c>
      <c r="D661" s="3" t="s">
        <v>83</v>
      </c>
      <c r="E661" s="4" t="s">
        <v>84</v>
      </c>
      <c r="F661" t="str">
        <f>'Source Table'!$B$16</f>
        <v>Financial Magazines &amp; Periodicals</v>
      </c>
      <c r="G661" t="str">
        <f>'Source Table'!$K$16</f>
        <v>المجلات والدوريات المالية</v>
      </c>
      <c r="I661" t="str">
        <f>'Source Table'!$D$5</f>
        <v>نصف سنوية</v>
      </c>
      <c r="J661" s="7"/>
      <c r="K661">
        <v>2017</v>
      </c>
    </row>
    <row r="662" ht="15.75" spans="1:11">
      <c r="A662" s="1" t="s">
        <v>5</v>
      </c>
      <c r="B662" s="1" t="s">
        <v>7</v>
      </c>
      <c r="C662" s="2" t="s">
        <v>82</v>
      </c>
      <c r="D662" s="3" t="s">
        <v>83</v>
      </c>
      <c r="E662" s="4" t="s">
        <v>84</v>
      </c>
      <c r="F662" t="str">
        <f>'Source Table'!$B$17</f>
        <v>Tourist Magazines &amp; Periodicals</v>
      </c>
      <c r="G662" t="str">
        <f>'Source Table'!$K$17</f>
        <v>المجلات والدوريات سياحية</v>
      </c>
      <c r="I662" t="str">
        <f>'Source Table'!$D$5</f>
        <v>نصف سنوية</v>
      </c>
      <c r="J662" s="7"/>
      <c r="K662">
        <v>2017</v>
      </c>
    </row>
    <row r="663" ht="15.75" spans="1:11">
      <c r="A663" s="1" t="s">
        <v>5</v>
      </c>
      <c r="B663" s="1" t="s">
        <v>7</v>
      </c>
      <c r="C663" s="2" t="s">
        <v>82</v>
      </c>
      <c r="D663" s="3" t="s">
        <v>83</v>
      </c>
      <c r="E663" s="4" t="s">
        <v>84</v>
      </c>
      <c r="F663" t="str">
        <f>'Source Table'!$B$18</f>
        <v>Other Magazines &amp; Periodicals</v>
      </c>
      <c r="G663" t="str">
        <f>'Source Table'!$K$18</f>
        <v>المجلات والدوريات أخرى</v>
      </c>
      <c r="I663" t="str">
        <f>'Source Table'!$D$5</f>
        <v>نصف سنوية</v>
      </c>
      <c r="J663" s="8"/>
      <c r="K663">
        <v>2017</v>
      </c>
    </row>
    <row r="664" ht="15.75" spans="1:11">
      <c r="A664" s="1" t="s">
        <v>5</v>
      </c>
      <c r="B664" s="1" t="s">
        <v>7</v>
      </c>
      <c r="C664" s="2" t="s">
        <v>82</v>
      </c>
      <c r="D664" s="3" t="s">
        <v>83</v>
      </c>
      <c r="E664" s="4" t="s">
        <v>84</v>
      </c>
      <c r="F664" t="str">
        <f>'Source Table'!$B$7</f>
        <v>Political Newspapers</v>
      </c>
      <c r="G664" t="str">
        <f>'Source Table'!$K$7</f>
        <v>صحف سياسية</v>
      </c>
      <c r="I664" t="str">
        <f>'Source Table'!$C$5</f>
        <v>نصف شهرية</v>
      </c>
      <c r="J664" s="5"/>
      <c r="K664">
        <v>2017</v>
      </c>
    </row>
    <row r="665" ht="15.75" spans="1:11">
      <c r="A665" s="1" t="s">
        <v>5</v>
      </c>
      <c r="B665" s="1" t="s">
        <v>7</v>
      </c>
      <c r="C665" s="2" t="s">
        <v>82</v>
      </c>
      <c r="D665" s="3" t="s">
        <v>83</v>
      </c>
      <c r="E665" s="4" t="s">
        <v>84</v>
      </c>
      <c r="F665" t="str">
        <f>'Source Table'!$B$8</f>
        <v>Parties Newspapers</v>
      </c>
      <c r="G665" t="str">
        <f>'Source Table'!$K$8</f>
        <v>صحف حزبية</v>
      </c>
      <c r="I665" t="str">
        <f>'Source Table'!$C$5</f>
        <v>نصف شهرية</v>
      </c>
      <c r="J665" s="5"/>
      <c r="K665">
        <v>2017</v>
      </c>
    </row>
    <row r="666" ht="15.75" spans="1:11">
      <c r="A666" s="1" t="s">
        <v>5</v>
      </c>
      <c r="B666" s="1" t="s">
        <v>7</v>
      </c>
      <c r="C666" s="2" t="s">
        <v>82</v>
      </c>
      <c r="D666" s="3" t="s">
        <v>83</v>
      </c>
      <c r="E666" s="4" t="s">
        <v>84</v>
      </c>
      <c r="F666" t="str">
        <f>'Source Table'!$B$9</f>
        <v>Children Magazines &amp; Periodicals</v>
      </c>
      <c r="G666" t="str">
        <f>'Source Table'!$K$9</f>
        <v>المجلات والدوريات الأطفال</v>
      </c>
      <c r="I666" t="str">
        <f>'Source Table'!$C$5</f>
        <v>نصف شهرية</v>
      </c>
      <c r="J666" s="5"/>
      <c r="K666">
        <v>2017</v>
      </c>
    </row>
    <row r="667" ht="15.75" spans="1:11">
      <c r="A667" s="1" t="s">
        <v>5</v>
      </c>
      <c r="B667" s="1" t="s">
        <v>7</v>
      </c>
      <c r="C667" s="2" t="s">
        <v>82</v>
      </c>
      <c r="D667" s="3" t="s">
        <v>83</v>
      </c>
      <c r="E667" s="4" t="s">
        <v>84</v>
      </c>
      <c r="F667" t="str">
        <f>'Source Table'!$B$10</f>
        <v>Economic Magazines &amp; Periodicals</v>
      </c>
      <c r="G667" t="str">
        <f>'Source Table'!$K$10</f>
        <v>المجلات والدوريات الاقتصادية</v>
      </c>
      <c r="I667" t="str">
        <f>'Source Table'!$C$5</f>
        <v>نصف شهرية</v>
      </c>
      <c r="J667" s="5"/>
      <c r="K667">
        <v>2017</v>
      </c>
    </row>
    <row r="668" ht="15.75" spans="1:11">
      <c r="A668" s="1" t="s">
        <v>5</v>
      </c>
      <c r="B668" s="1" t="s">
        <v>7</v>
      </c>
      <c r="C668" s="2" t="s">
        <v>82</v>
      </c>
      <c r="D668" s="3" t="s">
        <v>83</v>
      </c>
      <c r="E668" s="4" t="s">
        <v>84</v>
      </c>
      <c r="F668" t="str">
        <f>'Source Table'!$B$11</f>
        <v>Army &amp; Police Magazines &amp; Periodicals</v>
      </c>
      <c r="G668" t="str">
        <f>'Source Table'!$K$11</f>
        <v>المجلات والدوريات العسكرية و شرطية</v>
      </c>
      <c r="I668" t="str">
        <f>'Source Table'!$C$5</f>
        <v>نصف شهرية</v>
      </c>
      <c r="J668" s="5"/>
      <c r="K668">
        <v>2017</v>
      </c>
    </row>
    <row r="669" ht="15.75" spans="1:11">
      <c r="A669" s="1" t="s">
        <v>5</v>
      </c>
      <c r="B669" s="1" t="s">
        <v>7</v>
      </c>
      <c r="C669" s="2" t="s">
        <v>82</v>
      </c>
      <c r="D669" s="3" t="s">
        <v>83</v>
      </c>
      <c r="E669" s="4" t="s">
        <v>84</v>
      </c>
      <c r="F669" t="str">
        <f>'Source Table'!$B$12</f>
        <v>Youths &amp; Arts Magazines &amp; Periodicals</v>
      </c>
      <c r="G669" t="str">
        <f>'Source Table'!$K$12</f>
        <v>المجلات والدوريات الشباب و الفنون</v>
      </c>
      <c r="I669" t="str">
        <f>'Source Table'!$C$5</f>
        <v>نصف شهرية</v>
      </c>
      <c r="J669" s="5"/>
      <c r="K669">
        <v>2017</v>
      </c>
    </row>
    <row r="670" ht="15.75" spans="1:11">
      <c r="A670" s="1" t="s">
        <v>5</v>
      </c>
      <c r="B670" s="1" t="s">
        <v>7</v>
      </c>
      <c r="C670" s="2" t="s">
        <v>82</v>
      </c>
      <c r="D670" s="3" t="s">
        <v>83</v>
      </c>
      <c r="E670" s="4" t="s">
        <v>84</v>
      </c>
      <c r="F670" t="str">
        <f>'Source Table'!$B$13</f>
        <v>Cultural &amp; Educational Magazines &amp; Periodicals</v>
      </c>
      <c r="G670" t="str">
        <f>'Source Table'!$K$13</f>
        <v>المجلات والدوريات الثقافية و المدرسية</v>
      </c>
      <c r="I670" t="str">
        <f>'Source Table'!$C$5</f>
        <v>نصف شهرية</v>
      </c>
      <c r="J670" s="5"/>
      <c r="K670">
        <v>2017</v>
      </c>
    </row>
    <row r="671" ht="15.75" spans="1:11">
      <c r="A671" s="1" t="s">
        <v>5</v>
      </c>
      <c r="B671" s="1" t="s">
        <v>7</v>
      </c>
      <c r="C671" s="2" t="s">
        <v>82</v>
      </c>
      <c r="D671" s="3" t="s">
        <v>83</v>
      </c>
      <c r="E671" s="4" t="s">
        <v>84</v>
      </c>
      <c r="F671" t="str">
        <f>'Source Table'!$B$14</f>
        <v>Religious Magazines &amp; Periodicals</v>
      </c>
      <c r="G671" t="str">
        <f>'Source Table'!$K$14</f>
        <v>المجلات والدوريات الدينية</v>
      </c>
      <c r="I671" t="str">
        <f>'Source Table'!$C$5</f>
        <v>نصف شهرية</v>
      </c>
      <c r="J671" s="5"/>
      <c r="K671">
        <v>2017</v>
      </c>
    </row>
    <row r="672" ht="15.75" spans="1:11">
      <c r="A672" s="1" t="s">
        <v>5</v>
      </c>
      <c r="B672" s="1" t="s">
        <v>7</v>
      </c>
      <c r="C672" s="2" t="s">
        <v>82</v>
      </c>
      <c r="D672" s="3" t="s">
        <v>83</v>
      </c>
      <c r="E672" s="4" t="s">
        <v>84</v>
      </c>
      <c r="F672" t="str">
        <f>'Source Table'!$B$15</f>
        <v>Scientific Magazines &amp; Periodicals</v>
      </c>
      <c r="G672" t="str">
        <f>'Source Table'!$K$15</f>
        <v>المجلات والدوريات العلمية</v>
      </c>
      <c r="I672" t="str">
        <f>'Source Table'!$C$5</f>
        <v>نصف شهرية</v>
      </c>
      <c r="J672" s="5"/>
      <c r="K672">
        <v>2017</v>
      </c>
    </row>
    <row r="673" ht="15.75" spans="1:11">
      <c r="A673" s="1" t="s">
        <v>5</v>
      </c>
      <c r="B673" s="1" t="s">
        <v>7</v>
      </c>
      <c r="C673" s="2" t="s">
        <v>82</v>
      </c>
      <c r="D673" s="3" t="s">
        <v>83</v>
      </c>
      <c r="E673" s="4" t="s">
        <v>84</v>
      </c>
      <c r="F673" t="str">
        <f>'Source Table'!$B$16</f>
        <v>Financial Magazines &amp; Periodicals</v>
      </c>
      <c r="G673" t="str">
        <f>'Source Table'!$K$16</f>
        <v>المجلات والدوريات المالية</v>
      </c>
      <c r="I673" t="str">
        <f>'Source Table'!$C$5</f>
        <v>نصف شهرية</v>
      </c>
      <c r="J673" s="5"/>
      <c r="K673">
        <v>2017</v>
      </c>
    </row>
    <row r="674" ht="15.75" spans="1:11">
      <c r="A674" s="1" t="s">
        <v>5</v>
      </c>
      <c r="B674" s="1" t="s">
        <v>7</v>
      </c>
      <c r="C674" s="2" t="s">
        <v>82</v>
      </c>
      <c r="D674" s="3" t="s">
        <v>83</v>
      </c>
      <c r="E674" s="4" t="s">
        <v>84</v>
      </c>
      <c r="F674" t="str">
        <f>'Source Table'!$B$17</f>
        <v>Tourist Magazines &amp; Periodicals</v>
      </c>
      <c r="G674" t="str">
        <f>'Source Table'!$K$17</f>
        <v>المجلات والدوريات سياحية</v>
      </c>
      <c r="I674" t="str">
        <f>'Source Table'!$C$5</f>
        <v>نصف شهرية</v>
      </c>
      <c r="J674" s="5"/>
      <c r="K674">
        <v>2017</v>
      </c>
    </row>
    <row r="675" ht="15.75" spans="1:11">
      <c r="A675" s="1" t="s">
        <v>5</v>
      </c>
      <c r="B675" s="1" t="s">
        <v>7</v>
      </c>
      <c r="C675" s="2" t="s">
        <v>82</v>
      </c>
      <c r="D675" s="3" t="s">
        <v>83</v>
      </c>
      <c r="E675" s="4" t="s">
        <v>84</v>
      </c>
      <c r="F675" t="str">
        <f>'Source Table'!$B$18</f>
        <v>Other Magazines &amp; Periodicals</v>
      </c>
      <c r="G675" t="str">
        <f>'Source Table'!$K$18</f>
        <v>المجلات والدوريات أخرى</v>
      </c>
      <c r="I675" t="str">
        <f>'Source Table'!$C$5</f>
        <v>نصف شهرية</v>
      </c>
      <c r="J675" s="6"/>
      <c r="K675">
        <v>2017</v>
      </c>
    </row>
    <row r="676" ht="15.75" spans="1:11">
      <c r="A676" s="1" t="s">
        <v>5</v>
      </c>
      <c r="B676" s="1" t="s">
        <v>7</v>
      </c>
      <c r="C676" s="2" t="s">
        <v>82</v>
      </c>
      <c r="D676" s="3" t="s">
        <v>83</v>
      </c>
      <c r="E676" s="4" t="s">
        <v>84</v>
      </c>
      <c r="F676" t="str">
        <f>'Source Table'!$B$7</f>
        <v>Political Newspapers</v>
      </c>
      <c r="G676" t="str">
        <f>'Source Table'!$K$7</f>
        <v>صحف سياسية</v>
      </c>
      <c r="H676" t="str">
        <f>'Source Table'!$J$6</f>
        <v>Daily</v>
      </c>
      <c r="I676" t="str">
        <f>'Source Table'!$J$5</f>
        <v>يومية</v>
      </c>
      <c r="J676" s="35">
        <v>9</v>
      </c>
      <c r="K676">
        <v>2016</v>
      </c>
    </row>
    <row r="677" ht="15.75" spans="1:11">
      <c r="A677" s="1" t="s">
        <v>5</v>
      </c>
      <c r="B677" s="1" t="s">
        <v>7</v>
      </c>
      <c r="C677" s="2" t="s">
        <v>82</v>
      </c>
      <c r="D677" s="3" t="s">
        <v>83</v>
      </c>
      <c r="E677" s="4" t="s">
        <v>84</v>
      </c>
      <c r="F677" t="str">
        <f>'Source Table'!$B$8</f>
        <v>Parties Newspapers</v>
      </c>
      <c r="G677" t="str">
        <f>'Source Table'!$K$8</f>
        <v>صحف حزبية</v>
      </c>
      <c r="H677" t="str">
        <f>'Source Table'!$J$6</f>
        <v>Daily</v>
      </c>
      <c r="I677" t="str">
        <f>'Source Table'!$J$5</f>
        <v>يومية</v>
      </c>
      <c r="J677" s="35">
        <v>0</v>
      </c>
      <c r="K677">
        <v>2016</v>
      </c>
    </row>
    <row r="678" ht="15.75" spans="1:11">
      <c r="A678" s="1" t="s">
        <v>5</v>
      </c>
      <c r="B678" s="1" t="s">
        <v>7</v>
      </c>
      <c r="C678" s="2" t="s">
        <v>82</v>
      </c>
      <c r="D678" s="3" t="s">
        <v>83</v>
      </c>
      <c r="E678" s="4" t="s">
        <v>84</v>
      </c>
      <c r="F678" t="str">
        <f>'Source Table'!$B$9</f>
        <v>Children Magazines &amp; Periodicals</v>
      </c>
      <c r="G678" t="str">
        <f>'Source Table'!$K$9</f>
        <v>المجلات والدوريات الأطفال</v>
      </c>
      <c r="H678" t="str">
        <f>'Source Table'!$J$6</f>
        <v>Daily</v>
      </c>
      <c r="I678" t="str">
        <f>'Source Table'!$J$5</f>
        <v>يومية</v>
      </c>
      <c r="J678" s="35">
        <v>0</v>
      </c>
      <c r="K678">
        <v>2016</v>
      </c>
    </row>
    <row r="679" ht="15.75" spans="1:11">
      <c r="A679" s="1" t="s">
        <v>5</v>
      </c>
      <c r="B679" s="1" t="s">
        <v>7</v>
      </c>
      <c r="C679" s="2" t="s">
        <v>82</v>
      </c>
      <c r="D679" s="3" t="s">
        <v>83</v>
      </c>
      <c r="E679" s="4" t="s">
        <v>84</v>
      </c>
      <c r="F679" t="str">
        <f>'Source Table'!$B$10</f>
        <v>Economic Magazines &amp; Periodicals</v>
      </c>
      <c r="G679" t="str">
        <f>'Source Table'!$K$10</f>
        <v>المجلات والدوريات الاقتصادية</v>
      </c>
      <c r="H679" t="str">
        <f>'Source Table'!$J$6</f>
        <v>Daily</v>
      </c>
      <c r="I679" t="str">
        <f>'Source Table'!$J$5</f>
        <v>يومية</v>
      </c>
      <c r="J679" s="35">
        <v>0</v>
      </c>
      <c r="K679">
        <v>2016</v>
      </c>
    </row>
    <row r="680" ht="15.75" spans="1:11">
      <c r="A680" s="1" t="s">
        <v>5</v>
      </c>
      <c r="B680" s="1" t="s">
        <v>7</v>
      </c>
      <c r="C680" s="2" t="s">
        <v>82</v>
      </c>
      <c r="D680" s="3" t="s">
        <v>83</v>
      </c>
      <c r="E680" s="4" t="s">
        <v>84</v>
      </c>
      <c r="F680" t="str">
        <f>'Source Table'!$B$11</f>
        <v>Army &amp; Police Magazines &amp; Periodicals</v>
      </c>
      <c r="G680" t="str">
        <f>'Source Table'!$K$11</f>
        <v>المجلات والدوريات العسكرية و شرطية</v>
      </c>
      <c r="H680" t="str">
        <f>'Source Table'!$J$6</f>
        <v>Daily</v>
      </c>
      <c r="I680" t="str">
        <f>'Source Table'!$J$5</f>
        <v>يومية</v>
      </c>
      <c r="J680" s="35">
        <v>0</v>
      </c>
      <c r="K680">
        <v>2016</v>
      </c>
    </row>
    <row r="681" ht="15.75" spans="1:11">
      <c r="A681" s="1" t="s">
        <v>5</v>
      </c>
      <c r="B681" s="1" t="s">
        <v>7</v>
      </c>
      <c r="C681" s="2" t="s">
        <v>82</v>
      </c>
      <c r="D681" s="3" t="s">
        <v>83</v>
      </c>
      <c r="E681" s="4" t="s">
        <v>84</v>
      </c>
      <c r="F681" t="str">
        <f>'Source Table'!$B$12</f>
        <v>Youths &amp; Arts Magazines &amp; Periodicals</v>
      </c>
      <c r="G681" t="str">
        <f>'Source Table'!$K$12</f>
        <v>المجلات والدوريات الشباب و الفنون</v>
      </c>
      <c r="H681" t="str">
        <f>'Source Table'!$J$6</f>
        <v>Daily</v>
      </c>
      <c r="I681" t="str">
        <f>'Source Table'!$J$5</f>
        <v>يومية</v>
      </c>
      <c r="J681" s="35">
        <v>0</v>
      </c>
      <c r="K681">
        <v>2016</v>
      </c>
    </row>
    <row r="682" ht="15.75" spans="1:11">
      <c r="A682" s="1" t="s">
        <v>5</v>
      </c>
      <c r="B682" s="1" t="s">
        <v>7</v>
      </c>
      <c r="C682" s="2" t="s">
        <v>82</v>
      </c>
      <c r="D682" s="3" t="s">
        <v>83</v>
      </c>
      <c r="E682" s="4" t="s">
        <v>84</v>
      </c>
      <c r="F682" t="str">
        <f>'Source Table'!$B$13</f>
        <v>Cultural &amp; Educational Magazines &amp; Periodicals</v>
      </c>
      <c r="G682" t="str">
        <f>'Source Table'!$K$13</f>
        <v>المجلات والدوريات الثقافية و المدرسية</v>
      </c>
      <c r="H682" t="str">
        <f>'Source Table'!$J$6</f>
        <v>Daily</v>
      </c>
      <c r="I682" t="str">
        <f>'Source Table'!$J$5</f>
        <v>يومية</v>
      </c>
      <c r="J682" s="35">
        <v>0</v>
      </c>
      <c r="K682">
        <v>2016</v>
      </c>
    </row>
    <row r="683" ht="15.75" spans="1:11">
      <c r="A683" s="1" t="s">
        <v>5</v>
      </c>
      <c r="B683" s="1" t="s">
        <v>7</v>
      </c>
      <c r="C683" s="2" t="s">
        <v>82</v>
      </c>
      <c r="D683" s="3" t="s">
        <v>83</v>
      </c>
      <c r="E683" s="4" t="s">
        <v>84</v>
      </c>
      <c r="F683" t="str">
        <f>'Source Table'!$B$14</f>
        <v>Religious Magazines &amp; Periodicals</v>
      </c>
      <c r="G683" t="str">
        <f>'Source Table'!$K$14</f>
        <v>المجلات والدوريات الدينية</v>
      </c>
      <c r="H683" t="str">
        <f>'Source Table'!$J$6</f>
        <v>Daily</v>
      </c>
      <c r="I683" t="str">
        <f>'Source Table'!$J$5</f>
        <v>يومية</v>
      </c>
      <c r="J683" s="35">
        <v>0</v>
      </c>
      <c r="K683">
        <v>2016</v>
      </c>
    </row>
    <row r="684" ht="15.75" spans="1:11">
      <c r="A684" s="1" t="s">
        <v>5</v>
      </c>
      <c r="B684" s="1" t="s">
        <v>7</v>
      </c>
      <c r="C684" s="2" t="s">
        <v>82</v>
      </c>
      <c r="D684" s="3" t="s">
        <v>83</v>
      </c>
      <c r="E684" s="4" t="s">
        <v>84</v>
      </c>
      <c r="F684" t="str">
        <f>'Source Table'!$B$15</f>
        <v>Scientific Magazines &amp; Periodicals</v>
      </c>
      <c r="G684" t="str">
        <f>'Source Table'!$K$15</f>
        <v>المجلات والدوريات العلمية</v>
      </c>
      <c r="H684" t="str">
        <f>'Source Table'!$J$6</f>
        <v>Daily</v>
      </c>
      <c r="I684" t="str">
        <f>'Source Table'!$J$5</f>
        <v>يومية</v>
      </c>
      <c r="J684" s="35">
        <v>0</v>
      </c>
      <c r="K684">
        <v>2016</v>
      </c>
    </row>
    <row r="685" ht="15.75" spans="1:11">
      <c r="A685" s="1" t="s">
        <v>5</v>
      </c>
      <c r="B685" s="1" t="s">
        <v>7</v>
      </c>
      <c r="C685" s="2" t="s">
        <v>82</v>
      </c>
      <c r="D685" s="3" t="s">
        <v>83</v>
      </c>
      <c r="E685" s="4" t="s">
        <v>84</v>
      </c>
      <c r="F685" t="str">
        <f>'Source Table'!$B$16</f>
        <v>Financial Magazines &amp; Periodicals</v>
      </c>
      <c r="G685" t="str">
        <f>'Source Table'!$K$16</f>
        <v>المجلات والدوريات المالية</v>
      </c>
      <c r="H685" t="str">
        <f>'Source Table'!$J$6</f>
        <v>Daily</v>
      </c>
      <c r="I685" t="str">
        <f>'Source Table'!$J$5</f>
        <v>يومية</v>
      </c>
      <c r="J685" s="35">
        <v>0</v>
      </c>
      <c r="K685">
        <v>2016</v>
      </c>
    </row>
    <row r="686" ht="15.75" spans="1:11">
      <c r="A686" s="1" t="s">
        <v>5</v>
      </c>
      <c r="B686" s="1" t="s">
        <v>7</v>
      </c>
      <c r="C686" s="2" t="s">
        <v>82</v>
      </c>
      <c r="D686" s="3" t="s">
        <v>83</v>
      </c>
      <c r="E686" s="4" t="s">
        <v>84</v>
      </c>
      <c r="F686" t="str">
        <f>'Source Table'!$B$17</f>
        <v>Tourist Magazines &amp; Periodicals</v>
      </c>
      <c r="G686" t="str">
        <f>'Source Table'!$K$17</f>
        <v>المجلات والدوريات سياحية</v>
      </c>
      <c r="H686" t="str">
        <f>'Source Table'!$J$6</f>
        <v>Daily</v>
      </c>
      <c r="I686" t="str">
        <f>'Source Table'!$J$5</f>
        <v>يومية</v>
      </c>
      <c r="J686" s="35">
        <v>0</v>
      </c>
      <c r="K686">
        <v>2016</v>
      </c>
    </row>
    <row r="687" ht="16.5" spans="1:11">
      <c r="A687" s="1" t="s">
        <v>5</v>
      </c>
      <c r="B687" s="1" t="s">
        <v>7</v>
      </c>
      <c r="C687" s="2" t="s">
        <v>82</v>
      </c>
      <c r="D687" s="3" t="s">
        <v>83</v>
      </c>
      <c r="E687" s="4" t="s">
        <v>84</v>
      </c>
      <c r="F687" t="str">
        <f>'Source Table'!$B$18</f>
        <v>Other Magazines &amp; Periodicals</v>
      </c>
      <c r="G687" t="str">
        <f>'Source Table'!$K$18</f>
        <v>المجلات والدوريات أخرى</v>
      </c>
      <c r="H687" t="str">
        <f>'Source Table'!$J$6</f>
        <v>Daily</v>
      </c>
      <c r="I687" t="str">
        <f>'Source Table'!$J$5</f>
        <v>يومية</v>
      </c>
      <c r="J687" s="36">
        <v>4</v>
      </c>
      <c r="K687">
        <v>2016</v>
      </c>
    </row>
    <row r="688" ht="15.75" spans="1:11">
      <c r="A688" s="1" t="s">
        <v>5</v>
      </c>
      <c r="B688" s="1" t="s">
        <v>7</v>
      </c>
      <c r="C688" s="2" t="s">
        <v>82</v>
      </c>
      <c r="D688" s="3" t="s">
        <v>83</v>
      </c>
      <c r="E688" s="4" t="s">
        <v>84</v>
      </c>
      <c r="F688" t="str">
        <f>'Source Table'!$B$7</f>
        <v>Political Newspapers</v>
      </c>
      <c r="G688" t="str">
        <f>'Source Table'!$K$7</f>
        <v>صحف سياسية</v>
      </c>
      <c r="H688" t="str">
        <f>'Source Table'!$I$6</f>
        <v>Weekly</v>
      </c>
      <c r="I688" t="str">
        <f>'Source Table'!$I$5</f>
        <v>أسبوعية</v>
      </c>
      <c r="J688" s="35">
        <v>14</v>
      </c>
      <c r="K688">
        <v>2016</v>
      </c>
    </row>
    <row r="689" ht="15.75" spans="1:11">
      <c r="A689" s="1" t="s">
        <v>5</v>
      </c>
      <c r="B689" s="1" t="s">
        <v>7</v>
      </c>
      <c r="C689" s="2" t="s">
        <v>82</v>
      </c>
      <c r="D689" s="3" t="s">
        <v>83</v>
      </c>
      <c r="E689" s="4" t="s">
        <v>84</v>
      </c>
      <c r="F689" t="str">
        <f>'Source Table'!$B$8</f>
        <v>Parties Newspapers</v>
      </c>
      <c r="G689" t="str">
        <f>'Source Table'!$K$8</f>
        <v>صحف حزبية</v>
      </c>
      <c r="H689" t="str">
        <f>'Source Table'!$I$6</f>
        <v>Weekly</v>
      </c>
      <c r="I689" t="str">
        <f>'Source Table'!$I$5</f>
        <v>أسبوعية</v>
      </c>
      <c r="J689" s="35">
        <v>17</v>
      </c>
      <c r="K689">
        <v>2016</v>
      </c>
    </row>
    <row r="690" ht="15.75" spans="1:11">
      <c r="A690" s="1" t="s">
        <v>5</v>
      </c>
      <c r="B690" s="1" t="s">
        <v>7</v>
      </c>
      <c r="C690" s="2" t="s">
        <v>82</v>
      </c>
      <c r="D690" s="3" t="s">
        <v>83</v>
      </c>
      <c r="E690" s="4" t="s">
        <v>84</v>
      </c>
      <c r="F690" t="str">
        <f>'Source Table'!$B$9</f>
        <v>Children Magazines &amp; Periodicals</v>
      </c>
      <c r="G690" t="str">
        <f>'Source Table'!$K$9</f>
        <v>المجلات والدوريات الأطفال</v>
      </c>
      <c r="H690" t="str">
        <f>'Source Table'!$I$6</f>
        <v>Weekly</v>
      </c>
      <c r="I690" t="str">
        <f>'Source Table'!$I$5</f>
        <v>أسبوعية</v>
      </c>
      <c r="J690" s="35">
        <v>1</v>
      </c>
      <c r="K690">
        <v>2016</v>
      </c>
    </row>
    <row r="691" ht="15.75" spans="1:11">
      <c r="A691" s="1" t="s">
        <v>5</v>
      </c>
      <c r="B691" s="1" t="s">
        <v>7</v>
      </c>
      <c r="C691" s="2" t="s">
        <v>82</v>
      </c>
      <c r="D691" s="3" t="s">
        <v>83</v>
      </c>
      <c r="E691" s="4" t="s">
        <v>84</v>
      </c>
      <c r="F691" t="str">
        <f>'Source Table'!$B$10</f>
        <v>Economic Magazines &amp; Periodicals</v>
      </c>
      <c r="G691" t="str">
        <f>'Source Table'!$K$10</f>
        <v>المجلات والدوريات الاقتصادية</v>
      </c>
      <c r="H691" t="str">
        <f>'Source Table'!$I$6</f>
        <v>Weekly</v>
      </c>
      <c r="I691" t="str">
        <f>'Source Table'!$I$5</f>
        <v>أسبوعية</v>
      </c>
      <c r="J691" s="35">
        <v>25</v>
      </c>
      <c r="K691">
        <v>2016</v>
      </c>
    </row>
    <row r="692" ht="15.75" spans="1:11">
      <c r="A692" s="1" t="s">
        <v>5</v>
      </c>
      <c r="B692" s="1" t="s">
        <v>7</v>
      </c>
      <c r="C692" s="2" t="s">
        <v>82</v>
      </c>
      <c r="D692" s="3" t="s">
        <v>83</v>
      </c>
      <c r="E692" s="4" t="s">
        <v>84</v>
      </c>
      <c r="F692" t="str">
        <f>'Source Table'!$B$11</f>
        <v>Army &amp; Police Magazines &amp; Periodicals</v>
      </c>
      <c r="G692" t="str">
        <f>'Source Table'!$K$11</f>
        <v>المجلات والدوريات العسكرية و شرطية</v>
      </c>
      <c r="H692" t="str">
        <f>'Source Table'!$I$6</f>
        <v>Weekly</v>
      </c>
      <c r="I692" t="str">
        <f>'Source Table'!$I$5</f>
        <v>أسبوعية</v>
      </c>
      <c r="J692" s="35">
        <v>0</v>
      </c>
      <c r="K692">
        <v>2016</v>
      </c>
    </row>
    <row r="693" ht="15.75" spans="1:11">
      <c r="A693" s="1" t="s">
        <v>5</v>
      </c>
      <c r="B693" s="1" t="s">
        <v>7</v>
      </c>
      <c r="C693" s="2" t="s">
        <v>82</v>
      </c>
      <c r="D693" s="3" t="s">
        <v>83</v>
      </c>
      <c r="E693" s="4" t="s">
        <v>84</v>
      </c>
      <c r="F693" t="str">
        <f>'Source Table'!$B$12</f>
        <v>Youths &amp; Arts Magazines &amp; Periodicals</v>
      </c>
      <c r="G693" t="str">
        <f>'Source Table'!$K$12</f>
        <v>المجلات والدوريات الشباب و الفنون</v>
      </c>
      <c r="H693" t="str">
        <f>'Source Table'!$I$6</f>
        <v>Weekly</v>
      </c>
      <c r="I693" t="str">
        <f>'Source Table'!$I$5</f>
        <v>أسبوعية</v>
      </c>
      <c r="J693" s="35">
        <v>5</v>
      </c>
      <c r="K693">
        <v>2016</v>
      </c>
    </row>
    <row r="694" ht="15.75" spans="1:11">
      <c r="A694" s="1" t="s">
        <v>5</v>
      </c>
      <c r="B694" s="1" t="s">
        <v>7</v>
      </c>
      <c r="C694" s="2" t="s">
        <v>82</v>
      </c>
      <c r="D694" s="3" t="s">
        <v>83</v>
      </c>
      <c r="E694" s="4" t="s">
        <v>84</v>
      </c>
      <c r="F694" t="str">
        <f>'Source Table'!$B$13</f>
        <v>Cultural &amp; Educational Magazines &amp; Periodicals</v>
      </c>
      <c r="G694" t="str">
        <f>'Source Table'!$K$13</f>
        <v>المجلات والدوريات الثقافية و المدرسية</v>
      </c>
      <c r="H694" t="str">
        <f>'Source Table'!$I$6</f>
        <v>Weekly</v>
      </c>
      <c r="I694" t="str">
        <f>'Source Table'!$I$5</f>
        <v>أسبوعية</v>
      </c>
      <c r="J694" s="35">
        <v>7</v>
      </c>
      <c r="K694">
        <v>2016</v>
      </c>
    </row>
    <row r="695" ht="15.75" spans="1:11">
      <c r="A695" s="1" t="s">
        <v>5</v>
      </c>
      <c r="B695" s="1" t="s">
        <v>7</v>
      </c>
      <c r="C695" s="2" t="s">
        <v>82</v>
      </c>
      <c r="D695" s="3" t="s">
        <v>83</v>
      </c>
      <c r="E695" s="4" t="s">
        <v>84</v>
      </c>
      <c r="F695" t="str">
        <f>'Source Table'!$B$14</f>
        <v>Religious Magazines &amp; Periodicals</v>
      </c>
      <c r="G695" t="str">
        <f>'Source Table'!$K$14</f>
        <v>المجلات والدوريات الدينية</v>
      </c>
      <c r="H695" t="str">
        <f>'Source Table'!$I$6</f>
        <v>Weekly</v>
      </c>
      <c r="I695" t="str">
        <f>'Source Table'!$I$5</f>
        <v>أسبوعية</v>
      </c>
      <c r="J695" s="35">
        <v>0</v>
      </c>
      <c r="K695">
        <v>2016</v>
      </c>
    </row>
    <row r="696" ht="15.75" spans="1:11">
      <c r="A696" s="1" t="s">
        <v>5</v>
      </c>
      <c r="B696" s="1" t="s">
        <v>7</v>
      </c>
      <c r="C696" s="2" t="s">
        <v>82</v>
      </c>
      <c r="D696" s="3" t="s">
        <v>83</v>
      </c>
      <c r="E696" s="4" t="s">
        <v>84</v>
      </c>
      <c r="F696" t="str">
        <f>'Source Table'!$B$15</f>
        <v>Scientific Magazines &amp; Periodicals</v>
      </c>
      <c r="G696" t="str">
        <f>'Source Table'!$K$15</f>
        <v>المجلات والدوريات العلمية</v>
      </c>
      <c r="H696" t="str">
        <f>'Source Table'!$I$6</f>
        <v>Weekly</v>
      </c>
      <c r="I696" t="str">
        <f>'Source Table'!$I$5</f>
        <v>أسبوعية</v>
      </c>
      <c r="J696" s="35">
        <v>0</v>
      </c>
      <c r="K696">
        <v>2016</v>
      </c>
    </row>
    <row r="697" ht="15.75" spans="1:11">
      <c r="A697" s="1" t="s">
        <v>5</v>
      </c>
      <c r="B697" s="1" t="s">
        <v>7</v>
      </c>
      <c r="C697" s="2" t="s">
        <v>82</v>
      </c>
      <c r="D697" s="3" t="s">
        <v>83</v>
      </c>
      <c r="E697" s="4" t="s">
        <v>84</v>
      </c>
      <c r="F697" t="str">
        <f>'Source Table'!$B$16</f>
        <v>Financial Magazines &amp; Periodicals</v>
      </c>
      <c r="G697" t="str">
        <f>'Source Table'!$K$16</f>
        <v>المجلات والدوريات المالية</v>
      </c>
      <c r="H697" t="str">
        <f>'Source Table'!$I$6</f>
        <v>Weekly</v>
      </c>
      <c r="I697" t="str">
        <f>'Source Table'!$I$5</f>
        <v>أسبوعية</v>
      </c>
      <c r="J697" s="35">
        <v>0</v>
      </c>
      <c r="K697">
        <v>2016</v>
      </c>
    </row>
    <row r="698" ht="15.75" spans="1:11">
      <c r="A698" s="1" t="s">
        <v>5</v>
      </c>
      <c r="B698" s="1" t="s">
        <v>7</v>
      </c>
      <c r="C698" s="2" t="s">
        <v>82</v>
      </c>
      <c r="D698" s="3" t="s">
        <v>83</v>
      </c>
      <c r="E698" s="4" t="s">
        <v>84</v>
      </c>
      <c r="F698" t="str">
        <f>'Source Table'!$B$17</f>
        <v>Tourist Magazines &amp; Periodicals</v>
      </c>
      <c r="G698" t="str">
        <f>'Source Table'!$K$17</f>
        <v>المجلات والدوريات سياحية</v>
      </c>
      <c r="H698" t="str">
        <f>'Source Table'!$I$6</f>
        <v>Weekly</v>
      </c>
      <c r="I698" t="str">
        <f>'Source Table'!$I$5</f>
        <v>أسبوعية</v>
      </c>
      <c r="J698" s="35">
        <v>4</v>
      </c>
      <c r="K698">
        <v>2016</v>
      </c>
    </row>
    <row r="699" ht="16.5" spans="1:11">
      <c r="A699" s="1" t="s">
        <v>5</v>
      </c>
      <c r="B699" s="1" t="s">
        <v>7</v>
      </c>
      <c r="C699" s="2" t="s">
        <v>82</v>
      </c>
      <c r="D699" s="3" t="s">
        <v>83</v>
      </c>
      <c r="E699" s="4" t="s">
        <v>84</v>
      </c>
      <c r="F699" t="str">
        <f>'Source Table'!$B$18</f>
        <v>Other Magazines &amp; Periodicals</v>
      </c>
      <c r="G699" t="str">
        <f>'Source Table'!$K$18</f>
        <v>المجلات والدوريات أخرى</v>
      </c>
      <c r="H699" t="str">
        <f>'Source Table'!$I$6</f>
        <v>Weekly</v>
      </c>
      <c r="I699" t="str">
        <f>'Source Table'!$I$5</f>
        <v>أسبوعية</v>
      </c>
      <c r="J699" s="36">
        <v>104</v>
      </c>
      <c r="K699">
        <v>2016</v>
      </c>
    </row>
    <row r="700" ht="15.75" spans="1:11">
      <c r="A700" s="1" t="s">
        <v>5</v>
      </c>
      <c r="B700" s="1" t="s">
        <v>7</v>
      </c>
      <c r="C700" s="2" t="s">
        <v>82</v>
      </c>
      <c r="D700" s="3" t="s">
        <v>83</v>
      </c>
      <c r="E700" s="4" t="s">
        <v>84</v>
      </c>
      <c r="F700" t="str">
        <f>'Source Table'!$B$7</f>
        <v>Political Newspapers</v>
      </c>
      <c r="G700" t="str">
        <f>'Source Table'!$K$7</f>
        <v>صحف سياسية</v>
      </c>
      <c r="H700" t="str">
        <f>'Source Table'!$H$6</f>
        <v>Monthly</v>
      </c>
      <c r="I700" t="str">
        <f>'Source Table'!$H$5</f>
        <v>شهرية</v>
      </c>
      <c r="J700" s="35">
        <v>3</v>
      </c>
      <c r="K700">
        <v>2016</v>
      </c>
    </row>
    <row r="701" ht="15.75" spans="1:11">
      <c r="A701" s="1" t="s">
        <v>5</v>
      </c>
      <c r="B701" s="1" t="s">
        <v>7</v>
      </c>
      <c r="C701" s="2" t="s">
        <v>82</v>
      </c>
      <c r="D701" s="3" t="s">
        <v>83</v>
      </c>
      <c r="E701" s="4" t="s">
        <v>84</v>
      </c>
      <c r="F701" t="str">
        <f>'Source Table'!$B$8</f>
        <v>Parties Newspapers</v>
      </c>
      <c r="G701" t="str">
        <f>'Source Table'!$K$8</f>
        <v>صحف حزبية</v>
      </c>
      <c r="H701" t="str">
        <f>'Source Table'!$H$6</f>
        <v>Monthly</v>
      </c>
      <c r="I701" t="str">
        <f>'Source Table'!$H$5</f>
        <v>شهرية</v>
      </c>
      <c r="J701" s="35">
        <v>1</v>
      </c>
      <c r="K701">
        <v>2016</v>
      </c>
    </row>
    <row r="702" ht="15.75" spans="1:11">
      <c r="A702" s="1" t="s">
        <v>5</v>
      </c>
      <c r="B702" s="1" t="s">
        <v>7</v>
      </c>
      <c r="C702" s="2" t="s">
        <v>82</v>
      </c>
      <c r="D702" s="3" t="s">
        <v>83</v>
      </c>
      <c r="E702" s="4" t="s">
        <v>84</v>
      </c>
      <c r="F702" t="str">
        <f>'Source Table'!$B$9</f>
        <v>Children Magazines &amp; Periodicals</v>
      </c>
      <c r="G702" t="str">
        <f>'Source Table'!$K$9</f>
        <v>المجلات والدوريات الأطفال</v>
      </c>
      <c r="H702" t="str">
        <f>'Source Table'!$H$6</f>
        <v>Monthly</v>
      </c>
      <c r="I702" t="str">
        <f>'Source Table'!$H$5</f>
        <v>شهرية</v>
      </c>
      <c r="J702" s="35">
        <v>18</v>
      </c>
      <c r="K702">
        <v>2016</v>
      </c>
    </row>
    <row r="703" ht="15.75" spans="1:11">
      <c r="A703" s="1" t="s">
        <v>5</v>
      </c>
      <c r="B703" s="1" t="s">
        <v>7</v>
      </c>
      <c r="C703" s="2" t="s">
        <v>82</v>
      </c>
      <c r="D703" s="3" t="s">
        <v>83</v>
      </c>
      <c r="E703" s="4" t="s">
        <v>84</v>
      </c>
      <c r="F703" t="str">
        <f>'Source Table'!$B$10</f>
        <v>Economic Magazines &amp; Periodicals</v>
      </c>
      <c r="G703" t="str">
        <f>'Source Table'!$K$10</f>
        <v>المجلات والدوريات الاقتصادية</v>
      </c>
      <c r="H703" t="str">
        <f>'Source Table'!$H$6</f>
        <v>Monthly</v>
      </c>
      <c r="I703" t="str">
        <f>'Source Table'!$H$5</f>
        <v>شهرية</v>
      </c>
      <c r="J703" s="35">
        <v>56</v>
      </c>
      <c r="K703">
        <v>2016</v>
      </c>
    </row>
    <row r="704" ht="15.75" spans="1:11">
      <c r="A704" s="1" t="s">
        <v>5</v>
      </c>
      <c r="B704" s="1" t="s">
        <v>7</v>
      </c>
      <c r="C704" s="2" t="s">
        <v>82</v>
      </c>
      <c r="D704" s="3" t="s">
        <v>83</v>
      </c>
      <c r="E704" s="4" t="s">
        <v>84</v>
      </c>
      <c r="F704" t="str">
        <f>'Source Table'!$B$11</f>
        <v>Army &amp; Police Magazines &amp; Periodicals</v>
      </c>
      <c r="G704" t="str">
        <f>'Source Table'!$K$11</f>
        <v>المجلات والدوريات العسكرية و شرطية</v>
      </c>
      <c r="H704" t="str">
        <f>'Source Table'!$H$6</f>
        <v>Monthly</v>
      </c>
      <c r="I704" t="str">
        <f>'Source Table'!$H$5</f>
        <v>شهرية</v>
      </c>
      <c r="J704" s="35">
        <v>1</v>
      </c>
      <c r="K704">
        <v>2016</v>
      </c>
    </row>
    <row r="705" ht="15.75" spans="1:11">
      <c r="A705" s="1" t="s">
        <v>5</v>
      </c>
      <c r="B705" s="1" t="s">
        <v>7</v>
      </c>
      <c r="C705" s="2" t="s">
        <v>82</v>
      </c>
      <c r="D705" s="3" t="s">
        <v>83</v>
      </c>
      <c r="E705" s="4" t="s">
        <v>84</v>
      </c>
      <c r="F705" t="str">
        <f>'Source Table'!$B$12</f>
        <v>Youths &amp; Arts Magazines &amp; Periodicals</v>
      </c>
      <c r="G705" t="str">
        <f>'Source Table'!$K$12</f>
        <v>المجلات والدوريات الشباب و الفنون</v>
      </c>
      <c r="H705" t="str">
        <f>'Source Table'!$H$6</f>
        <v>Monthly</v>
      </c>
      <c r="I705" t="str">
        <f>'Source Table'!$H$5</f>
        <v>شهرية</v>
      </c>
      <c r="J705" s="35">
        <v>9</v>
      </c>
      <c r="K705">
        <v>2016</v>
      </c>
    </row>
    <row r="706" ht="15.75" spans="1:11">
      <c r="A706" s="1" t="s">
        <v>5</v>
      </c>
      <c r="B706" s="1" t="s">
        <v>7</v>
      </c>
      <c r="C706" s="2" t="s">
        <v>82</v>
      </c>
      <c r="D706" s="3" t="s">
        <v>83</v>
      </c>
      <c r="E706" s="4" t="s">
        <v>84</v>
      </c>
      <c r="F706" t="str">
        <f>'Source Table'!$B$13</f>
        <v>Cultural &amp; Educational Magazines &amp; Periodicals</v>
      </c>
      <c r="G706" t="str">
        <f>'Source Table'!$K$13</f>
        <v>المجلات والدوريات الثقافية و المدرسية</v>
      </c>
      <c r="H706" t="str">
        <f>'Source Table'!$H$6</f>
        <v>Monthly</v>
      </c>
      <c r="I706" t="str">
        <f>'Source Table'!$H$5</f>
        <v>شهرية</v>
      </c>
      <c r="J706" s="35">
        <v>39</v>
      </c>
      <c r="K706">
        <v>2016</v>
      </c>
    </row>
    <row r="707" ht="15.75" spans="1:11">
      <c r="A707" s="1" t="s">
        <v>5</v>
      </c>
      <c r="B707" s="1" t="s">
        <v>7</v>
      </c>
      <c r="C707" s="2" t="s">
        <v>82</v>
      </c>
      <c r="D707" s="3" t="s">
        <v>83</v>
      </c>
      <c r="E707" s="4" t="s">
        <v>84</v>
      </c>
      <c r="F707" t="str">
        <f>'Source Table'!$B$14</f>
        <v>Religious Magazines &amp; Periodicals</v>
      </c>
      <c r="G707" t="str">
        <f>'Source Table'!$K$14</f>
        <v>المجلات والدوريات الدينية</v>
      </c>
      <c r="H707" t="str">
        <f>'Source Table'!$H$6</f>
        <v>Monthly</v>
      </c>
      <c r="I707" t="str">
        <f>'Source Table'!$H$5</f>
        <v>شهرية</v>
      </c>
      <c r="J707" s="35">
        <v>8</v>
      </c>
      <c r="K707">
        <v>2016</v>
      </c>
    </row>
    <row r="708" ht="15.75" spans="1:11">
      <c r="A708" s="1" t="s">
        <v>5</v>
      </c>
      <c r="B708" s="1" t="s">
        <v>7</v>
      </c>
      <c r="C708" s="2" t="s">
        <v>82</v>
      </c>
      <c r="D708" s="3" t="s">
        <v>83</v>
      </c>
      <c r="E708" s="4" t="s">
        <v>84</v>
      </c>
      <c r="F708" t="str">
        <f>'Source Table'!$B$15</f>
        <v>Scientific Magazines &amp; Periodicals</v>
      </c>
      <c r="G708" t="str">
        <f>'Source Table'!$K$15</f>
        <v>المجلات والدوريات العلمية</v>
      </c>
      <c r="H708" t="str">
        <f>'Source Table'!$H$6</f>
        <v>Monthly</v>
      </c>
      <c r="I708" t="str">
        <f>'Source Table'!$H$5</f>
        <v>شهرية</v>
      </c>
      <c r="J708" s="35">
        <v>13</v>
      </c>
      <c r="K708">
        <v>2016</v>
      </c>
    </row>
    <row r="709" ht="15.75" spans="1:11">
      <c r="A709" s="1" t="s">
        <v>5</v>
      </c>
      <c r="B709" s="1" t="s">
        <v>7</v>
      </c>
      <c r="C709" s="2" t="s">
        <v>82</v>
      </c>
      <c r="D709" s="3" t="s">
        <v>83</v>
      </c>
      <c r="E709" s="4" t="s">
        <v>84</v>
      </c>
      <c r="F709" t="str">
        <f>'Source Table'!$B$16</f>
        <v>Financial Magazines &amp; Periodicals</v>
      </c>
      <c r="G709" t="str">
        <f>'Source Table'!$K$16</f>
        <v>المجلات والدوريات المالية</v>
      </c>
      <c r="H709" t="str">
        <f>'Source Table'!$H$6</f>
        <v>Monthly</v>
      </c>
      <c r="I709" t="str">
        <f>'Source Table'!$H$5</f>
        <v>شهرية</v>
      </c>
      <c r="J709" s="35">
        <v>0</v>
      </c>
      <c r="K709">
        <v>2016</v>
      </c>
    </row>
    <row r="710" ht="15.75" spans="1:11">
      <c r="A710" s="1" t="s">
        <v>5</v>
      </c>
      <c r="B710" s="1" t="s">
        <v>7</v>
      </c>
      <c r="C710" s="2" t="s">
        <v>82</v>
      </c>
      <c r="D710" s="3" t="s">
        <v>83</v>
      </c>
      <c r="E710" s="4" t="s">
        <v>84</v>
      </c>
      <c r="F710" t="str">
        <f>'Source Table'!$B$17</f>
        <v>Tourist Magazines &amp; Periodicals</v>
      </c>
      <c r="G710" t="str">
        <f>'Source Table'!$K$17</f>
        <v>المجلات والدوريات سياحية</v>
      </c>
      <c r="H710" t="str">
        <f>'Source Table'!$H$6</f>
        <v>Monthly</v>
      </c>
      <c r="I710" t="str">
        <f>'Source Table'!$H$5</f>
        <v>شهرية</v>
      </c>
      <c r="J710" s="35">
        <v>15</v>
      </c>
      <c r="K710">
        <v>2016</v>
      </c>
    </row>
    <row r="711" ht="16.5" spans="1:11">
      <c r="A711" s="1" t="s">
        <v>5</v>
      </c>
      <c r="B711" s="1" t="s">
        <v>7</v>
      </c>
      <c r="C711" s="2" t="s">
        <v>82</v>
      </c>
      <c r="D711" s="3" t="s">
        <v>83</v>
      </c>
      <c r="E711" s="4" t="s">
        <v>84</v>
      </c>
      <c r="F711" t="str">
        <f>'Source Table'!$B$18</f>
        <v>Other Magazines &amp; Periodicals</v>
      </c>
      <c r="G711" t="str">
        <f>'Source Table'!$K$18</f>
        <v>المجلات والدوريات أخرى</v>
      </c>
      <c r="H711" t="str">
        <f>'Source Table'!$H$6</f>
        <v>Monthly</v>
      </c>
      <c r="I711" t="str">
        <f>'Source Table'!$H$5</f>
        <v>شهرية</v>
      </c>
      <c r="J711" s="36">
        <v>258</v>
      </c>
      <c r="K711">
        <v>2016</v>
      </c>
    </row>
    <row r="712" ht="15.75" spans="1:11">
      <c r="A712" s="1" t="s">
        <v>5</v>
      </c>
      <c r="B712" s="1" t="s">
        <v>7</v>
      </c>
      <c r="C712" s="2" t="s">
        <v>82</v>
      </c>
      <c r="D712" s="3" t="s">
        <v>83</v>
      </c>
      <c r="E712" s="4" t="s">
        <v>84</v>
      </c>
      <c r="F712" t="str">
        <f>'Source Table'!$B$7</f>
        <v>Political Newspapers</v>
      </c>
      <c r="G712" t="str">
        <f>'Source Table'!$K$7</f>
        <v>صحف سياسية</v>
      </c>
      <c r="I712" t="str">
        <f>'Source Table'!$G$5</f>
        <v>فصلية</v>
      </c>
      <c r="J712" s="35">
        <v>1</v>
      </c>
      <c r="K712">
        <v>2016</v>
      </c>
    </row>
    <row r="713" ht="15.75" spans="1:11">
      <c r="A713" s="1" t="s">
        <v>5</v>
      </c>
      <c r="B713" s="1" t="s">
        <v>7</v>
      </c>
      <c r="C713" s="2" t="s">
        <v>82</v>
      </c>
      <c r="D713" s="3" t="s">
        <v>83</v>
      </c>
      <c r="E713" s="4" t="s">
        <v>84</v>
      </c>
      <c r="F713" t="str">
        <f>'Source Table'!$B$8</f>
        <v>Parties Newspapers</v>
      </c>
      <c r="G713" t="str">
        <f>'Source Table'!$K$8</f>
        <v>صحف حزبية</v>
      </c>
      <c r="I713" t="str">
        <f>'Source Table'!$G$5</f>
        <v>فصلية</v>
      </c>
      <c r="J713" s="35">
        <v>0</v>
      </c>
      <c r="K713">
        <v>2016</v>
      </c>
    </row>
    <row r="714" ht="15.75" spans="1:11">
      <c r="A714" s="1" t="s">
        <v>5</v>
      </c>
      <c r="B714" s="1" t="s">
        <v>7</v>
      </c>
      <c r="C714" s="2" t="s">
        <v>82</v>
      </c>
      <c r="D714" s="3" t="s">
        <v>83</v>
      </c>
      <c r="E714" s="4" t="s">
        <v>84</v>
      </c>
      <c r="F714" t="str">
        <f>'Source Table'!$B$9</f>
        <v>Children Magazines &amp; Periodicals</v>
      </c>
      <c r="G714" t="str">
        <f>'Source Table'!$K$9</f>
        <v>المجلات والدوريات الأطفال</v>
      </c>
      <c r="I714" t="str">
        <f>'Source Table'!$G$5</f>
        <v>فصلية</v>
      </c>
      <c r="J714" s="35">
        <v>1</v>
      </c>
      <c r="K714">
        <v>2016</v>
      </c>
    </row>
    <row r="715" ht="15.75" spans="1:11">
      <c r="A715" s="1" t="s">
        <v>5</v>
      </c>
      <c r="B715" s="1" t="s">
        <v>7</v>
      </c>
      <c r="C715" s="2" t="s">
        <v>82</v>
      </c>
      <c r="D715" s="3" t="s">
        <v>83</v>
      </c>
      <c r="E715" s="4" t="s">
        <v>84</v>
      </c>
      <c r="F715" t="str">
        <f>'Source Table'!$B$10</f>
        <v>Economic Magazines &amp; Periodicals</v>
      </c>
      <c r="G715" t="str">
        <f>'Source Table'!$K$10</f>
        <v>المجلات والدوريات الاقتصادية</v>
      </c>
      <c r="I715" t="str">
        <f>'Source Table'!$G$5</f>
        <v>فصلية</v>
      </c>
      <c r="J715" s="35">
        <v>37</v>
      </c>
      <c r="K715">
        <v>2016</v>
      </c>
    </row>
    <row r="716" ht="15.75" spans="1:11">
      <c r="A716" s="1" t="s">
        <v>5</v>
      </c>
      <c r="B716" s="1" t="s">
        <v>7</v>
      </c>
      <c r="C716" s="2" t="s">
        <v>82</v>
      </c>
      <c r="D716" s="3" t="s">
        <v>83</v>
      </c>
      <c r="E716" s="4" t="s">
        <v>84</v>
      </c>
      <c r="F716" t="str">
        <f>'Source Table'!$B$11</f>
        <v>Army &amp; Police Magazines &amp; Periodicals</v>
      </c>
      <c r="G716" t="str">
        <f>'Source Table'!$K$11</f>
        <v>المجلات والدوريات العسكرية و شرطية</v>
      </c>
      <c r="I716" t="str">
        <f>'Source Table'!$G$5</f>
        <v>فصلية</v>
      </c>
      <c r="J716" s="35">
        <v>1</v>
      </c>
      <c r="K716">
        <v>2016</v>
      </c>
    </row>
    <row r="717" ht="15.75" spans="1:11">
      <c r="A717" s="1" t="s">
        <v>5</v>
      </c>
      <c r="B717" s="1" t="s">
        <v>7</v>
      </c>
      <c r="C717" s="2" t="s">
        <v>82</v>
      </c>
      <c r="D717" s="3" t="s">
        <v>83</v>
      </c>
      <c r="E717" s="4" t="s">
        <v>84</v>
      </c>
      <c r="F717" t="str">
        <f>'Source Table'!$B$12</f>
        <v>Youths &amp; Arts Magazines &amp; Periodicals</v>
      </c>
      <c r="G717" t="str">
        <f>'Source Table'!$K$12</f>
        <v>المجلات والدوريات الشباب و الفنون</v>
      </c>
      <c r="I717" t="str">
        <f>'Source Table'!$G$5</f>
        <v>فصلية</v>
      </c>
      <c r="J717" s="35">
        <v>6</v>
      </c>
      <c r="K717">
        <v>2016</v>
      </c>
    </row>
    <row r="718" ht="15.75" spans="1:11">
      <c r="A718" s="1" t="s">
        <v>5</v>
      </c>
      <c r="B718" s="1" t="s">
        <v>7</v>
      </c>
      <c r="C718" s="2" t="s">
        <v>82</v>
      </c>
      <c r="D718" s="3" t="s">
        <v>83</v>
      </c>
      <c r="E718" s="4" t="s">
        <v>84</v>
      </c>
      <c r="F718" t="str">
        <f>'Source Table'!$B$13</f>
        <v>Cultural &amp; Educational Magazines &amp; Periodicals</v>
      </c>
      <c r="G718" t="str">
        <f>'Source Table'!$K$13</f>
        <v>المجلات والدوريات الثقافية و المدرسية</v>
      </c>
      <c r="I718" t="str">
        <f>'Source Table'!$G$5</f>
        <v>فصلية</v>
      </c>
      <c r="J718" s="35">
        <v>31</v>
      </c>
      <c r="K718">
        <v>2016</v>
      </c>
    </row>
    <row r="719" ht="15.75" spans="1:11">
      <c r="A719" s="1" t="s">
        <v>5</v>
      </c>
      <c r="B719" s="1" t="s">
        <v>7</v>
      </c>
      <c r="C719" s="2" t="s">
        <v>82</v>
      </c>
      <c r="D719" s="3" t="s">
        <v>83</v>
      </c>
      <c r="E719" s="4" t="s">
        <v>84</v>
      </c>
      <c r="F719" t="str">
        <f>'Source Table'!$B$14</f>
        <v>Religious Magazines &amp; Periodicals</v>
      </c>
      <c r="G719" t="str">
        <f>'Source Table'!$K$14</f>
        <v>المجلات والدوريات الدينية</v>
      </c>
      <c r="I719" t="str">
        <f>'Source Table'!$G$5</f>
        <v>فصلية</v>
      </c>
      <c r="J719" s="35">
        <v>2</v>
      </c>
      <c r="K719">
        <v>2016</v>
      </c>
    </row>
    <row r="720" ht="15.75" spans="1:11">
      <c r="A720" s="1" t="s">
        <v>5</v>
      </c>
      <c r="B720" s="1" t="s">
        <v>7</v>
      </c>
      <c r="C720" s="2" t="s">
        <v>82</v>
      </c>
      <c r="D720" s="3" t="s">
        <v>83</v>
      </c>
      <c r="E720" s="4" t="s">
        <v>84</v>
      </c>
      <c r="F720" t="str">
        <f>'Source Table'!$B$15</f>
        <v>Scientific Magazines &amp; Periodicals</v>
      </c>
      <c r="G720" t="str">
        <f>'Source Table'!$K$15</f>
        <v>المجلات والدوريات العلمية</v>
      </c>
      <c r="I720" t="str">
        <f>'Source Table'!$G$5</f>
        <v>فصلية</v>
      </c>
      <c r="J720" s="35">
        <v>35</v>
      </c>
      <c r="K720">
        <v>2016</v>
      </c>
    </row>
    <row r="721" ht="15.75" spans="1:11">
      <c r="A721" s="1" t="s">
        <v>5</v>
      </c>
      <c r="B721" s="1" t="s">
        <v>7</v>
      </c>
      <c r="C721" s="2" t="s">
        <v>82</v>
      </c>
      <c r="D721" s="3" t="s">
        <v>83</v>
      </c>
      <c r="E721" s="4" t="s">
        <v>84</v>
      </c>
      <c r="F721" t="str">
        <f>'Source Table'!$B$16</f>
        <v>Financial Magazines &amp; Periodicals</v>
      </c>
      <c r="G721" t="str">
        <f>'Source Table'!$K$16</f>
        <v>المجلات والدوريات المالية</v>
      </c>
      <c r="I721" t="str">
        <f>'Source Table'!$G$5</f>
        <v>فصلية</v>
      </c>
      <c r="J721" s="35">
        <v>0</v>
      </c>
      <c r="K721">
        <v>2016</v>
      </c>
    </row>
    <row r="722" ht="15.75" spans="1:11">
      <c r="A722" s="1" t="s">
        <v>5</v>
      </c>
      <c r="B722" s="1" t="s">
        <v>7</v>
      </c>
      <c r="C722" s="2" t="s">
        <v>82</v>
      </c>
      <c r="D722" s="3" t="s">
        <v>83</v>
      </c>
      <c r="E722" s="4" t="s">
        <v>84</v>
      </c>
      <c r="F722" t="str">
        <f>'Source Table'!$B$17</f>
        <v>Tourist Magazines &amp; Periodicals</v>
      </c>
      <c r="G722" t="str">
        <f>'Source Table'!$K$17</f>
        <v>المجلات والدوريات سياحية</v>
      </c>
      <c r="I722" t="str">
        <f>'Source Table'!$G$5</f>
        <v>فصلية</v>
      </c>
      <c r="J722" s="35">
        <v>5</v>
      </c>
      <c r="K722">
        <v>2016</v>
      </c>
    </row>
    <row r="723" ht="16.5" spans="1:11">
      <c r="A723" s="1" t="s">
        <v>5</v>
      </c>
      <c r="B723" s="1" t="s">
        <v>7</v>
      </c>
      <c r="C723" s="2" t="s">
        <v>82</v>
      </c>
      <c r="D723" s="3" t="s">
        <v>83</v>
      </c>
      <c r="E723" s="4" t="s">
        <v>84</v>
      </c>
      <c r="F723" t="str">
        <f>'Source Table'!$B$18</f>
        <v>Other Magazines &amp; Periodicals</v>
      </c>
      <c r="G723" t="str">
        <f>'Source Table'!$K$18</f>
        <v>المجلات والدوريات أخرى</v>
      </c>
      <c r="I723" t="str">
        <f>'Source Table'!$G$5</f>
        <v>فصلية</v>
      </c>
      <c r="J723" s="36">
        <v>154</v>
      </c>
      <c r="K723">
        <v>2016</v>
      </c>
    </row>
    <row r="724" ht="15.75" spans="1:11">
      <c r="A724" s="1" t="s">
        <v>5</v>
      </c>
      <c r="B724" s="1" t="s">
        <v>7</v>
      </c>
      <c r="C724" s="2" t="s">
        <v>82</v>
      </c>
      <c r="D724" s="3" t="s">
        <v>83</v>
      </c>
      <c r="E724" s="4" t="s">
        <v>84</v>
      </c>
      <c r="F724" t="str">
        <f>'Source Table'!$B$7</f>
        <v>Political Newspapers</v>
      </c>
      <c r="G724" t="str">
        <f>'Source Table'!$K$7</f>
        <v>صحف سياسية</v>
      </c>
      <c r="I724" t="str">
        <f>'Source Table'!$F$5</f>
        <v>سنوية</v>
      </c>
      <c r="J724" s="5"/>
      <c r="K724">
        <v>2016</v>
      </c>
    </row>
    <row r="725" ht="15.75" spans="1:11">
      <c r="A725" s="1" t="s">
        <v>5</v>
      </c>
      <c r="B725" s="1" t="s">
        <v>7</v>
      </c>
      <c r="C725" s="2" t="s">
        <v>82</v>
      </c>
      <c r="D725" s="3" t="s">
        <v>83</v>
      </c>
      <c r="E725" s="4" t="s">
        <v>84</v>
      </c>
      <c r="F725" t="str">
        <f>'Source Table'!$B$8</f>
        <v>Parties Newspapers</v>
      </c>
      <c r="G725" t="str">
        <f>'Source Table'!$K$8</f>
        <v>صحف حزبية</v>
      </c>
      <c r="I725" t="str">
        <f>'Source Table'!$F$5</f>
        <v>سنوية</v>
      </c>
      <c r="J725" s="5"/>
      <c r="K725">
        <v>2016</v>
      </c>
    </row>
    <row r="726" ht="15.75" spans="1:11">
      <c r="A726" s="1" t="s">
        <v>5</v>
      </c>
      <c r="B726" s="1" t="s">
        <v>7</v>
      </c>
      <c r="C726" s="2" t="s">
        <v>82</v>
      </c>
      <c r="D726" s="3" t="s">
        <v>83</v>
      </c>
      <c r="E726" s="4" t="s">
        <v>84</v>
      </c>
      <c r="F726" t="str">
        <f>'Source Table'!$B$9</f>
        <v>Children Magazines &amp; Periodicals</v>
      </c>
      <c r="G726" t="str">
        <f>'Source Table'!$K$9</f>
        <v>المجلات والدوريات الأطفال</v>
      </c>
      <c r="I726" t="str">
        <f>'Source Table'!$F$5</f>
        <v>سنوية</v>
      </c>
      <c r="J726" s="5"/>
      <c r="K726">
        <v>2016</v>
      </c>
    </row>
    <row r="727" ht="15.75" spans="1:11">
      <c r="A727" s="1" t="s">
        <v>5</v>
      </c>
      <c r="B727" s="1" t="s">
        <v>7</v>
      </c>
      <c r="C727" s="2" t="s">
        <v>82</v>
      </c>
      <c r="D727" s="3" t="s">
        <v>83</v>
      </c>
      <c r="E727" s="4" t="s">
        <v>84</v>
      </c>
      <c r="F727" t="str">
        <f>'Source Table'!$B$10</f>
        <v>Economic Magazines &amp; Periodicals</v>
      </c>
      <c r="G727" t="str">
        <f>'Source Table'!$K$10</f>
        <v>المجلات والدوريات الاقتصادية</v>
      </c>
      <c r="I727" t="str">
        <f>'Source Table'!$F$5</f>
        <v>سنوية</v>
      </c>
      <c r="J727" s="5"/>
      <c r="K727">
        <v>2016</v>
      </c>
    </row>
    <row r="728" ht="15.75" spans="1:11">
      <c r="A728" s="1" t="s">
        <v>5</v>
      </c>
      <c r="B728" s="1" t="s">
        <v>7</v>
      </c>
      <c r="C728" s="2" t="s">
        <v>82</v>
      </c>
      <c r="D728" s="3" t="s">
        <v>83</v>
      </c>
      <c r="E728" s="4" t="s">
        <v>84</v>
      </c>
      <c r="F728" t="str">
        <f>'Source Table'!$B$11</f>
        <v>Army &amp; Police Magazines &amp; Periodicals</v>
      </c>
      <c r="G728" t="str">
        <f>'Source Table'!$K$11</f>
        <v>المجلات والدوريات العسكرية و شرطية</v>
      </c>
      <c r="I728" t="str">
        <f>'Source Table'!$F$5</f>
        <v>سنوية</v>
      </c>
      <c r="J728" s="5"/>
      <c r="K728">
        <v>2016</v>
      </c>
    </row>
    <row r="729" ht="15.75" spans="1:11">
      <c r="A729" s="1" t="s">
        <v>5</v>
      </c>
      <c r="B729" s="1" t="s">
        <v>7</v>
      </c>
      <c r="C729" s="2" t="s">
        <v>82</v>
      </c>
      <c r="D729" s="3" t="s">
        <v>83</v>
      </c>
      <c r="E729" s="4" t="s">
        <v>84</v>
      </c>
      <c r="F729" t="str">
        <f>'Source Table'!$B$12</f>
        <v>Youths &amp; Arts Magazines &amp; Periodicals</v>
      </c>
      <c r="G729" t="str">
        <f>'Source Table'!$K$12</f>
        <v>المجلات والدوريات الشباب و الفنون</v>
      </c>
      <c r="I729" t="str">
        <f>'Source Table'!$F$5</f>
        <v>سنوية</v>
      </c>
      <c r="J729" s="5"/>
      <c r="K729">
        <v>2016</v>
      </c>
    </row>
    <row r="730" ht="15.75" spans="1:11">
      <c r="A730" s="1" t="s">
        <v>5</v>
      </c>
      <c r="B730" s="1" t="s">
        <v>7</v>
      </c>
      <c r="C730" s="2" t="s">
        <v>82</v>
      </c>
      <c r="D730" s="3" t="s">
        <v>83</v>
      </c>
      <c r="E730" s="4" t="s">
        <v>84</v>
      </c>
      <c r="F730" t="str">
        <f>'Source Table'!$B$13</f>
        <v>Cultural &amp; Educational Magazines &amp; Periodicals</v>
      </c>
      <c r="G730" t="str">
        <f>'Source Table'!$K$13</f>
        <v>المجلات والدوريات الثقافية و المدرسية</v>
      </c>
      <c r="I730" t="str">
        <f>'Source Table'!$F$5</f>
        <v>سنوية</v>
      </c>
      <c r="J730" s="5"/>
      <c r="K730">
        <v>2016</v>
      </c>
    </row>
    <row r="731" ht="15.75" spans="1:11">
      <c r="A731" s="1" t="s">
        <v>5</v>
      </c>
      <c r="B731" s="1" t="s">
        <v>7</v>
      </c>
      <c r="C731" s="2" t="s">
        <v>82</v>
      </c>
      <c r="D731" s="3" t="s">
        <v>83</v>
      </c>
      <c r="E731" s="4" t="s">
        <v>84</v>
      </c>
      <c r="F731" t="str">
        <f>'Source Table'!$B$14</f>
        <v>Religious Magazines &amp; Periodicals</v>
      </c>
      <c r="G731" t="str">
        <f>'Source Table'!$K$14</f>
        <v>المجلات والدوريات الدينية</v>
      </c>
      <c r="I731" t="str">
        <f>'Source Table'!$F$5</f>
        <v>سنوية</v>
      </c>
      <c r="J731" s="5"/>
      <c r="K731">
        <v>2016</v>
      </c>
    </row>
    <row r="732" ht="15.75" spans="1:11">
      <c r="A732" s="1" t="s">
        <v>5</v>
      </c>
      <c r="B732" s="1" t="s">
        <v>7</v>
      </c>
      <c r="C732" s="2" t="s">
        <v>82</v>
      </c>
      <c r="D732" s="3" t="s">
        <v>83</v>
      </c>
      <c r="E732" s="4" t="s">
        <v>84</v>
      </c>
      <c r="F732" t="str">
        <f>'Source Table'!$B$15</f>
        <v>Scientific Magazines &amp; Periodicals</v>
      </c>
      <c r="G732" t="str">
        <f>'Source Table'!$K$15</f>
        <v>المجلات والدوريات العلمية</v>
      </c>
      <c r="I732" t="str">
        <f>'Source Table'!$F$5</f>
        <v>سنوية</v>
      </c>
      <c r="J732" s="5"/>
      <c r="K732">
        <v>2016</v>
      </c>
    </row>
    <row r="733" ht="15.75" spans="1:11">
      <c r="A733" s="1" t="s">
        <v>5</v>
      </c>
      <c r="B733" s="1" t="s">
        <v>7</v>
      </c>
      <c r="C733" s="2" t="s">
        <v>82</v>
      </c>
      <c r="D733" s="3" t="s">
        <v>83</v>
      </c>
      <c r="E733" s="4" t="s">
        <v>84</v>
      </c>
      <c r="F733" t="str">
        <f>'Source Table'!$B$16</f>
        <v>Financial Magazines &amp; Periodicals</v>
      </c>
      <c r="G733" t="str">
        <f>'Source Table'!$K$16</f>
        <v>المجلات والدوريات المالية</v>
      </c>
      <c r="I733" t="str">
        <f>'Source Table'!$F$5</f>
        <v>سنوية</v>
      </c>
      <c r="J733" s="5"/>
      <c r="K733">
        <v>2016</v>
      </c>
    </row>
    <row r="734" ht="15.75" spans="1:11">
      <c r="A734" s="1" t="s">
        <v>5</v>
      </c>
      <c r="B734" s="1" t="s">
        <v>7</v>
      </c>
      <c r="C734" s="2" t="s">
        <v>82</v>
      </c>
      <c r="D734" s="3" t="s">
        <v>83</v>
      </c>
      <c r="E734" s="4" t="s">
        <v>84</v>
      </c>
      <c r="F734" t="str">
        <f>'Source Table'!$B$17</f>
        <v>Tourist Magazines &amp; Periodicals</v>
      </c>
      <c r="G734" t="str">
        <f>'Source Table'!$K$17</f>
        <v>المجلات والدوريات سياحية</v>
      </c>
      <c r="I734" t="str">
        <f>'Source Table'!$F$5</f>
        <v>سنوية</v>
      </c>
      <c r="J734" s="5"/>
      <c r="K734">
        <v>2016</v>
      </c>
    </row>
    <row r="735" ht="15.75" spans="1:11">
      <c r="A735" s="1" t="s">
        <v>5</v>
      </c>
      <c r="B735" s="1" t="s">
        <v>7</v>
      </c>
      <c r="C735" s="2" t="s">
        <v>82</v>
      </c>
      <c r="D735" s="3" t="s">
        <v>83</v>
      </c>
      <c r="E735" s="4" t="s">
        <v>84</v>
      </c>
      <c r="F735" t="str">
        <f>'Source Table'!$B$18</f>
        <v>Other Magazines &amp; Periodicals</v>
      </c>
      <c r="G735" t="str">
        <f>'Source Table'!$K$18</f>
        <v>المجلات والدوريات أخرى</v>
      </c>
      <c r="I735" t="str">
        <f>'Source Table'!$F$5</f>
        <v>سنوية</v>
      </c>
      <c r="J735" s="6"/>
      <c r="K735">
        <v>2016</v>
      </c>
    </row>
    <row r="736" ht="15.75" spans="1:11">
      <c r="A736" s="1" t="s">
        <v>5</v>
      </c>
      <c r="B736" s="1" t="s">
        <v>7</v>
      </c>
      <c r="C736" s="2" t="s">
        <v>82</v>
      </c>
      <c r="D736" s="3" t="s">
        <v>83</v>
      </c>
      <c r="E736" s="4" t="s">
        <v>84</v>
      </c>
      <c r="F736" t="str">
        <f>'Source Table'!$B$7</f>
        <v>Political Newspapers</v>
      </c>
      <c r="G736" t="str">
        <f>'Source Table'!$K$7</f>
        <v>صحف سياسية</v>
      </c>
      <c r="I736" t="str">
        <f>'Source Table'!$E$5</f>
        <v>كل شهرين</v>
      </c>
      <c r="J736" s="7"/>
      <c r="K736">
        <v>2016</v>
      </c>
    </row>
    <row r="737" ht="15.75" spans="1:11">
      <c r="A737" s="1" t="s">
        <v>5</v>
      </c>
      <c r="B737" s="1" t="s">
        <v>7</v>
      </c>
      <c r="C737" s="2" t="s">
        <v>82</v>
      </c>
      <c r="D737" s="3" t="s">
        <v>83</v>
      </c>
      <c r="E737" s="4" t="s">
        <v>84</v>
      </c>
      <c r="F737" t="str">
        <f>'Source Table'!$B$8</f>
        <v>Parties Newspapers</v>
      </c>
      <c r="G737" t="str">
        <f>'Source Table'!$K$8</f>
        <v>صحف حزبية</v>
      </c>
      <c r="I737" t="str">
        <f>'Source Table'!$E$5</f>
        <v>كل شهرين</v>
      </c>
      <c r="J737" s="7"/>
      <c r="K737">
        <v>2016</v>
      </c>
    </row>
    <row r="738" ht="15.75" spans="1:11">
      <c r="A738" s="1" t="s">
        <v>5</v>
      </c>
      <c r="B738" s="1" t="s">
        <v>7</v>
      </c>
      <c r="C738" s="2" t="s">
        <v>82</v>
      </c>
      <c r="D738" s="3" t="s">
        <v>83</v>
      </c>
      <c r="E738" s="4" t="s">
        <v>84</v>
      </c>
      <c r="F738" t="str">
        <f>'Source Table'!$B$9</f>
        <v>Children Magazines &amp; Periodicals</v>
      </c>
      <c r="G738" t="str">
        <f>'Source Table'!$K$9</f>
        <v>المجلات والدوريات الأطفال</v>
      </c>
      <c r="I738" t="str">
        <f>'Source Table'!$E$5</f>
        <v>كل شهرين</v>
      </c>
      <c r="J738" s="7"/>
      <c r="K738">
        <v>2016</v>
      </c>
    </row>
    <row r="739" ht="15.75" spans="1:11">
      <c r="A739" s="1" t="s">
        <v>5</v>
      </c>
      <c r="B739" s="1" t="s">
        <v>7</v>
      </c>
      <c r="C739" s="2" t="s">
        <v>82</v>
      </c>
      <c r="D739" s="3" t="s">
        <v>83</v>
      </c>
      <c r="E739" s="4" t="s">
        <v>84</v>
      </c>
      <c r="F739" t="str">
        <f>'Source Table'!$B$10</f>
        <v>Economic Magazines &amp; Periodicals</v>
      </c>
      <c r="G739" t="str">
        <f>'Source Table'!$K$10</f>
        <v>المجلات والدوريات الاقتصادية</v>
      </c>
      <c r="I739" t="str">
        <f>'Source Table'!$E$5</f>
        <v>كل شهرين</v>
      </c>
      <c r="J739" s="7"/>
      <c r="K739">
        <v>2016</v>
      </c>
    </row>
    <row r="740" ht="15.75" spans="1:11">
      <c r="A740" s="1" t="s">
        <v>5</v>
      </c>
      <c r="B740" s="1" t="s">
        <v>7</v>
      </c>
      <c r="C740" s="2" t="s">
        <v>82</v>
      </c>
      <c r="D740" s="3" t="s">
        <v>83</v>
      </c>
      <c r="E740" s="4" t="s">
        <v>84</v>
      </c>
      <c r="F740" t="str">
        <f>'Source Table'!$B$11</f>
        <v>Army &amp; Police Magazines &amp; Periodicals</v>
      </c>
      <c r="G740" t="str">
        <f>'Source Table'!$K$11</f>
        <v>المجلات والدوريات العسكرية و شرطية</v>
      </c>
      <c r="I740" t="str">
        <f>'Source Table'!$E$5</f>
        <v>كل شهرين</v>
      </c>
      <c r="J740" s="7"/>
      <c r="K740">
        <v>2016</v>
      </c>
    </row>
    <row r="741" ht="15.75" spans="1:11">
      <c r="A741" s="1" t="s">
        <v>5</v>
      </c>
      <c r="B741" s="1" t="s">
        <v>7</v>
      </c>
      <c r="C741" s="2" t="s">
        <v>82</v>
      </c>
      <c r="D741" s="3" t="s">
        <v>83</v>
      </c>
      <c r="E741" s="4" t="s">
        <v>84</v>
      </c>
      <c r="F741" t="str">
        <f>'Source Table'!$B$12</f>
        <v>Youths &amp; Arts Magazines &amp; Periodicals</v>
      </c>
      <c r="G741" t="str">
        <f>'Source Table'!$K$12</f>
        <v>المجلات والدوريات الشباب و الفنون</v>
      </c>
      <c r="I741" t="str">
        <f>'Source Table'!$E$5</f>
        <v>كل شهرين</v>
      </c>
      <c r="J741" s="7"/>
      <c r="K741">
        <v>2016</v>
      </c>
    </row>
    <row r="742" ht="15.75" spans="1:11">
      <c r="A742" s="1" t="s">
        <v>5</v>
      </c>
      <c r="B742" s="1" t="s">
        <v>7</v>
      </c>
      <c r="C742" s="2" t="s">
        <v>82</v>
      </c>
      <c r="D742" s="3" t="s">
        <v>83</v>
      </c>
      <c r="E742" s="4" t="s">
        <v>84</v>
      </c>
      <c r="F742" t="str">
        <f>'Source Table'!$B$13</f>
        <v>Cultural &amp; Educational Magazines &amp; Periodicals</v>
      </c>
      <c r="G742" t="str">
        <f>'Source Table'!$K$13</f>
        <v>المجلات والدوريات الثقافية و المدرسية</v>
      </c>
      <c r="I742" t="str">
        <f>'Source Table'!$E$5</f>
        <v>كل شهرين</v>
      </c>
      <c r="J742" s="7"/>
      <c r="K742">
        <v>2016</v>
      </c>
    </row>
    <row r="743" ht="15.75" spans="1:11">
      <c r="A743" s="1" t="s">
        <v>5</v>
      </c>
      <c r="B743" s="1" t="s">
        <v>7</v>
      </c>
      <c r="C743" s="2" t="s">
        <v>82</v>
      </c>
      <c r="D743" s="3" t="s">
        <v>83</v>
      </c>
      <c r="E743" s="4" t="s">
        <v>84</v>
      </c>
      <c r="F743" t="str">
        <f>'Source Table'!$B$14</f>
        <v>Religious Magazines &amp; Periodicals</v>
      </c>
      <c r="G743" t="str">
        <f>'Source Table'!$K$14</f>
        <v>المجلات والدوريات الدينية</v>
      </c>
      <c r="I743" t="str">
        <f>'Source Table'!$E$5</f>
        <v>كل شهرين</v>
      </c>
      <c r="J743" s="7"/>
      <c r="K743">
        <v>2016</v>
      </c>
    </row>
    <row r="744" ht="15.75" spans="1:11">
      <c r="A744" s="1" t="s">
        <v>5</v>
      </c>
      <c r="B744" s="1" t="s">
        <v>7</v>
      </c>
      <c r="C744" s="2" t="s">
        <v>82</v>
      </c>
      <c r="D744" s="3" t="s">
        <v>83</v>
      </c>
      <c r="E744" s="4" t="s">
        <v>84</v>
      </c>
      <c r="F744" t="str">
        <f>'Source Table'!$B$15</f>
        <v>Scientific Magazines &amp; Periodicals</v>
      </c>
      <c r="G744" t="str">
        <f>'Source Table'!$K$15</f>
        <v>المجلات والدوريات العلمية</v>
      </c>
      <c r="I744" t="str">
        <f>'Source Table'!$E$5</f>
        <v>كل شهرين</v>
      </c>
      <c r="J744" s="7"/>
      <c r="K744">
        <v>2016</v>
      </c>
    </row>
    <row r="745" ht="15.75" spans="1:11">
      <c r="A745" s="1" t="s">
        <v>5</v>
      </c>
      <c r="B745" s="1" t="s">
        <v>7</v>
      </c>
      <c r="C745" s="2" t="s">
        <v>82</v>
      </c>
      <c r="D745" s="3" t="s">
        <v>83</v>
      </c>
      <c r="E745" s="4" t="s">
        <v>84</v>
      </c>
      <c r="F745" t="str">
        <f>'Source Table'!$B$16</f>
        <v>Financial Magazines &amp; Periodicals</v>
      </c>
      <c r="G745" t="str">
        <f>'Source Table'!$K$16</f>
        <v>المجلات والدوريات المالية</v>
      </c>
      <c r="I745" t="str">
        <f>'Source Table'!$E$5</f>
        <v>كل شهرين</v>
      </c>
      <c r="J745" s="7"/>
      <c r="K745">
        <v>2016</v>
      </c>
    </row>
    <row r="746" ht="15.75" spans="1:11">
      <c r="A746" s="1" t="s">
        <v>5</v>
      </c>
      <c r="B746" s="1" t="s">
        <v>7</v>
      </c>
      <c r="C746" s="2" t="s">
        <v>82</v>
      </c>
      <c r="D746" s="3" t="s">
        <v>83</v>
      </c>
      <c r="E746" s="4" t="s">
        <v>84</v>
      </c>
      <c r="F746" t="str">
        <f>'Source Table'!$B$17</f>
        <v>Tourist Magazines &amp; Periodicals</v>
      </c>
      <c r="G746" t="str">
        <f>'Source Table'!$K$17</f>
        <v>المجلات والدوريات سياحية</v>
      </c>
      <c r="I746" t="str">
        <f>'Source Table'!$E$5</f>
        <v>كل شهرين</v>
      </c>
      <c r="J746" s="7"/>
      <c r="K746">
        <v>2016</v>
      </c>
    </row>
    <row r="747" ht="15.75" spans="1:11">
      <c r="A747" s="1" t="s">
        <v>5</v>
      </c>
      <c r="B747" s="1" t="s">
        <v>7</v>
      </c>
      <c r="C747" s="2" t="s">
        <v>82</v>
      </c>
      <c r="D747" s="3" t="s">
        <v>83</v>
      </c>
      <c r="E747" s="4" t="s">
        <v>84</v>
      </c>
      <c r="F747" t="str">
        <f>'Source Table'!$B$18</f>
        <v>Other Magazines &amp; Periodicals</v>
      </c>
      <c r="G747" t="str">
        <f>'Source Table'!$K$18</f>
        <v>المجلات والدوريات أخرى</v>
      </c>
      <c r="I747" t="str">
        <f>'Source Table'!$E$5</f>
        <v>كل شهرين</v>
      </c>
      <c r="J747" s="8"/>
      <c r="K747">
        <v>2016</v>
      </c>
    </row>
    <row r="748" ht="15.75" spans="1:11">
      <c r="A748" s="1" t="s">
        <v>5</v>
      </c>
      <c r="B748" s="1" t="s">
        <v>7</v>
      </c>
      <c r="C748" s="2" t="s">
        <v>82</v>
      </c>
      <c r="D748" s="3" t="s">
        <v>83</v>
      </c>
      <c r="E748" s="4" t="s">
        <v>84</v>
      </c>
      <c r="F748" t="str">
        <f>'Source Table'!$B$7</f>
        <v>Political Newspapers</v>
      </c>
      <c r="G748" t="str">
        <f>'Source Table'!$K$7</f>
        <v>صحف سياسية</v>
      </c>
      <c r="I748" t="str">
        <f>'Source Table'!$D$5</f>
        <v>نصف سنوية</v>
      </c>
      <c r="J748" s="7"/>
      <c r="K748">
        <v>2016</v>
      </c>
    </row>
    <row r="749" ht="15.75" spans="1:11">
      <c r="A749" s="1" t="s">
        <v>5</v>
      </c>
      <c r="B749" s="1" t="s">
        <v>7</v>
      </c>
      <c r="C749" s="2" t="s">
        <v>82</v>
      </c>
      <c r="D749" s="3" t="s">
        <v>83</v>
      </c>
      <c r="E749" s="4" t="s">
        <v>84</v>
      </c>
      <c r="F749" t="str">
        <f>'Source Table'!$B$8</f>
        <v>Parties Newspapers</v>
      </c>
      <c r="G749" t="str">
        <f>'Source Table'!$K$8</f>
        <v>صحف حزبية</v>
      </c>
      <c r="I749" t="str">
        <f>'Source Table'!$D$5</f>
        <v>نصف سنوية</v>
      </c>
      <c r="J749" s="7"/>
      <c r="K749">
        <v>2016</v>
      </c>
    </row>
    <row r="750" ht="15.75" spans="1:11">
      <c r="A750" s="1" t="s">
        <v>5</v>
      </c>
      <c r="B750" s="1" t="s">
        <v>7</v>
      </c>
      <c r="C750" s="2" t="s">
        <v>82</v>
      </c>
      <c r="D750" s="3" t="s">
        <v>83</v>
      </c>
      <c r="E750" s="4" t="s">
        <v>84</v>
      </c>
      <c r="F750" t="str">
        <f>'Source Table'!$B$9</f>
        <v>Children Magazines &amp; Periodicals</v>
      </c>
      <c r="G750" t="str">
        <f>'Source Table'!$K$9</f>
        <v>المجلات والدوريات الأطفال</v>
      </c>
      <c r="I750" t="str">
        <f>'Source Table'!$D$5</f>
        <v>نصف سنوية</v>
      </c>
      <c r="J750" s="7"/>
      <c r="K750">
        <v>2016</v>
      </c>
    </row>
    <row r="751" ht="15.75" spans="1:11">
      <c r="A751" s="1" t="s">
        <v>5</v>
      </c>
      <c r="B751" s="1" t="s">
        <v>7</v>
      </c>
      <c r="C751" s="2" t="s">
        <v>82</v>
      </c>
      <c r="D751" s="3" t="s">
        <v>83</v>
      </c>
      <c r="E751" s="4" t="s">
        <v>84</v>
      </c>
      <c r="F751" t="str">
        <f>'Source Table'!$B$10</f>
        <v>Economic Magazines &amp; Periodicals</v>
      </c>
      <c r="G751" t="str">
        <f>'Source Table'!$K$10</f>
        <v>المجلات والدوريات الاقتصادية</v>
      </c>
      <c r="I751" t="str">
        <f>'Source Table'!$D$5</f>
        <v>نصف سنوية</v>
      </c>
      <c r="J751" s="7"/>
      <c r="K751">
        <v>2016</v>
      </c>
    </row>
    <row r="752" ht="15.75" spans="1:11">
      <c r="A752" s="1" t="s">
        <v>5</v>
      </c>
      <c r="B752" s="1" t="s">
        <v>7</v>
      </c>
      <c r="C752" s="2" t="s">
        <v>82</v>
      </c>
      <c r="D752" s="3" t="s">
        <v>83</v>
      </c>
      <c r="E752" s="4" t="s">
        <v>84</v>
      </c>
      <c r="F752" t="str">
        <f>'Source Table'!$B$11</f>
        <v>Army &amp; Police Magazines &amp; Periodicals</v>
      </c>
      <c r="G752" t="str">
        <f>'Source Table'!$K$11</f>
        <v>المجلات والدوريات العسكرية و شرطية</v>
      </c>
      <c r="I752" t="str">
        <f>'Source Table'!$D$5</f>
        <v>نصف سنوية</v>
      </c>
      <c r="J752" s="7"/>
      <c r="K752">
        <v>2016</v>
      </c>
    </row>
    <row r="753" ht="15.75" spans="1:11">
      <c r="A753" s="1" t="s">
        <v>5</v>
      </c>
      <c r="B753" s="1" t="s">
        <v>7</v>
      </c>
      <c r="C753" s="2" t="s">
        <v>82</v>
      </c>
      <c r="D753" s="3" t="s">
        <v>83</v>
      </c>
      <c r="E753" s="4" t="s">
        <v>84</v>
      </c>
      <c r="F753" t="str">
        <f>'Source Table'!$B$12</f>
        <v>Youths &amp; Arts Magazines &amp; Periodicals</v>
      </c>
      <c r="G753" t="str">
        <f>'Source Table'!$K$12</f>
        <v>المجلات والدوريات الشباب و الفنون</v>
      </c>
      <c r="I753" t="str">
        <f>'Source Table'!$D$5</f>
        <v>نصف سنوية</v>
      </c>
      <c r="J753" s="7"/>
      <c r="K753">
        <v>2016</v>
      </c>
    </row>
    <row r="754" ht="15.75" spans="1:11">
      <c r="A754" s="1" t="s">
        <v>5</v>
      </c>
      <c r="B754" s="1" t="s">
        <v>7</v>
      </c>
      <c r="C754" s="2" t="s">
        <v>82</v>
      </c>
      <c r="D754" s="3" t="s">
        <v>83</v>
      </c>
      <c r="E754" s="4" t="s">
        <v>84</v>
      </c>
      <c r="F754" t="str">
        <f>'Source Table'!$B$13</f>
        <v>Cultural &amp; Educational Magazines &amp; Periodicals</v>
      </c>
      <c r="G754" t="str">
        <f>'Source Table'!$K$13</f>
        <v>المجلات والدوريات الثقافية و المدرسية</v>
      </c>
      <c r="I754" t="str">
        <f>'Source Table'!$D$5</f>
        <v>نصف سنوية</v>
      </c>
      <c r="J754" s="7"/>
      <c r="K754">
        <v>2016</v>
      </c>
    </row>
    <row r="755" ht="15.75" spans="1:11">
      <c r="A755" s="1" t="s">
        <v>5</v>
      </c>
      <c r="B755" s="1" t="s">
        <v>7</v>
      </c>
      <c r="C755" s="2" t="s">
        <v>82</v>
      </c>
      <c r="D755" s="3" t="s">
        <v>83</v>
      </c>
      <c r="E755" s="4" t="s">
        <v>84</v>
      </c>
      <c r="F755" t="str">
        <f>'Source Table'!$B$14</f>
        <v>Religious Magazines &amp; Periodicals</v>
      </c>
      <c r="G755" t="str">
        <f>'Source Table'!$K$14</f>
        <v>المجلات والدوريات الدينية</v>
      </c>
      <c r="I755" t="str">
        <f>'Source Table'!$D$5</f>
        <v>نصف سنوية</v>
      </c>
      <c r="J755" s="7"/>
      <c r="K755">
        <v>2016</v>
      </c>
    </row>
    <row r="756" ht="15.75" spans="1:11">
      <c r="A756" s="1" t="s">
        <v>5</v>
      </c>
      <c r="B756" s="1" t="s">
        <v>7</v>
      </c>
      <c r="C756" s="2" t="s">
        <v>82</v>
      </c>
      <c r="D756" s="3" t="s">
        <v>83</v>
      </c>
      <c r="E756" s="4" t="s">
        <v>84</v>
      </c>
      <c r="F756" t="str">
        <f>'Source Table'!$B$15</f>
        <v>Scientific Magazines &amp; Periodicals</v>
      </c>
      <c r="G756" t="str">
        <f>'Source Table'!$K$15</f>
        <v>المجلات والدوريات العلمية</v>
      </c>
      <c r="I756" t="str">
        <f>'Source Table'!$D$5</f>
        <v>نصف سنوية</v>
      </c>
      <c r="J756" s="7"/>
      <c r="K756">
        <v>2016</v>
      </c>
    </row>
    <row r="757" ht="15.75" spans="1:11">
      <c r="A757" s="1" t="s">
        <v>5</v>
      </c>
      <c r="B757" s="1" t="s">
        <v>7</v>
      </c>
      <c r="C757" s="2" t="s">
        <v>82</v>
      </c>
      <c r="D757" s="3" t="s">
        <v>83</v>
      </c>
      <c r="E757" s="4" t="s">
        <v>84</v>
      </c>
      <c r="F757" t="str">
        <f>'Source Table'!$B$16</f>
        <v>Financial Magazines &amp; Periodicals</v>
      </c>
      <c r="G757" t="str">
        <f>'Source Table'!$K$16</f>
        <v>المجلات والدوريات المالية</v>
      </c>
      <c r="I757" t="str">
        <f>'Source Table'!$D$5</f>
        <v>نصف سنوية</v>
      </c>
      <c r="J757" s="7"/>
      <c r="K757">
        <v>2016</v>
      </c>
    </row>
    <row r="758" ht="15.75" spans="1:11">
      <c r="A758" s="1" t="s">
        <v>5</v>
      </c>
      <c r="B758" s="1" t="s">
        <v>7</v>
      </c>
      <c r="C758" s="2" t="s">
        <v>82</v>
      </c>
      <c r="D758" s="3" t="s">
        <v>83</v>
      </c>
      <c r="E758" s="4" t="s">
        <v>84</v>
      </c>
      <c r="F758" t="str">
        <f>'Source Table'!$B$17</f>
        <v>Tourist Magazines &amp; Periodicals</v>
      </c>
      <c r="G758" t="str">
        <f>'Source Table'!$K$17</f>
        <v>المجلات والدوريات سياحية</v>
      </c>
      <c r="I758" t="str">
        <f>'Source Table'!$D$5</f>
        <v>نصف سنوية</v>
      </c>
      <c r="J758" s="7"/>
      <c r="K758">
        <v>2016</v>
      </c>
    </row>
    <row r="759" ht="15.75" spans="1:11">
      <c r="A759" s="1" t="s">
        <v>5</v>
      </c>
      <c r="B759" s="1" t="s">
        <v>7</v>
      </c>
      <c r="C759" s="2" t="s">
        <v>82</v>
      </c>
      <c r="D759" s="3" t="s">
        <v>83</v>
      </c>
      <c r="E759" s="4" t="s">
        <v>84</v>
      </c>
      <c r="F759" t="str">
        <f>'Source Table'!$B$18</f>
        <v>Other Magazines &amp; Periodicals</v>
      </c>
      <c r="G759" t="str">
        <f>'Source Table'!$K$18</f>
        <v>المجلات والدوريات أخرى</v>
      </c>
      <c r="I759" t="str">
        <f>'Source Table'!$D$5</f>
        <v>نصف سنوية</v>
      </c>
      <c r="J759" s="8"/>
      <c r="K759">
        <v>2016</v>
      </c>
    </row>
    <row r="760" ht="15.75" spans="1:11">
      <c r="A760" s="1" t="s">
        <v>5</v>
      </c>
      <c r="B760" s="1" t="s">
        <v>7</v>
      </c>
      <c r="C760" s="2" t="s">
        <v>82</v>
      </c>
      <c r="D760" s="3" t="s">
        <v>83</v>
      </c>
      <c r="E760" s="4" t="s">
        <v>84</v>
      </c>
      <c r="F760" t="str">
        <f>'Source Table'!$B$7</f>
        <v>Political Newspapers</v>
      </c>
      <c r="G760" t="str">
        <f>'Source Table'!$K$7</f>
        <v>صحف سياسية</v>
      </c>
      <c r="I760" t="str">
        <f>'Source Table'!$C$5</f>
        <v>نصف شهرية</v>
      </c>
      <c r="J760" s="5"/>
      <c r="K760">
        <v>2016</v>
      </c>
    </row>
    <row r="761" ht="15.75" spans="1:11">
      <c r="A761" s="1" t="s">
        <v>5</v>
      </c>
      <c r="B761" s="1" t="s">
        <v>7</v>
      </c>
      <c r="C761" s="2" t="s">
        <v>82</v>
      </c>
      <c r="D761" s="3" t="s">
        <v>83</v>
      </c>
      <c r="E761" s="4" t="s">
        <v>84</v>
      </c>
      <c r="F761" t="str">
        <f>'Source Table'!$B$8</f>
        <v>Parties Newspapers</v>
      </c>
      <c r="G761" t="str">
        <f>'Source Table'!$K$8</f>
        <v>صحف حزبية</v>
      </c>
      <c r="I761" t="str">
        <f>'Source Table'!$C$5</f>
        <v>نصف شهرية</v>
      </c>
      <c r="J761" s="5"/>
      <c r="K761">
        <v>2016</v>
      </c>
    </row>
    <row r="762" ht="15.75" spans="1:11">
      <c r="A762" s="1" t="s">
        <v>5</v>
      </c>
      <c r="B762" s="1" t="s">
        <v>7</v>
      </c>
      <c r="C762" s="2" t="s">
        <v>82</v>
      </c>
      <c r="D762" s="3" t="s">
        <v>83</v>
      </c>
      <c r="E762" s="4" t="s">
        <v>84</v>
      </c>
      <c r="F762" t="str">
        <f>'Source Table'!$B$9</f>
        <v>Children Magazines &amp; Periodicals</v>
      </c>
      <c r="G762" t="str">
        <f>'Source Table'!$K$9</f>
        <v>المجلات والدوريات الأطفال</v>
      </c>
      <c r="I762" t="str">
        <f>'Source Table'!$C$5</f>
        <v>نصف شهرية</v>
      </c>
      <c r="J762" s="5"/>
      <c r="K762">
        <v>2016</v>
      </c>
    </row>
    <row r="763" ht="15.75" spans="1:11">
      <c r="A763" s="1" t="s">
        <v>5</v>
      </c>
      <c r="B763" s="1" t="s">
        <v>7</v>
      </c>
      <c r="C763" s="2" t="s">
        <v>82</v>
      </c>
      <c r="D763" s="3" t="s">
        <v>83</v>
      </c>
      <c r="E763" s="4" t="s">
        <v>84</v>
      </c>
      <c r="F763" t="str">
        <f>'Source Table'!$B$10</f>
        <v>Economic Magazines &amp; Periodicals</v>
      </c>
      <c r="G763" t="str">
        <f>'Source Table'!$K$10</f>
        <v>المجلات والدوريات الاقتصادية</v>
      </c>
      <c r="I763" t="str">
        <f>'Source Table'!$C$5</f>
        <v>نصف شهرية</v>
      </c>
      <c r="J763" s="5"/>
      <c r="K763">
        <v>2016</v>
      </c>
    </row>
    <row r="764" ht="15.75" spans="1:11">
      <c r="A764" s="1" t="s">
        <v>5</v>
      </c>
      <c r="B764" s="1" t="s">
        <v>7</v>
      </c>
      <c r="C764" s="2" t="s">
        <v>82</v>
      </c>
      <c r="D764" s="3" t="s">
        <v>83</v>
      </c>
      <c r="E764" s="4" t="s">
        <v>84</v>
      </c>
      <c r="F764" t="str">
        <f>'Source Table'!$B$11</f>
        <v>Army &amp; Police Magazines &amp; Periodicals</v>
      </c>
      <c r="G764" t="str">
        <f>'Source Table'!$K$11</f>
        <v>المجلات والدوريات العسكرية و شرطية</v>
      </c>
      <c r="I764" t="str">
        <f>'Source Table'!$C$5</f>
        <v>نصف شهرية</v>
      </c>
      <c r="J764" s="5"/>
      <c r="K764">
        <v>2016</v>
      </c>
    </row>
    <row r="765" ht="15.75" spans="1:11">
      <c r="A765" s="1" t="s">
        <v>5</v>
      </c>
      <c r="B765" s="1" t="s">
        <v>7</v>
      </c>
      <c r="C765" s="2" t="s">
        <v>82</v>
      </c>
      <c r="D765" s="3" t="s">
        <v>83</v>
      </c>
      <c r="E765" s="4" t="s">
        <v>84</v>
      </c>
      <c r="F765" t="str">
        <f>'Source Table'!$B$12</f>
        <v>Youths &amp; Arts Magazines &amp; Periodicals</v>
      </c>
      <c r="G765" t="str">
        <f>'Source Table'!$K$12</f>
        <v>المجلات والدوريات الشباب و الفنون</v>
      </c>
      <c r="I765" t="str">
        <f>'Source Table'!$C$5</f>
        <v>نصف شهرية</v>
      </c>
      <c r="J765" s="5"/>
      <c r="K765">
        <v>2016</v>
      </c>
    </row>
    <row r="766" ht="15.75" spans="1:11">
      <c r="A766" s="1" t="s">
        <v>5</v>
      </c>
      <c r="B766" s="1" t="s">
        <v>7</v>
      </c>
      <c r="C766" s="2" t="s">
        <v>82</v>
      </c>
      <c r="D766" s="3" t="s">
        <v>83</v>
      </c>
      <c r="E766" s="4" t="s">
        <v>84</v>
      </c>
      <c r="F766" t="str">
        <f>'Source Table'!$B$13</f>
        <v>Cultural &amp; Educational Magazines &amp; Periodicals</v>
      </c>
      <c r="G766" t="str">
        <f>'Source Table'!$K$13</f>
        <v>المجلات والدوريات الثقافية و المدرسية</v>
      </c>
      <c r="I766" t="str">
        <f>'Source Table'!$C$5</f>
        <v>نصف شهرية</v>
      </c>
      <c r="J766" s="5"/>
      <c r="K766">
        <v>2016</v>
      </c>
    </row>
    <row r="767" ht="15.75" spans="1:11">
      <c r="A767" s="1" t="s">
        <v>5</v>
      </c>
      <c r="B767" s="1" t="s">
        <v>7</v>
      </c>
      <c r="C767" s="2" t="s">
        <v>82</v>
      </c>
      <c r="D767" s="3" t="s">
        <v>83</v>
      </c>
      <c r="E767" s="4" t="s">
        <v>84</v>
      </c>
      <c r="F767" t="str">
        <f>'Source Table'!$B$14</f>
        <v>Religious Magazines &amp; Periodicals</v>
      </c>
      <c r="G767" t="str">
        <f>'Source Table'!$K$14</f>
        <v>المجلات والدوريات الدينية</v>
      </c>
      <c r="I767" t="str">
        <f>'Source Table'!$C$5</f>
        <v>نصف شهرية</v>
      </c>
      <c r="J767" s="5"/>
      <c r="K767">
        <v>2016</v>
      </c>
    </row>
    <row r="768" ht="15.75" spans="1:11">
      <c r="A768" s="1" t="s">
        <v>5</v>
      </c>
      <c r="B768" s="1" t="s">
        <v>7</v>
      </c>
      <c r="C768" s="2" t="s">
        <v>82</v>
      </c>
      <c r="D768" s="3" t="s">
        <v>83</v>
      </c>
      <c r="E768" s="4" t="s">
        <v>84</v>
      </c>
      <c r="F768" t="str">
        <f>'Source Table'!$B$15</f>
        <v>Scientific Magazines &amp; Periodicals</v>
      </c>
      <c r="G768" t="str">
        <f>'Source Table'!$K$15</f>
        <v>المجلات والدوريات العلمية</v>
      </c>
      <c r="I768" t="str">
        <f>'Source Table'!$C$5</f>
        <v>نصف شهرية</v>
      </c>
      <c r="J768" s="5"/>
      <c r="K768">
        <v>2016</v>
      </c>
    </row>
    <row r="769" ht="15.75" spans="1:11">
      <c r="A769" s="1" t="s">
        <v>5</v>
      </c>
      <c r="B769" s="1" t="s">
        <v>7</v>
      </c>
      <c r="C769" s="2" t="s">
        <v>82</v>
      </c>
      <c r="D769" s="3" t="s">
        <v>83</v>
      </c>
      <c r="E769" s="4" t="s">
        <v>84</v>
      </c>
      <c r="F769" t="str">
        <f>'Source Table'!$B$16</f>
        <v>Financial Magazines &amp; Periodicals</v>
      </c>
      <c r="G769" t="str">
        <f>'Source Table'!$K$16</f>
        <v>المجلات والدوريات المالية</v>
      </c>
      <c r="I769" t="str">
        <f>'Source Table'!$C$5</f>
        <v>نصف شهرية</v>
      </c>
      <c r="J769" s="5"/>
      <c r="K769">
        <v>2016</v>
      </c>
    </row>
    <row r="770" ht="15.75" spans="1:11">
      <c r="A770" s="1" t="s">
        <v>5</v>
      </c>
      <c r="B770" s="1" t="s">
        <v>7</v>
      </c>
      <c r="C770" s="2" t="s">
        <v>82</v>
      </c>
      <c r="D770" s="3" t="s">
        <v>83</v>
      </c>
      <c r="E770" s="4" t="s">
        <v>84</v>
      </c>
      <c r="F770" t="str">
        <f>'Source Table'!$B$17</f>
        <v>Tourist Magazines &amp; Periodicals</v>
      </c>
      <c r="G770" t="str">
        <f>'Source Table'!$K$17</f>
        <v>المجلات والدوريات سياحية</v>
      </c>
      <c r="I770" t="str">
        <f>'Source Table'!$C$5</f>
        <v>نصف شهرية</v>
      </c>
      <c r="J770" s="5"/>
      <c r="K770">
        <v>2016</v>
      </c>
    </row>
    <row r="771" ht="15.75" spans="1:11">
      <c r="A771" s="1" t="s">
        <v>5</v>
      </c>
      <c r="B771" s="1" t="s">
        <v>7</v>
      </c>
      <c r="C771" s="2" t="s">
        <v>82</v>
      </c>
      <c r="D771" s="3" t="s">
        <v>83</v>
      </c>
      <c r="E771" s="4" t="s">
        <v>84</v>
      </c>
      <c r="F771" t="str">
        <f>'Source Table'!$B$18</f>
        <v>Other Magazines &amp; Periodicals</v>
      </c>
      <c r="G771" t="str">
        <f>'Source Table'!$K$18</f>
        <v>المجلات والدوريات أخرى</v>
      </c>
      <c r="I771" t="str">
        <f>'Source Table'!$C$5</f>
        <v>نصف شهرية</v>
      </c>
      <c r="J771" s="6"/>
      <c r="K771">
        <v>2016</v>
      </c>
    </row>
    <row r="772" ht="15.75" spans="1:11">
      <c r="A772" s="1" t="s">
        <v>5</v>
      </c>
      <c r="B772" s="1" t="s">
        <v>7</v>
      </c>
      <c r="C772" s="2" t="s">
        <v>82</v>
      </c>
      <c r="D772" s="3" t="s">
        <v>83</v>
      </c>
      <c r="E772" s="4" t="s">
        <v>84</v>
      </c>
      <c r="F772" t="str">
        <f>'Source Table'!$B$7</f>
        <v>Political Newspapers</v>
      </c>
      <c r="G772" t="str">
        <f>'Source Table'!$K$7</f>
        <v>صحف سياسية</v>
      </c>
      <c r="H772" t="str">
        <f>'Source Table'!$J$6</f>
        <v>Daily</v>
      </c>
      <c r="I772" t="str">
        <f>'Source Table'!$J$5</f>
        <v>يومية</v>
      </c>
      <c r="J772" s="35">
        <v>10</v>
      </c>
      <c r="K772">
        <v>2015</v>
      </c>
    </row>
    <row r="773" ht="15.75" spans="1:11">
      <c r="A773" s="1" t="s">
        <v>5</v>
      </c>
      <c r="B773" s="1" t="s">
        <v>7</v>
      </c>
      <c r="C773" s="2" t="s">
        <v>82</v>
      </c>
      <c r="D773" s="3" t="s">
        <v>83</v>
      </c>
      <c r="E773" s="4" t="s">
        <v>84</v>
      </c>
      <c r="F773" t="str">
        <f>'Source Table'!$B$8</f>
        <v>Parties Newspapers</v>
      </c>
      <c r="G773" t="str">
        <f>'Source Table'!$K$8</f>
        <v>صحف حزبية</v>
      </c>
      <c r="H773" t="str">
        <f>'Source Table'!$J$6</f>
        <v>Daily</v>
      </c>
      <c r="I773" t="str">
        <f>'Source Table'!$J$5</f>
        <v>يومية</v>
      </c>
      <c r="J773" s="35">
        <v>0</v>
      </c>
      <c r="K773">
        <v>2015</v>
      </c>
    </row>
    <row r="774" ht="15.75" spans="1:11">
      <c r="A774" s="1" t="s">
        <v>5</v>
      </c>
      <c r="B774" s="1" t="s">
        <v>7</v>
      </c>
      <c r="C774" s="2" t="s">
        <v>82</v>
      </c>
      <c r="D774" s="3" t="s">
        <v>83</v>
      </c>
      <c r="E774" s="4" t="s">
        <v>84</v>
      </c>
      <c r="F774" t="str">
        <f>'Source Table'!$B$9</f>
        <v>Children Magazines &amp; Periodicals</v>
      </c>
      <c r="G774" t="str">
        <f>'Source Table'!$K$9</f>
        <v>المجلات والدوريات الأطفال</v>
      </c>
      <c r="H774" t="str">
        <f>'Source Table'!$J$6</f>
        <v>Daily</v>
      </c>
      <c r="I774" t="str">
        <f>'Source Table'!$J$5</f>
        <v>يومية</v>
      </c>
      <c r="J774" s="35">
        <v>0</v>
      </c>
      <c r="K774">
        <v>2015</v>
      </c>
    </row>
    <row r="775" ht="15.75" spans="1:11">
      <c r="A775" s="1" t="s">
        <v>5</v>
      </c>
      <c r="B775" s="1" t="s">
        <v>7</v>
      </c>
      <c r="C775" s="2" t="s">
        <v>82</v>
      </c>
      <c r="D775" s="3" t="s">
        <v>83</v>
      </c>
      <c r="E775" s="4" t="s">
        <v>84</v>
      </c>
      <c r="F775" t="str">
        <f>'Source Table'!$B$10</f>
        <v>Economic Magazines &amp; Periodicals</v>
      </c>
      <c r="G775" t="str">
        <f>'Source Table'!$K$10</f>
        <v>المجلات والدوريات الاقتصادية</v>
      </c>
      <c r="H775" t="str">
        <f>'Source Table'!$J$6</f>
        <v>Daily</v>
      </c>
      <c r="I775" t="str">
        <f>'Source Table'!$J$5</f>
        <v>يومية</v>
      </c>
      <c r="J775" s="35">
        <v>0</v>
      </c>
      <c r="K775">
        <v>2015</v>
      </c>
    </row>
    <row r="776" ht="15.75" spans="1:11">
      <c r="A776" s="1" t="s">
        <v>5</v>
      </c>
      <c r="B776" s="1" t="s">
        <v>7</v>
      </c>
      <c r="C776" s="2" t="s">
        <v>82</v>
      </c>
      <c r="D776" s="3" t="s">
        <v>83</v>
      </c>
      <c r="E776" s="4" t="s">
        <v>84</v>
      </c>
      <c r="F776" t="str">
        <f>'Source Table'!$B$11</f>
        <v>Army &amp; Police Magazines &amp; Periodicals</v>
      </c>
      <c r="G776" t="str">
        <f>'Source Table'!$K$11</f>
        <v>المجلات والدوريات العسكرية و شرطية</v>
      </c>
      <c r="H776" t="str">
        <f>'Source Table'!$J$6</f>
        <v>Daily</v>
      </c>
      <c r="I776" t="str">
        <f>'Source Table'!$J$5</f>
        <v>يومية</v>
      </c>
      <c r="J776" s="35">
        <v>0</v>
      </c>
      <c r="K776">
        <v>2015</v>
      </c>
    </row>
    <row r="777" ht="15.75" spans="1:11">
      <c r="A777" s="1" t="s">
        <v>5</v>
      </c>
      <c r="B777" s="1" t="s">
        <v>7</v>
      </c>
      <c r="C777" s="2" t="s">
        <v>82</v>
      </c>
      <c r="D777" s="3" t="s">
        <v>83</v>
      </c>
      <c r="E777" s="4" t="s">
        <v>84</v>
      </c>
      <c r="F777" t="str">
        <f>'Source Table'!$B$12</f>
        <v>Youths &amp; Arts Magazines &amp; Periodicals</v>
      </c>
      <c r="G777" t="str">
        <f>'Source Table'!$K$12</f>
        <v>المجلات والدوريات الشباب و الفنون</v>
      </c>
      <c r="H777" t="str">
        <f>'Source Table'!$J$6</f>
        <v>Daily</v>
      </c>
      <c r="I777" t="str">
        <f>'Source Table'!$J$5</f>
        <v>يومية</v>
      </c>
      <c r="J777" s="35">
        <v>0</v>
      </c>
      <c r="K777">
        <v>2015</v>
      </c>
    </row>
    <row r="778" ht="15.75" spans="1:11">
      <c r="A778" s="1" t="s">
        <v>5</v>
      </c>
      <c r="B778" s="1" t="s">
        <v>7</v>
      </c>
      <c r="C778" s="2" t="s">
        <v>82</v>
      </c>
      <c r="D778" s="3" t="s">
        <v>83</v>
      </c>
      <c r="E778" s="4" t="s">
        <v>84</v>
      </c>
      <c r="F778" t="str">
        <f>'Source Table'!$B$13</f>
        <v>Cultural &amp; Educational Magazines &amp; Periodicals</v>
      </c>
      <c r="G778" t="str">
        <f>'Source Table'!$K$13</f>
        <v>المجلات والدوريات الثقافية و المدرسية</v>
      </c>
      <c r="H778" t="str">
        <f>'Source Table'!$J$6</f>
        <v>Daily</v>
      </c>
      <c r="I778" t="str">
        <f>'Source Table'!$J$5</f>
        <v>يومية</v>
      </c>
      <c r="J778" s="35">
        <v>0</v>
      </c>
      <c r="K778">
        <v>2015</v>
      </c>
    </row>
    <row r="779" ht="15.75" spans="1:11">
      <c r="A779" s="1" t="s">
        <v>5</v>
      </c>
      <c r="B779" s="1" t="s">
        <v>7</v>
      </c>
      <c r="C779" s="2" t="s">
        <v>82</v>
      </c>
      <c r="D779" s="3" t="s">
        <v>83</v>
      </c>
      <c r="E779" s="4" t="s">
        <v>84</v>
      </c>
      <c r="F779" t="str">
        <f>'Source Table'!$B$14</f>
        <v>Religious Magazines &amp; Periodicals</v>
      </c>
      <c r="G779" t="str">
        <f>'Source Table'!$K$14</f>
        <v>المجلات والدوريات الدينية</v>
      </c>
      <c r="H779" t="str">
        <f>'Source Table'!$J$6</f>
        <v>Daily</v>
      </c>
      <c r="I779" t="str">
        <f>'Source Table'!$J$5</f>
        <v>يومية</v>
      </c>
      <c r="J779" s="35">
        <v>0</v>
      </c>
      <c r="K779">
        <v>2015</v>
      </c>
    </row>
    <row r="780" ht="15.75" spans="1:11">
      <c r="A780" s="1" t="s">
        <v>5</v>
      </c>
      <c r="B780" s="1" t="s">
        <v>7</v>
      </c>
      <c r="C780" s="2" t="s">
        <v>82</v>
      </c>
      <c r="D780" s="3" t="s">
        <v>83</v>
      </c>
      <c r="E780" s="4" t="s">
        <v>84</v>
      </c>
      <c r="F780" t="str">
        <f>'Source Table'!$B$15</f>
        <v>Scientific Magazines &amp; Periodicals</v>
      </c>
      <c r="G780" t="str">
        <f>'Source Table'!$K$15</f>
        <v>المجلات والدوريات العلمية</v>
      </c>
      <c r="H780" t="str">
        <f>'Source Table'!$J$6</f>
        <v>Daily</v>
      </c>
      <c r="I780" t="str">
        <f>'Source Table'!$J$5</f>
        <v>يومية</v>
      </c>
      <c r="J780" s="35">
        <v>0</v>
      </c>
      <c r="K780">
        <v>2015</v>
      </c>
    </row>
    <row r="781" ht="15.75" spans="1:11">
      <c r="A781" s="1" t="s">
        <v>5</v>
      </c>
      <c r="B781" s="1" t="s">
        <v>7</v>
      </c>
      <c r="C781" s="2" t="s">
        <v>82</v>
      </c>
      <c r="D781" s="3" t="s">
        <v>83</v>
      </c>
      <c r="E781" s="4" t="s">
        <v>84</v>
      </c>
      <c r="F781" t="str">
        <f>'Source Table'!$B$16</f>
        <v>Financial Magazines &amp; Periodicals</v>
      </c>
      <c r="G781" t="str">
        <f>'Source Table'!$K$16</f>
        <v>المجلات والدوريات المالية</v>
      </c>
      <c r="H781" t="str">
        <f>'Source Table'!$J$6</f>
        <v>Daily</v>
      </c>
      <c r="I781" t="str">
        <f>'Source Table'!$J$5</f>
        <v>يومية</v>
      </c>
      <c r="J781" s="35">
        <v>0</v>
      </c>
      <c r="K781">
        <v>2015</v>
      </c>
    </row>
    <row r="782" ht="15.75" spans="1:11">
      <c r="A782" s="1" t="s">
        <v>5</v>
      </c>
      <c r="B782" s="1" t="s">
        <v>7</v>
      </c>
      <c r="C782" s="2" t="s">
        <v>82</v>
      </c>
      <c r="D782" s="3" t="s">
        <v>83</v>
      </c>
      <c r="E782" s="4" t="s">
        <v>84</v>
      </c>
      <c r="F782" t="str">
        <f>'Source Table'!$B$17</f>
        <v>Tourist Magazines &amp; Periodicals</v>
      </c>
      <c r="G782" t="str">
        <f>'Source Table'!$K$17</f>
        <v>المجلات والدوريات سياحية</v>
      </c>
      <c r="H782" t="str">
        <f>'Source Table'!$J$6</f>
        <v>Daily</v>
      </c>
      <c r="I782" t="str">
        <f>'Source Table'!$J$5</f>
        <v>يومية</v>
      </c>
      <c r="J782" s="35">
        <v>0</v>
      </c>
      <c r="K782">
        <v>2015</v>
      </c>
    </row>
    <row r="783" ht="16.5" spans="1:11">
      <c r="A783" s="1" t="s">
        <v>5</v>
      </c>
      <c r="B783" s="1" t="s">
        <v>7</v>
      </c>
      <c r="C783" s="2" t="s">
        <v>82</v>
      </c>
      <c r="D783" s="3" t="s">
        <v>83</v>
      </c>
      <c r="E783" s="4" t="s">
        <v>84</v>
      </c>
      <c r="F783" t="str">
        <f>'Source Table'!$B$18</f>
        <v>Other Magazines &amp; Periodicals</v>
      </c>
      <c r="G783" t="str">
        <f>'Source Table'!$K$18</f>
        <v>المجلات والدوريات أخرى</v>
      </c>
      <c r="H783" t="str">
        <f>'Source Table'!$J$6</f>
        <v>Daily</v>
      </c>
      <c r="I783" t="str">
        <f>'Source Table'!$J$5</f>
        <v>يومية</v>
      </c>
      <c r="J783" s="36">
        <v>4</v>
      </c>
      <c r="K783">
        <v>2015</v>
      </c>
    </row>
    <row r="784" ht="15.75" spans="1:11">
      <c r="A784" s="1" t="s">
        <v>5</v>
      </c>
      <c r="B784" s="1" t="s">
        <v>7</v>
      </c>
      <c r="C784" s="2" t="s">
        <v>82</v>
      </c>
      <c r="D784" s="3" t="s">
        <v>83</v>
      </c>
      <c r="E784" s="4" t="s">
        <v>84</v>
      </c>
      <c r="F784" t="str">
        <f>'Source Table'!$B$7</f>
        <v>Political Newspapers</v>
      </c>
      <c r="G784" t="str">
        <f>'Source Table'!$K$7</f>
        <v>صحف سياسية</v>
      </c>
      <c r="H784" t="str">
        <f>'Source Table'!$I$6</f>
        <v>Weekly</v>
      </c>
      <c r="I784" t="str">
        <f>'Source Table'!$I$5</f>
        <v>أسبوعية</v>
      </c>
      <c r="J784" s="35">
        <v>34</v>
      </c>
      <c r="K784">
        <v>2015</v>
      </c>
    </row>
    <row r="785" ht="15.75" spans="1:11">
      <c r="A785" s="1" t="s">
        <v>5</v>
      </c>
      <c r="B785" s="1" t="s">
        <v>7</v>
      </c>
      <c r="C785" s="2" t="s">
        <v>82</v>
      </c>
      <c r="D785" s="3" t="s">
        <v>83</v>
      </c>
      <c r="E785" s="4" t="s">
        <v>84</v>
      </c>
      <c r="F785" t="str">
        <f>'Source Table'!$B$8</f>
        <v>Parties Newspapers</v>
      </c>
      <c r="G785" t="str">
        <f>'Source Table'!$K$8</f>
        <v>صحف حزبية</v>
      </c>
      <c r="H785" t="str">
        <f>'Source Table'!$I$6</f>
        <v>Weekly</v>
      </c>
      <c r="I785" t="str">
        <f>'Source Table'!$I$5</f>
        <v>أسبوعية</v>
      </c>
      <c r="J785" s="35">
        <v>17</v>
      </c>
      <c r="K785">
        <v>2015</v>
      </c>
    </row>
    <row r="786" ht="15.75" spans="1:11">
      <c r="A786" s="1" t="s">
        <v>5</v>
      </c>
      <c r="B786" s="1" t="s">
        <v>7</v>
      </c>
      <c r="C786" s="2" t="s">
        <v>82</v>
      </c>
      <c r="D786" s="3" t="s">
        <v>83</v>
      </c>
      <c r="E786" s="4" t="s">
        <v>84</v>
      </c>
      <c r="F786" t="str">
        <f>'Source Table'!$B$9</f>
        <v>Children Magazines &amp; Periodicals</v>
      </c>
      <c r="G786" t="str">
        <f>'Source Table'!$K$9</f>
        <v>المجلات والدوريات الأطفال</v>
      </c>
      <c r="H786" t="str">
        <f>'Source Table'!$I$6</f>
        <v>Weekly</v>
      </c>
      <c r="I786" t="str">
        <f>'Source Table'!$I$5</f>
        <v>أسبوعية</v>
      </c>
      <c r="J786" s="35">
        <v>1</v>
      </c>
      <c r="K786">
        <v>2015</v>
      </c>
    </row>
    <row r="787" ht="15.75" spans="1:11">
      <c r="A787" s="1" t="s">
        <v>5</v>
      </c>
      <c r="B787" s="1" t="s">
        <v>7</v>
      </c>
      <c r="C787" s="2" t="s">
        <v>82</v>
      </c>
      <c r="D787" s="3" t="s">
        <v>83</v>
      </c>
      <c r="E787" s="4" t="s">
        <v>84</v>
      </c>
      <c r="F787" t="str">
        <f>'Source Table'!$B$10</f>
        <v>Economic Magazines &amp; Periodicals</v>
      </c>
      <c r="G787" t="str">
        <f>'Source Table'!$K$10</f>
        <v>المجلات والدوريات الاقتصادية</v>
      </c>
      <c r="H787" t="str">
        <f>'Source Table'!$I$6</f>
        <v>Weekly</v>
      </c>
      <c r="I787" t="str">
        <f>'Source Table'!$I$5</f>
        <v>أسبوعية</v>
      </c>
      <c r="J787" s="35">
        <v>25</v>
      </c>
      <c r="K787">
        <v>2015</v>
      </c>
    </row>
    <row r="788" ht="15.75" spans="1:11">
      <c r="A788" s="1" t="s">
        <v>5</v>
      </c>
      <c r="B788" s="1" t="s">
        <v>7</v>
      </c>
      <c r="C788" s="2" t="s">
        <v>82</v>
      </c>
      <c r="D788" s="3" t="s">
        <v>83</v>
      </c>
      <c r="E788" s="4" t="s">
        <v>84</v>
      </c>
      <c r="F788" t="str">
        <f>'Source Table'!$B$11</f>
        <v>Army &amp; Police Magazines &amp; Periodicals</v>
      </c>
      <c r="G788" t="str">
        <f>'Source Table'!$K$11</f>
        <v>المجلات والدوريات العسكرية و شرطية</v>
      </c>
      <c r="H788" t="str">
        <f>'Source Table'!$I$6</f>
        <v>Weekly</v>
      </c>
      <c r="I788" t="str">
        <f>'Source Table'!$I$5</f>
        <v>أسبوعية</v>
      </c>
      <c r="J788" s="35">
        <v>0</v>
      </c>
      <c r="K788">
        <v>2015</v>
      </c>
    </row>
    <row r="789" ht="15.75" spans="1:11">
      <c r="A789" s="1" t="s">
        <v>5</v>
      </c>
      <c r="B789" s="1" t="s">
        <v>7</v>
      </c>
      <c r="C789" s="2" t="s">
        <v>82</v>
      </c>
      <c r="D789" s="3" t="s">
        <v>83</v>
      </c>
      <c r="E789" s="4" t="s">
        <v>84</v>
      </c>
      <c r="F789" t="str">
        <f>'Source Table'!$B$12</f>
        <v>Youths &amp; Arts Magazines &amp; Periodicals</v>
      </c>
      <c r="G789" t="str">
        <f>'Source Table'!$K$12</f>
        <v>المجلات والدوريات الشباب و الفنون</v>
      </c>
      <c r="H789" t="str">
        <f>'Source Table'!$I$6</f>
        <v>Weekly</v>
      </c>
      <c r="I789" t="str">
        <f>'Source Table'!$I$5</f>
        <v>أسبوعية</v>
      </c>
      <c r="J789" s="35">
        <v>4</v>
      </c>
      <c r="K789">
        <v>2015</v>
      </c>
    </row>
    <row r="790" ht="15.75" spans="1:11">
      <c r="A790" s="1" t="s">
        <v>5</v>
      </c>
      <c r="B790" s="1" t="s">
        <v>7</v>
      </c>
      <c r="C790" s="2" t="s">
        <v>82</v>
      </c>
      <c r="D790" s="3" t="s">
        <v>83</v>
      </c>
      <c r="E790" s="4" t="s">
        <v>84</v>
      </c>
      <c r="F790" t="str">
        <f>'Source Table'!$B$13</f>
        <v>Cultural &amp; Educational Magazines &amp; Periodicals</v>
      </c>
      <c r="G790" t="str">
        <f>'Source Table'!$K$13</f>
        <v>المجلات والدوريات الثقافية و المدرسية</v>
      </c>
      <c r="H790" t="str">
        <f>'Source Table'!$I$6</f>
        <v>Weekly</v>
      </c>
      <c r="I790" t="str">
        <f>'Source Table'!$I$5</f>
        <v>أسبوعية</v>
      </c>
      <c r="J790" s="35">
        <v>6</v>
      </c>
      <c r="K790">
        <v>2015</v>
      </c>
    </row>
    <row r="791" ht="15.75" spans="1:11">
      <c r="A791" s="1" t="s">
        <v>5</v>
      </c>
      <c r="B791" s="1" t="s">
        <v>7</v>
      </c>
      <c r="C791" s="2" t="s">
        <v>82</v>
      </c>
      <c r="D791" s="3" t="s">
        <v>83</v>
      </c>
      <c r="E791" s="4" t="s">
        <v>84</v>
      </c>
      <c r="F791" t="str">
        <f>'Source Table'!$B$14</f>
        <v>Religious Magazines &amp; Periodicals</v>
      </c>
      <c r="G791" t="str">
        <f>'Source Table'!$K$14</f>
        <v>المجلات والدوريات الدينية</v>
      </c>
      <c r="H791" t="str">
        <f>'Source Table'!$I$6</f>
        <v>Weekly</v>
      </c>
      <c r="I791" t="str">
        <f>'Source Table'!$I$5</f>
        <v>أسبوعية</v>
      </c>
      <c r="J791" s="35">
        <v>0</v>
      </c>
      <c r="K791">
        <v>2015</v>
      </c>
    </row>
    <row r="792" ht="15.75" spans="1:11">
      <c r="A792" s="1" t="s">
        <v>5</v>
      </c>
      <c r="B792" s="1" t="s">
        <v>7</v>
      </c>
      <c r="C792" s="2" t="s">
        <v>82</v>
      </c>
      <c r="D792" s="3" t="s">
        <v>83</v>
      </c>
      <c r="E792" s="4" t="s">
        <v>84</v>
      </c>
      <c r="F792" t="str">
        <f>'Source Table'!$B$15</f>
        <v>Scientific Magazines &amp; Periodicals</v>
      </c>
      <c r="G792" t="str">
        <f>'Source Table'!$K$15</f>
        <v>المجلات والدوريات العلمية</v>
      </c>
      <c r="H792" t="str">
        <f>'Source Table'!$I$6</f>
        <v>Weekly</v>
      </c>
      <c r="I792" t="str">
        <f>'Source Table'!$I$5</f>
        <v>أسبوعية</v>
      </c>
      <c r="J792" s="35">
        <v>0</v>
      </c>
      <c r="K792">
        <v>2015</v>
      </c>
    </row>
    <row r="793" ht="15.75" spans="1:11">
      <c r="A793" s="1" t="s">
        <v>5</v>
      </c>
      <c r="B793" s="1" t="s">
        <v>7</v>
      </c>
      <c r="C793" s="2" t="s">
        <v>82</v>
      </c>
      <c r="D793" s="3" t="s">
        <v>83</v>
      </c>
      <c r="E793" s="4" t="s">
        <v>84</v>
      </c>
      <c r="F793" t="str">
        <f>'Source Table'!$B$16</f>
        <v>Financial Magazines &amp; Periodicals</v>
      </c>
      <c r="G793" t="str">
        <f>'Source Table'!$K$16</f>
        <v>المجلات والدوريات المالية</v>
      </c>
      <c r="H793" t="str">
        <f>'Source Table'!$I$6</f>
        <v>Weekly</v>
      </c>
      <c r="I793" t="str">
        <f>'Source Table'!$I$5</f>
        <v>أسبوعية</v>
      </c>
      <c r="J793" s="35">
        <v>0</v>
      </c>
      <c r="K793">
        <v>2015</v>
      </c>
    </row>
    <row r="794" ht="15.75" spans="1:11">
      <c r="A794" s="1" t="s">
        <v>5</v>
      </c>
      <c r="B794" s="1" t="s">
        <v>7</v>
      </c>
      <c r="C794" s="2" t="s">
        <v>82</v>
      </c>
      <c r="D794" s="3" t="s">
        <v>83</v>
      </c>
      <c r="E794" s="4" t="s">
        <v>84</v>
      </c>
      <c r="F794" t="str">
        <f>'Source Table'!$B$17</f>
        <v>Tourist Magazines &amp; Periodicals</v>
      </c>
      <c r="G794" t="str">
        <f>'Source Table'!$K$17</f>
        <v>المجلات والدوريات سياحية</v>
      </c>
      <c r="H794" t="str">
        <f>'Source Table'!$I$6</f>
        <v>Weekly</v>
      </c>
      <c r="I794" t="str">
        <f>'Source Table'!$I$5</f>
        <v>أسبوعية</v>
      </c>
      <c r="J794" s="35">
        <v>4</v>
      </c>
      <c r="K794">
        <v>2015</v>
      </c>
    </row>
    <row r="795" ht="16.5" spans="1:11">
      <c r="A795" s="1" t="s">
        <v>5</v>
      </c>
      <c r="B795" s="1" t="s">
        <v>7</v>
      </c>
      <c r="C795" s="2" t="s">
        <v>82</v>
      </c>
      <c r="D795" s="3" t="s">
        <v>83</v>
      </c>
      <c r="E795" s="4" t="s">
        <v>84</v>
      </c>
      <c r="F795" t="str">
        <f>'Source Table'!$B$18</f>
        <v>Other Magazines &amp; Periodicals</v>
      </c>
      <c r="G795" t="str">
        <f>'Source Table'!$K$18</f>
        <v>المجلات والدوريات أخرى</v>
      </c>
      <c r="H795" t="str">
        <f>'Source Table'!$I$6</f>
        <v>Weekly</v>
      </c>
      <c r="I795" t="str">
        <f>'Source Table'!$I$5</f>
        <v>أسبوعية</v>
      </c>
      <c r="J795" s="36">
        <v>103</v>
      </c>
      <c r="K795">
        <v>2015</v>
      </c>
    </row>
    <row r="796" ht="15.75" spans="1:11">
      <c r="A796" s="1" t="s">
        <v>5</v>
      </c>
      <c r="B796" s="1" t="s">
        <v>7</v>
      </c>
      <c r="C796" s="2" t="s">
        <v>82</v>
      </c>
      <c r="D796" s="3" t="s">
        <v>83</v>
      </c>
      <c r="E796" s="4" t="s">
        <v>84</v>
      </c>
      <c r="F796" t="str">
        <f>'Source Table'!$B$7</f>
        <v>Political Newspapers</v>
      </c>
      <c r="G796" t="str">
        <f>'Source Table'!$K$7</f>
        <v>صحف سياسية</v>
      </c>
      <c r="H796" t="str">
        <f>'Source Table'!$H$6</f>
        <v>Monthly</v>
      </c>
      <c r="I796" t="str">
        <f>'Source Table'!$H$5</f>
        <v>شهرية</v>
      </c>
      <c r="J796" s="35">
        <v>3</v>
      </c>
      <c r="K796">
        <v>2015</v>
      </c>
    </row>
    <row r="797" ht="15.75" spans="1:11">
      <c r="A797" s="1" t="s">
        <v>5</v>
      </c>
      <c r="B797" s="1" t="s">
        <v>7</v>
      </c>
      <c r="C797" s="2" t="s">
        <v>82</v>
      </c>
      <c r="D797" s="3" t="s">
        <v>83</v>
      </c>
      <c r="E797" s="4" t="s">
        <v>84</v>
      </c>
      <c r="F797" t="str">
        <f>'Source Table'!$B$8</f>
        <v>Parties Newspapers</v>
      </c>
      <c r="G797" t="str">
        <f>'Source Table'!$K$8</f>
        <v>صحف حزبية</v>
      </c>
      <c r="H797" t="str">
        <f>'Source Table'!$H$6</f>
        <v>Monthly</v>
      </c>
      <c r="I797" t="str">
        <f>'Source Table'!$H$5</f>
        <v>شهرية</v>
      </c>
      <c r="J797" s="35">
        <v>1</v>
      </c>
      <c r="K797">
        <v>2015</v>
      </c>
    </row>
    <row r="798" ht="15.75" spans="1:11">
      <c r="A798" s="1" t="s">
        <v>5</v>
      </c>
      <c r="B798" s="1" t="s">
        <v>7</v>
      </c>
      <c r="C798" s="2" t="s">
        <v>82</v>
      </c>
      <c r="D798" s="3" t="s">
        <v>83</v>
      </c>
      <c r="E798" s="4" t="s">
        <v>84</v>
      </c>
      <c r="F798" t="str">
        <f>'Source Table'!$B$9</f>
        <v>Children Magazines &amp; Periodicals</v>
      </c>
      <c r="G798" t="str">
        <f>'Source Table'!$K$9</f>
        <v>المجلات والدوريات الأطفال</v>
      </c>
      <c r="H798" t="str">
        <f>'Source Table'!$H$6</f>
        <v>Monthly</v>
      </c>
      <c r="I798" t="str">
        <f>'Source Table'!$H$5</f>
        <v>شهرية</v>
      </c>
      <c r="J798" s="35">
        <v>14</v>
      </c>
      <c r="K798">
        <v>2015</v>
      </c>
    </row>
    <row r="799" ht="15.75" spans="1:11">
      <c r="A799" s="1" t="s">
        <v>5</v>
      </c>
      <c r="B799" s="1" t="s">
        <v>7</v>
      </c>
      <c r="C799" s="2" t="s">
        <v>82</v>
      </c>
      <c r="D799" s="3" t="s">
        <v>83</v>
      </c>
      <c r="E799" s="4" t="s">
        <v>84</v>
      </c>
      <c r="F799" t="str">
        <f>'Source Table'!$B$10</f>
        <v>Economic Magazines &amp; Periodicals</v>
      </c>
      <c r="G799" t="str">
        <f>'Source Table'!$K$10</f>
        <v>المجلات والدوريات الاقتصادية</v>
      </c>
      <c r="H799" t="str">
        <f>'Source Table'!$H$6</f>
        <v>Monthly</v>
      </c>
      <c r="I799" t="str">
        <f>'Source Table'!$H$5</f>
        <v>شهرية</v>
      </c>
      <c r="J799" s="35">
        <v>56</v>
      </c>
      <c r="K799">
        <v>2015</v>
      </c>
    </row>
    <row r="800" ht="15.75" spans="1:11">
      <c r="A800" s="1" t="s">
        <v>5</v>
      </c>
      <c r="B800" s="1" t="s">
        <v>7</v>
      </c>
      <c r="C800" s="2" t="s">
        <v>82</v>
      </c>
      <c r="D800" s="3" t="s">
        <v>83</v>
      </c>
      <c r="E800" s="4" t="s">
        <v>84</v>
      </c>
      <c r="F800" t="str">
        <f>'Source Table'!$B$11</f>
        <v>Army &amp; Police Magazines &amp; Periodicals</v>
      </c>
      <c r="G800" t="str">
        <f>'Source Table'!$K$11</f>
        <v>المجلات والدوريات العسكرية و شرطية</v>
      </c>
      <c r="H800" t="str">
        <f>'Source Table'!$H$6</f>
        <v>Monthly</v>
      </c>
      <c r="I800" t="str">
        <f>'Source Table'!$H$5</f>
        <v>شهرية</v>
      </c>
      <c r="J800" s="35">
        <v>1</v>
      </c>
      <c r="K800">
        <v>2015</v>
      </c>
    </row>
    <row r="801" ht="15.75" spans="1:11">
      <c r="A801" s="1" t="s">
        <v>5</v>
      </c>
      <c r="B801" s="1" t="s">
        <v>7</v>
      </c>
      <c r="C801" s="2" t="s">
        <v>82</v>
      </c>
      <c r="D801" s="3" t="s">
        <v>83</v>
      </c>
      <c r="E801" s="4" t="s">
        <v>84</v>
      </c>
      <c r="F801" t="str">
        <f>'Source Table'!$B$12</f>
        <v>Youths &amp; Arts Magazines &amp; Periodicals</v>
      </c>
      <c r="G801" t="str">
        <f>'Source Table'!$K$12</f>
        <v>المجلات والدوريات الشباب و الفنون</v>
      </c>
      <c r="H801" t="str">
        <f>'Source Table'!$H$6</f>
        <v>Monthly</v>
      </c>
      <c r="I801" t="str">
        <f>'Source Table'!$H$5</f>
        <v>شهرية</v>
      </c>
      <c r="J801" s="35">
        <v>7</v>
      </c>
      <c r="K801">
        <v>2015</v>
      </c>
    </row>
    <row r="802" ht="15.75" spans="1:11">
      <c r="A802" s="1" t="s">
        <v>5</v>
      </c>
      <c r="B802" s="1" t="s">
        <v>7</v>
      </c>
      <c r="C802" s="2" t="s">
        <v>82</v>
      </c>
      <c r="D802" s="3" t="s">
        <v>83</v>
      </c>
      <c r="E802" s="4" t="s">
        <v>84</v>
      </c>
      <c r="F802" t="str">
        <f>'Source Table'!$B$13</f>
        <v>Cultural &amp; Educational Magazines &amp; Periodicals</v>
      </c>
      <c r="G802" t="str">
        <f>'Source Table'!$K$13</f>
        <v>المجلات والدوريات الثقافية و المدرسية</v>
      </c>
      <c r="H802" t="str">
        <f>'Source Table'!$H$6</f>
        <v>Monthly</v>
      </c>
      <c r="I802" t="str">
        <f>'Source Table'!$H$5</f>
        <v>شهرية</v>
      </c>
      <c r="J802" s="35">
        <v>33</v>
      </c>
      <c r="K802">
        <v>2015</v>
      </c>
    </row>
    <row r="803" ht="15.75" spans="1:11">
      <c r="A803" s="1" t="s">
        <v>5</v>
      </c>
      <c r="B803" s="1" t="s">
        <v>7</v>
      </c>
      <c r="C803" s="2" t="s">
        <v>82</v>
      </c>
      <c r="D803" s="3" t="s">
        <v>83</v>
      </c>
      <c r="E803" s="4" t="s">
        <v>84</v>
      </c>
      <c r="F803" t="str">
        <f>'Source Table'!$B$14</f>
        <v>Religious Magazines &amp; Periodicals</v>
      </c>
      <c r="G803" t="str">
        <f>'Source Table'!$K$14</f>
        <v>المجلات والدوريات الدينية</v>
      </c>
      <c r="H803" t="str">
        <f>'Source Table'!$H$6</f>
        <v>Monthly</v>
      </c>
      <c r="I803" t="str">
        <f>'Source Table'!$H$5</f>
        <v>شهرية</v>
      </c>
      <c r="J803" s="35">
        <v>8</v>
      </c>
      <c r="K803">
        <v>2015</v>
      </c>
    </row>
    <row r="804" ht="15.75" spans="1:11">
      <c r="A804" s="1" t="s">
        <v>5</v>
      </c>
      <c r="B804" s="1" t="s">
        <v>7</v>
      </c>
      <c r="C804" s="2" t="s">
        <v>82</v>
      </c>
      <c r="D804" s="3" t="s">
        <v>83</v>
      </c>
      <c r="E804" s="4" t="s">
        <v>84</v>
      </c>
      <c r="F804" t="str">
        <f>'Source Table'!$B$15</f>
        <v>Scientific Magazines &amp; Periodicals</v>
      </c>
      <c r="G804" t="str">
        <f>'Source Table'!$K$15</f>
        <v>المجلات والدوريات العلمية</v>
      </c>
      <c r="H804" t="str">
        <f>'Source Table'!$H$6</f>
        <v>Monthly</v>
      </c>
      <c r="I804" t="str">
        <f>'Source Table'!$H$5</f>
        <v>شهرية</v>
      </c>
      <c r="J804" s="35">
        <v>13</v>
      </c>
      <c r="K804">
        <v>2015</v>
      </c>
    </row>
    <row r="805" ht="15.75" spans="1:11">
      <c r="A805" s="1" t="s">
        <v>5</v>
      </c>
      <c r="B805" s="1" t="s">
        <v>7</v>
      </c>
      <c r="C805" s="2" t="s">
        <v>82</v>
      </c>
      <c r="D805" s="3" t="s">
        <v>83</v>
      </c>
      <c r="E805" s="4" t="s">
        <v>84</v>
      </c>
      <c r="F805" t="str">
        <f>'Source Table'!$B$16</f>
        <v>Financial Magazines &amp; Periodicals</v>
      </c>
      <c r="G805" t="str">
        <f>'Source Table'!$K$16</f>
        <v>المجلات والدوريات المالية</v>
      </c>
      <c r="H805" t="str">
        <f>'Source Table'!$H$6</f>
        <v>Monthly</v>
      </c>
      <c r="I805" t="str">
        <f>'Source Table'!$H$5</f>
        <v>شهرية</v>
      </c>
      <c r="J805" s="35">
        <v>0</v>
      </c>
      <c r="K805">
        <v>2015</v>
      </c>
    </row>
    <row r="806" ht="15.75" spans="1:11">
      <c r="A806" s="1" t="s">
        <v>5</v>
      </c>
      <c r="B806" s="1" t="s">
        <v>7</v>
      </c>
      <c r="C806" s="2" t="s">
        <v>82</v>
      </c>
      <c r="D806" s="3" t="s">
        <v>83</v>
      </c>
      <c r="E806" s="4" t="s">
        <v>84</v>
      </c>
      <c r="F806" t="str">
        <f>'Source Table'!$B$17</f>
        <v>Tourist Magazines &amp; Periodicals</v>
      </c>
      <c r="G806" t="str">
        <f>'Source Table'!$K$17</f>
        <v>المجلات والدوريات سياحية</v>
      </c>
      <c r="H806" t="str">
        <f>'Source Table'!$H$6</f>
        <v>Monthly</v>
      </c>
      <c r="I806" t="str">
        <f>'Source Table'!$H$5</f>
        <v>شهرية</v>
      </c>
      <c r="J806" s="35">
        <v>13</v>
      </c>
      <c r="K806">
        <v>2015</v>
      </c>
    </row>
    <row r="807" ht="16.5" spans="1:11">
      <c r="A807" s="1" t="s">
        <v>5</v>
      </c>
      <c r="B807" s="1" t="s">
        <v>7</v>
      </c>
      <c r="C807" s="2" t="s">
        <v>82</v>
      </c>
      <c r="D807" s="3" t="s">
        <v>83</v>
      </c>
      <c r="E807" s="4" t="s">
        <v>84</v>
      </c>
      <c r="F807" t="str">
        <f>'Source Table'!$B$18</f>
        <v>Other Magazines &amp; Periodicals</v>
      </c>
      <c r="G807" t="str">
        <f>'Source Table'!$K$18</f>
        <v>المجلات والدوريات أخرى</v>
      </c>
      <c r="H807" t="str">
        <f>'Source Table'!$H$6</f>
        <v>Monthly</v>
      </c>
      <c r="I807" t="str">
        <f>'Source Table'!$H$5</f>
        <v>شهرية</v>
      </c>
      <c r="J807" s="36">
        <v>265</v>
      </c>
      <c r="K807">
        <v>2015</v>
      </c>
    </row>
    <row r="808" ht="15.75" spans="1:11">
      <c r="A808" s="1" t="s">
        <v>5</v>
      </c>
      <c r="B808" s="1" t="s">
        <v>7</v>
      </c>
      <c r="C808" s="2" t="s">
        <v>82</v>
      </c>
      <c r="D808" s="3" t="s">
        <v>83</v>
      </c>
      <c r="E808" s="4" t="s">
        <v>84</v>
      </c>
      <c r="F808" t="str">
        <f>'Source Table'!$B$7</f>
        <v>Political Newspapers</v>
      </c>
      <c r="G808" t="str">
        <f>'Source Table'!$K$7</f>
        <v>صحف سياسية</v>
      </c>
      <c r="I808" t="str">
        <f>'Source Table'!$G$5</f>
        <v>فصلية</v>
      </c>
      <c r="J808" s="35">
        <v>1</v>
      </c>
      <c r="K808">
        <v>2015</v>
      </c>
    </row>
    <row r="809" ht="15.75" spans="1:11">
      <c r="A809" s="1" t="s">
        <v>5</v>
      </c>
      <c r="B809" s="1" t="s">
        <v>7</v>
      </c>
      <c r="C809" s="2" t="s">
        <v>82</v>
      </c>
      <c r="D809" s="3" t="s">
        <v>83</v>
      </c>
      <c r="E809" s="4" t="s">
        <v>84</v>
      </c>
      <c r="F809" t="str">
        <f>'Source Table'!$B$8</f>
        <v>Parties Newspapers</v>
      </c>
      <c r="G809" t="str">
        <f>'Source Table'!$K$8</f>
        <v>صحف حزبية</v>
      </c>
      <c r="I809" t="str">
        <f>'Source Table'!$G$5</f>
        <v>فصلية</v>
      </c>
      <c r="J809" s="35">
        <v>0</v>
      </c>
      <c r="K809">
        <v>2015</v>
      </c>
    </row>
    <row r="810" ht="15.75" spans="1:11">
      <c r="A810" s="1" t="s">
        <v>5</v>
      </c>
      <c r="B810" s="1" t="s">
        <v>7</v>
      </c>
      <c r="C810" s="2" t="s">
        <v>82</v>
      </c>
      <c r="D810" s="3" t="s">
        <v>83</v>
      </c>
      <c r="E810" s="4" t="s">
        <v>84</v>
      </c>
      <c r="F810" t="str">
        <f>'Source Table'!$B$9</f>
        <v>Children Magazines &amp; Periodicals</v>
      </c>
      <c r="G810" t="str">
        <f>'Source Table'!$K$9</f>
        <v>المجلات والدوريات الأطفال</v>
      </c>
      <c r="I810" t="str">
        <f>'Source Table'!$G$5</f>
        <v>فصلية</v>
      </c>
      <c r="J810" s="35">
        <v>1</v>
      </c>
      <c r="K810">
        <v>2015</v>
      </c>
    </row>
    <row r="811" ht="15.75" spans="1:11">
      <c r="A811" s="1" t="s">
        <v>5</v>
      </c>
      <c r="B811" s="1" t="s">
        <v>7</v>
      </c>
      <c r="C811" s="2" t="s">
        <v>82</v>
      </c>
      <c r="D811" s="3" t="s">
        <v>83</v>
      </c>
      <c r="E811" s="4" t="s">
        <v>84</v>
      </c>
      <c r="F811" t="str">
        <f>'Source Table'!$B$10</f>
        <v>Economic Magazines &amp; Periodicals</v>
      </c>
      <c r="G811" t="str">
        <f>'Source Table'!$K$10</f>
        <v>المجلات والدوريات الاقتصادية</v>
      </c>
      <c r="I811" t="str">
        <f>'Source Table'!$G$5</f>
        <v>فصلية</v>
      </c>
      <c r="J811" s="35">
        <v>37</v>
      </c>
      <c r="K811">
        <v>2015</v>
      </c>
    </row>
    <row r="812" ht="15.75" spans="1:11">
      <c r="A812" s="1" t="s">
        <v>5</v>
      </c>
      <c r="B812" s="1" t="s">
        <v>7</v>
      </c>
      <c r="C812" s="2" t="s">
        <v>82</v>
      </c>
      <c r="D812" s="3" t="s">
        <v>83</v>
      </c>
      <c r="E812" s="4" t="s">
        <v>84</v>
      </c>
      <c r="F812" t="str">
        <f>'Source Table'!$B$11</f>
        <v>Army &amp; Police Magazines &amp; Periodicals</v>
      </c>
      <c r="G812" t="str">
        <f>'Source Table'!$K$11</f>
        <v>المجلات والدوريات العسكرية و شرطية</v>
      </c>
      <c r="I812" t="str">
        <f>'Source Table'!$G$5</f>
        <v>فصلية</v>
      </c>
      <c r="J812" s="35">
        <v>1</v>
      </c>
      <c r="K812">
        <v>2015</v>
      </c>
    </row>
    <row r="813" ht="15.75" spans="1:11">
      <c r="A813" s="1" t="s">
        <v>5</v>
      </c>
      <c r="B813" s="1" t="s">
        <v>7</v>
      </c>
      <c r="C813" s="2" t="s">
        <v>82</v>
      </c>
      <c r="D813" s="3" t="s">
        <v>83</v>
      </c>
      <c r="E813" s="4" t="s">
        <v>84</v>
      </c>
      <c r="F813" t="str">
        <f>'Source Table'!$B$12</f>
        <v>Youths &amp; Arts Magazines &amp; Periodicals</v>
      </c>
      <c r="G813" t="str">
        <f>'Source Table'!$K$12</f>
        <v>المجلات والدوريات الشباب و الفنون</v>
      </c>
      <c r="I813" t="str">
        <f>'Source Table'!$G$5</f>
        <v>فصلية</v>
      </c>
      <c r="J813" s="35">
        <v>1</v>
      </c>
      <c r="K813">
        <v>2015</v>
      </c>
    </row>
    <row r="814" ht="15.75" spans="1:11">
      <c r="A814" s="1" t="s">
        <v>5</v>
      </c>
      <c r="B814" s="1" t="s">
        <v>7</v>
      </c>
      <c r="C814" s="2" t="s">
        <v>82</v>
      </c>
      <c r="D814" s="3" t="s">
        <v>83</v>
      </c>
      <c r="E814" s="4" t="s">
        <v>84</v>
      </c>
      <c r="F814" t="str">
        <f>'Source Table'!$B$13</f>
        <v>Cultural &amp; Educational Magazines &amp; Periodicals</v>
      </c>
      <c r="G814" t="str">
        <f>'Source Table'!$K$13</f>
        <v>المجلات والدوريات الثقافية و المدرسية</v>
      </c>
      <c r="I814" t="str">
        <f>'Source Table'!$G$5</f>
        <v>فصلية</v>
      </c>
      <c r="J814" s="35">
        <v>27</v>
      </c>
      <c r="K814">
        <v>2015</v>
      </c>
    </row>
    <row r="815" ht="15.75" spans="1:11">
      <c r="A815" s="1" t="s">
        <v>5</v>
      </c>
      <c r="B815" s="1" t="s">
        <v>7</v>
      </c>
      <c r="C815" s="2" t="s">
        <v>82</v>
      </c>
      <c r="D815" s="3" t="s">
        <v>83</v>
      </c>
      <c r="E815" s="4" t="s">
        <v>84</v>
      </c>
      <c r="F815" t="str">
        <f>'Source Table'!$B$14</f>
        <v>Religious Magazines &amp; Periodicals</v>
      </c>
      <c r="G815" t="str">
        <f>'Source Table'!$K$14</f>
        <v>المجلات والدوريات الدينية</v>
      </c>
      <c r="I815" t="str">
        <f>'Source Table'!$G$5</f>
        <v>فصلية</v>
      </c>
      <c r="J815" s="35">
        <v>2</v>
      </c>
      <c r="K815">
        <v>2015</v>
      </c>
    </row>
    <row r="816" ht="15.75" spans="1:11">
      <c r="A816" s="1" t="s">
        <v>5</v>
      </c>
      <c r="B816" s="1" t="s">
        <v>7</v>
      </c>
      <c r="C816" s="2" t="s">
        <v>82</v>
      </c>
      <c r="D816" s="3" t="s">
        <v>83</v>
      </c>
      <c r="E816" s="4" t="s">
        <v>84</v>
      </c>
      <c r="F816" t="str">
        <f>'Source Table'!$B$15</f>
        <v>Scientific Magazines &amp; Periodicals</v>
      </c>
      <c r="G816" t="str">
        <f>'Source Table'!$K$15</f>
        <v>المجلات والدوريات العلمية</v>
      </c>
      <c r="I816" t="str">
        <f>'Source Table'!$G$5</f>
        <v>فصلية</v>
      </c>
      <c r="J816" s="35">
        <v>34</v>
      </c>
      <c r="K816">
        <v>2015</v>
      </c>
    </row>
    <row r="817" ht="15.75" spans="1:11">
      <c r="A817" s="1" t="s">
        <v>5</v>
      </c>
      <c r="B817" s="1" t="s">
        <v>7</v>
      </c>
      <c r="C817" s="2" t="s">
        <v>82</v>
      </c>
      <c r="D817" s="3" t="s">
        <v>83</v>
      </c>
      <c r="E817" s="4" t="s">
        <v>84</v>
      </c>
      <c r="F817" t="str">
        <f>'Source Table'!$B$16</f>
        <v>Financial Magazines &amp; Periodicals</v>
      </c>
      <c r="G817" t="str">
        <f>'Source Table'!$K$16</f>
        <v>المجلات والدوريات المالية</v>
      </c>
      <c r="I817" t="str">
        <f>'Source Table'!$G$5</f>
        <v>فصلية</v>
      </c>
      <c r="J817" s="35">
        <v>0</v>
      </c>
      <c r="K817">
        <v>2015</v>
      </c>
    </row>
    <row r="818" ht="15.75" spans="1:11">
      <c r="A818" s="1" t="s">
        <v>5</v>
      </c>
      <c r="B818" s="1" t="s">
        <v>7</v>
      </c>
      <c r="C818" s="2" t="s">
        <v>82</v>
      </c>
      <c r="D818" s="3" t="s">
        <v>83</v>
      </c>
      <c r="E818" s="4" t="s">
        <v>84</v>
      </c>
      <c r="F818" t="str">
        <f>'Source Table'!$B$17</f>
        <v>Tourist Magazines &amp; Periodicals</v>
      </c>
      <c r="G818" t="str">
        <f>'Source Table'!$K$17</f>
        <v>المجلات والدوريات سياحية</v>
      </c>
      <c r="I818" t="str">
        <f>'Source Table'!$G$5</f>
        <v>فصلية</v>
      </c>
      <c r="J818" s="35">
        <v>5</v>
      </c>
      <c r="K818">
        <v>2015</v>
      </c>
    </row>
    <row r="819" ht="16.5" spans="1:11">
      <c r="A819" s="1" t="s">
        <v>5</v>
      </c>
      <c r="B819" s="1" t="s">
        <v>7</v>
      </c>
      <c r="C819" s="2" t="s">
        <v>82</v>
      </c>
      <c r="D819" s="3" t="s">
        <v>83</v>
      </c>
      <c r="E819" s="4" t="s">
        <v>84</v>
      </c>
      <c r="F819" t="str">
        <f>'Source Table'!$B$18</f>
        <v>Other Magazines &amp; Periodicals</v>
      </c>
      <c r="G819" t="str">
        <f>'Source Table'!$K$18</f>
        <v>المجلات والدوريات أخرى</v>
      </c>
      <c r="I819" t="str">
        <f>'Source Table'!$G$5</f>
        <v>فصلية</v>
      </c>
      <c r="J819" s="36">
        <v>161</v>
      </c>
      <c r="K819">
        <v>2015</v>
      </c>
    </row>
    <row r="820" ht="15.75" spans="1:11">
      <c r="A820" s="1" t="s">
        <v>5</v>
      </c>
      <c r="B820" s="1" t="s">
        <v>7</v>
      </c>
      <c r="C820" s="2" t="s">
        <v>82</v>
      </c>
      <c r="D820" s="3" t="s">
        <v>83</v>
      </c>
      <c r="E820" s="4" t="s">
        <v>84</v>
      </c>
      <c r="F820" t="str">
        <f>'Source Table'!$B$7</f>
        <v>Political Newspapers</v>
      </c>
      <c r="G820" t="str">
        <f>'Source Table'!$K$7</f>
        <v>صحف سياسية</v>
      </c>
      <c r="I820" t="str">
        <f>'Source Table'!$F$5</f>
        <v>سنوية</v>
      </c>
      <c r="J820" s="5"/>
      <c r="K820">
        <v>2015</v>
      </c>
    </row>
    <row r="821" ht="15.75" spans="1:11">
      <c r="A821" s="1" t="s">
        <v>5</v>
      </c>
      <c r="B821" s="1" t="s">
        <v>7</v>
      </c>
      <c r="C821" s="2" t="s">
        <v>82</v>
      </c>
      <c r="D821" s="3" t="s">
        <v>83</v>
      </c>
      <c r="E821" s="4" t="s">
        <v>84</v>
      </c>
      <c r="F821" t="str">
        <f>'Source Table'!$B$8</f>
        <v>Parties Newspapers</v>
      </c>
      <c r="G821" t="str">
        <f>'Source Table'!$K$8</f>
        <v>صحف حزبية</v>
      </c>
      <c r="I821" t="str">
        <f>'Source Table'!$F$5</f>
        <v>سنوية</v>
      </c>
      <c r="J821" s="5"/>
      <c r="K821">
        <v>2015</v>
      </c>
    </row>
    <row r="822" ht="15.75" spans="1:11">
      <c r="A822" s="1" t="s">
        <v>5</v>
      </c>
      <c r="B822" s="1" t="s">
        <v>7</v>
      </c>
      <c r="C822" s="2" t="s">
        <v>82</v>
      </c>
      <c r="D822" s="3" t="s">
        <v>83</v>
      </c>
      <c r="E822" s="4" t="s">
        <v>84</v>
      </c>
      <c r="F822" t="str">
        <f>'Source Table'!$B$9</f>
        <v>Children Magazines &amp; Periodicals</v>
      </c>
      <c r="G822" t="str">
        <f>'Source Table'!$K$9</f>
        <v>المجلات والدوريات الأطفال</v>
      </c>
      <c r="I822" t="str">
        <f>'Source Table'!$F$5</f>
        <v>سنوية</v>
      </c>
      <c r="J822" s="5"/>
      <c r="K822">
        <v>2015</v>
      </c>
    </row>
    <row r="823" ht="15.75" spans="1:11">
      <c r="A823" s="1" t="s">
        <v>5</v>
      </c>
      <c r="B823" s="1" t="s">
        <v>7</v>
      </c>
      <c r="C823" s="2" t="s">
        <v>82</v>
      </c>
      <c r="D823" s="3" t="s">
        <v>83</v>
      </c>
      <c r="E823" s="4" t="s">
        <v>84</v>
      </c>
      <c r="F823" t="str">
        <f>'Source Table'!$B$10</f>
        <v>Economic Magazines &amp; Periodicals</v>
      </c>
      <c r="G823" t="str">
        <f>'Source Table'!$K$10</f>
        <v>المجلات والدوريات الاقتصادية</v>
      </c>
      <c r="I823" t="str">
        <f>'Source Table'!$F$5</f>
        <v>سنوية</v>
      </c>
      <c r="J823" s="5"/>
      <c r="K823">
        <v>2015</v>
      </c>
    </row>
    <row r="824" ht="15.75" spans="1:11">
      <c r="A824" s="1" t="s">
        <v>5</v>
      </c>
      <c r="B824" s="1" t="s">
        <v>7</v>
      </c>
      <c r="C824" s="2" t="s">
        <v>82</v>
      </c>
      <c r="D824" s="3" t="s">
        <v>83</v>
      </c>
      <c r="E824" s="4" t="s">
        <v>84</v>
      </c>
      <c r="F824" t="str">
        <f>'Source Table'!$B$11</f>
        <v>Army &amp; Police Magazines &amp; Periodicals</v>
      </c>
      <c r="G824" t="str">
        <f>'Source Table'!$K$11</f>
        <v>المجلات والدوريات العسكرية و شرطية</v>
      </c>
      <c r="I824" t="str">
        <f>'Source Table'!$F$5</f>
        <v>سنوية</v>
      </c>
      <c r="J824" s="5"/>
      <c r="K824">
        <v>2015</v>
      </c>
    </row>
    <row r="825" ht="15.75" spans="1:11">
      <c r="A825" s="1" t="s">
        <v>5</v>
      </c>
      <c r="B825" s="1" t="s">
        <v>7</v>
      </c>
      <c r="C825" s="2" t="s">
        <v>82</v>
      </c>
      <c r="D825" s="3" t="s">
        <v>83</v>
      </c>
      <c r="E825" s="4" t="s">
        <v>84</v>
      </c>
      <c r="F825" t="str">
        <f>'Source Table'!$B$12</f>
        <v>Youths &amp; Arts Magazines &amp; Periodicals</v>
      </c>
      <c r="G825" t="str">
        <f>'Source Table'!$K$12</f>
        <v>المجلات والدوريات الشباب و الفنون</v>
      </c>
      <c r="I825" t="str">
        <f>'Source Table'!$F$5</f>
        <v>سنوية</v>
      </c>
      <c r="J825" s="5"/>
      <c r="K825">
        <v>2015</v>
      </c>
    </row>
    <row r="826" ht="15.75" spans="1:11">
      <c r="A826" s="1" t="s">
        <v>5</v>
      </c>
      <c r="B826" s="1" t="s">
        <v>7</v>
      </c>
      <c r="C826" s="2" t="s">
        <v>82</v>
      </c>
      <c r="D826" s="3" t="s">
        <v>83</v>
      </c>
      <c r="E826" s="4" t="s">
        <v>84</v>
      </c>
      <c r="F826" t="str">
        <f>'Source Table'!$B$13</f>
        <v>Cultural &amp; Educational Magazines &amp; Periodicals</v>
      </c>
      <c r="G826" t="str">
        <f>'Source Table'!$K$13</f>
        <v>المجلات والدوريات الثقافية و المدرسية</v>
      </c>
      <c r="I826" t="str">
        <f>'Source Table'!$F$5</f>
        <v>سنوية</v>
      </c>
      <c r="J826" s="5"/>
      <c r="K826">
        <v>2015</v>
      </c>
    </row>
    <row r="827" ht="15.75" spans="1:11">
      <c r="A827" s="1" t="s">
        <v>5</v>
      </c>
      <c r="B827" s="1" t="s">
        <v>7</v>
      </c>
      <c r="C827" s="2" t="s">
        <v>82</v>
      </c>
      <c r="D827" s="3" t="s">
        <v>83</v>
      </c>
      <c r="E827" s="4" t="s">
        <v>84</v>
      </c>
      <c r="F827" t="str">
        <f>'Source Table'!$B$14</f>
        <v>Religious Magazines &amp; Periodicals</v>
      </c>
      <c r="G827" t="str">
        <f>'Source Table'!$K$14</f>
        <v>المجلات والدوريات الدينية</v>
      </c>
      <c r="I827" t="str">
        <f>'Source Table'!$F$5</f>
        <v>سنوية</v>
      </c>
      <c r="J827" s="5"/>
      <c r="K827">
        <v>2015</v>
      </c>
    </row>
    <row r="828" ht="15.75" spans="1:11">
      <c r="A828" s="1" t="s">
        <v>5</v>
      </c>
      <c r="B828" s="1" t="s">
        <v>7</v>
      </c>
      <c r="C828" s="2" t="s">
        <v>82</v>
      </c>
      <c r="D828" s="3" t="s">
        <v>83</v>
      </c>
      <c r="E828" s="4" t="s">
        <v>84</v>
      </c>
      <c r="F828" t="str">
        <f>'Source Table'!$B$15</f>
        <v>Scientific Magazines &amp; Periodicals</v>
      </c>
      <c r="G828" t="str">
        <f>'Source Table'!$K$15</f>
        <v>المجلات والدوريات العلمية</v>
      </c>
      <c r="I828" t="str">
        <f>'Source Table'!$F$5</f>
        <v>سنوية</v>
      </c>
      <c r="J828" s="5"/>
      <c r="K828">
        <v>2015</v>
      </c>
    </row>
    <row r="829" ht="15.75" spans="1:11">
      <c r="A829" s="1" t="s">
        <v>5</v>
      </c>
      <c r="B829" s="1" t="s">
        <v>7</v>
      </c>
      <c r="C829" s="2" t="s">
        <v>82</v>
      </c>
      <c r="D829" s="3" t="s">
        <v>83</v>
      </c>
      <c r="E829" s="4" t="s">
        <v>84</v>
      </c>
      <c r="F829" t="str">
        <f>'Source Table'!$B$16</f>
        <v>Financial Magazines &amp; Periodicals</v>
      </c>
      <c r="G829" t="str">
        <f>'Source Table'!$K$16</f>
        <v>المجلات والدوريات المالية</v>
      </c>
      <c r="I829" t="str">
        <f>'Source Table'!$F$5</f>
        <v>سنوية</v>
      </c>
      <c r="J829" s="5"/>
      <c r="K829">
        <v>2015</v>
      </c>
    </row>
    <row r="830" ht="15.75" spans="1:11">
      <c r="A830" s="1" t="s">
        <v>5</v>
      </c>
      <c r="B830" s="1" t="s">
        <v>7</v>
      </c>
      <c r="C830" s="2" t="s">
        <v>82</v>
      </c>
      <c r="D830" s="3" t="s">
        <v>83</v>
      </c>
      <c r="E830" s="4" t="s">
        <v>84</v>
      </c>
      <c r="F830" t="str">
        <f>'Source Table'!$B$17</f>
        <v>Tourist Magazines &amp; Periodicals</v>
      </c>
      <c r="G830" t="str">
        <f>'Source Table'!$K$17</f>
        <v>المجلات والدوريات سياحية</v>
      </c>
      <c r="I830" t="str">
        <f>'Source Table'!$F$5</f>
        <v>سنوية</v>
      </c>
      <c r="J830" s="5"/>
      <c r="K830">
        <v>2015</v>
      </c>
    </row>
    <row r="831" ht="15.75" spans="1:11">
      <c r="A831" s="1" t="s">
        <v>5</v>
      </c>
      <c r="B831" s="1" t="s">
        <v>7</v>
      </c>
      <c r="C831" s="2" t="s">
        <v>82</v>
      </c>
      <c r="D831" s="3" t="s">
        <v>83</v>
      </c>
      <c r="E831" s="4" t="s">
        <v>84</v>
      </c>
      <c r="F831" t="str">
        <f>'Source Table'!$B$18</f>
        <v>Other Magazines &amp; Periodicals</v>
      </c>
      <c r="G831" t="str">
        <f>'Source Table'!$K$18</f>
        <v>المجلات والدوريات أخرى</v>
      </c>
      <c r="I831" t="str">
        <f>'Source Table'!$F$5</f>
        <v>سنوية</v>
      </c>
      <c r="J831" s="6"/>
      <c r="K831">
        <v>2015</v>
      </c>
    </row>
    <row r="832" ht="15.75" spans="1:11">
      <c r="A832" s="1" t="s">
        <v>5</v>
      </c>
      <c r="B832" s="1" t="s">
        <v>7</v>
      </c>
      <c r="C832" s="2" t="s">
        <v>82</v>
      </c>
      <c r="D832" s="3" t="s">
        <v>83</v>
      </c>
      <c r="E832" s="4" t="s">
        <v>84</v>
      </c>
      <c r="F832" t="str">
        <f>'Source Table'!$B$7</f>
        <v>Political Newspapers</v>
      </c>
      <c r="G832" t="str">
        <f>'Source Table'!$K$7</f>
        <v>صحف سياسية</v>
      </c>
      <c r="I832" t="str">
        <f>'Source Table'!$E$5</f>
        <v>كل شهرين</v>
      </c>
      <c r="J832" s="7"/>
      <c r="K832">
        <v>2015</v>
      </c>
    </row>
    <row r="833" ht="15.75" spans="1:11">
      <c r="A833" s="1" t="s">
        <v>5</v>
      </c>
      <c r="B833" s="1" t="s">
        <v>7</v>
      </c>
      <c r="C833" s="2" t="s">
        <v>82</v>
      </c>
      <c r="D833" s="3" t="s">
        <v>83</v>
      </c>
      <c r="E833" s="4" t="s">
        <v>84</v>
      </c>
      <c r="F833" t="str">
        <f>'Source Table'!$B$8</f>
        <v>Parties Newspapers</v>
      </c>
      <c r="G833" t="str">
        <f>'Source Table'!$K$8</f>
        <v>صحف حزبية</v>
      </c>
      <c r="I833" t="str">
        <f>'Source Table'!$E$5</f>
        <v>كل شهرين</v>
      </c>
      <c r="J833" s="7"/>
      <c r="K833">
        <v>2015</v>
      </c>
    </row>
    <row r="834" ht="15.75" spans="1:11">
      <c r="A834" s="1" t="s">
        <v>5</v>
      </c>
      <c r="B834" s="1" t="s">
        <v>7</v>
      </c>
      <c r="C834" s="2" t="s">
        <v>82</v>
      </c>
      <c r="D834" s="3" t="s">
        <v>83</v>
      </c>
      <c r="E834" s="4" t="s">
        <v>84</v>
      </c>
      <c r="F834" t="str">
        <f>'Source Table'!$B$9</f>
        <v>Children Magazines &amp; Periodicals</v>
      </c>
      <c r="G834" t="str">
        <f>'Source Table'!$K$9</f>
        <v>المجلات والدوريات الأطفال</v>
      </c>
      <c r="I834" t="str">
        <f>'Source Table'!$E$5</f>
        <v>كل شهرين</v>
      </c>
      <c r="J834" s="7"/>
      <c r="K834">
        <v>2015</v>
      </c>
    </row>
    <row r="835" ht="15.75" spans="1:11">
      <c r="A835" s="1" t="s">
        <v>5</v>
      </c>
      <c r="B835" s="1" t="s">
        <v>7</v>
      </c>
      <c r="C835" s="2" t="s">
        <v>82</v>
      </c>
      <c r="D835" s="3" t="s">
        <v>83</v>
      </c>
      <c r="E835" s="4" t="s">
        <v>84</v>
      </c>
      <c r="F835" t="str">
        <f>'Source Table'!$B$10</f>
        <v>Economic Magazines &amp; Periodicals</v>
      </c>
      <c r="G835" t="str">
        <f>'Source Table'!$K$10</f>
        <v>المجلات والدوريات الاقتصادية</v>
      </c>
      <c r="I835" t="str">
        <f>'Source Table'!$E$5</f>
        <v>كل شهرين</v>
      </c>
      <c r="J835" s="7"/>
      <c r="K835">
        <v>2015</v>
      </c>
    </row>
    <row r="836" ht="15.75" spans="1:11">
      <c r="A836" s="1" t="s">
        <v>5</v>
      </c>
      <c r="B836" s="1" t="s">
        <v>7</v>
      </c>
      <c r="C836" s="2" t="s">
        <v>82</v>
      </c>
      <c r="D836" s="3" t="s">
        <v>83</v>
      </c>
      <c r="E836" s="4" t="s">
        <v>84</v>
      </c>
      <c r="F836" t="str">
        <f>'Source Table'!$B$11</f>
        <v>Army &amp; Police Magazines &amp; Periodicals</v>
      </c>
      <c r="G836" t="str">
        <f>'Source Table'!$K$11</f>
        <v>المجلات والدوريات العسكرية و شرطية</v>
      </c>
      <c r="I836" t="str">
        <f>'Source Table'!$E$5</f>
        <v>كل شهرين</v>
      </c>
      <c r="J836" s="7"/>
      <c r="K836">
        <v>2015</v>
      </c>
    </row>
    <row r="837" ht="15.75" spans="1:11">
      <c r="A837" s="1" t="s">
        <v>5</v>
      </c>
      <c r="B837" s="1" t="s">
        <v>7</v>
      </c>
      <c r="C837" s="2" t="s">
        <v>82</v>
      </c>
      <c r="D837" s="3" t="s">
        <v>83</v>
      </c>
      <c r="E837" s="4" t="s">
        <v>84</v>
      </c>
      <c r="F837" t="str">
        <f>'Source Table'!$B$12</f>
        <v>Youths &amp; Arts Magazines &amp; Periodicals</v>
      </c>
      <c r="G837" t="str">
        <f>'Source Table'!$K$12</f>
        <v>المجلات والدوريات الشباب و الفنون</v>
      </c>
      <c r="I837" t="str">
        <f>'Source Table'!$E$5</f>
        <v>كل شهرين</v>
      </c>
      <c r="J837" s="7"/>
      <c r="K837">
        <v>2015</v>
      </c>
    </row>
    <row r="838" ht="15.75" spans="1:11">
      <c r="A838" s="1" t="s">
        <v>5</v>
      </c>
      <c r="B838" s="1" t="s">
        <v>7</v>
      </c>
      <c r="C838" s="2" t="s">
        <v>82</v>
      </c>
      <c r="D838" s="3" t="s">
        <v>83</v>
      </c>
      <c r="E838" s="4" t="s">
        <v>84</v>
      </c>
      <c r="F838" t="str">
        <f>'Source Table'!$B$13</f>
        <v>Cultural &amp; Educational Magazines &amp; Periodicals</v>
      </c>
      <c r="G838" t="str">
        <f>'Source Table'!$K$13</f>
        <v>المجلات والدوريات الثقافية و المدرسية</v>
      </c>
      <c r="I838" t="str">
        <f>'Source Table'!$E$5</f>
        <v>كل شهرين</v>
      </c>
      <c r="J838" s="7"/>
      <c r="K838">
        <v>2015</v>
      </c>
    </row>
    <row r="839" ht="15.75" spans="1:11">
      <c r="A839" s="1" t="s">
        <v>5</v>
      </c>
      <c r="B839" s="1" t="s">
        <v>7</v>
      </c>
      <c r="C839" s="2" t="s">
        <v>82</v>
      </c>
      <c r="D839" s="3" t="s">
        <v>83</v>
      </c>
      <c r="E839" s="4" t="s">
        <v>84</v>
      </c>
      <c r="F839" t="str">
        <f>'Source Table'!$B$14</f>
        <v>Religious Magazines &amp; Periodicals</v>
      </c>
      <c r="G839" t="str">
        <f>'Source Table'!$K$14</f>
        <v>المجلات والدوريات الدينية</v>
      </c>
      <c r="I839" t="str">
        <f>'Source Table'!$E$5</f>
        <v>كل شهرين</v>
      </c>
      <c r="J839" s="7"/>
      <c r="K839">
        <v>2015</v>
      </c>
    </row>
    <row r="840" ht="15.75" spans="1:11">
      <c r="A840" s="1" t="s">
        <v>5</v>
      </c>
      <c r="B840" s="1" t="s">
        <v>7</v>
      </c>
      <c r="C840" s="2" t="s">
        <v>82</v>
      </c>
      <c r="D840" s="3" t="s">
        <v>83</v>
      </c>
      <c r="E840" s="4" t="s">
        <v>84</v>
      </c>
      <c r="F840" t="str">
        <f>'Source Table'!$B$15</f>
        <v>Scientific Magazines &amp; Periodicals</v>
      </c>
      <c r="G840" t="str">
        <f>'Source Table'!$K$15</f>
        <v>المجلات والدوريات العلمية</v>
      </c>
      <c r="I840" t="str">
        <f>'Source Table'!$E$5</f>
        <v>كل شهرين</v>
      </c>
      <c r="J840" s="7"/>
      <c r="K840">
        <v>2015</v>
      </c>
    </row>
    <row r="841" ht="15.75" spans="1:11">
      <c r="A841" s="1" t="s">
        <v>5</v>
      </c>
      <c r="B841" s="1" t="s">
        <v>7</v>
      </c>
      <c r="C841" s="2" t="s">
        <v>82</v>
      </c>
      <c r="D841" s="3" t="s">
        <v>83</v>
      </c>
      <c r="E841" s="4" t="s">
        <v>84</v>
      </c>
      <c r="F841" t="str">
        <f>'Source Table'!$B$16</f>
        <v>Financial Magazines &amp; Periodicals</v>
      </c>
      <c r="G841" t="str">
        <f>'Source Table'!$K$16</f>
        <v>المجلات والدوريات المالية</v>
      </c>
      <c r="I841" t="str">
        <f>'Source Table'!$E$5</f>
        <v>كل شهرين</v>
      </c>
      <c r="J841" s="7"/>
      <c r="K841">
        <v>2015</v>
      </c>
    </row>
    <row r="842" ht="15.75" spans="1:11">
      <c r="A842" s="1" t="s">
        <v>5</v>
      </c>
      <c r="B842" s="1" t="s">
        <v>7</v>
      </c>
      <c r="C842" s="2" t="s">
        <v>82</v>
      </c>
      <c r="D842" s="3" t="s">
        <v>83</v>
      </c>
      <c r="E842" s="4" t="s">
        <v>84</v>
      </c>
      <c r="F842" t="str">
        <f>'Source Table'!$B$17</f>
        <v>Tourist Magazines &amp; Periodicals</v>
      </c>
      <c r="G842" t="str">
        <f>'Source Table'!$K$17</f>
        <v>المجلات والدوريات سياحية</v>
      </c>
      <c r="I842" t="str">
        <f>'Source Table'!$E$5</f>
        <v>كل شهرين</v>
      </c>
      <c r="J842" s="7"/>
      <c r="K842">
        <v>2015</v>
      </c>
    </row>
    <row r="843" ht="15.75" spans="1:11">
      <c r="A843" s="1" t="s">
        <v>5</v>
      </c>
      <c r="B843" s="1" t="s">
        <v>7</v>
      </c>
      <c r="C843" s="2" t="s">
        <v>82</v>
      </c>
      <c r="D843" s="3" t="s">
        <v>83</v>
      </c>
      <c r="E843" s="4" t="s">
        <v>84</v>
      </c>
      <c r="F843" t="str">
        <f>'Source Table'!$B$18</f>
        <v>Other Magazines &amp; Periodicals</v>
      </c>
      <c r="G843" t="str">
        <f>'Source Table'!$K$18</f>
        <v>المجلات والدوريات أخرى</v>
      </c>
      <c r="I843" t="str">
        <f>'Source Table'!$E$5</f>
        <v>كل شهرين</v>
      </c>
      <c r="J843" s="8"/>
      <c r="K843">
        <v>2015</v>
      </c>
    </row>
    <row r="844" ht="15.75" spans="1:11">
      <c r="A844" s="1" t="s">
        <v>5</v>
      </c>
      <c r="B844" s="1" t="s">
        <v>7</v>
      </c>
      <c r="C844" s="2" t="s">
        <v>82</v>
      </c>
      <c r="D844" s="3" t="s">
        <v>83</v>
      </c>
      <c r="E844" s="4" t="s">
        <v>84</v>
      </c>
      <c r="F844" t="str">
        <f>'Source Table'!$B$7</f>
        <v>Political Newspapers</v>
      </c>
      <c r="G844" t="str">
        <f>'Source Table'!$K$7</f>
        <v>صحف سياسية</v>
      </c>
      <c r="I844" t="str">
        <f>'Source Table'!$D$5</f>
        <v>نصف سنوية</v>
      </c>
      <c r="J844" s="7"/>
      <c r="K844">
        <v>2015</v>
      </c>
    </row>
    <row r="845" ht="15.75" spans="1:11">
      <c r="A845" s="1" t="s">
        <v>5</v>
      </c>
      <c r="B845" s="1" t="s">
        <v>7</v>
      </c>
      <c r="C845" s="2" t="s">
        <v>82</v>
      </c>
      <c r="D845" s="3" t="s">
        <v>83</v>
      </c>
      <c r="E845" s="4" t="s">
        <v>84</v>
      </c>
      <c r="F845" t="str">
        <f>'Source Table'!$B$8</f>
        <v>Parties Newspapers</v>
      </c>
      <c r="G845" t="str">
        <f>'Source Table'!$K$8</f>
        <v>صحف حزبية</v>
      </c>
      <c r="I845" t="str">
        <f>'Source Table'!$D$5</f>
        <v>نصف سنوية</v>
      </c>
      <c r="J845" s="7"/>
      <c r="K845">
        <v>2015</v>
      </c>
    </row>
    <row r="846" ht="15.75" spans="1:11">
      <c r="A846" s="1" t="s">
        <v>5</v>
      </c>
      <c r="B846" s="1" t="s">
        <v>7</v>
      </c>
      <c r="C846" s="2" t="s">
        <v>82</v>
      </c>
      <c r="D846" s="3" t="s">
        <v>83</v>
      </c>
      <c r="E846" s="4" t="s">
        <v>84</v>
      </c>
      <c r="F846" t="str">
        <f>'Source Table'!$B$9</f>
        <v>Children Magazines &amp; Periodicals</v>
      </c>
      <c r="G846" t="str">
        <f>'Source Table'!$K$9</f>
        <v>المجلات والدوريات الأطفال</v>
      </c>
      <c r="I846" t="str">
        <f>'Source Table'!$D$5</f>
        <v>نصف سنوية</v>
      </c>
      <c r="J846" s="7"/>
      <c r="K846">
        <v>2015</v>
      </c>
    </row>
    <row r="847" ht="15.75" spans="1:11">
      <c r="A847" s="1" t="s">
        <v>5</v>
      </c>
      <c r="B847" s="1" t="s">
        <v>7</v>
      </c>
      <c r="C847" s="2" t="s">
        <v>82</v>
      </c>
      <c r="D847" s="3" t="s">
        <v>83</v>
      </c>
      <c r="E847" s="4" t="s">
        <v>84</v>
      </c>
      <c r="F847" t="str">
        <f>'Source Table'!$B$10</f>
        <v>Economic Magazines &amp; Periodicals</v>
      </c>
      <c r="G847" t="str">
        <f>'Source Table'!$K$10</f>
        <v>المجلات والدوريات الاقتصادية</v>
      </c>
      <c r="I847" t="str">
        <f>'Source Table'!$D$5</f>
        <v>نصف سنوية</v>
      </c>
      <c r="J847" s="7"/>
      <c r="K847">
        <v>2015</v>
      </c>
    </row>
    <row r="848" ht="15.75" spans="1:11">
      <c r="A848" s="1" t="s">
        <v>5</v>
      </c>
      <c r="B848" s="1" t="s">
        <v>7</v>
      </c>
      <c r="C848" s="2" t="s">
        <v>82</v>
      </c>
      <c r="D848" s="3" t="s">
        <v>83</v>
      </c>
      <c r="E848" s="4" t="s">
        <v>84</v>
      </c>
      <c r="F848" t="str">
        <f>'Source Table'!$B$11</f>
        <v>Army &amp; Police Magazines &amp; Periodicals</v>
      </c>
      <c r="G848" t="str">
        <f>'Source Table'!$K$11</f>
        <v>المجلات والدوريات العسكرية و شرطية</v>
      </c>
      <c r="I848" t="str">
        <f>'Source Table'!$D$5</f>
        <v>نصف سنوية</v>
      </c>
      <c r="J848" s="7"/>
      <c r="K848">
        <v>2015</v>
      </c>
    </row>
    <row r="849" ht="15.75" spans="1:11">
      <c r="A849" s="1" t="s">
        <v>5</v>
      </c>
      <c r="B849" s="1" t="s">
        <v>7</v>
      </c>
      <c r="C849" s="2" t="s">
        <v>82</v>
      </c>
      <c r="D849" s="3" t="s">
        <v>83</v>
      </c>
      <c r="E849" s="4" t="s">
        <v>84</v>
      </c>
      <c r="F849" t="str">
        <f>'Source Table'!$B$12</f>
        <v>Youths &amp; Arts Magazines &amp; Periodicals</v>
      </c>
      <c r="G849" t="str">
        <f>'Source Table'!$K$12</f>
        <v>المجلات والدوريات الشباب و الفنون</v>
      </c>
      <c r="I849" t="str">
        <f>'Source Table'!$D$5</f>
        <v>نصف سنوية</v>
      </c>
      <c r="J849" s="7"/>
      <c r="K849">
        <v>2015</v>
      </c>
    </row>
    <row r="850" ht="15.75" spans="1:11">
      <c r="A850" s="1" t="s">
        <v>5</v>
      </c>
      <c r="B850" s="1" t="s">
        <v>7</v>
      </c>
      <c r="C850" s="2" t="s">
        <v>82</v>
      </c>
      <c r="D850" s="3" t="s">
        <v>83</v>
      </c>
      <c r="E850" s="4" t="s">
        <v>84</v>
      </c>
      <c r="F850" t="str">
        <f>'Source Table'!$B$13</f>
        <v>Cultural &amp; Educational Magazines &amp; Periodicals</v>
      </c>
      <c r="G850" t="str">
        <f>'Source Table'!$K$13</f>
        <v>المجلات والدوريات الثقافية و المدرسية</v>
      </c>
      <c r="I850" t="str">
        <f>'Source Table'!$D$5</f>
        <v>نصف سنوية</v>
      </c>
      <c r="J850" s="7"/>
      <c r="K850">
        <v>2015</v>
      </c>
    </row>
    <row r="851" ht="15.75" spans="1:11">
      <c r="A851" s="1" t="s">
        <v>5</v>
      </c>
      <c r="B851" s="1" t="s">
        <v>7</v>
      </c>
      <c r="C851" s="2" t="s">
        <v>82</v>
      </c>
      <c r="D851" s="3" t="s">
        <v>83</v>
      </c>
      <c r="E851" s="4" t="s">
        <v>84</v>
      </c>
      <c r="F851" t="str">
        <f>'Source Table'!$B$14</f>
        <v>Religious Magazines &amp; Periodicals</v>
      </c>
      <c r="G851" t="str">
        <f>'Source Table'!$K$14</f>
        <v>المجلات والدوريات الدينية</v>
      </c>
      <c r="I851" t="str">
        <f>'Source Table'!$D$5</f>
        <v>نصف سنوية</v>
      </c>
      <c r="J851" s="7"/>
      <c r="K851">
        <v>2015</v>
      </c>
    </row>
    <row r="852" ht="15.75" spans="1:11">
      <c r="A852" s="1" t="s">
        <v>5</v>
      </c>
      <c r="B852" s="1" t="s">
        <v>7</v>
      </c>
      <c r="C852" s="2" t="s">
        <v>82</v>
      </c>
      <c r="D852" s="3" t="s">
        <v>83</v>
      </c>
      <c r="E852" s="4" t="s">
        <v>84</v>
      </c>
      <c r="F852" t="str">
        <f>'Source Table'!$B$15</f>
        <v>Scientific Magazines &amp; Periodicals</v>
      </c>
      <c r="G852" t="str">
        <f>'Source Table'!$K$15</f>
        <v>المجلات والدوريات العلمية</v>
      </c>
      <c r="I852" t="str">
        <f>'Source Table'!$D$5</f>
        <v>نصف سنوية</v>
      </c>
      <c r="J852" s="7"/>
      <c r="K852">
        <v>2015</v>
      </c>
    </row>
    <row r="853" ht="15.75" spans="1:11">
      <c r="A853" s="1" t="s">
        <v>5</v>
      </c>
      <c r="B853" s="1" t="s">
        <v>7</v>
      </c>
      <c r="C853" s="2" t="s">
        <v>82</v>
      </c>
      <c r="D853" s="3" t="s">
        <v>83</v>
      </c>
      <c r="E853" s="4" t="s">
        <v>84</v>
      </c>
      <c r="F853" t="str">
        <f>'Source Table'!$B$16</f>
        <v>Financial Magazines &amp; Periodicals</v>
      </c>
      <c r="G853" t="str">
        <f>'Source Table'!$K$16</f>
        <v>المجلات والدوريات المالية</v>
      </c>
      <c r="I853" t="str">
        <f>'Source Table'!$D$5</f>
        <v>نصف سنوية</v>
      </c>
      <c r="J853" s="7"/>
      <c r="K853">
        <v>2015</v>
      </c>
    </row>
    <row r="854" ht="15.75" spans="1:11">
      <c r="A854" s="1" t="s">
        <v>5</v>
      </c>
      <c r="B854" s="1" t="s">
        <v>7</v>
      </c>
      <c r="C854" s="2" t="s">
        <v>82</v>
      </c>
      <c r="D854" s="3" t="s">
        <v>83</v>
      </c>
      <c r="E854" s="4" t="s">
        <v>84</v>
      </c>
      <c r="F854" t="str">
        <f>'Source Table'!$B$17</f>
        <v>Tourist Magazines &amp; Periodicals</v>
      </c>
      <c r="G854" t="str">
        <f>'Source Table'!$K$17</f>
        <v>المجلات والدوريات سياحية</v>
      </c>
      <c r="I854" t="str">
        <f>'Source Table'!$D$5</f>
        <v>نصف سنوية</v>
      </c>
      <c r="J854" s="7"/>
      <c r="K854">
        <v>2015</v>
      </c>
    </row>
    <row r="855" ht="15.75" spans="1:11">
      <c r="A855" s="1" t="s">
        <v>5</v>
      </c>
      <c r="B855" s="1" t="s">
        <v>7</v>
      </c>
      <c r="C855" s="2" t="s">
        <v>82</v>
      </c>
      <c r="D855" s="3" t="s">
        <v>83</v>
      </c>
      <c r="E855" s="4" t="s">
        <v>84</v>
      </c>
      <c r="F855" t="str">
        <f>'Source Table'!$B$18</f>
        <v>Other Magazines &amp; Periodicals</v>
      </c>
      <c r="G855" t="str">
        <f>'Source Table'!$K$18</f>
        <v>المجلات والدوريات أخرى</v>
      </c>
      <c r="I855" t="str">
        <f>'Source Table'!$D$5</f>
        <v>نصف سنوية</v>
      </c>
      <c r="J855" s="8"/>
      <c r="K855">
        <v>2015</v>
      </c>
    </row>
    <row r="856" ht="15.75" spans="1:11">
      <c r="A856" s="1" t="s">
        <v>5</v>
      </c>
      <c r="B856" s="1" t="s">
        <v>7</v>
      </c>
      <c r="C856" s="2" t="s">
        <v>82</v>
      </c>
      <c r="D856" s="3" t="s">
        <v>83</v>
      </c>
      <c r="E856" s="4" t="s">
        <v>84</v>
      </c>
      <c r="F856" t="str">
        <f>'Source Table'!$B$7</f>
        <v>Political Newspapers</v>
      </c>
      <c r="G856" t="str">
        <f>'Source Table'!$K$7</f>
        <v>صحف سياسية</v>
      </c>
      <c r="I856" t="str">
        <f>'Source Table'!$C$5</f>
        <v>نصف شهرية</v>
      </c>
      <c r="J856" s="5"/>
      <c r="K856">
        <v>2015</v>
      </c>
    </row>
    <row r="857" ht="15.75" spans="1:11">
      <c r="A857" s="1" t="s">
        <v>5</v>
      </c>
      <c r="B857" s="1" t="s">
        <v>7</v>
      </c>
      <c r="C857" s="2" t="s">
        <v>82</v>
      </c>
      <c r="D857" s="3" t="s">
        <v>83</v>
      </c>
      <c r="E857" s="4" t="s">
        <v>84</v>
      </c>
      <c r="F857" t="str">
        <f>'Source Table'!$B$8</f>
        <v>Parties Newspapers</v>
      </c>
      <c r="G857" t="str">
        <f>'Source Table'!$K$8</f>
        <v>صحف حزبية</v>
      </c>
      <c r="I857" t="str">
        <f>'Source Table'!$C$5</f>
        <v>نصف شهرية</v>
      </c>
      <c r="J857" s="5"/>
      <c r="K857">
        <v>2015</v>
      </c>
    </row>
    <row r="858" ht="15.75" spans="1:11">
      <c r="A858" s="1" t="s">
        <v>5</v>
      </c>
      <c r="B858" s="1" t="s">
        <v>7</v>
      </c>
      <c r="C858" s="2" t="s">
        <v>82</v>
      </c>
      <c r="D858" s="3" t="s">
        <v>83</v>
      </c>
      <c r="E858" s="4" t="s">
        <v>84</v>
      </c>
      <c r="F858" t="str">
        <f>'Source Table'!$B$9</f>
        <v>Children Magazines &amp; Periodicals</v>
      </c>
      <c r="G858" t="str">
        <f>'Source Table'!$K$9</f>
        <v>المجلات والدوريات الأطفال</v>
      </c>
      <c r="I858" t="str">
        <f>'Source Table'!$C$5</f>
        <v>نصف شهرية</v>
      </c>
      <c r="J858" s="5"/>
      <c r="K858">
        <v>2015</v>
      </c>
    </row>
    <row r="859" ht="15.75" spans="1:11">
      <c r="A859" s="1" t="s">
        <v>5</v>
      </c>
      <c r="B859" s="1" t="s">
        <v>7</v>
      </c>
      <c r="C859" s="2" t="s">
        <v>82</v>
      </c>
      <c r="D859" s="3" t="s">
        <v>83</v>
      </c>
      <c r="E859" s="4" t="s">
        <v>84</v>
      </c>
      <c r="F859" t="str">
        <f>'Source Table'!$B$10</f>
        <v>Economic Magazines &amp; Periodicals</v>
      </c>
      <c r="G859" t="str">
        <f>'Source Table'!$K$10</f>
        <v>المجلات والدوريات الاقتصادية</v>
      </c>
      <c r="I859" t="str">
        <f>'Source Table'!$C$5</f>
        <v>نصف شهرية</v>
      </c>
      <c r="J859" s="5"/>
      <c r="K859">
        <v>2015</v>
      </c>
    </row>
    <row r="860" ht="15.75" spans="1:11">
      <c r="A860" s="1" t="s">
        <v>5</v>
      </c>
      <c r="B860" s="1" t="s">
        <v>7</v>
      </c>
      <c r="C860" s="2" t="s">
        <v>82</v>
      </c>
      <c r="D860" s="3" t="s">
        <v>83</v>
      </c>
      <c r="E860" s="4" t="s">
        <v>84</v>
      </c>
      <c r="F860" t="str">
        <f>'Source Table'!$B$11</f>
        <v>Army &amp; Police Magazines &amp; Periodicals</v>
      </c>
      <c r="G860" t="str">
        <f>'Source Table'!$K$11</f>
        <v>المجلات والدوريات العسكرية و شرطية</v>
      </c>
      <c r="I860" t="str">
        <f>'Source Table'!$C$5</f>
        <v>نصف شهرية</v>
      </c>
      <c r="J860" s="5"/>
      <c r="K860">
        <v>2015</v>
      </c>
    </row>
    <row r="861" ht="15.75" spans="1:11">
      <c r="A861" s="1" t="s">
        <v>5</v>
      </c>
      <c r="B861" s="1" t="s">
        <v>7</v>
      </c>
      <c r="C861" s="2" t="s">
        <v>82</v>
      </c>
      <c r="D861" s="3" t="s">
        <v>83</v>
      </c>
      <c r="E861" s="4" t="s">
        <v>84</v>
      </c>
      <c r="F861" t="str">
        <f>'Source Table'!$B$12</f>
        <v>Youths &amp; Arts Magazines &amp; Periodicals</v>
      </c>
      <c r="G861" t="str">
        <f>'Source Table'!$K$12</f>
        <v>المجلات والدوريات الشباب و الفنون</v>
      </c>
      <c r="I861" t="str">
        <f>'Source Table'!$C$5</f>
        <v>نصف شهرية</v>
      </c>
      <c r="J861" s="5"/>
      <c r="K861">
        <v>2015</v>
      </c>
    </row>
    <row r="862" ht="15.75" spans="1:11">
      <c r="A862" s="1" t="s">
        <v>5</v>
      </c>
      <c r="B862" s="1" t="s">
        <v>7</v>
      </c>
      <c r="C862" s="2" t="s">
        <v>82</v>
      </c>
      <c r="D862" s="3" t="s">
        <v>83</v>
      </c>
      <c r="E862" s="4" t="s">
        <v>84</v>
      </c>
      <c r="F862" t="str">
        <f>'Source Table'!$B$13</f>
        <v>Cultural &amp; Educational Magazines &amp; Periodicals</v>
      </c>
      <c r="G862" t="str">
        <f>'Source Table'!$K$13</f>
        <v>المجلات والدوريات الثقافية و المدرسية</v>
      </c>
      <c r="I862" t="str">
        <f>'Source Table'!$C$5</f>
        <v>نصف شهرية</v>
      </c>
      <c r="J862" s="5"/>
      <c r="K862">
        <v>2015</v>
      </c>
    </row>
    <row r="863" ht="15.75" spans="1:11">
      <c r="A863" s="1" t="s">
        <v>5</v>
      </c>
      <c r="B863" s="1" t="s">
        <v>7</v>
      </c>
      <c r="C863" s="2" t="s">
        <v>82</v>
      </c>
      <c r="D863" s="3" t="s">
        <v>83</v>
      </c>
      <c r="E863" s="4" t="s">
        <v>84</v>
      </c>
      <c r="F863" t="str">
        <f>'Source Table'!$B$14</f>
        <v>Religious Magazines &amp; Periodicals</v>
      </c>
      <c r="G863" t="str">
        <f>'Source Table'!$K$14</f>
        <v>المجلات والدوريات الدينية</v>
      </c>
      <c r="I863" t="str">
        <f>'Source Table'!$C$5</f>
        <v>نصف شهرية</v>
      </c>
      <c r="J863" s="5"/>
      <c r="K863">
        <v>2015</v>
      </c>
    </row>
    <row r="864" ht="15.75" spans="1:11">
      <c r="A864" s="1" t="s">
        <v>5</v>
      </c>
      <c r="B864" s="1" t="s">
        <v>7</v>
      </c>
      <c r="C864" s="2" t="s">
        <v>82</v>
      </c>
      <c r="D864" s="3" t="s">
        <v>83</v>
      </c>
      <c r="E864" s="4" t="s">
        <v>84</v>
      </c>
      <c r="F864" t="str">
        <f>'Source Table'!$B$15</f>
        <v>Scientific Magazines &amp; Periodicals</v>
      </c>
      <c r="G864" t="str">
        <f>'Source Table'!$K$15</f>
        <v>المجلات والدوريات العلمية</v>
      </c>
      <c r="I864" t="str">
        <f>'Source Table'!$C$5</f>
        <v>نصف شهرية</v>
      </c>
      <c r="J864" s="5"/>
      <c r="K864">
        <v>2015</v>
      </c>
    </row>
    <row r="865" ht="15.75" spans="1:11">
      <c r="A865" s="1" t="s">
        <v>5</v>
      </c>
      <c r="B865" s="1" t="s">
        <v>7</v>
      </c>
      <c r="C865" s="2" t="s">
        <v>82</v>
      </c>
      <c r="D865" s="3" t="s">
        <v>83</v>
      </c>
      <c r="E865" s="4" t="s">
        <v>84</v>
      </c>
      <c r="F865" t="str">
        <f>'Source Table'!$B$16</f>
        <v>Financial Magazines &amp; Periodicals</v>
      </c>
      <c r="G865" t="str">
        <f>'Source Table'!$K$16</f>
        <v>المجلات والدوريات المالية</v>
      </c>
      <c r="I865" t="str">
        <f>'Source Table'!$C$5</f>
        <v>نصف شهرية</v>
      </c>
      <c r="J865" s="5"/>
      <c r="K865">
        <v>2015</v>
      </c>
    </row>
    <row r="866" ht="15.75" spans="1:11">
      <c r="A866" s="1" t="s">
        <v>5</v>
      </c>
      <c r="B866" s="1" t="s">
        <v>7</v>
      </c>
      <c r="C866" s="2" t="s">
        <v>82</v>
      </c>
      <c r="D866" s="3" t="s">
        <v>83</v>
      </c>
      <c r="E866" s="4" t="s">
        <v>84</v>
      </c>
      <c r="F866" t="str">
        <f>'Source Table'!$B$17</f>
        <v>Tourist Magazines &amp; Periodicals</v>
      </c>
      <c r="G866" t="str">
        <f>'Source Table'!$K$17</f>
        <v>المجلات والدوريات سياحية</v>
      </c>
      <c r="I866" t="str">
        <f>'Source Table'!$C$5</f>
        <v>نصف شهرية</v>
      </c>
      <c r="J866" s="5"/>
      <c r="K866">
        <v>2015</v>
      </c>
    </row>
    <row r="867" ht="15.75" spans="1:11">
      <c r="A867" s="1" t="s">
        <v>5</v>
      </c>
      <c r="B867" s="1" t="s">
        <v>7</v>
      </c>
      <c r="C867" s="2" t="s">
        <v>82</v>
      </c>
      <c r="D867" s="3" t="s">
        <v>83</v>
      </c>
      <c r="E867" s="4" t="s">
        <v>84</v>
      </c>
      <c r="F867" t="str">
        <f>'Source Table'!$B$18</f>
        <v>Other Magazines &amp; Periodicals</v>
      </c>
      <c r="G867" t="str">
        <f>'Source Table'!$K$18</f>
        <v>المجلات والدوريات أخرى</v>
      </c>
      <c r="I867" t="str">
        <f>'Source Table'!$C$5</f>
        <v>نصف شهرية</v>
      </c>
      <c r="J867" s="6"/>
      <c r="K867">
        <v>2015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A4" sqref="A4"/>
    </sheetView>
  </sheetViews>
  <sheetFormatPr defaultColWidth="9" defaultRowHeight="14.25" outlineLevelRow="4"/>
  <cols>
    <col min="1" max="12" width="24.5" customWidth="1"/>
    <col min="13" max="14" width="15" customWidth="1"/>
    <col min="15" max="15" width="8.75" customWidth="1"/>
    <col min="16" max="16" width="11.5" customWidth="1"/>
    <col min="17" max="17" width="12" customWidth="1"/>
    <col min="18" max="18" width="9.875" customWidth="1"/>
    <col min="19" max="19" width="7.5" customWidth="1"/>
  </cols>
  <sheetData>
    <row r="1" ht="15" spans="1:2">
      <c r="A1" s="19" t="s">
        <v>85</v>
      </c>
      <c r="B1" s="20">
        <f>DATE(B2,B3,1)</f>
        <v>45292</v>
      </c>
    </row>
    <row r="2" ht="15" spans="1:4">
      <c r="A2" s="19" t="s">
        <v>16</v>
      </c>
      <c r="B2">
        <v>2024</v>
      </c>
      <c r="D2" s="20"/>
    </row>
    <row r="3" ht="15" spans="1:2">
      <c r="A3" s="19" t="s">
        <v>86</v>
      </c>
      <c r="B3">
        <v>1</v>
      </c>
    </row>
    <row r="4" s="18" customFormat="1" ht="18" customHeight="1" spans="1:12">
      <c r="A4" s="21" t="s">
        <v>60</v>
      </c>
      <c r="B4" s="21" t="s">
        <v>61</v>
      </c>
      <c r="C4" s="21" t="s">
        <v>62</v>
      </c>
      <c r="D4" s="21" t="s">
        <v>63</v>
      </c>
      <c r="E4" s="21" t="s">
        <v>64</v>
      </c>
      <c r="F4" s="22" t="s">
        <v>65</v>
      </c>
      <c r="G4" s="22" t="s">
        <v>66</v>
      </c>
      <c r="H4" s="22" t="s">
        <v>67</v>
      </c>
      <c r="I4" s="22" t="s">
        <v>68</v>
      </c>
      <c r="J4" s="21" t="s">
        <v>69</v>
      </c>
      <c r="K4" s="21" t="s">
        <v>70</v>
      </c>
      <c r="L4" s="21" t="s">
        <v>71</v>
      </c>
    </row>
    <row r="5" s="18" customFormat="1" ht="18" customHeight="1" spans="1:12">
      <c r="A5" s="21" t="s">
        <v>72</v>
      </c>
      <c r="B5" s="21" t="s">
        <v>73</v>
      </c>
      <c r="C5" s="21" t="s">
        <v>74</v>
      </c>
      <c r="D5" s="21" t="s">
        <v>75</v>
      </c>
      <c r="E5" s="21" t="s">
        <v>76</v>
      </c>
      <c r="F5" s="22" t="s">
        <v>18</v>
      </c>
      <c r="G5" s="22" t="s">
        <v>27</v>
      </c>
      <c r="H5" s="22" t="s">
        <v>77</v>
      </c>
      <c r="I5" s="22" t="s">
        <v>78</v>
      </c>
      <c r="J5" s="21" t="s">
        <v>79</v>
      </c>
      <c r="K5" s="21" t="s">
        <v>80</v>
      </c>
      <c r="L5" s="21" t="s">
        <v>81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20" workbookViewId="0">
      <selection activeCell="A20" sqref="B7 A20"/>
    </sheetView>
  </sheetViews>
  <sheetFormatPr defaultColWidth="8.875" defaultRowHeight="14.25" outlineLevelCol="2"/>
  <cols>
    <col min="1" max="1" width="90" style="9" customWidth="1"/>
    <col min="2" max="2" width="2.5" style="10" customWidth="1"/>
    <col min="3" max="3" width="87.375" style="11" customWidth="1"/>
    <col min="4" max="16384" width="8.875" style="12"/>
  </cols>
  <sheetData>
    <row r="2" ht="17.25" spans="1:3">
      <c r="A2" s="13" t="s">
        <v>87</v>
      </c>
      <c r="C2" s="14" t="s">
        <v>88</v>
      </c>
    </row>
    <row r="3" spans="1:1">
      <c r="A3" s="15"/>
    </row>
    <row r="4" ht="28.5" spans="1:3">
      <c r="A4" s="15" t="s">
        <v>89</v>
      </c>
      <c r="C4" s="11" t="s">
        <v>90</v>
      </c>
    </row>
    <row r="6" ht="17.25" spans="1:3">
      <c r="A6" s="13" t="s">
        <v>91</v>
      </c>
      <c r="C6" s="14" t="s">
        <v>92</v>
      </c>
    </row>
    <row r="7" spans="1:1">
      <c r="A7" s="15"/>
    </row>
    <row r="8" ht="30" spans="1:3">
      <c r="A8" s="16" t="s">
        <v>93</v>
      </c>
      <c r="C8" s="11" t="s">
        <v>94</v>
      </c>
    </row>
    <row r="10" ht="17.25" spans="1:3">
      <c r="A10" s="13" t="s">
        <v>95</v>
      </c>
      <c r="C10" s="14" t="s">
        <v>96</v>
      </c>
    </row>
    <row r="11" spans="1:1">
      <c r="A11" s="15"/>
    </row>
    <row r="12" spans="1:3">
      <c r="A12" s="15" t="s">
        <v>97</v>
      </c>
      <c r="C12" s="11" t="s">
        <v>98</v>
      </c>
    </row>
    <row r="13" ht="15" spans="1:3">
      <c r="A13" s="16" t="s">
        <v>99</v>
      </c>
      <c r="C13" s="17" t="s">
        <v>100</v>
      </c>
    </row>
    <row r="14" ht="29.25" spans="1:3">
      <c r="A14" s="16" t="s">
        <v>101</v>
      </c>
      <c r="C14" s="17" t="s">
        <v>102</v>
      </c>
    </row>
    <row r="15" ht="15" spans="1:3">
      <c r="A15" s="16" t="s">
        <v>103</v>
      </c>
      <c r="C15" s="17" t="s">
        <v>104</v>
      </c>
    </row>
    <row r="16" ht="15" spans="1:3">
      <c r="A16" s="16" t="s">
        <v>105</v>
      </c>
      <c r="C16" s="17" t="s">
        <v>106</v>
      </c>
    </row>
    <row r="17" ht="15" spans="1:3">
      <c r="A17" s="16" t="s">
        <v>107</v>
      </c>
      <c r="C17" s="17" t="s">
        <v>108</v>
      </c>
    </row>
    <row r="18" spans="1:3">
      <c r="A18" s="15" t="s">
        <v>109</v>
      </c>
      <c r="C18" s="11" t="s">
        <v>110</v>
      </c>
    </row>
    <row r="19" spans="1:3">
      <c r="A19" s="15" t="s">
        <v>111</v>
      </c>
      <c r="C19" s="11" t="s">
        <v>112</v>
      </c>
    </row>
    <row r="20" ht="29.25" spans="1:3">
      <c r="A20" s="16" t="s">
        <v>113</v>
      </c>
      <c r="C20" s="17" t="s">
        <v>114</v>
      </c>
    </row>
    <row r="22" ht="17.25" spans="1:3">
      <c r="A22" s="13" t="s">
        <v>115</v>
      </c>
      <c r="C22" s="14" t="s">
        <v>116</v>
      </c>
    </row>
    <row r="23" spans="1:1">
      <c r="A23" s="15"/>
    </row>
    <row r="24" ht="29.25" spans="1:3">
      <c r="A24" s="15" t="s">
        <v>117</v>
      </c>
      <c r="C24" s="11" t="s">
        <v>118</v>
      </c>
    </row>
    <row r="25" ht="30" spans="1:3">
      <c r="A25" s="15" t="s">
        <v>119</v>
      </c>
      <c r="C25" s="11" t="s">
        <v>120</v>
      </c>
    </row>
    <row r="27" ht="17.25" spans="1:3">
      <c r="A27" s="13" t="s">
        <v>121</v>
      </c>
      <c r="C27" s="14" t="s">
        <v>122</v>
      </c>
    </row>
    <row r="28" spans="1:1">
      <c r="A28" s="15"/>
    </row>
    <row r="29" ht="15" spans="1:3">
      <c r="A29" s="15" t="s">
        <v>123</v>
      </c>
      <c r="C29" s="11" t="s">
        <v>124</v>
      </c>
    </row>
    <row r="30" spans="1:3">
      <c r="A30" s="15" t="s">
        <v>125</v>
      </c>
      <c r="C30" s="11" t="s">
        <v>126</v>
      </c>
    </row>
    <row r="32" ht="17.25" spans="1:3">
      <c r="A32" s="13" t="s">
        <v>127</v>
      </c>
      <c r="C32" s="14" t="s">
        <v>128</v>
      </c>
    </row>
    <row r="33" spans="1:1">
      <c r="A33" s="15"/>
    </row>
    <row r="34" ht="15" spans="1:3">
      <c r="A34" s="16" t="s">
        <v>129</v>
      </c>
      <c r="C34" s="11" t="s">
        <v>130</v>
      </c>
    </row>
    <row r="36" ht="17.25" spans="1:3">
      <c r="A36" s="13" t="s">
        <v>131</v>
      </c>
      <c r="C36" s="14" t="s">
        <v>132</v>
      </c>
    </row>
    <row r="37" spans="1:1">
      <c r="A37" s="15"/>
    </row>
    <row r="38" spans="1:3">
      <c r="A38" s="15" t="s">
        <v>133</v>
      </c>
      <c r="C38" s="11" t="s">
        <v>134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workbookViewId="0">
      <selection activeCell="A1" sqref="A1:K96"/>
    </sheetView>
  </sheetViews>
  <sheetFormatPr defaultColWidth="9" defaultRowHeight="14.25"/>
  <sheetData>
    <row r="1" ht="15.75" spans="1:11">
      <c r="A1" s="1" t="s">
        <v>5</v>
      </c>
      <c r="B1" s="1" t="s">
        <v>7</v>
      </c>
      <c r="C1" s="2" t="s">
        <v>82</v>
      </c>
      <c r="D1" s="3" t="s">
        <v>83</v>
      </c>
      <c r="E1" s="4" t="s">
        <v>84</v>
      </c>
      <c r="F1" t="str">
        <f>'Source Table'!$B$7</f>
        <v>Political Newspapers</v>
      </c>
      <c r="G1" t="str">
        <f>'Source Table'!$K$7</f>
        <v>صحف سياسية</v>
      </c>
      <c r="H1" t="str">
        <f>'Source Table'!$J$6</f>
        <v>Daily</v>
      </c>
      <c r="I1" t="str">
        <f>'Source Table'!$J$5</f>
        <v>يومية</v>
      </c>
      <c r="J1" s="5">
        <v>10</v>
      </c>
      <c r="K1">
        <v>2023</v>
      </c>
    </row>
    <row r="2" ht="15.75" spans="1:11">
      <c r="A2" s="1" t="s">
        <v>5</v>
      </c>
      <c r="B2" s="1" t="s">
        <v>7</v>
      </c>
      <c r="C2" s="2" t="s">
        <v>82</v>
      </c>
      <c r="D2" s="3" t="s">
        <v>83</v>
      </c>
      <c r="E2" s="4" t="s">
        <v>84</v>
      </c>
      <c r="F2" t="str">
        <f>'Source Table'!$B$8</f>
        <v>Parties Newspapers</v>
      </c>
      <c r="G2" t="str">
        <f>'Source Table'!$K$8</f>
        <v>صحف حزبية</v>
      </c>
      <c r="H2" t="str">
        <f>'Source Table'!$J$6</f>
        <v>Daily</v>
      </c>
      <c r="I2" t="str">
        <f>'Source Table'!$J$5</f>
        <v>يومية</v>
      </c>
      <c r="J2" s="5">
        <v>0</v>
      </c>
      <c r="K2">
        <v>2023</v>
      </c>
    </row>
    <row r="3" ht="15.75" spans="1:11">
      <c r="A3" s="1" t="s">
        <v>5</v>
      </c>
      <c r="B3" s="1" t="s">
        <v>7</v>
      </c>
      <c r="C3" s="2" t="s">
        <v>82</v>
      </c>
      <c r="D3" s="3" t="s">
        <v>83</v>
      </c>
      <c r="E3" s="4" t="s">
        <v>84</v>
      </c>
      <c r="F3" t="str">
        <f>'Source Table'!$B$9</f>
        <v>Children Magazines &amp; Periodicals</v>
      </c>
      <c r="G3" t="str">
        <f>'Source Table'!$K$9</f>
        <v>المجلات والدوريات الأطفال</v>
      </c>
      <c r="H3" t="str">
        <f>'Source Table'!$J$6</f>
        <v>Daily</v>
      </c>
      <c r="I3" t="str">
        <f>'Source Table'!$J$5</f>
        <v>يومية</v>
      </c>
      <c r="J3" s="5">
        <v>0</v>
      </c>
      <c r="K3">
        <v>2023</v>
      </c>
    </row>
    <row r="4" ht="15.75" spans="1:11">
      <c r="A4" s="1" t="s">
        <v>5</v>
      </c>
      <c r="B4" s="1" t="s">
        <v>7</v>
      </c>
      <c r="C4" s="2" t="s">
        <v>82</v>
      </c>
      <c r="D4" s="3" t="s">
        <v>83</v>
      </c>
      <c r="E4" s="4" t="s">
        <v>84</v>
      </c>
      <c r="F4" t="str">
        <f>'Source Table'!$B$10</f>
        <v>Economic Magazines &amp; Periodicals</v>
      </c>
      <c r="G4" t="str">
        <f>'Source Table'!$K$10</f>
        <v>المجلات والدوريات الاقتصادية</v>
      </c>
      <c r="H4" t="str">
        <f>'Source Table'!$J$6</f>
        <v>Daily</v>
      </c>
      <c r="I4" t="str">
        <f>'Source Table'!$J$5</f>
        <v>يومية</v>
      </c>
      <c r="J4" s="5">
        <v>0</v>
      </c>
      <c r="K4">
        <v>2023</v>
      </c>
    </row>
    <row r="5" ht="15.75" spans="1:11">
      <c r="A5" s="1" t="s">
        <v>5</v>
      </c>
      <c r="B5" s="1" t="s">
        <v>7</v>
      </c>
      <c r="C5" s="2" t="s">
        <v>82</v>
      </c>
      <c r="D5" s="3" t="s">
        <v>83</v>
      </c>
      <c r="E5" s="4" t="s">
        <v>84</v>
      </c>
      <c r="F5" t="str">
        <f>'Source Table'!$B$11</f>
        <v>Army &amp; Police Magazines &amp; Periodicals</v>
      </c>
      <c r="G5" t="str">
        <f>'Source Table'!$K$11</f>
        <v>المجلات والدوريات العسكرية و شرطية</v>
      </c>
      <c r="H5" t="str">
        <f>'Source Table'!$J$6</f>
        <v>Daily</v>
      </c>
      <c r="I5" t="str">
        <f>'Source Table'!$J$5</f>
        <v>يومية</v>
      </c>
      <c r="J5" s="5">
        <v>0</v>
      </c>
      <c r="K5">
        <v>2023</v>
      </c>
    </row>
    <row r="6" ht="15.75" spans="1:11">
      <c r="A6" s="1" t="s">
        <v>5</v>
      </c>
      <c r="B6" s="1" t="s">
        <v>7</v>
      </c>
      <c r="C6" s="2" t="s">
        <v>82</v>
      </c>
      <c r="D6" s="3" t="s">
        <v>83</v>
      </c>
      <c r="E6" s="4" t="s">
        <v>84</v>
      </c>
      <c r="F6" t="str">
        <f>'Source Table'!$B$12</f>
        <v>Youths &amp; Arts Magazines &amp; Periodicals</v>
      </c>
      <c r="G6" t="str">
        <f>'Source Table'!$K$12</f>
        <v>المجلات والدوريات الشباب و الفنون</v>
      </c>
      <c r="H6" t="str">
        <f>'Source Table'!$J$6</f>
        <v>Daily</v>
      </c>
      <c r="I6" t="str">
        <f>'Source Table'!$J$5</f>
        <v>يومية</v>
      </c>
      <c r="J6" s="5">
        <v>0</v>
      </c>
      <c r="K6">
        <v>2023</v>
      </c>
    </row>
    <row r="7" ht="15.75" spans="1:11">
      <c r="A7" s="1" t="s">
        <v>5</v>
      </c>
      <c r="B7" s="1" t="s">
        <v>7</v>
      </c>
      <c r="C7" s="2" t="s">
        <v>82</v>
      </c>
      <c r="D7" s="3" t="s">
        <v>83</v>
      </c>
      <c r="E7" s="4" t="s">
        <v>84</v>
      </c>
      <c r="F7" t="str">
        <f>'Source Table'!$B$13</f>
        <v>Cultural &amp; Educational Magazines &amp; Periodicals</v>
      </c>
      <c r="G7" t="str">
        <f>'Source Table'!$K$13</f>
        <v>المجلات والدوريات الثقافية و المدرسية</v>
      </c>
      <c r="H7" t="str">
        <f>'Source Table'!$J$6</f>
        <v>Daily</v>
      </c>
      <c r="I7" t="str">
        <f>'Source Table'!$J$5</f>
        <v>يومية</v>
      </c>
      <c r="J7" s="5">
        <v>0</v>
      </c>
      <c r="K7">
        <v>2023</v>
      </c>
    </row>
    <row r="8" ht="15.75" spans="1:11">
      <c r="A8" s="1" t="s">
        <v>5</v>
      </c>
      <c r="B8" s="1" t="s">
        <v>7</v>
      </c>
      <c r="C8" s="2" t="s">
        <v>82</v>
      </c>
      <c r="D8" s="3" t="s">
        <v>83</v>
      </c>
      <c r="E8" s="4" t="s">
        <v>84</v>
      </c>
      <c r="F8" t="str">
        <f>'Source Table'!$B$14</f>
        <v>Religious Magazines &amp; Periodicals</v>
      </c>
      <c r="G8" t="str">
        <f>'Source Table'!$K$14</f>
        <v>المجلات والدوريات الدينية</v>
      </c>
      <c r="H8" t="str">
        <f>'Source Table'!$J$6</f>
        <v>Daily</v>
      </c>
      <c r="I8" t="str">
        <f>'Source Table'!$J$5</f>
        <v>يومية</v>
      </c>
      <c r="J8" s="5">
        <v>0</v>
      </c>
      <c r="K8">
        <v>2023</v>
      </c>
    </row>
    <row r="9" ht="15.75" spans="1:11">
      <c r="A9" s="1" t="s">
        <v>5</v>
      </c>
      <c r="B9" s="1" t="s">
        <v>7</v>
      </c>
      <c r="C9" s="2" t="s">
        <v>82</v>
      </c>
      <c r="D9" s="3" t="s">
        <v>83</v>
      </c>
      <c r="E9" s="4" t="s">
        <v>84</v>
      </c>
      <c r="F9" t="str">
        <f>'Source Table'!$B$15</f>
        <v>Scientific Magazines &amp; Periodicals</v>
      </c>
      <c r="G9" t="str">
        <f>'Source Table'!$K$15</f>
        <v>المجلات والدوريات العلمية</v>
      </c>
      <c r="H9" t="str">
        <f>'Source Table'!$J$6</f>
        <v>Daily</v>
      </c>
      <c r="I9" t="str">
        <f>'Source Table'!$J$5</f>
        <v>يومية</v>
      </c>
      <c r="J9" s="5">
        <v>0</v>
      </c>
      <c r="K9">
        <v>2023</v>
      </c>
    </row>
    <row r="10" ht="15.75" spans="1:11">
      <c r="A10" s="1" t="s">
        <v>5</v>
      </c>
      <c r="B10" s="1" t="s">
        <v>7</v>
      </c>
      <c r="C10" s="2" t="s">
        <v>82</v>
      </c>
      <c r="D10" s="3" t="s">
        <v>83</v>
      </c>
      <c r="E10" s="4" t="s">
        <v>84</v>
      </c>
      <c r="F10" t="str">
        <f>'Source Table'!$B$16</f>
        <v>Financial Magazines &amp; Periodicals</v>
      </c>
      <c r="G10" t="str">
        <f>'Source Table'!$K$16</f>
        <v>المجلات والدوريات المالية</v>
      </c>
      <c r="H10" t="str">
        <f>'Source Table'!$J$6</f>
        <v>Daily</v>
      </c>
      <c r="I10" t="str">
        <f>'Source Table'!$J$5</f>
        <v>يومية</v>
      </c>
      <c r="J10" s="5">
        <v>0</v>
      </c>
      <c r="K10">
        <v>2023</v>
      </c>
    </row>
    <row r="11" ht="15.75" spans="1:11">
      <c r="A11" s="1" t="s">
        <v>5</v>
      </c>
      <c r="B11" s="1" t="s">
        <v>7</v>
      </c>
      <c r="C11" s="2" t="s">
        <v>82</v>
      </c>
      <c r="D11" s="3" t="s">
        <v>83</v>
      </c>
      <c r="E11" s="4" t="s">
        <v>84</v>
      </c>
      <c r="F11" t="str">
        <f>'Source Table'!$B$17</f>
        <v>Tourist Magazines &amp; Periodicals</v>
      </c>
      <c r="G11" t="str">
        <f>'Source Table'!$K$17</f>
        <v>المجلات والدوريات سياحية</v>
      </c>
      <c r="H11" t="str">
        <f>'Source Table'!$J$6</f>
        <v>Daily</v>
      </c>
      <c r="I11" t="str">
        <f>'Source Table'!$J$5</f>
        <v>يومية</v>
      </c>
      <c r="J11" s="5">
        <v>0</v>
      </c>
      <c r="K11">
        <v>2023</v>
      </c>
    </row>
    <row r="12" ht="15.75" spans="1:11">
      <c r="A12" s="1" t="s">
        <v>5</v>
      </c>
      <c r="B12" s="1" t="s">
        <v>7</v>
      </c>
      <c r="C12" s="2" t="s">
        <v>82</v>
      </c>
      <c r="D12" s="3" t="s">
        <v>83</v>
      </c>
      <c r="E12" s="4" t="s">
        <v>84</v>
      </c>
      <c r="F12" t="str">
        <f>'Source Table'!$B$18</f>
        <v>Other Magazines &amp; Periodicals</v>
      </c>
      <c r="G12" t="str">
        <f>'Source Table'!$K$18</f>
        <v>المجلات والدوريات أخرى</v>
      </c>
      <c r="H12" t="str">
        <f>'Source Table'!$J$6</f>
        <v>Daily</v>
      </c>
      <c r="I12" t="str">
        <f>'Source Table'!$J$5</f>
        <v>يومية</v>
      </c>
      <c r="J12" s="6">
        <v>0</v>
      </c>
      <c r="K12">
        <v>2023</v>
      </c>
    </row>
    <row r="13" ht="15.75" spans="1:11">
      <c r="A13" s="1" t="s">
        <v>5</v>
      </c>
      <c r="B13" s="1" t="s">
        <v>7</v>
      </c>
      <c r="C13" s="2" t="s">
        <v>82</v>
      </c>
      <c r="D13" s="3" t="s">
        <v>83</v>
      </c>
      <c r="E13" s="4" t="s">
        <v>84</v>
      </c>
      <c r="F13" t="str">
        <f>'Source Table'!$B$7</f>
        <v>Political Newspapers</v>
      </c>
      <c r="G13" t="str">
        <f>'Source Table'!$K$7</f>
        <v>صحف سياسية</v>
      </c>
      <c r="H13" t="str">
        <f>'Source Table'!$I$6</f>
        <v>Weekly</v>
      </c>
      <c r="I13" t="str">
        <f>'Source Table'!$I$5</f>
        <v>أسبوعية</v>
      </c>
      <c r="J13" s="7">
        <v>6</v>
      </c>
      <c r="K13">
        <v>2023</v>
      </c>
    </row>
    <row r="14" ht="15.75" spans="1:11">
      <c r="A14" s="1" t="s">
        <v>5</v>
      </c>
      <c r="B14" s="1" t="s">
        <v>7</v>
      </c>
      <c r="C14" s="2" t="s">
        <v>82</v>
      </c>
      <c r="D14" s="3" t="s">
        <v>83</v>
      </c>
      <c r="E14" s="4" t="s">
        <v>84</v>
      </c>
      <c r="F14" t="str">
        <f>'Source Table'!$B$8</f>
        <v>Parties Newspapers</v>
      </c>
      <c r="G14" t="str">
        <f>'Source Table'!$K$8</f>
        <v>صحف حزبية</v>
      </c>
      <c r="H14" t="str">
        <f>'Source Table'!$I$6</f>
        <v>Weekly</v>
      </c>
      <c r="I14" t="str">
        <f>'Source Table'!$I$5</f>
        <v>أسبوعية</v>
      </c>
      <c r="J14" s="7">
        <v>1</v>
      </c>
      <c r="K14">
        <v>2023</v>
      </c>
    </row>
    <row r="15" ht="15.75" spans="1:11">
      <c r="A15" s="1" t="s">
        <v>5</v>
      </c>
      <c r="B15" s="1" t="s">
        <v>7</v>
      </c>
      <c r="C15" s="2" t="s">
        <v>82</v>
      </c>
      <c r="D15" s="3" t="s">
        <v>83</v>
      </c>
      <c r="E15" s="4" t="s">
        <v>84</v>
      </c>
      <c r="F15" t="str">
        <f>'Source Table'!$B$9</f>
        <v>Children Magazines &amp; Periodicals</v>
      </c>
      <c r="G15" t="str">
        <f>'Source Table'!$K$9</f>
        <v>المجلات والدوريات الأطفال</v>
      </c>
      <c r="H15" t="str">
        <f>'Source Table'!$I$6</f>
        <v>Weekly</v>
      </c>
      <c r="I15" t="str">
        <f>'Source Table'!$I$5</f>
        <v>أسبوعية</v>
      </c>
      <c r="J15" s="7">
        <v>0</v>
      </c>
      <c r="K15">
        <v>2023</v>
      </c>
    </row>
    <row r="16" ht="15.75" spans="1:11">
      <c r="A16" s="1" t="s">
        <v>5</v>
      </c>
      <c r="B16" s="1" t="s">
        <v>7</v>
      </c>
      <c r="C16" s="2" t="s">
        <v>82</v>
      </c>
      <c r="D16" s="3" t="s">
        <v>83</v>
      </c>
      <c r="E16" s="4" t="s">
        <v>84</v>
      </c>
      <c r="F16" t="str">
        <f>'Source Table'!$B$10</f>
        <v>Economic Magazines &amp; Periodicals</v>
      </c>
      <c r="G16" t="str">
        <f>'Source Table'!$K$10</f>
        <v>المجلات والدوريات الاقتصادية</v>
      </c>
      <c r="H16" t="str">
        <f>'Source Table'!$I$6</f>
        <v>Weekly</v>
      </c>
      <c r="I16" t="str">
        <f>'Source Table'!$I$5</f>
        <v>أسبوعية</v>
      </c>
      <c r="J16" s="7">
        <v>0</v>
      </c>
      <c r="K16">
        <v>2023</v>
      </c>
    </row>
    <row r="17" ht="15.75" spans="1:11">
      <c r="A17" s="1" t="s">
        <v>5</v>
      </c>
      <c r="B17" s="1" t="s">
        <v>7</v>
      </c>
      <c r="C17" s="2" t="s">
        <v>82</v>
      </c>
      <c r="D17" s="3" t="s">
        <v>83</v>
      </c>
      <c r="E17" s="4" t="s">
        <v>84</v>
      </c>
      <c r="F17" t="str">
        <f>'Source Table'!$B$11</f>
        <v>Army &amp; Police Magazines &amp; Periodicals</v>
      </c>
      <c r="G17" t="str">
        <f>'Source Table'!$K$11</f>
        <v>المجلات والدوريات العسكرية و شرطية</v>
      </c>
      <c r="H17" t="str">
        <f>'Source Table'!$I$6</f>
        <v>Weekly</v>
      </c>
      <c r="I17" t="str">
        <f>'Source Table'!$I$5</f>
        <v>أسبوعية</v>
      </c>
      <c r="J17" s="7">
        <v>0</v>
      </c>
      <c r="K17">
        <v>2023</v>
      </c>
    </row>
    <row r="18" ht="15.75" spans="1:11">
      <c r="A18" s="1" t="s">
        <v>5</v>
      </c>
      <c r="B18" s="1" t="s">
        <v>7</v>
      </c>
      <c r="C18" s="2" t="s">
        <v>82</v>
      </c>
      <c r="D18" s="3" t="s">
        <v>83</v>
      </c>
      <c r="E18" s="4" t="s">
        <v>84</v>
      </c>
      <c r="F18" t="str">
        <f>'Source Table'!$B$12</f>
        <v>Youths &amp; Arts Magazines &amp; Periodicals</v>
      </c>
      <c r="G18" t="str">
        <f>'Source Table'!$K$12</f>
        <v>المجلات والدوريات الشباب و الفنون</v>
      </c>
      <c r="H18" t="str">
        <f>'Source Table'!$I$6</f>
        <v>Weekly</v>
      </c>
      <c r="I18" t="str">
        <f>'Source Table'!$I$5</f>
        <v>أسبوعية</v>
      </c>
      <c r="J18" s="7">
        <v>1</v>
      </c>
      <c r="K18">
        <v>2023</v>
      </c>
    </row>
    <row r="19" ht="15.75" spans="1:11">
      <c r="A19" s="1" t="s">
        <v>5</v>
      </c>
      <c r="B19" s="1" t="s">
        <v>7</v>
      </c>
      <c r="C19" s="2" t="s">
        <v>82</v>
      </c>
      <c r="D19" s="3" t="s">
        <v>83</v>
      </c>
      <c r="E19" s="4" t="s">
        <v>84</v>
      </c>
      <c r="F19" t="str">
        <f>'Source Table'!$B$13</f>
        <v>Cultural &amp; Educational Magazines &amp; Periodicals</v>
      </c>
      <c r="G19" t="str">
        <f>'Source Table'!$K$13</f>
        <v>المجلات والدوريات الثقافية و المدرسية</v>
      </c>
      <c r="H19" t="str">
        <f>'Source Table'!$I$6</f>
        <v>Weekly</v>
      </c>
      <c r="I19" t="str">
        <f>'Source Table'!$I$5</f>
        <v>أسبوعية</v>
      </c>
      <c r="J19" s="7">
        <v>0</v>
      </c>
      <c r="K19">
        <v>2023</v>
      </c>
    </row>
    <row r="20" ht="15.75" spans="1:11">
      <c r="A20" s="1" t="s">
        <v>5</v>
      </c>
      <c r="B20" s="1" t="s">
        <v>7</v>
      </c>
      <c r="C20" s="2" t="s">
        <v>82</v>
      </c>
      <c r="D20" s="3" t="s">
        <v>83</v>
      </c>
      <c r="E20" s="4" t="s">
        <v>84</v>
      </c>
      <c r="F20" t="str">
        <f>'Source Table'!$B$14</f>
        <v>Religious Magazines &amp; Periodicals</v>
      </c>
      <c r="G20" t="str">
        <f>'Source Table'!$K$14</f>
        <v>المجلات والدوريات الدينية</v>
      </c>
      <c r="H20" t="str">
        <f>'Source Table'!$I$6</f>
        <v>Weekly</v>
      </c>
      <c r="I20" t="str">
        <f>'Source Table'!$I$5</f>
        <v>أسبوعية</v>
      </c>
      <c r="J20" s="7">
        <v>0</v>
      </c>
      <c r="K20">
        <v>2023</v>
      </c>
    </row>
    <row r="21" ht="15.75" spans="1:11">
      <c r="A21" s="1" t="s">
        <v>5</v>
      </c>
      <c r="B21" s="1" t="s">
        <v>7</v>
      </c>
      <c r="C21" s="2" t="s">
        <v>82</v>
      </c>
      <c r="D21" s="3" t="s">
        <v>83</v>
      </c>
      <c r="E21" s="4" t="s">
        <v>84</v>
      </c>
      <c r="F21" t="str">
        <f>'Source Table'!$B$15</f>
        <v>Scientific Magazines &amp; Periodicals</v>
      </c>
      <c r="G21" t="str">
        <f>'Source Table'!$K$15</f>
        <v>المجلات والدوريات العلمية</v>
      </c>
      <c r="H21" t="str">
        <f>'Source Table'!$I$6</f>
        <v>Weekly</v>
      </c>
      <c r="I21" t="str">
        <f>'Source Table'!$I$5</f>
        <v>أسبوعية</v>
      </c>
      <c r="J21" s="7">
        <v>0</v>
      </c>
      <c r="K21">
        <v>2023</v>
      </c>
    </row>
    <row r="22" ht="15.75" spans="1:11">
      <c r="A22" s="1" t="s">
        <v>5</v>
      </c>
      <c r="B22" s="1" t="s">
        <v>7</v>
      </c>
      <c r="C22" s="2" t="s">
        <v>82</v>
      </c>
      <c r="D22" s="3" t="s">
        <v>83</v>
      </c>
      <c r="E22" s="4" t="s">
        <v>84</v>
      </c>
      <c r="F22" t="str">
        <f>'Source Table'!$B$16</f>
        <v>Financial Magazines &amp; Periodicals</v>
      </c>
      <c r="G22" t="str">
        <f>'Source Table'!$K$16</f>
        <v>المجلات والدوريات المالية</v>
      </c>
      <c r="H22" t="str">
        <f>'Source Table'!$I$6</f>
        <v>Weekly</v>
      </c>
      <c r="I22" t="str">
        <f>'Source Table'!$I$5</f>
        <v>أسبوعية</v>
      </c>
      <c r="J22" s="7">
        <v>0</v>
      </c>
      <c r="K22">
        <v>2023</v>
      </c>
    </row>
    <row r="23" ht="15.75" spans="1:11">
      <c r="A23" s="1" t="s">
        <v>5</v>
      </c>
      <c r="B23" s="1" t="s">
        <v>7</v>
      </c>
      <c r="C23" s="2" t="s">
        <v>82</v>
      </c>
      <c r="D23" s="3" t="s">
        <v>83</v>
      </c>
      <c r="E23" s="4" t="s">
        <v>84</v>
      </c>
      <c r="F23" t="str">
        <f>'Source Table'!$B$17</f>
        <v>Tourist Magazines &amp; Periodicals</v>
      </c>
      <c r="G23" t="str">
        <f>'Source Table'!$K$17</f>
        <v>المجلات والدوريات سياحية</v>
      </c>
      <c r="H23" t="str">
        <f>'Source Table'!$I$6</f>
        <v>Weekly</v>
      </c>
      <c r="I23" t="str">
        <f>'Source Table'!$I$5</f>
        <v>أسبوعية</v>
      </c>
      <c r="J23" s="7">
        <v>1</v>
      </c>
      <c r="K23">
        <v>2023</v>
      </c>
    </row>
    <row r="24" ht="15.75" spans="1:11">
      <c r="A24" s="1" t="s">
        <v>5</v>
      </c>
      <c r="B24" s="1" t="s">
        <v>7</v>
      </c>
      <c r="C24" s="2" t="s">
        <v>82</v>
      </c>
      <c r="D24" s="3" t="s">
        <v>83</v>
      </c>
      <c r="E24" s="4" t="s">
        <v>84</v>
      </c>
      <c r="F24" t="str">
        <f>'Source Table'!$B$18</f>
        <v>Other Magazines &amp; Periodicals</v>
      </c>
      <c r="G24" t="str">
        <f>'Source Table'!$K$18</f>
        <v>المجلات والدوريات أخرى</v>
      </c>
      <c r="H24" t="str">
        <f>'Source Table'!$I$6</f>
        <v>Weekly</v>
      </c>
      <c r="I24" t="str">
        <f>'Source Table'!$I$5</f>
        <v>أسبوعية</v>
      </c>
      <c r="J24" s="8">
        <v>2</v>
      </c>
      <c r="K24">
        <v>2023</v>
      </c>
    </row>
    <row r="25" ht="15.75" spans="1:11">
      <c r="A25" s="1" t="s">
        <v>5</v>
      </c>
      <c r="B25" s="1" t="s">
        <v>7</v>
      </c>
      <c r="C25" s="2" t="s">
        <v>82</v>
      </c>
      <c r="D25" s="3" t="s">
        <v>83</v>
      </c>
      <c r="E25" s="4" t="s">
        <v>84</v>
      </c>
      <c r="F25" t="str">
        <f>'Source Table'!$B$7</f>
        <v>Political Newspapers</v>
      </c>
      <c r="G25" t="str">
        <f>'Source Table'!$K$7</f>
        <v>صحف سياسية</v>
      </c>
      <c r="H25" t="str">
        <f>'Source Table'!$H$6</f>
        <v>Monthly</v>
      </c>
      <c r="I25" t="str">
        <f>'Source Table'!$H$5</f>
        <v>شهرية</v>
      </c>
      <c r="J25" s="7">
        <v>2</v>
      </c>
      <c r="K25">
        <v>2023</v>
      </c>
    </row>
    <row r="26" ht="15.75" spans="1:11">
      <c r="A26" s="1" t="s">
        <v>5</v>
      </c>
      <c r="B26" s="1" t="s">
        <v>7</v>
      </c>
      <c r="C26" s="2" t="s">
        <v>82</v>
      </c>
      <c r="D26" s="3" t="s">
        <v>83</v>
      </c>
      <c r="E26" s="4" t="s">
        <v>84</v>
      </c>
      <c r="F26" t="str">
        <f>'Source Table'!$B$8</f>
        <v>Parties Newspapers</v>
      </c>
      <c r="G26" t="str">
        <f>'Source Table'!$K$8</f>
        <v>صحف حزبية</v>
      </c>
      <c r="H26" t="str">
        <f>'Source Table'!$H$6</f>
        <v>Monthly</v>
      </c>
      <c r="I26" t="str">
        <f>'Source Table'!$H$5</f>
        <v>شهرية</v>
      </c>
      <c r="J26" s="7">
        <v>0</v>
      </c>
      <c r="K26">
        <v>2023</v>
      </c>
    </row>
    <row r="27" ht="15.75" spans="1:11">
      <c r="A27" s="1" t="s">
        <v>5</v>
      </c>
      <c r="B27" s="1" t="s">
        <v>7</v>
      </c>
      <c r="C27" s="2" t="s">
        <v>82</v>
      </c>
      <c r="D27" s="3" t="s">
        <v>83</v>
      </c>
      <c r="E27" s="4" t="s">
        <v>84</v>
      </c>
      <c r="F27" t="str">
        <f>'Source Table'!$B$9</f>
        <v>Children Magazines &amp; Periodicals</v>
      </c>
      <c r="G27" t="str">
        <f>'Source Table'!$K$9</f>
        <v>المجلات والدوريات الأطفال</v>
      </c>
      <c r="H27" t="str">
        <f>'Source Table'!$H$6</f>
        <v>Monthly</v>
      </c>
      <c r="I27" t="str">
        <f>'Source Table'!$H$5</f>
        <v>شهرية</v>
      </c>
      <c r="J27" s="7">
        <v>1</v>
      </c>
      <c r="K27">
        <v>2023</v>
      </c>
    </row>
    <row r="28" ht="15.75" spans="1:11">
      <c r="A28" s="1" t="s">
        <v>5</v>
      </c>
      <c r="B28" s="1" t="s">
        <v>7</v>
      </c>
      <c r="C28" s="2" t="s">
        <v>82</v>
      </c>
      <c r="D28" s="3" t="s">
        <v>83</v>
      </c>
      <c r="E28" s="4" t="s">
        <v>84</v>
      </c>
      <c r="F28" t="str">
        <f>'Source Table'!$B$10</f>
        <v>Economic Magazines &amp; Periodicals</v>
      </c>
      <c r="G28" t="str">
        <f>'Source Table'!$K$10</f>
        <v>المجلات والدوريات الاقتصادية</v>
      </c>
      <c r="H28" t="str">
        <f>'Source Table'!$H$6</f>
        <v>Monthly</v>
      </c>
      <c r="I28" t="str">
        <f>'Source Table'!$H$5</f>
        <v>شهرية</v>
      </c>
      <c r="J28" s="7">
        <v>2</v>
      </c>
      <c r="K28">
        <v>2023</v>
      </c>
    </row>
    <row r="29" ht="15.75" spans="1:11">
      <c r="A29" s="1" t="s">
        <v>5</v>
      </c>
      <c r="B29" s="1" t="s">
        <v>7</v>
      </c>
      <c r="C29" s="2" t="s">
        <v>82</v>
      </c>
      <c r="D29" s="3" t="s">
        <v>83</v>
      </c>
      <c r="E29" s="4" t="s">
        <v>84</v>
      </c>
      <c r="F29" t="str">
        <f>'Source Table'!$B$11</f>
        <v>Army &amp; Police Magazines &amp; Periodicals</v>
      </c>
      <c r="G29" t="str">
        <f>'Source Table'!$K$11</f>
        <v>المجلات والدوريات العسكرية و شرطية</v>
      </c>
      <c r="H29" t="str">
        <f>'Source Table'!$H$6</f>
        <v>Monthly</v>
      </c>
      <c r="I29" t="str">
        <f>'Source Table'!$H$5</f>
        <v>شهرية</v>
      </c>
      <c r="J29" s="7">
        <v>0</v>
      </c>
      <c r="K29">
        <v>2023</v>
      </c>
    </row>
    <row r="30" ht="15.75" spans="1:11">
      <c r="A30" s="1" t="s">
        <v>5</v>
      </c>
      <c r="B30" s="1" t="s">
        <v>7</v>
      </c>
      <c r="C30" s="2" t="s">
        <v>82</v>
      </c>
      <c r="D30" s="3" t="s">
        <v>83</v>
      </c>
      <c r="E30" s="4" t="s">
        <v>84</v>
      </c>
      <c r="F30" t="str">
        <f>'Source Table'!$B$12</f>
        <v>Youths &amp; Arts Magazines &amp; Periodicals</v>
      </c>
      <c r="G30" t="str">
        <f>'Source Table'!$K$12</f>
        <v>المجلات والدوريات الشباب و الفنون</v>
      </c>
      <c r="H30" t="str">
        <f>'Source Table'!$H$6</f>
        <v>Monthly</v>
      </c>
      <c r="I30" t="str">
        <f>'Source Table'!$H$5</f>
        <v>شهرية</v>
      </c>
      <c r="J30" s="7">
        <v>0</v>
      </c>
      <c r="K30">
        <v>2023</v>
      </c>
    </row>
    <row r="31" ht="15.75" spans="1:11">
      <c r="A31" s="1" t="s">
        <v>5</v>
      </c>
      <c r="B31" s="1" t="s">
        <v>7</v>
      </c>
      <c r="C31" s="2" t="s">
        <v>82</v>
      </c>
      <c r="D31" s="3" t="s">
        <v>83</v>
      </c>
      <c r="E31" s="4" t="s">
        <v>84</v>
      </c>
      <c r="F31" t="str">
        <f>'Source Table'!$B$13</f>
        <v>Cultural &amp; Educational Magazines &amp; Periodicals</v>
      </c>
      <c r="G31" t="str">
        <f>'Source Table'!$K$13</f>
        <v>المجلات والدوريات الثقافية و المدرسية</v>
      </c>
      <c r="H31" t="str">
        <f>'Source Table'!$H$6</f>
        <v>Monthly</v>
      </c>
      <c r="I31" t="str">
        <f>'Source Table'!$H$5</f>
        <v>شهرية</v>
      </c>
      <c r="J31" s="7">
        <v>0</v>
      </c>
      <c r="K31">
        <v>2023</v>
      </c>
    </row>
    <row r="32" ht="15.75" spans="1:11">
      <c r="A32" s="1" t="s">
        <v>5</v>
      </c>
      <c r="B32" s="1" t="s">
        <v>7</v>
      </c>
      <c r="C32" s="2" t="s">
        <v>82</v>
      </c>
      <c r="D32" s="3" t="s">
        <v>83</v>
      </c>
      <c r="E32" s="4" t="s">
        <v>84</v>
      </c>
      <c r="F32" t="str">
        <f>'Source Table'!$B$14</f>
        <v>Religious Magazines &amp; Periodicals</v>
      </c>
      <c r="G32" t="str">
        <f>'Source Table'!$K$14</f>
        <v>المجلات والدوريات الدينية</v>
      </c>
      <c r="H32" t="str">
        <f>'Source Table'!$H$6</f>
        <v>Monthly</v>
      </c>
      <c r="I32" t="str">
        <f>'Source Table'!$H$5</f>
        <v>شهرية</v>
      </c>
      <c r="J32" s="7">
        <v>0</v>
      </c>
      <c r="K32">
        <v>2023</v>
      </c>
    </row>
    <row r="33" ht="15.75" spans="1:11">
      <c r="A33" s="1" t="s">
        <v>5</v>
      </c>
      <c r="B33" s="1" t="s">
        <v>7</v>
      </c>
      <c r="C33" s="2" t="s">
        <v>82</v>
      </c>
      <c r="D33" s="3" t="s">
        <v>83</v>
      </c>
      <c r="E33" s="4" t="s">
        <v>84</v>
      </c>
      <c r="F33" t="str">
        <f>'Source Table'!$B$15</f>
        <v>Scientific Magazines &amp; Periodicals</v>
      </c>
      <c r="G33" t="str">
        <f>'Source Table'!$K$15</f>
        <v>المجلات والدوريات العلمية</v>
      </c>
      <c r="H33" t="str">
        <f>'Source Table'!$H$6</f>
        <v>Monthly</v>
      </c>
      <c r="I33" t="str">
        <f>'Source Table'!$H$5</f>
        <v>شهرية</v>
      </c>
      <c r="J33" s="7">
        <v>1</v>
      </c>
      <c r="K33">
        <v>2023</v>
      </c>
    </row>
    <row r="34" ht="15.75" spans="1:11">
      <c r="A34" s="1" t="s">
        <v>5</v>
      </c>
      <c r="B34" s="1" t="s">
        <v>7</v>
      </c>
      <c r="C34" s="2" t="s">
        <v>82</v>
      </c>
      <c r="D34" s="3" t="s">
        <v>83</v>
      </c>
      <c r="E34" s="4" t="s">
        <v>84</v>
      </c>
      <c r="F34" t="str">
        <f>'Source Table'!$B$16</f>
        <v>Financial Magazines &amp; Periodicals</v>
      </c>
      <c r="G34" t="str">
        <f>'Source Table'!$K$16</f>
        <v>المجلات والدوريات المالية</v>
      </c>
      <c r="H34" t="str">
        <f>'Source Table'!$H$6</f>
        <v>Monthly</v>
      </c>
      <c r="I34" t="str">
        <f>'Source Table'!$H$5</f>
        <v>شهرية</v>
      </c>
      <c r="J34" s="7">
        <v>0</v>
      </c>
      <c r="K34">
        <v>2023</v>
      </c>
    </row>
    <row r="35" ht="15.75" spans="1:11">
      <c r="A35" s="1" t="s">
        <v>5</v>
      </c>
      <c r="B35" s="1" t="s">
        <v>7</v>
      </c>
      <c r="C35" s="2" t="s">
        <v>82</v>
      </c>
      <c r="D35" s="3" t="s">
        <v>83</v>
      </c>
      <c r="E35" s="4" t="s">
        <v>84</v>
      </c>
      <c r="F35" t="str">
        <f>'Source Table'!$B$17</f>
        <v>Tourist Magazines &amp; Periodicals</v>
      </c>
      <c r="G35" t="str">
        <f>'Source Table'!$K$17</f>
        <v>المجلات والدوريات سياحية</v>
      </c>
      <c r="H35" t="str">
        <f>'Source Table'!$H$6</f>
        <v>Monthly</v>
      </c>
      <c r="I35" t="str">
        <f>'Source Table'!$H$5</f>
        <v>شهرية</v>
      </c>
      <c r="J35" s="7">
        <v>0</v>
      </c>
      <c r="K35">
        <v>2023</v>
      </c>
    </row>
    <row r="36" ht="15.75" spans="1:11">
      <c r="A36" s="1" t="s">
        <v>5</v>
      </c>
      <c r="B36" s="1" t="s">
        <v>7</v>
      </c>
      <c r="C36" s="2" t="s">
        <v>82</v>
      </c>
      <c r="D36" s="3" t="s">
        <v>83</v>
      </c>
      <c r="E36" s="4" t="s">
        <v>84</v>
      </c>
      <c r="F36" t="str">
        <f>'Source Table'!$B$18</f>
        <v>Other Magazines &amp; Periodicals</v>
      </c>
      <c r="G36" t="str">
        <f>'Source Table'!$K$18</f>
        <v>المجلات والدوريات أخرى</v>
      </c>
      <c r="H36" t="str">
        <f>'Source Table'!$H$6</f>
        <v>Monthly</v>
      </c>
      <c r="I36" t="str">
        <f>'Source Table'!$H$5</f>
        <v>شهرية</v>
      </c>
      <c r="J36" s="8">
        <v>5</v>
      </c>
      <c r="K36">
        <v>2023</v>
      </c>
    </row>
    <row r="37" ht="15.75" spans="1:11">
      <c r="A37" s="1" t="s">
        <v>5</v>
      </c>
      <c r="B37" s="1" t="s">
        <v>7</v>
      </c>
      <c r="C37" s="2" t="s">
        <v>82</v>
      </c>
      <c r="D37" s="3" t="s">
        <v>83</v>
      </c>
      <c r="E37" s="4" t="s">
        <v>84</v>
      </c>
      <c r="F37" t="str">
        <f>'Source Table'!$B$7</f>
        <v>Political Newspapers</v>
      </c>
      <c r="G37" t="str">
        <f>'Source Table'!$K$7</f>
        <v>صحف سياسية</v>
      </c>
      <c r="I37" t="str">
        <f>'Source Table'!$G$5</f>
        <v>فصلية</v>
      </c>
      <c r="J37" s="5">
        <v>0</v>
      </c>
      <c r="K37">
        <v>2023</v>
      </c>
    </row>
    <row r="38" ht="15.75" spans="1:11">
      <c r="A38" s="1" t="s">
        <v>5</v>
      </c>
      <c r="B38" s="1" t="s">
        <v>7</v>
      </c>
      <c r="C38" s="2" t="s">
        <v>82</v>
      </c>
      <c r="D38" s="3" t="s">
        <v>83</v>
      </c>
      <c r="E38" s="4" t="s">
        <v>84</v>
      </c>
      <c r="F38" t="str">
        <f>'Source Table'!$B$8</f>
        <v>Parties Newspapers</v>
      </c>
      <c r="G38" t="str">
        <f>'Source Table'!$K$8</f>
        <v>صحف حزبية</v>
      </c>
      <c r="I38" t="str">
        <f>'Source Table'!$G$5</f>
        <v>فصلية</v>
      </c>
      <c r="J38" s="5">
        <v>0</v>
      </c>
      <c r="K38">
        <v>2023</v>
      </c>
    </row>
    <row r="39" ht="15.75" spans="1:11">
      <c r="A39" s="1" t="s">
        <v>5</v>
      </c>
      <c r="B39" s="1" t="s">
        <v>7</v>
      </c>
      <c r="C39" s="2" t="s">
        <v>82</v>
      </c>
      <c r="D39" s="3" t="s">
        <v>83</v>
      </c>
      <c r="E39" s="4" t="s">
        <v>84</v>
      </c>
      <c r="F39" t="str">
        <f>'Source Table'!$B$9</f>
        <v>Children Magazines &amp; Periodicals</v>
      </c>
      <c r="G39" t="str">
        <f>'Source Table'!$K$9</f>
        <v>المجلات والدوريات الأطفال</v>
      </c>
      <c r="I39" t="str">
        <f>'Source Table'!$G$5</f>
        <v>فصلية</v>
      </c>
      <c r="J39" s="5">
        <v>0</v>
      </c>
      <c r="K39">
        <v>2023</v>
      </c>
    </row>
    <row r="40" ht="15.75" spans="1:11">
      <c r="A40" s="1" t="s">
        <v>5</v>
      </c>
      <c r="B40" s="1" t="s">
        <v>7</v>
      </c>
      <c r="C40" s="2" t="s">
        <v>82</v>
      </c>
      <c r="D40" s="3" t="s">
        <v>83</v>
      </c>
      <c r="E40" s="4" t="s">
        <v>84</v>
      </c>
      <c r="F40" t="str">
        <f>'Source Table'!$B$10</f>
        <v>Economic Magazines &amp; Periodicals</v>
      </c>
      <c r="G40" t="str">
        <f>'Source Table'!$K$10</f>
        <v>المجلات والدوريات الاقتصادية</v>
      </c>
      <c r="I40" t="str">
        <f>'Source Table'!$G$5</f>
        <v>فصلية</v>
      </c>
      <c r="J40" s="5">
        <v>1</v>
      </c>
      <c r="K40">
        <v>2023</v>
      </c>
    </row>
    <row r="41" ht="15.75" spans="1:11">
      <c r="A41" s="1" t="s">
        <v>5</v>
      </c>
      <c r="B41" s="1" t="s">
        <v>7</v>
      </c>
      <c r="C41" s="2" t="s">
        <v>82</v>
      </c>
      <c r="D41" s="3" t="s">
        <v>83</v>
      </c>
      <c r="E41" s="4" t="s">
        <v>84</v>
      </c>
      <c r="F41" t="str">
        <f>'Source Table'!$B$11</f>
        <v>Army &amp; Police Magazines &amp; Periodicals</v>
      </c>
      <c r="G41" t="str">
        <f>'Source Table'!$K$11</f>
        <v>المجلات والدوريات العسكرية و شرطية</v>
      </c>
      <c r="I41" t="str">
        <f>'Source Table'!$G$5</f>
        <v>فصلية</v>
      </c>
      <c r="J41" s="5">
        <v>0</v>
      </c>
      <c r="K41">
        <v>2023</v>
      </c>
    </row>
    <row r="42" ht="15.75" spans="1:11">
      <c r="A42" s="1" t="s">
        <v>5</v>
      </c>
      <c r="B42" s="1" t="s">
        <v>7</v>
      </c>
      <c r="C42" s="2" t="s">
        <v>82</v>
      </c>
      <c r="D42" s="3" t="s">
        <v>83</v>
      </c>
      <c r="E42" s="4" t="s">
        <v>84</v>
      </c>
      <c r="F42" t="str">
        <f>'Source Table'!$B$12</f>
        <v>Youths &amp; Arts Magazines &amp; Periodicals</v>
      </c>
      <c r="G42" t="str">
        <f>'Source Table'!$K$12</f>
        <v>المجلات والدوريات الشباب و الفنون</v>
      </c>
      <c r="I42" t="str">
        <f>'Source Table'!$G$5</f>
        <v>فصلية</v>
      </c>
      <c r="J42" s="5">
        <v>0</v>
      </c>
      <c r="K42">
        <v>2023</v>
      </c>
    </row>
    <row r="43" ht="15.75" spans="1:11">
      <c r="A43" s="1" t="s">
        <v>5</v>
      </c>
      <c r="B43" s="1" t="s">
        <v>7</v>
      </c>
      <c r="C43" s="2" t="s">
        <v>82</v>
      </c>
      <c r="D43" s="3" t="s">
        <v>83</v>
      </c>
      <c r="E43" s="4" t="s">
        <v>84</v>
      </c>
      <c r="F43" t="str">
        <f>'Source Table'!$B$13</f>
        <v>Cultural &amp; Educational Magazines &amp; Periodicals</v>
      </c>
      <c r="G43" t="str">
        <f>'Source Table'!$K$13</f>
        <v>المجلات والدوريات الثقافية و المدرسية</v>
      </c>
      <c r="I43" t="str">
        <f>'Source Table'!$G$5</f>
        <v>فصلية</v>
      </c>
      <c r="J43" s="5">
        <v>2</v>
      </c>
      <c r="K43">
        <v>2023</v>
      </c>
    </row>
    <row r="44" ht="15.75" spans="1:11">
      <c r="A44" s="1" t="s">
        <v>5</v>
      </c>
      <c r="B44" s="1" t="s">
        <v>7</v>
      </c>
      <c r="C44" s="2" t="s">
        <v>82</v>
      </c>
      <c r="D44" s="3" t="s">
        <v>83</v>
      </c>
      <c r="E44" s="4" t="s">
        <v>84</v>
      </c>
      <c r="F44" t="str">
        <f>'Source Table'!$B$14</f>
        <v>Religious Magazines &amp; Periodicals</v>
      </c>
      <c r="G44" t="str">
        <f>'Source Table'!$K$14</f>
        <v>المجلات والدوريات الدينية</v>
      </c>
      <c r="I44" t="str">
        <f>'Source Table'!$G$5</f>
        <v>فصلية</v>
      </c>
      <c r="J44" s="5">
        <v>0</v>
      </c>
      <c r="K44">
        <v>2023</v>
      </c>
    </row>
    <row r="45" ht="15.75" spans="1:11">
      <c r="A45" s="1" t="s">
        <v>5</v>
      </c>
      <c r="B45" s="1" t="s">
        <v>7</v>
      </c>
      <c r="C45" s="2" t="s">
        <v>82</v>
      </c>
      <c r="D45" s="3" t="s">
        <v>83</v>
      </c>
      <c r="E45" s="4" t="s">
        <v>84</v>
      </c>
      <c r="F45" t="str">
        <f>'Source Table'!$B$15</f>
        <v>Scientific Magazines &amp; Periodicals</v>
      </c>
      <c r="G45" t="str">
        <f>'Source Table'!$K$15</f>
        <v>المجلات والدوريات العلمية</v>
      </c>
      <c r="I45" t="str">
        <f>'Source Table'!$G$5</f>
        <v>فصلية</v>
      </c>
      <c r="J45" s="5">
        <v>1</v>
      </c>
      <c r="K45">
        <v>2023</v>
      </c>
    </row>
    <row r="46" ht="15.75" spans="1:11">
      <c r="A46" s="1" t="s">
        <v>5</v>
      </c>
      <c r="B46" s="1" t="s">
        <v>7</v>
      </c>
      <c r="C46" s="2" t="s">
        <v>82</v>
      </c>
      <c r="D46" s="3" t="s">
        <v>83</v>
      </c>
      <c r="E46" s="4" t="s">
        <v>84</v>
      </c>
      <c r="F46" t="str">
        <f>'Source Table'!$B$16</f>
        <v>Financial Magazines &amp; Periodicals</v>
      </c>
      <c r="G46" t="str">
        <f>'Source Table'!$K$16</f>
        <v>المجلات والدوريات المالية</v>
      </c>
      <c r="I46" t="str">
        <f>'Source Table'!$G$5</f>
        <v>فصلية</v>
      </c>
      <c r="J46" s="5">
        <v>0</v>
      </c>
      <c r="K46">
        <v>2023</v>
      </c>
    </row>
    <row r="47" ht="15.75" spans="1:11">
      <c r="A47" s="1" t="s">
        <v>5</v>
      </c>
      <c r="B47" s="1" t="s">
        <v>7</v>
      </c>
      <c r="C47" s="2" t="s">
        <v>82</v>
      </c>
      <c r="D47" s="3" t="s">
        <v>83</v>
      </c>
      <c r="E47" s="4" t="s">
        <v>84</v>
      </c>
      <c r="F47" t="str">
        <f>'Source Table'!$B$17</f>
        <v>Tourist Magazines &amp; Periodicals</v>
      </c>
      <c r="G47" t="str">
        <f>'Source Table'!$K$17</f>
        <v>المجلات والدوريات سياحية</v>
      </c>
      <c r="I47" t="str">
        <f>'Source Table'!$G$5</f>
        <v>فصلية</v>
      </c>
      <c r="J47" s="5">
        <v>0</v>
      </c>
      <c r="K47">
        <v>2023</v>
      </c>
    </row>
    <row r="48" ht="15.75" spans="1:11">
      <c r="A48" s="1" t="s">
        <v>5</v>
      </c>
      <c r="B48" s="1" t="s">
        <v>7</v>
      </c>
      <c r="C48" s="2" t="s">
        <v>82</v>
      </c>
      <c r="D48" s="3" t="s">
        <v>83</v>
      </c>
      <c r="E48" s="4" t="s">
        <v>84</v>
      </c>
      <c r="F48" t="str">
        <f>'Source Table'!$B$18</f>
        <v>Other Magazines &amp; Periodicals</v>
      </c>
      <c r="G48" t="str">
        <f>'Source Table'!$K$18</f>
        <v>المجلات والدوريات أخرى</v>
      </c>
      <c r="I48" t="str">
        <f>'Source Table'!$G$5</f>
        <v>فصلية</v>
      </c>
      <c r="J48" s="6">
        <v>8</v>
      </c>
      <c r="K48">
        <v>2023</v>
      </c>
    </row>
    <row r="49" ht="15.75" spans="1:11">
      <c r="A49" s="1" t="s">
        <v>5</v>
      </c>
      <c r="B49" s="1" t="s">
        <v>7</v>
      </c>
      <c r="C49" s="2" t="s">
        <v>82</v>
      </c>
      <c r="D49" s="3" t="s">
        <v>83</v>
      </c>
      <c r="E49" s="4" t="s">
        <v>84</v>
      </c>
      <c r="F49" t="str">
        <f>'Source Table'!$B$7</f>
        <v>Political Newspapers</v>
      </c>
      <c r="G49" t="str">
        <f>'Source Table'!$K$7</f>
        <v>صحف سياسية</v>
      </c>
      <c r="I49" t="str">
        <f>'Source Table'!$F$5</f>
        <v>سنوية</v>
      </c>
      <c r="J49" s="5">
        <v>0</v>
      </c>
      <c r="K49">
        <v>2023</v>
      </c>
    </row>
    <row r="50" ht="15.75" spans="1:11">
      <c r="A50" s="1" t="s">
        <v>5</v>
      </c>
      <c r="B50" s="1" t="s">
        <v>7</v>
      </c>
      <c r="C50" s="2" t="s">
        <v>82</v>
      </c>
      <c r="D50" s="3" t="s">
        <v>83</v>
      </c>
      <c r="E50" s="4" t="s">
        <v>84</v>
      </c>
      <c r="F50" t="str">
        <f>'Source Table'!$B$8</f>
        <v>Parties Newspapers</v>
      </c>
      <c r="G50" t="str">
        <f>'Source Table'!$K$8</f>
        <v>صحف حزبية</v>
      </c>
      <c r="I50" t="str">
        <f>'Source Table'!$F$5</f>
        <v>سنوية</v>
      </c>
      <c r="J50" s="5">
        <v>0</v>
      </c>
      <c r="K50">
        <v>2023</v>
      </c>
    </row>
    <row r="51" ht="15.75" spans="1:11">
      <c r="A51" s="1" t="s">
        <v>5</v>
      </c>
      <c r="B51" s="1" t="s">
        <v>7</v>
      </c>
      <c r="C51" s="2" t="s">
        <v>82</v>
      </c>
      <c r="D51" s="3" t="s">
        <v>83</v>
      </c>
      <c r="E51" s="4" t="s">
        <v>84</v>
      </c>
      <c r="F51" t="str">
        <f>'Source Table'!$B$9</f>
        <v>Children Magazines &amp; Periodicals</v>
      </c>
      <c r="G51" t="str">
        <f>'Source Table'!$K$9</f>
        <v>المجلات والدوريات الأطفال</v>
      </c>
      <c r="I51" t="str">
        <f>'Source Table'!$F$5</f>
        <v>سنوية</v>
      </c>
      <c r="J51" s="5">
        <v>1</v>
      </c>
      <c r="K51">
        <v>2023</v>
      </c>
    </row>
    <row r="52" ht="15.75" spans="1:11">
      <c r="A52" s="1" t="s">
        <v>5</v>
      </c>
      <c r="B52" s="1" t="s">
        <v>7</v>
      </c>
      <c r="C52" s="2" t="s">
        <v>82</v>
      </c>
      <c r="D52" s="3" t="s">
        <v>83</v>
      </c>
      <c r="E52" s="4" t="s">
        <v>84</v>
      </c>
      <c r="F52" t="str">
        <f>'Source Table'!$B$10</f>
        <v>Economic Magazines &amp; Periodicals</v>
      </c>
      <c r="G52" t="str">
        <f>'Source Table'!$K$10</f>
        <v>المجلات والدوريات الاقتصادية</v>
      </c>
      <c r="I52" t="str">
        <f>'Source Table'!$F$5</f>
        <v>سنوية</v>
      </c>
      <c r="J52" s="5">
        <v>0</v>
      </c>
      <c r="K52">
        <v>2023</v>
      </c>
    </row>
    <row r="53" ht="15.75" spans="1:11">
      <c r="A53" s="1" t="s">
        <v>5</v>
      </c>
      <c r="B53" s="1" t="s">
        <v>7</v>
      </c>
      <c r="C53" s="2" t="s">
        <v>82</v>
      </c>
      <c r="D53" s="3" t="s">
        <v>83</v>
      </c>
      <c r="E53" s="4" t="s">
        <v>84</v>
      </c>
      <c r="F53" t="str">
        <f>'Source Table'!$B$11</f>
        <v>Army &amp; Police Magazines &amp; Periodicals</v>
      </c>
      <c r="G53" t="str">
        <f>'Source Table'!$K$11</f>
        <v>المجلات والدوريات العسكرية و شرطية</v>
      </c>
      <c r="I53" t="str">
        <f>'Source Table'!$F$5</f>
        <v>سنوية</v>
      </c>
      <c r="J53" s="5">
        <v>0</v>
      </c>
      <c r="K53">
        <v>2023</v>
      </c>
    </row>
    <row r="54" ht="15.75" spans="1:11">
      <c r="A54" s="1" t="s">
        <v>5</v>
      </c>
      <c r="B54" s="1" t="s">
        <v>7</v>
      </c>
      <c r="C54" s="2" t="s">
        <v>82</v>
      </c>
      <c r="D54" s="3" t="s">
        <v>83</v>
      </c>
      <c r="E54" s="4" t="s">
        <v>84</v>
      </c>
      <c r="F54" t="str">
        <f>'Source Table'!$B$12</f>
        <v>Youths &amp; Arts Magazines &amp; Periodicals</v>
      </c>
      <c r="G54" t="str">
        <f>'Source Table'!$K$12</f>
        <v>المجلات والدوريات الشباب و الفنون</v>
      </c>
      <c r="I54" t="str">
        <f>'Source Table'!$F$5</f>
        <v>سنوية</v>
      </c>
      <c r="J54" s="5">
        <v>0</v>
      </c>
      <c r="K54">
        <v>2023</v>
      </c>
    </row>
    <row r="55" ht="15.75" spans="1:11">
      <c r="A55" s="1" t="s">
        <v>5</v>
      </c>
      <c r="B55" s="1" t="s">
        <v>7</v>
      </c>
      <c r="C55" s="2" t="s">
        <v>82</v>
      </c>
      <c r="D55" s="3" t="s">
        <v>83</v>
      </c>
      <c r="E55" s="4" t="s">
        <v>84</v>
      </c>
      <c r="F55" t="str">
        <f>'Source Table'!$B$13</f>
        <v>Cultural &amp; Educational Magazines &amp; Periodicals</v>
      </c>
      <c r="G55" t="str">
        <f>'Source Table'!$K$13</f>
        <v>المجلات والدوريات الثقافية و المدرسية</v>
      </c>
      <c r="I55" t="str">
        <f>'Source Table'!$F$5</f>
        <v>سنوية</v>
      </c>
      <c r="J55" s="5">
        <v>0</v>
      </c>
      <c r="K55">
        <v>2023</v>
      </c>
    </row>
    <row r="56" ht="15.75" spans="1:11">
      <c r="A56" s="1" t="s">
        <v>5</v>
      </c>
      <c r="B56" s="1" t="s">
        <v>7</v>
      </c>
      <c r="C56" s="2" t="s">
        <v>82</v>
      </c>
      <c r="D56" s="3" t="s">
        <v>83</v>
      </c>
      <c r="E56" s="4" t="s">
        <v>84</v>
      </c>
      <c r="F56" t="str">
        <f>'Source Table'!$B$14</f>
        <v>Religious Magazines &amp; Periodicals</v>
      </c>
      <c r="G56" t="str">
        <f>'Source Table'!$K$14</f>
        <v>المجلات والدوريات الدينية</v>
      </c>
      <c r="I56" t="str">
        <f>'Source Table'!$F$5</f>
        <v>سنوية</v>
      </c>
      <c r="J56" s="5">
        <v>0</v>
      </c>
      <c r="K56">
        <v>2023</v>
      </c>
    </row>
    <row r="57" ht="15.75" spans="1:11">
      <c r="A57" s="1" t="s">
        <v>5</v>
      </c>
      <c r="B57" s="1" t="s">
        <v>7</v>
      </c>
      <c r="C57" s="2" t="s">
        <v>82</v>
      </c>
      <c r="D57" s="3" t="s">
        <v>83</v>
      </c>
      <c r="E57" s="4" t="s">
        <v>84</v>
      </c>
      <c r="F57" t="str">
        <f>'Source Table'!$B$15</f>
        <v>Scientific Magazines &amp; Periodicals</v>
      </c>
      <c r="G57" t="str">
        <f>'Source Table'!$K$15</f>
        <v>المجلات والدوريات العلمية</v>
      </c>
      <c r="I57" t="str">
        <f>'Source Table'!$F$5</f>
        <v>سنوية</v>
      </c>
      <c r="J57" s="5">
        <v>3</v>
      </c>
      <c r="K57">
        <v>2023</v>
      </c>
    </row>
    <row r="58" ht="15.75" spans="1:11">
      <c r="A58" s="1" t="s">
        <v>5</v>
      </c>
      <c r="B58" s="1" t="s">
        <v>7</v>
      </c>
      <c r="C58" s="2" t="s">
        <v>82</v>
      </c>
      <c r="D58" s="3" t="s">
        <v>83</v>
      </c>
      <c r="E58" s="4" t="s">
        <v>84</v>
      </c>
      <c r="F58" t="str">
        <f>'Source Table'!$B$16</f>
        <v>Financial Magazines &amp; Periodicals</v>
      </c>
      <c r="G58" t="str">
        <f>'Source Table'!$K$16</f>
        <v>المجلات والدوريات المالية</v>
      </c>
      <c r="I58" t="str">
        <f>'Source Table'!$F$5</f>
        <v>سنوية</v>
      </c>
      <c r="J58" s="5">
        <v>0</v>
      </c>
      <c r="K58">
        <v>2023</v>
      </c>
    </row>
    <row r="59" ht="15.75" spans="1:11">
      <c r="A59" s="1" t="s">
        <v>5</v>
      </c>
      <c r="B59" s="1" t="s">
        <v>7</v>
      </c>
      <c r="C59" s="2" t="s">
        <v>82</v>
      </c>
      <c r="D59" s="3" t="s">
        <v>83</v>
      </c>
      <c r="E59" s="4" t="s">
        <v>84</v>
      </c>
      <c r="F59" t="str">
        <f>'Source Table'!$B$17</f>
        <v>Tourist Magazines &amp; Periodicals</v>
      </c>
      <c r="G59" t="str">
        <f>'Source Table'!$K$17</f>
        <v>المجلات والدوريات سياحية</v>
      </c>
      <c r="I59" t="str">
        <f>'Source Table'!$F$5</f>
        <v>سنوية</v>
      </c>
      <c r="J59" s="5">
        <v>0</v>
      </c>
      <c r="K59">
        <v>2023</v>
      </c>
    </row>
    <row r="60" ht="15.75" spans="1:11">
      <c r="A60" s="1" t="s">
        <v>5</v>
      </c>
      <c r="B60" s="1" t="s">
        <v>7</v>
      </c>
      <c r="C60" s="2" t="s">
        <v>82</v>
      </c>
      <c r="D60" s="3" t="s">
        <v>83</v>
      </c>
      <c r="E60" s="4" t="s">
        <v>84</v>
      </c>
      <c r="F60" t="str">
        <f>'Source Table'!$B$18</f>
        <v>Other Magazines &amp; Periodicals</v>
      </c>
      <c r="G60" t="str">
        <f>'Source Table'!$K$18</f>
        <v>المجلات والدوريات أخرى</v>
      </c>
      <c r="I60" t="str">
        <f>'Source Table'!$F$5</f>
        <v>سنوية</v>
      </c>
      <c r="J60" s="6">
        <v>0</v>
      </c>
      <c r="K60">
        <v>2023</v>
      </c>
    </row>
    <row r="61" ht="15.75" spans="1:11">
      <c r="A61" s="1" t="s">
        <v>5</v>
      </c>
      <c r="B61" s="1" t="s">
        <v>7</v>
      </c>
      <c r="C61" s="2" t="s">
        <v>82</v>
      </c>
      <c r="D61" s="3" t="s">
        <v>83</v>
      </c>
      <c r="E61" s="4" t="s">
        <v>84</v>
      </c>
      <c r="F61" t="str">
        <f>'Source Table'!$B$7</f>
        <v>Political Newspapers</v>
      </c>
      <c r="G61" t="str">
        <f>'Source Table'!$K$7</f>
        <v>صحف سياسية</v>
      </c>
      <c r="I61" t="str">
        <f>'Source Table'!$E$5</f>
        <v>كل شهرين</v>
      </c>
      <c r="J61" s="7">
        <v>0</v>
      </c>
      <c r="K61">
        <v>2023</v>
      </c>
    </row>
    <row r="62" ht="15.75" spans="1:11">
      <c r="A62" s="1" t="s">
        <v>5</v>
      </c>
      <c r="B62" s="1" t="s">
        <v>7</v>
      </c>
      <c r="C62" s="2" t="s">
        <v>82</v>
      </c>
      <c r="D62" s="3" t="s">
        <v>83</v>
      </c>
      <c r="E62" s="4" t="s">
        <v>84</v>
      </c>
      <c r="F62" t="str">
        <f>'Source Table'!$B$8</f>
        <v>Parties Newspapers</v>
      </c>
      <c r="G62" t="str">
        <f>'Source Table'!$K$8</f>
        <v>صحف حزبية</v>
      </c>
      <c r="I62" t="str">
        <f>'Source Table'!$E$5</f>
        <v>كل شهرين</v>
      </c>
      <c r="J62" s="7">
        <v>0</v>
      </c>
      <c r="K62">
        <v>2023</v>
      </c>
    </row>
    <row r="63" ht="15.75" spans="1:11">
      <c r="A63" s="1" t="s">
        <v>5</v>
      </c>
      <c r="B63" s="1" t="s">
        <v>7</v>
      </c>
      <c r="C63" s="2" t="s">
        <v>82</v>
      </c>
      <c r="D63" s="3" t="s">
        <v>83</v>
      </c>
      <c r="E63" s="4" t="s">
        <v>84</v>
      </c>
      <c r="F63" t="str">
        <f>'Source Table'!$B$9</f>
        <v>Children Magazines &amp; Periodicals</v>
      </c>
      <c r="G63" t="str">
        <f>'Source Table'!$K$9</f>
        <v>المجلات والدوريات الأطفال</v>
      </c>
      <c r="I63" t="str">
        <f>'Source Table'!$E$5</f>
        <v>كل شهرين</v>
      </c>
      <c r="J63" s="7">
        <v>0</v>
      </c>
      <c r="K63">
        <v>2023</v>
      </c>
    </row>
    <row r="64" ht="15.75" spans="1:11">
      <c r="A64" s="1" t="s">
        <v>5</v>
      </c>
      <c r="B64" s="1" t="s">
        <v>7</v>
      </c>
      <c r="C64" s="2" t="s">
        <v>82</v>
      </c>
      <c r="D64" s="3" t="s">
        <v>83</v>
      </c>
      <c r="E64" s="4" t="s">
        <v>84</v>
      </c>
      <c r="F64" t="str">
        <f>'Source Table'!$B$10</f>
        <v>Economic Magazines &amp; Periodicals</v>
      </c>
      <c r="G64" t="str">
        <f>'Source Table'!$K$10</f>
        <v>المجلات والدوريات الاقتصادية</v>
      </c>
      <c r="I64" t="str">
        <f>'Source Table'!$E$5</f>
        <v>كل شهرين</v>
      </c>
      <c r="J64" s="7">
        <v>2</v>
      </c>
      <c r="K64">
        <v>2023</v>
      </c>
    </row>
    <row r="65" ht="15.75" spans="1:11">
      <c r="A65" s="1" t="s">
        <v>5</v>
      </c>
      <c r="B65" s="1" t="s">
        <v>7</v>
      </c>
      <c r="C65" s="2" t="s">
        <v>82</v>
      </c>
      <c r="D65" s="3" t="s">
        <v>83</v>
      </c>
      <c r="E65" s="4" t="s">
        <v>84</v>
      </c>
      <c r="F65" t="str">
        <f>'Source Table'!$B$11</f>
        <v>Army &amp; Police Magazines &amp; Periodicals</v>
      </c>
      <c r="G65" t="str">
        <f>'Source Table'!$K$11</f>
        <v>المجلات والدوريات العسكرية و شرطية</v>
      </c>
      <c r="I65" t="str">
        <f>'Source Table'!$E$5</f>
        <v>كل شهرين</v>
      </c>
      <c r="J65" s="7">
        <v>0</v>
      </c>
      <c r="K65">
        <v>2023</v>
      </c>
    </row>
    <row r="66" ht="15.75" spans="1:11">
      <c r="A66" s="1" t="s">
        <v>5</v>
      </c>
      <c r="B66" s="1" t="s">
        <v>7</v>
      </c>
      <c r="C66" s="2" t="s">
        <v>82</v>
      </c>
      <c r="D66" s="3" t="s">
        <v>83</v>
      </c>
      <c r="E66" s="4" t="s">
        <v>84</v>
      </c>
      <c r="F66" t="str">
        <f>'Source Table'!$B$12</f>
        <v>Youths &amp; Arts Magazines &amp; Periodicals</v>
      </c>
      <c r="G66" t="str">
        <f>'Source Table'!$K$12</f>
        <v>المجلات والدوريات الشباب و الفنون</v>
      </c>
      <c r="I66" t="str">
        <f>'Source Table'!$E$5</f>
        <v>كل شهرين</v>
      </c>
      <c r="J66" s="7">
        <v>0</v>
      </c>
      <c r="K66">
        <v>2023</v>
      </c>
    </row>
    <row r="67" ht="15.75" spans="1:11">
      <c r="A67" s="1" t="s">
        <v>5</v>
      </c>
      <c r="B67" s="1" t="s">
        <v>7</v>
      </c>
      <c r="C67" s="2" t="s">
        <v>82</v>
      </c>
      <c r="D67" s="3" t="s">
        <v>83</v>
      </c>
      <c r="E67" s="4" t="s">
        <v>84</v>
      </c>
      <c r="F67" t="str">
        <f>'Source Table'!$B$13</f>
        <v>Cultural &amp; Educational Magazines &amp; Periodicals</v>
      </c>
      <c r="G67" t="str">
        <f>'Source Table'!$K$13</f>
        <v>المجلات والدوريات الثقافية و المدرسية</v>
      </c>
      <c r="I67" t="str">
        <f>'Source Table'!$E$5</f>
        <v>كل شهرين</v>
      </c>
      <c r="J67" s="7">
        <v>0</v>
      </c>
      <c r="K67">
        <v>2023</v>
      </c>
    </row>
    <row r="68" ht="15.75" spans="1:11">
      <c r="A68" s="1" t="s">
        <v>5</v>
      </c>
      <c r="B68" s="1" t="s">
        <v>7</v>
      </c>
      <c r="C68" s="2" t="s">
        <v>82</v>
      </c>
      <c r="D68" s="3" t="s">
        <v>83</v>
      </c>
      <c r="E68" s="4" t="s">
        <v>84</v>
      </c>
      <c r="F68" t="str">
        <f>'Source Table'!$B$14</f>
        <v>Religious Magazines &amp; Periodicals</v>
      </c>
      <c r="G68" t="str">
        <f>'Source Table'!$K$14</f>
        <v>المجلات والدوريات الدينية</v>
      </c>
      <c r="I68" t="str">
        <f>'Source Table'!$E$5</f>
        <v>كل شهرين</v>
      </c>
      <c r="J68" s="7">
        <v>0</v>
      </c>
      <c r="K68">
        <v>2023</v>
      </c>
    </row>
    <row r="69" ht="15.75" spans="1:11">
      <c r="A69" s="1" t="s">
        <v>5</v>
      </c>
      <c r="B69" s="1" t="s">
        <v>7</v>
      </c>
      <c r="C69" s="2" t="s">
        <v>82</v>
      </c>
      <c r="D69" s="3" t="s">
        <v>83</v>
      </c>
      <c r="E69" s="4" t="s">
        <v>84</v>
      </c>
      <c r="F69" t="str">
        <f>'Source Table'!$B$15</f>
        <v>Scientific Magazines &amp; Periodicals</v>
      </c>
      <c r="G69" t="str">
        <f>'Source Table'!$K$15</f>
        <v>المجلات والدوريات العلمية</v>
      </c>
      <c r="I69" t="str">
        <f>'Source Table'!$E$5</f>
        <v>كل شهرين</v>
      </c>
      <c r="J69" s="7">
        <v>3</v>
      </c>
      <c r="K69">
        <v>2023</v>
      </c>
    </row>
    <row r="70" ht="15.75" spans="1:11">
      <c r="A70" s="1" t="s">
        <v>5</v>
      </c>
      <c r="B70" s="1" t="s">
        <v>7</v>
      </c>
      <c r="C70" s="2" t="s">
        <v>82</v>
      </c>
      <c r="D70" s="3" t="s">
        <v>83</v>
      </c>
      <c r="E70" s="4" t="s">
        <v>84</v>
      </c>
      <c r="F70" t="str">
        <f>'Source Table'!$B$16</f>
        <v>Financial Magazines &amp; Periodicals</v>
      </c>
      <c r="G70" t="str">
        <f>'Source Table'!$K$16</f>
        <v>المجلات والدوريات المالية</v>
      </c>
      <c r="I70" t="str">
        <f>'Source Table'!$E$5</f>
        <v>كل شهرين</v>
      </c>
      <c r="J70" s="7">
        <v>0</v>
      </c>
      <c r="K70">
        <v>2023</v>
      </c>
    </row>
    <row r="71" ht="15.75" spans="1:11">
      <c r="A71" s="1" t="s">
        <v>5</v>
      </c>
      <c r="B71" s="1" t="s">
        <v>7</v>
      </c>
      <c r="C71" s="2" t="s">
        <v>82</v>
      </c>
      <c r="D71" s="3" t="s">
        <v>83</v>
      </c>
      <c r="E71" s="4" t="s">
        <v>84</v>
      </c>
      <c r="F71" t="str">
        <f>'Source Table'!$B$17</f>
        <v>Tourist Magazines &amp; Periodicals</v>
      </c>
      <c r="G71" t="str">
        <f>'Source Table'!$K$17</f>
        <v>المجلات والدوريات سياحية</v>
      </c>
      <c r="I71" t="str">
        <f>'Source Table'!$E$5</f>
        <v>كل شهرين</v>
      </c>
      <c r="J71" s="7">
        <v>0</v>
      </c>
      <c r="K71">
        <v>2023</v>
      </c>
    </row>
    <row r="72" ht="15.75" spans="1:11">
      <c r="A72" s="1" t="s">
        <v>5</v>
      </c>
      <c r="B72" s="1" t="s">
        <v>7</v>
      </c>
      <c r="C72" s="2" t="s">
        <v>82</v>
      </c>
      <c r="D72" s="3" t="s">
        <v>83</v>
      </c>
      <c r="E72" s="4" t="s">
        <v>84</v>
      </c>
      <c r="F72" t="str">
        <f>'Source Table'!$B$18</f>
        <v>Other Magazines &amp; Periodicals</v>
      </c>
      <c r="G72" t="str">
        <f>'Source Table'!$K$18</f>
        <v>المجلات والدوريات أخرى</v>
      </c>
      <c r="I72" t="str">
        <f>'Source Table'!$E$5</f>
        <v>كل شهرين</v>
      </c>
      <c r="J72" s="8">
        <v>4</v>
      </c>
      <c r="K72">
        <v>2023</v>
      </c>
    </row>
    <row r="73" ht="15.75" spans="1:11">
      <c r="A73" s="1" t="s">
        <v>5</v>
      </c>
      <c r="B73" s="1" t="s">
        <v>7</v>
      </c>
      <c r="C73" s="2" t="s">
        <v>82</v>
      </c>
      <c r="D73" s="3" t="s">
        <v>83</v>
      </c>
      <c r="E73" s="4" t="s">
        <v>84</v>
      </c>
      <c r="F73" t="str">
        <f>'Source Table'!$B$7</f>
        <v>Political Newspapers</v>
      </c>
      <c r="G73" t="str">
        <f>'Source Table'!$K$7</f>
        <v>صحف سياسية</v>
      </c>
      <c r="I73" t="str">
        <f>'Source Table'!$D$5</f>
        <v>نصف سنوية</v>
      </c>
      <c r="J73" s="7">
        <v>0</v>
      </c>
      <c r="K73">
        <v>2023</v>
      </c>
    </row>
    <row r="74" ht="15.75" spans="1:11">
      <c r="A74" s="1" t="s">
        <v>5</v>
      </c>
      <c r="B74" s="1" t="s">
        <v>7</v>
      </c>
      <c r="C74" s="2" t="s">
        <v>82</v>
      </c>
      <c r="D74" s="3" t="s">
        <v>83</v>
      </c>
      <c r="E74" s="4" t="s">
        <v>84</v>
      </c>
      <c r="F74" t="str">
        <f>'Source Table'!$B$8</f>
        <v>Parties Newspapers</v>
      </c>
      <c r="G74" t="str">
        <f>'Source Table'!$K$8</f>
        <v>صحف حزبية</v>
      </c>
      <c r="I74" t="str">
        <f>'Source Table'!$D$5</f>
        <v>نصف سنوية</v>
      </c>
      <c r="J74" s="7">
        <v>0</v>
      </c>
      <c r="K74">
        <v>2023</v>
      </c>
    </row>
    <row r="75" ht="15.75" spans="1:11">
      <c r="A75" s="1" t="s">
        <v>5</v>
      </c>
      <c r="B75" s="1" t="s">
        <v>7</v>
      </c>
      <c r="C75" s="2" t="s">
        <v>82</v>
      </c>
      <c r="D75" s="3" t="s">
        <v>83</v>
      </c>
      <c r="E75" s="4" t="s">
        <v>84</v>
      </c>
      <c r="F75" t="str">
        <f>'Source Table'!$B$9</f>
        <v>Children Magazines &amp; Periodicals</v>
      </c>
      <c r="G75" t="str">
        <f>'Source Table'!$K$9</f>
        <v>المجلات والدوريات الأطفال</v>
      </c>
      <c r="I75" t="str">
        <f>'Source Table'!$D$5</f>
        <v>نصف سنوية</v>
      </c>
      <c r="J75" s="7">
        <v>1</v>
      </c>
      <c r="K75">
        <v>2023</v>
      </c>
    </row>
    <row r="76" ht="15.75" spans="1:11">
      <c r="A76" s="1" t="s">
        <v>5</v>
      </c>
      <c r="B76" s="1" t="s">
        <v>7</v>
      </c>
      <c r="C76" s="2" t="s">
        <v>82</v>
      </c>
      <c r="D76" s="3" t="s">
        <v>83</v>
      </c>
      <c r="E76" s="4" t="s">
        <v>84</v>
      </c>
      <c r="F76" t="str">
        <f>'Source Table'!$B$10</f>
        <v>Economic Magazines &amp; Periodicals</v>
      </c>
      <c r="G76" t="str">
        <f>'Source Table'!$K$10</f>
        <v>المجلات والدوريات الاقتصادية</v>
      </c>
      <c r="I76" t="str">
        <f>'Source Table'!$D$5</f>
        <v>نصف سنوية</v>
      </c>
      <c r="J76" s="7">
        <v>4</v>
      </c>
      <c r="K76">
        <v>2023</v>
      </c>
    </row>
    <row r="77" ht="15.75" spans="1:11">
      <c r="A77" s="1" t="s">
        <v>5</v>
      </c>
      <c r="B77" s="1" t="s">
        <v>7</v>
      </c>
      <c r="C77" s="2" t="s">
        <v>82</v>
      </c>
      <c r="D77" s="3" t="s">
        <v>83</v>
      </c>
      <c r="E77" s="4" t="s">
        <v>84</v>
      </c>
      <c r="F77" t="str">
        <f>'Source Table'!$B$11</f>
        <v>Army &amp; Police Magazines &amp; Periodicals</v>
      </c>
      <c r="G77" t="str">
        <f>'Source Table'!$K$11</f>
        <v>المجلات والدوريات العسكرية و شرطية</v>
      </c>
      <c r="I77" t="str">
        <f>'Source Table'!$D$5</f>
        <v>نصف سنوية</v>
      </c>
      <c r="J77" s="7">
        <v>0</v>
      </c>
      <c r="K77">
        <v>2023</v>
      </c>
    </row>
    <row r="78" ht="15.75" spans="1:11">
      <c r="A78" s="1" t="s">
        <v>5</v>
      </c>
      <c r="B78" s="1" t="s">
        <v>7</v>
      </c>
      <c r="C78" s="2" t="s">
        <v>82</v>
      </c>
      <c r="D78" s="3" t="s">
        <v>83</v>
      </c>
      <c r="E78" s="4" t="s">
        <v>84</v>
      </c>
      <c r="F78" t="str">
        <f>'Source Table'!$B$12</f>
        <v>Youths &amp; Arts Magazines &amp; Periodicals</v>
      </c>
      <c r="G78" t="str">
        <f>'Source Table'!$K$12</f>
        <v>المجلات والدوريات الشباب و الفنون</v>
      </c>
      <c r="I78" t="str">
        <f>'Source Table'!$D$5</f>
        <v>نصف سنوية</v>
      </c>
      <c r="J78" s="7">
        <v>0</v>
      </c>
      <c r="K78">
        <v>2023</v>
      </c>
    </row>
    <row r="79" ht="15.75" spans="1:11">
      <c r="A79" s="1" t="s">
        <v>5</v>
      </c>
      <c r="B79" s="1" t="s">
        <v>7</v>
      </c>
      <c r="C79" s="2" t="s">
        <v>82</v>
      </c>
      <c r="D79" s="3" t="s">
        <v>83</v>
      </c>
      <c r="E79" s="4" t="s">
        <v>84</v>
      </c>
      <c r="F79" t="str">
        <f>'Source Table'!$B$13</f>
        <v>Cultural &amp; Educational Magazines &amp; Periodicals</v>
      </c>
      <c r="G79" t="str">
        <f>'Source Table'!$K$13</f>
        <v>المجلات والدوريات الثقافية و المدرسية</v>
      </c>
      <c r="I79" t="str">
        <f>'Source Table'!$D$5</f>
        <v>نصف سنوية</v>
      </c>
      <c r="J79" s="7">
        <v>2</v>
      </c>
      <c r="K79">
        <v>2023</v>
      </c>
    </row>
    <row r="80" ht="15.75" spans="1:11">
      <c r="A80" s="1" t="s">
        <v>5</v>
      </c>
      <c r="B80" s="1" t="s">
        <v>7</v>
      </c>
      <c r="C80" s="2" t="s">
        <v>82</v>
      </c>
      <c r="D80" s="3" t="s">
        <v>83</v>
      </c>
      <c r="E80" s="4" t="s">
        <v>84</v>
      </c>
      <c r="F80" t="str">
        <f>'Source Table'!$B$14</f>
        <v>Religious Magazines &amp; Periodicals</v>
      </c>
      <c r="G80" t="str">
        <f>'Source Table'!$K$14</f>
        <v>المجلات والدوريات الدينية</v>
      </c>
      <c r="I80" t="str">
        <f>'Source Table'!$D$5</f>
        <v>نصف سنوية</v>
      </c>
      <c r="J80" s="7">
        <v>0</v>
      </c>
      <c r="K80">
        <v>2023</v>
      </c>
    </row>
    <row r="81" ht="15.75" spans="1:11">
      <c r="A81" s="1" t="s">
        <v>5</v>
      </c>
      <c r="B81" s="1" t="s">
        <v>7</v>
      </c>
      <c r="C81" s="2" t="s">
        <v>82</v>
      </c>
      <c r="D81" s="3" t="s">
        <v>83</v>
      </c>
      <c r="E81" s="4" t="s">
        <v>84</v>
      </c>
      <c r="F81" t="str">
        <f>'Source Table'!$B$15</f>
        <v>Scientific Magazines &amp; Periodicals</v>
      </c>
      <c r="G81" t="str">
        <f>'Source Table'!$K$15</f>
        <v>المجلات والدوريات العلمية</v>
      </c>
      <c r="I81" t="str">
        <f>'Source Table'!$D$5</f>
        <v>نصف سنوية</v>
      </c>
      <c r="J81" s="7">
        <v>2</v>
      </c>
      <c r="K81">
        <v>2023</v>
      </c>
    </row>
    <row r="82" ht="15.75" spans="1:11">
      <c r="A82" s="1" t="s">
        <v>5</v>
      </c>
      <c r="B82" s="1" t="s">
        <v>7</v>
      </c>
      <c r="C82" s="2" t="s">
        <v>82</v>
      </c>
      <c r="D82" s="3" t="s">
        <v>83</v>
      </c>
      <c r="E82" s="4" t="s">
        <v>84</v>
      </c>
      <c r="F82" t="str">
        <f>'Source Table'!$B$16</f>
        <v>Financial Magazines &amp; Periodicals</v>
      </c>
      <c r="G82" t="str">
        <f>'Source Table'!$K$16</f>
        <v>المجلات والدوريات المالية</v>
      </c>
      <c r="I82" t="str">
        <f>'Source Table'!$D$5</f>
        <v>نصف سنوية</v>
      </c>
      <c r="J82" s="7">
        <v>0</v>
      </c>
      <c r="K82">
        <v>2023</v>
      </c>
    </row>
    <row r="83" ht="15.75" spans="1:11">
      <c r="A83" s="1" t="s">
        <v>5</v>
      </c>
      <c r="B83" s="1" t="s">
        <v>7</v>
      </c>
      <c r="C83" s="2" t="s">
        <v>82</v>
      </c>
      <c r="D83" s="3" t="s">
        <v>83</v>
      </c>
      <c r="E83" s="4" t="s">
        <v>84</v>
      </c>
      <c r="F83" t="str">
        <f>'Source Table'!$B$17</f>
        <v>Tourist Magazines &amp; Periodicals</v>
      </c>
      <c r="G83" t="str">
        <f>'Source Table'!$K$17</f>
        <v>المجلات والدوريات سياحية</v>
      </c>
      <c r="I83" t="str">
        <f>'Source Table'!$D$5</f>
        <v>نصف سنوية</v>
      </c>
      <c r="J83" s="7">
        <v>2</v>
      </c>
      <c r="K83">
        <v>2023</v>
      </c>
    </row>
    <row r="84" ht="15.75" spans="1:11">
      <c r="A84" s="1" t="s">
        <v>5</v>
      </c>
      <c r="B84" s="1" t="s">
        <v>7</v>
      </c>
      <c r="C84" s="2" t="s">
        <v>82</v>
      </c>
      <c r="D84" s="3" t="s">
        <v>83</v>
      </c>
      <c r="E84" s="4" t="s">
        <v>84</v>
      </c>
      <c r="F84" t="str">
        <f>'Source Table'!$B$18</f>
        <v>Other Magazines &amp; Periodicals</v>
      </c>
      <c r="G84" t="str">
        <f>'Source Table'!$K$18</f>
        <v>المجلات والدوريات أخرى</v>
      </c>
      <c r="I84" t="str">
        <f>'Source Table'!$D$5</f>
        <v>نصف سنوية</v>
      </c>
      <c r="J84" s="8">
        <v>4</v>
      </c>
      <c r="K84">
        <v>2023</v>
      </c>
    </row>
    <row r="85" ht="15.75" spans="1:11">
      <c r="A85" s="1" t="s">
        <v>5</v>
      </c>
      <c r="B85" s="1" t="s">
        <v>7</v>
      </c>
      <c r="C85" s="2" t="s">
        <v>82</v>
      </c>
      <c r="D85" s="3" t="s">
        <v>83</v>
      </c>
      <c r="E85" s="4" t="s">
        <v>84</v>
      </c>
      <c r="F85" t="str">
        <f>'Source Table'!$B$7</f>
        <v>Political Newspapers</v>
      </c>
      <c r="G85" t="str">
        <f>'Source Table'!$K$7</f>
        <v>صحف سياسية</v>
      </c>
      <c r="I85" t="str">
        <f>'Source Table'!$C$5</f>
        <v>نصف شهرية</v>
      </c>
      <c r="J85" s="5">
        <v>0</v>
      </c>
      <c r="K85">
        <v>2023</v>
      </c>
    </row>
    <row r="86" ht="15.75" spans="1:11">
      <c r="A86" s="1" t="s">
        <v>5</v>
      </c>
      <c r="B86" s="1" t="s">
        <v>7</v>
      </c>
      <c r="C86" s="2" t="s">
        <v>82</v>
      </c>
      <c r="D86" s="3" t="s">
        <v>83</v>
      </c>
      <c r="E86" s="4" t="s">
        <v>84</v>
      </c>
      <c r="F86" t="str">
        <f>'Source Table'!$B$8</f>
        <v>Parties Newspapers</v>
      </c>
      <c r="G86" t="str">
        <f>'Source Table'!$K$8</f>
        <v>صحف حزبية</v>
      </c>
      <c r="I86" t="str">
        <f>'Source Table'!$C$5</f>
        <v>نصف شهرية</v>
      </c>
      <c r="J86" s="5">
        <v>0</v>
      </c>
      <c r="K86">
        <v>2023</v>
      </c>
    </row>
    <row r="87" ht="15.75" spans="1:11">
      <c r="A87" s="1" t="s">
        <v>5</v>
      </c>
      <c r="B87" s="1" t="s">
        <v>7</v>
      </c>
      <c r="C87" s="2" t="s">
        <v>82</v>
      </c>
      <c r="D87" s="3" t="s">
        <v>83</v>
      </c>
      <c r="E87" s="4" t="s">
        <v>84</v>
      </c>
      <c r="F87" t="str">
        <f>'Source Table'!$B$9</f>
        <v>Children Magazines &amp; Periodicals</v>
      </c>
      <c r="G87" t="str">
        <f>'Source Table'!$K$9</f>
        <v>المجلات والدوريات الأطفال</v>
      </c>
      <c r="I87" t="str">
        <f>'Source Table'!$C$5</f>
        <v>نصف شهرية</v>
      </c>
      <c r="J87" s="5">
        <v>0</v>
      </c>
      <c r="K87">
        <v>2023</v>
      </c>
    </row>
    <row r="88" ht="15.75" spans="1:11">
      <c r="A88" s="1" t="s">
        <v>5</v>
      </c>
      <c r="B88" s="1" t="s">
        <v>7</v>
      </c>
      <c r="C88" s="2" t="s">
        <v>82</v>
      </c>
      <c r="D88" s="3" t="s">
        <v>83</v>
      </c>
      <c r="E88" s="4" t="s">
        <v>84</v>
      </c>
      <c r="F88" t="str">
        <f>'Source Table'!$B$10</f>
        <v>Economic Magazines &amp; Periodicals</v>
      </c>
      <c r="G88" t="str">
        <f>'Source Table'!$K$10</f>
        <v>المجلات والدوريات الاقتصادية</v>
      </c>
      <c r="I88" t="str">
        <f>'Source Table'!$C$5</f>
        <v>نصف شهرية</v>
      </c>
      <c r="J88" s="5">
        <v>2</v>
      </c>
      <c r="K88">
        <v>2023</v>
      </c>
    </row>
    <row r="89" ht="15.75" spans="1:11">
      <c r="A89" s="1" t="s">
        <v>5</v>
      </c>
      <c r="B89" s="1" t="s">
        <v>7</v>
      </c>
      <c r="C89" s="2" t="s">
        <v>82</v>
      </c>
      <c r="D89" s="3" t="s">
        <v>83</v>
      </c>
      <c r="E89" s="4" t="s">
        <v>84</v>
      </c>
      <c r="F89" t="str">
        <f>'Source Table'!$B$11</f>
        <v>Army &amp; Police Magazines &amp; Periodicals</v>
      </c>
      <c r="G89" t="str">
        <f>'Source Table'!$K$11</f>
        <v>المجلات والدوريات العسكرية و شرطية</v>
      </c>
      <c r="I89" t="str">
        <f>'Source Table'!$C$5</f>
        <v>نصف شهرية</v>
      </c>
      <c r="J89" s="5">
        <v>0</v>
      </c>
      <c r="K89">
        <v>2023</v>
      </c>
    </row>
    <row r="90" ht="15.75" spans="1:11">
      <c r="A90" s="1" t="s">
        <v>5</v>
      </c>
      <c r="B90" s="1" t="s">
        <v>7</v>
      </c>
      <c r="C90" s="2" t="s">
        <v>82</v>
      </c>
      <c r="D90" s="3" t="s">
        <v>83</v>
      </c>
      <c r="E90" s="4" t="s">
        <v>84</v>
      </c>
      <c r="F90" t="str">
        <f>'Source Table'!$B$12</f>
        <v>Youths &amp; Arts Magazines &amp; Periodicals</v>
      </c>
      <c r="G90" t="str">
        <f>'Source Table'!$K$12</f>
        <v>المجلات والدوريات الشباب و الفنون</v>
      </c>
      <c r="I90" t="str">
        <f>'Source Table'!$C$5</f>
        <v>نصف شهرية</v>
      </c>
      <c r="J90" s="5">
        <v>0</v>
      </c>
      <c r="K90">
        <v>2023</v>
      </c>
    </row>
    <row r="91" ht="15.75" spans="1:11">
      <c r="A91" s="1" t="s">
        <v>5</v>
      </c>
      <c r="B91" s="1" t="s">
        <v>7</v>
      </c>
      <c r="C91" s="2" t="s">
        <v>82</v>
      </c>
      <c r="D91" s="3" t="s">
        <v>83</v>
      </c>
      <c r="E91" s="4" t="s">
        <v>84</v>
      </c>
      <c r="F91" t="str">
        <f>'Source Table'!$B$13</f>
        <v>Cultural &amp; Educational Magazines &amp; Periodicals</v>
      </c>
      <c r="G91" t="str">
        <f>'Source Table'!$K$13</f>
        <v>المجلات والدوريات الثقافية و المدرسية</v>
      </c>
      <c r="I91" t="str">
        <f>'Source Table'!$C$5</f>
        <v>نصف شهرية</v>
      </c>
      <c r="J91" s="5">
        <v>0</v>
      </c>
      <c r="K91">
        <v>2023</v>
      </c>
    </row>
    <row r="92" ht="15.75" spans="1:11">
      <c r="A92" s="1" t="s">
        <v>5</v>
      </c>
      <c r="B92" s="1" t="s">
        <v>7</v>
      </c>
      <c r="C92" s="2" t="s">
        <v>82</v>
      </c>
      <c r="D92" s="3" t="s">
        <v>83</v>
      </c>
      <c r="E92" s="4" t="s">
        <v>84</v>
      </c>
      <c r="F92" t="str">
        <f>'Source Table'!$B$14</f>
        <v>Religious Magazines &amp; Periodicals</v>
      </c>
      <c r="G92" t="str">
        <f>'Source Table'!$K$14</f>
        <v>المجلات والدوريات الدينية</v>
      </c>
      <c r="I92" t="str">
        <f>'Source Table'!$C$5</f>
        <v>نصف شهرية</v>
      </c>
      <c r="J92" s="5">
        <v>1</v>
      </c>
      <c r="K92">
        <v>2023</v>
      </c>
    </row>
    <row r="93" ht="15.75" spans="1:11">
      <c r="A93" s="1" t="s">
        <v>5</v>
      </c>
      <c r="B93" s="1" t="s">
        <v>7</v>
      </c>
      <c r="C93" s="2" t="s">
        <v>82</v>
      </c>
      <c r="D93" s="3" t="s">
        <v>83</v>
      </c>
      <c r="E93" s="4" t="s">
        <v>84</v>
      </c>
      <c r="F93" t="str">
        <f>'Source Table'!$B$15</f>
        <v>Scientific Magazines &amp; Periodicals</v>
      </c>
      <c r="G93" t="str">
        <f>'Source Table'!$K$15</f>
        <v>المجلات والدوريات العلمية</v>
      </c>
      <c r="I93" t="str">
        <f>'Source Table'!$C$5</f>
        <v>نصف شهرية</v>
      </c>
      <c r="J93" s="5">
        <v>0</v>
      </c>
      <c r="K93">
        <v>2023</v>
      </c>
    </row>
    <row r="94" ht="15.75" spans="1:11">
      <c r="A94" s="1" t="s">
        <v>5</v>
      </c>
      <c r="B94" s="1" t="s">
        <v>7</v>
      </c>
      <c r="C94" s="2" t="s">
        <v>82</v>
      </c>
      <c r="D94" s="3" t="s">
        <v>83</v>
      </c>
      <c r="E94" s="4" t="s">
        <v>84</v>
      </c>
      <c r="F94" t="str">
        <f>'Source Table'!$B$16</f>
        <v>Financial Magazines &amp; Periodicals</v>
      </c>
      <c r="G94" t="str">
        <f>'Source Table'!$K$16</f>
        <v>المجلات والدوريات المالية</v>
      </c>
      <c r="I94" t="str">
        <f>'Source Table'!$C$5</f>
        <v>نصف شهرية</v>
      </c>
      <c r="J94" s="5">
        <v>0</v>
      </c>
      <c r="K94">
        <v>2023</v>
      </c>
    </row>
    <row r="95" ht="15.75" spans="1:11">
      <c r="A95" s="1" t="s">
        <v>5</v>
      </c>
      <c r="B95" s="1" t="s">
        <v>7</v>
      </c>
      <c r="C95" s="2" t="s">
        <v>82</v>
      </c>
      <c r="D95" s="3" t="s">
        <v>83</v>
      </c>
      <c r="E95" s="4" t="s">
        <v>84</v>
      </c>
      <c r="F95" t="str">
        <f>'Source Table'!$B$17</f>
        <v>Tourist Magazines &amp; Periodicals</v>
      </c>
      <c r="G95" t="str">
        <f>'Source Table'!$K$17</f>
        <v>المجلات والدوريات سياحية</v>
      </c>
      <c r="I95" t="str">
        <f>'Source Table'!$C$5</f>
        <v>نصف شهرية</v>
      </c>
      <c r="J95" s="5">
        <v>0</v>
      </c>
      <c r="K95">
        <v>2023</v>
      </c>
    </row>
    <row r="96" ht="15.75" spans="1:11">
      <c r="A96" s="1" t="s">
        <v>5</v>
      </c>
      <c r="B96" s="1" t="s">
        <v>7</v>
      </c>
      <c r="C96" s="2" t="s">
        <v>82</v>
      </c>
      <c r="D96" s="3" t="s">
        <v>83</v>
      </c>
      <c r="E96" s="4" t="s">
        <v>84</v>
      </c>
      <c r="F96" t="str">
        <f>'Source Table'!$B$18</f>
        <v>Other Magazines &amp; Periodicals</v>
      </c>
      <c r="G96" t="str">
        <f>'Source Table'!$K$18</f>
        <v>المجلات والدوريات أخرى</v>
      </c>
      <c r="I96" t="str">
        <f>'Source Table'!$C$5</f>
        <v>نصف شهرية</v>
      </c>
      <c r="J96" s="6">
        <v>2</v>
      </c>
      <c r="K96">
        <v>2023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  <rangeList sheetStid="7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2025-04-09T08:50:45Z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F8080EDDB2F7480BA40751540A608007_13</vt:lpwstr>
  </property>
  <property fmtid="{D5CDD505-2E9C-101B-9397-08002B2CF9AE}" pid="5" name="KSOProductBuildVer">
    <vt:lpwstr>1033-12.2.0.20782</vt:lpwstr>
  </property>
</Properties>
</file>