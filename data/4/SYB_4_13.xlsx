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Cover Page" sheetId="1" r:id="rId1"/>
    <sheet name="Source Table" sheetId="2" r:id="rId2"/>
    <sheet name="Relational DB" sheetId="8" r:id="rId3"/>
    <sheet name="Template Data" sheetId="4" r:id="rId4"/>
    <sheet name="Help" sheetId="6" r:id="rId5"/>
  </sheets>
  <definedNames>
    <definedName name="_xlnm.Print_Area" localSheetId="1">'Source Table'!$B$2:$D$9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<sst xmlns="http://schemas.openxmlformats.org/spreadsheetml/2006/main" count="371" uniqueCount="102">
  <si>
    <t>Code</t>
  </si>
  <si>
    <t>SYB_13.4</t>
  </si>
  <si>
    <t>Version</t>
  </si>
  <si>
    <t>V1</t>
  </si>
  <si>
    <t>اسم القالب</t>
  </si>
  <si>
    <t>إصابات وحوادث العمل المسجلة وتكلفة الإصابات في المنشآت المشتركة في الضمان الاجتماعي</t>
  </si>
  <si>
    <t>Template Name</t>
  </si>
  <si>
    <t>Registered Work Injuries and Accidents and Cost of Injuries in Establishments Engaged in Social Security</t>
  </si>
  <si>
    <t>دورية البيانات</t>
  </si>
  <si>
    <t>سنوي</t>
  </si>
  <si>
    <t>Data Frequency</t>
  </si>
  <si>
    <t>Yearly</t>
  </si>
  <si>
    <t>الجهة المصدرية</t>
  </si>
  <si>
    <t>المؤسسة العامة للضمان الاجتماعي</t>
  </si>
  <si>
    <t>Data Source</t>
  </si>
  <si>
    <t xml:space="preserve"> Social Security Corporation</t>
  </si>
  <si>
    <t>Year</t>
  </si>
  <si>
    <t>السنة</t>
  </si>
  <si>
    <t>Items</t>
  </si>
  <si>
    <t xml:space="preserve">    البنـــود</t>
  </si>
  <si>
    <t>No. of registered injuries and  accidents</t>
  </si>
  <si>
    <t xml:space="preserve">عـدد حوادث العمل المسجلة </t>
  </si>
  <si>
    <t>No. of registered injuries</t>
  </si>
  <si>
    <t xml:space="preserve">عدد إصابات العمل المسجلة </t>
  </si>
  <si>
    <t>Cost of injuries</t>
  </si>
  <si>
    <t>تكلفة  الإصابات</t>
  </si>
  <si>
    <t>No. of absence days</t>
  </si>
  <si>
    <t>عدد أيام التغـيـب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</si>
  <si>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</si>
  <si>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</si>
  <si>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</si>
  <si>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</si>
  <si>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</si>
  <si>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</si>
  <si>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</si>
  <si>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</si>
  <si>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</si>
  <si>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</si>
  <si>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</si>
  <si>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</si>
  <si>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</si>
  <si>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</si>
  <si>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</si>
  <si>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</si>
  <si>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</si>
  <si>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Number</t>
  </si>
  <si>
    <t>عدد</t>
  </si>
  <si>
    <t>M2</t>
  </si>
  <si>
    <t>M3</t>
  </si>
  <si>
    <t>JOD</t>
  </si>
  <si>
    <t>دينار أردني</t>
  </si>
  <si>
    <t>M4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</si>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</sst>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9"/>
      <color theme="1"/>
      <name val="Times New Roman"/>
      <charset val="134"/>
    </font>
    <font>
      <sz val="16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auto="1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1" fillId="0" borderId="0">
      <alignment horizontal="centerContinuous" vertical="center"/>
    </xf>
    <xf numFmtId="0" fontId="32" fillId="0" borderId="0">
      <alignment horizontal="centerContinuous" vertical="center"/>
    </xf>
    <xf numFmtId="1" fontId="33" fillId="39" borderId="18">
      <alignment horizontal="center" vertical="center"/>
    </xf>
    <xf numFmtId="0" fontId="34" fillId="39" borderId="18">
      <alignment horizontal="center" vertical="center" wrapText="1"/>
    </xf>
    <xf numFmtId="0" fontId="35" fillId="39" borderId="18">
      <alignment horizontal="center" vertical="center" wrapText="1"/>
    </xf>
    <xf numFmtId="0" fontId="30" fillId="0" borderId="0"/>
    <xf numFmtId="0" fontId="30" fillId="0" borderId="0"/>
    <xf numFmtId="0" fontId="0" fillId="0" borderId="0"/>
    <xf numFmtId="0" fontId="0" fillId="0" borderId="0"/>
    <xf numFmtId="0" fontId="30" fillId="0" borderId="0"/>
    <xf numFmtId="0" fontId="0" fillId="0" borderId="0"/>
    <xf numFmtId="9" fontId="0" fillId="0" borderId="0"/>
    <xf numFmtId="9" fontId="0" fillId="0" borderId="0"/>
    <xf numFmtId="0" fontId="36" fillId="0" borderId="0">
      <alignment horizontal="right" vertical="center"/>
    </xf>
    <xf numFmtId="0" fontId="30" fillId="0" borderId="0">
      <alignment horizontal="left" vertical="center"/>
    </xf>
  </cellStyleXfs>
  <cellXfs count="33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6" fillId="4" borderId="1" xfId="0" applyFont="1" applyFill="1" applyBorder="1" applyAlignment="1" applyProtection="1">
      <alignment horizontal="center" vertical="center"/>
    </xf>
    <xf numFmtId="0" fontId="7" fillId="5" borderId="2" xfId="0" applyFont="1" applyFill="1" applyBorder="1" applyAlignment="1" applyProtection="1">
      <alignment horizontal="center" vertical="center"/>
    </xf>
    <xf numFmtId="0" fontId="7" fillId="5" borderId="3" xfId="0" applyFont="1" applyFill="1" applyBorder="1" applyAlignment="1" applyProtection="1">
      <alignment horizontal="center" vertical="center"/>
    </xf>
    <xf numFmtId="0" fontId="7" fillId="5" borderId="4" xfId="0" applyFont="1" applyFill="1" applyBorder="1" applyAlignment="1" applyProtection="1">
      <alignment horizontal="center" vertical="center"/>
    </xf>
    <xf numFmtId="0" fontId="7" fillId="6" borderId="5" xfId="0" applyFont="1" applyFill="1" applyBorder="1" applyAlignment="1" applyProtection="1">
      <alignment horizontal="center" vertical="center" readingOrder="2"/>
    </xf>
    <xf numFmtId="0" fontId="7" fillId="6" borderId="6" xfId="0" applyFont="1" applyFill="1" applyBorder="1" applyAlignment="1" applyProtection="1">
      <alignment horizontal="center" vertical="center" readingOrder="2"/>
    </xf>
    <xf numFmtId="0" fontId="7" fillId="6" borderId="7" xfId="0" applyFont="1" applyFill="1" applyBorder="1" applyAlignment="1" applyProtection="1">
      <alignment horizontal="center" vertical="center" readingOrder="2"/>
    </xf>
    <xf numFmtId="3" fontId="8" fillId="0" borderId="8" xfId="0" applyNumberFormat="1" applyFont="1" applyBorder="1" applyAlignment="1" applyProtection="1">
      <alignment horizontal="center"/>
      <protection locked="0"/>
    </xf>
    <xf numFmtId="3" fontId="8" fillId="0" borderId="9" xfId="0" applyNumberFormat="1" applyFont="1" applyBorder="1" applyAlignment="1" applyProtection="1">
      <alignment horizontal="center"/>
      <protection locked="0"/>
    </xf>
    <xf numFmtId="0" fontId="9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 readingOrder="2"/>
    </xf>
    <xf numFmtId="0" fontId="10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21" sqref="A21"/>
    </sheetView>
  </sheetViews>
  <sheetFormatPr defaultColWidth="9" defaultRowHeight="14.25" outlineLevelRow="7" outlineLevelCol="1"/>
  <cols>
    <col min="1" max="1" width="32.4" customWidth="1"/>
    <col min="2" max="2" width="137.3" customWidth="1"/>
  </cols>
  <sheetData>
    <row r="1" ht="21" customHeight="1" spans="1:2">
      <c r="A1" s="27" t="s">
        <v>0</v>
      </c>
      <c r="B1" s="28" t="s">
        <v>1</v>
      </c>
    </row>
    <row r="2" ht="21" customHeight="1" spans="1:2">
      <c r="A2" s="27" t="s">
        <v>2</v>
      </c>
      <c r="B2" s="28" t="s">
        <v>3</v>
      </c>
    </row>
    <row r="3" ht="21" customHeight="1" spans="1:2">
      <c r="A3" s="27" t="s">
        <v>4</v>
      </c>
      <c r="B3" s="29" t="s">
        <v>5</v>
      </c>
    </row>
    <row r="4" ht="21" customHeight="1" spans="1:2">
      <c r="A4" s="27" t="s">
        <v>6</v>
      </c>
      <c r="B4" s="30" t="s">
        <v>7</v>
      </c>
    </row>
    <row r="5" ht="21" customHeight="1" spans="1:2">
      <c r="A5" s="27" t="s">
        <v>8</v>
      </c>
      <c r="B5" s="31" t="s">
        <v>9</v>
      </c>
    </row>
    <row r="6" ht="21" customHeight="1" spans="1:2">
      <c r="A6" s="27" t="s">
        <v>10</v>
      </c>
      <c r="B6" s="31" t="s">
        <v>11</v>
      </c>
    </row>
    <row r="7" ht="21" customHeight="1" spans="1:2">
      <c r="A7" s="27" t="s">
        <v>12</v>
      </c>
      <c r="B7" s="32" t="s">
        <v>13</v>
      </c>
    </row>
    <row r="8" ht="21" customHeight="1" spans="1:2">
      <c r="A8" s="27" t="s">
        <v>14</v>
      </c>
      <c r="B8" s="3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1"/>
  <sheetViews>
    <sheetView view="pageBreakPreview" zoomScale="90" zoomScaleNormal="100" workbookViewId="0">
      <selection activeCell="C6" sqref="C6:C9"/>
    </sheetView>
  </sheetViews>
  <sheetFormatPr defaultColWidth="16.8" defaultRowHeight="14.25" outlineLevelCol="3"/>
  <cols>
    <col min="2" max="2" width="53.6" customWidth="1"/>
    <col min="3" max="3" width="37.1" customWidth="1"/>
    <col min="4" max="4" width="57.2" customWidth="1"/>
  </cols>
  <sheetData>
    <row r="2" ht="28.2" customHeight="1" spans="2:4">
      <c r="B2" s="18" t="str">
        <f>'Cover Page'!B4</f>
        <v>Registered Work Injuries and Accidents and Cost of Injuries in Establishments Engaged in Social Security</v>
      </c>
      <c r="C2" s="18"/>
      <c r="D2" s="18"/>
    </row>
    <row r="3" ht="28.2" customHeight="1" spans="2:4">
      <c r="B3" s="18" t="str">
        <f>'Cover Page'!B3</f>
        <v>إصابات وحوادث العمل المسجلة وتكلفة الإصابات في المنشآت المشتركة في الضمان الاجتماعي</v>
      </c>
      <c r="C3" s="18"/>
      <c r="D3" s="18"/>
    </row>
    <row r="4" ht="28.2" customHeight="1" spans="2:4">
      <c r="B4" s="19" t="s">
        <v>16</v>
      </c>
      <c r="C4" s="20">
        <f>'Template Data'!B2</f>
        <v>2023</v>
      </c>
      <c r="D4" s="21" t="s">
        <v>17</v>
      </c>
    </row>
    <row r="5" ht="28.2" customHeight="1" spans="2:4">
      <c r="B5" s="22" t="s">
        <v>18</v>
      </c>
      <c r="C5" s="23"/>
      <c r="D5" s="22" t="s">
        <v>19</v>
      </c>
    </row>
    <row r="6" ht="19.8" customHeight="1" spans="2:4">
      <c r="B6" s="24" t="s">
        <v>20</v>
      </c>
      <c r="C6" s="25"/>
      <c r="D6" s="24" t="s">
        <v>21</v>
      </c>
    </row>
    <row r="7" ht="19.8" customHeight="1" spans="2:4">
      <c r="B7" s="24" t="s">
        <v>22</v>
      </c>
      <c r="C7" s="25"/>
      <c r="D7" s="24" t="s">
        <v>23</v>
      </c>
    </row>
    <row r="8" ht="22.2" customHeight="1" spans="2:4">
      <c r="B8" s="24" t="s">
        <v>24</v>
      </c>
      <c r="C8" s="25"/>
      <c r="D8" s="24" t="s">
        <v>25</v>
      </c>
    </row>
    <row r="9" ht="22.2" customHeight="1" spans="2:4">
      <c r="B9" s="24" t="s">
        <v>26</v>
      </c>
      <c r="C9" s="26"/>
      <c r="D9" s="24" t="s">
        <v>27</v>
      </c>
    </row>
    <row r="10" ht="22.2" customHeight="1"/>
    <row r="11" ht="22.2" customHeight="1"/>
  </sheetData>
  <mergeCells count="2">
    <mergeCell ref="B2:D2"/>
    <mergeCell ref="B3:D3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tabSelected="1" zoomScale="70" zoomScaleNormal="70" workbookViewId="0">
      <selection activeCell="J6" sqref="J6"/>
    </sheetView>
  </sheetViews>
  <sheetFormatPr defaultColWidth="9" defaultRowHeight="14.25"/>
  <cols>
    <col min="1" max="1" width="20.7583333333333" customWidth="1"/>
    <col min="2" max="2" width="46" customWidth="1"/>
    <col min="3" max="3" width="11.5" customWidth="1"/>
    <col min="4" max="4" width="8.375" customWidth="1"/>
    <col min="5" max="5" width="8.58333333333333" customWidth="1"/>
    <col min="6" max="6" width="10.375" customWidth="1"/>
    <col min="7" max="8" width="14.875" customWidth="1"/>
    <col min="9" max="9" width="9.10833333333333" customWidth="1"/>
    <col min="12" max="12" width="10.375"/>
  </cols>
  <sheetData>
    <row r="1" spans="10:10">
      <c r="J1" s="10"/>
    </row>
    <row r="2" s="10" customFormat="1" ht="18" customHeight="1" spans="1:8">
      <c r="A2" s="13" t="s">
        <v>28</v>
      </c>
      <c r="B2" s="13" t="s">
        <v>29</v>
      </c>
      <c r="C2" s="13" t="s">
        <v>30</v>
      </c>
      <c r="D2" s="13" t="s">
        <v>31</v>
      </c>
      <c r="E2" s="13" t="s">
        <v>32</v>
      </c>
      <c r="F2" s="13" t="s">
        <v>33</v>
      </c>
      <c r="G2" s="13" t="s">
        <v>34</v>
      </c>
      <c r="H2" s="13" t="s">
        <v>35</v>
      </c>
    </row>
    <row r="3" s="10" customFormat="1" ht="18" customHeight="1" spans="1:12">
      <c r="A3" s="13" t="s">
        <v>36</v>
      </c>
      <c r="B3" s="13" t="s">
        <v>37</v>
      </c>
      <c r="C3" s="13" t="s">
        <v>38</v>
      </c>
      <c r="D3" s="13" t="s">
        <v>39</v>
      </c>
      <c r="E3" s="13" t="s">
        <v>40</v>
      </c>
      <c r="F3" s="13" t="s">
        <v>41</v>
      </c>
      <c r="G3" s="13" t="s">
        <v>42</v>
      </c>
      <c r="H3" s="13" t="s">
        <v>43</v>
      </c>
      <c r="J3" s="14"/>
      <c r="L3" s="14"/>
    </row>
    <row r="4" spans="1:15">
      <c r="A4" t="s">
        <v>21</v>
      </c>
      <c r="B4" t="s">
        <v>20</v>
      </c>
      <c r="C4" t="s">
        <v>44</v>
      </c>
      <c r="D4" t="s">
        <v>45</v>
      </c>
      <c r="E4" t="s">
        <v>46</v>
      </c>
      <c r="F4">
        <v>12551</v>
      </c>
      <c r="G4">
        <v>2019</v>
      </c>
      <c r="J4" s="15"/>
      <c r="L4" s="14"/>
      <c r="M4" s="16"/>
      <c r="O4" s="16"/>
    </row>
    <row r="5" spans="1:15">
      <c r="A5" t="s">
        <v>23</v>
      </c>
      <c r="B5" t="s">
        <v>22</v>
      </c>
      <c r="C5" t="s">
        <v>47</v>
      </c>
      <c r="D5" t="s">
        <v>45</v>
      </c>
      <c r="E5" t="s">
        <v>46</v>
      </c>
      <c r="F5">
        <v>10072</v>
      </c>
      <c r="G5">
        <v>2019</v>
      </c>
      <c r="J5" s="14"/>
      <c r="L5" s="15"/>
      <c r="M5" s="16"/>
      <c r="N5" s="16"/>
      <c r="O5" s="16"/>
    </row>
    <row r="6" spans="1:15">
      <c r="A6" t="s">
        <v>25</v>
      </c>
      <c r="B6" t="s">
        <v>24</v>
      </c>
      <c r="C6" t="s">
        <v>48</v>
      </c>
      <c r="D6" t="s">
        <v>49</v>
      </c>
      <c r="E6" t="s">
        <v>50</v>
      </c>
      <c r="F6">
        <v>9057465</v>
      </c>
      <c r="G6">
        <v>2019</v>
      </c>
      <c r="J6" s="14"/>
      <c r="L6" s="14"/>
      <c r="M6" s="16" t="str">
        <f>IF(Z3="","",Z3)</f>
        <v/>
      </c>
      <c r="O6" s="16"/>
    </row>
    <row r="7" spans="1:15">
      <c r="A7" t="s">
        <v>27</v>
      </c>
      <c r="B7" t="s">
        <v>26</v>
      </c>
      <c r="C7" t="s">
        <v>51</v>
      </c>
      <c r="D7" t="s">
        <v>45</v>
      </c>
      <c r="E7" t="s">
        <v>46</v>
      </c>
      <c r="F7">
        <v>84096</v>
      </c>
      <c r="G7">
        <v>2019</v>
      </c>
      <c r="J7" s="14"/>
      <c r="L7" s="14"/>
      <c r="M7" s="16"/>
      <c r="O7" s="16"/>
    </row>
    <row r="8" spans="1:15">
      <c r="A8" t="s">
        <v>21</v>
      </c>
      <c r="B8" t="s">
        <v>20</v>
      </c>
      <c r="C8" t="s">
        <v>44</v>
      </c>
      <c r="D8" t="s">
        <v>45</v>
      </c>
      <c r="E8" t="s">
        <v>46</v>
      </c>
      <c r="F8">
        <v>13784</v>
      </c>
      <c r="G8">
        <v>2020</v>
      </c>
      <c r="J8" s="14"/>
      <c r="L8" s="14"/>
      <c r="M8" s="16"/>
      <c r="O8" s="16"/>
    </row>
    <row r="9" spans="1:15">
      <c r="A9" t="s">
        <v>23</v>
      </c>
      <c r="B9" t="s">
        <v>22</v>
      </c>
      <c r="C9" t="s">
        <v>47</v>
      </c>
      <c r="D9" t="s">
        <v>45</v>
      </c>
      <c r="E9" t="s">
        <v>46</v>
      </c>
      <c r="F9">
        <v>9102</v>
      </c>
      <c r="G9">
        <v>2020</v>
      </c>
      <c r="J9" s="14"/>
      <c r="L9" s="14"/>
      <c r="O9" s="16"/>
    </row>
    <row r="10" spans="1:15">
      <c r="A10" t="s">
        <v>25</v>
      </c>
      <c r="B10" t="s">
        <v>24</v>
      </c>
      <c r="C10" t="s">
        <v>48</v>
      </c>
      <c r="D10" t="s">
        <v>49</v>
      </c>
      <c r="E10" t="s">
        <v>50</v>
      </c>
      <c r="F10">
        <v>5377949</v>
      </c>
      <c r="G10">
        <v>2020</v>
      </c>
      <c r="J10" s="14"/>
      <c r="L10" s="14"/>
      <c r="O10" s="16"/>
    </row>
    <row r="11" spans="1:15">
      <c r="A11" t="s">
        <v>27</v>
      </c>
      <c r="B11" t="s">
        <v>26</v>
      </c>
      <c r="C11" t="s">
        <v>51</v>
      </c>
      <c r="D11" t="s">
        <v>45</v>
      </c>
      <c r="E11" t="s">
        <v>46</v>
      </c>
      <c r="F11">
        <v>128087</v>
      </c>
      <c r="G11">
        <v>2020</v>
      </c>
      <c r="J11" s="14"/>
      <c r="L11" s="14"/>
      <c r="O11" s="16"/>
    </row>
    <row r="12" spans="1:12">
      <c r="A12" t="s">
        <v>21</v>
      </c>
      <c r="B12" t="s">
        <v>20</v>
      </c>
      <c r="C12" t="s">
        <v>44</v>
      </c>
      <c r="D12" t="s">
        <v>45</v>
      </c>
      <c r="E12" t="s">
        <v>46</v>
      </c>
      <c r="F12">
        <v>21176</v>
      </c>
      <c r="G12">
        <v>2021</v>
      </c>
      <c r="J12" s="14"/>
      <c r="L12" s="14"/>
    </row>
    <row r="13" spans="1:10">
      <c r="A13" t="s">
        <v>23</v>
      </c>
      <c r="B13" t="s">
        <v>22</v>
      </c>
      <c r="C13" t="s">
        <v>47</v>
      </c>
      <c r="D13" t="s">
        <v>45</v>
      </c>
      <c r="E13" t="s">
        <v>46</v>
      </c>
      <c r="F13">
        <v>13457</v>
      </c>
      <c r="G13">
        <v>2021</v>
      </c>
      <c r="J13" s="14" t="str">
        <f>IF(J11="","",J11)</f>
        <v/>
      </c>
    </row>
    <row r="14" spans="1:12">
      <c r="A14" t="s">
        <v>25</v>
      </c>
      <c r="B14" t="s">
        <v>24</v>
      </c>
      <c r="C14" t="s">
        <v>48</v>
      </c>
      <c r="D14" t="s">
        <v>49</v>
      </c>
      <c r="E14" t="s">
        <v>50</v>
      </c>
      <c r="F14">
        <v>12008376</v>
      </c>
      <c r="G14">
        <v>2021</v>
      </c>
      <c r="J14" s="14"/>
      <c r="L14" s="17"/>
    </row>
    <row r="15" spans="1:7">
      <c r="A15" t="s">
        <v>27</v>
      </c>
      <c r="B15" t="s">
        <v>26</v>
      </c>
      <c r="C15" t="s">
        <v>51</v>
      </c>
      <c r="D15" t="s">
        <v>45</v>
      </c>
      <c r="E15" t="s">
        <v>46</v>
      </c>
      <c r="F15">
        <v>225259</v>
      </c>
      <c r="G15">
        <v>2021</v>
      </c>
    </row>
    <row r="16" spans="1:7">
      <c r="A16" t="s">
        <v>21</v>
      </c>
      <c r="B16" t="s">
        <v>20</v>
      </c>
      <c r="C16" t="s">
        <v>44</v>
      </c>
      <c r="D16" t="s">
        <v>45</v>
      </c>
      <c r="E16" t="s">
        <v>46</v>
      </c>
      <c r="F16">
        <v>22861</v>
      </c>
      <c r="G16">
        <v>2022</v>
      </c>
    </row>
    <row r="17" spans="1:7">
      <c r="A17" t="s">
        <v>23</v>
      </c>
      <c r="B17" t="s">
        <v>22</v>
      </c>
      <c r="C17" t="s">
        <v>47</v>
      </c>
      <c r="D17" t="s">
        <v>45</v>
      </c>
      <c r="E17" t="s">
        <v>46</v>
      </c>
      <c r="F17">
        <v>14462</v>
      </c>
      <c r="G17">
        <v>2022</v>
      </c>
    </row>
    <row r="18" spans="1:7">
      <c r="A18" t="s">
        <v>25</v>
      </c>
      <c r="B18" t="s">
        <v>24</v>
      </c>
      <c r="C18" t="s">
        <v>48</v>
      </c>
      <c r="D18" t="s">
        <v>49</v>
      </c>
      <c r="E18" t="s">
        <v>50</v>
      </c>
      <c r="F18">
        <v>12595902</v>
      </c>
      <c r="G18">
        <v>2022</v>
      </c>
    </row>
    <row r="19" spans="1:7">
      <c r="A19" t="s">
        <v>27</v>
      </c>
      <c r="B19" t="s">
        <v>26</v>
      </c>
      <c r="C19" t="s">
        <v>51</v>
      </c>
      <c r="D19" t="s">
        <v>45</v>
      </c>
      <c r="E19" t="s">
        <v>46</v>
      </c>
      <c r="F19">
        <v>337064</v>
      </c>
      <c r="G19">
        <v>2022</v>
      </c>
    </row>
    <row r="20" spans="1:7">
      <c r="A20" t="s">
        <v>21</v>
      </c>
      <c r="B20" t="s">
        <v>20</v>
      </c>
      <c r="C20" t="s">
        <v>44</v>
      </c>
      <c r="D20" t="s">
        <v>45</v>
      </c>
      <c r="E20" t="s">
        <v>46</v>
      </c>
      <c r="F20">
        <v>19683</v>
      </c>
      <c r="G20">
        <v>2023</v>
      </c>
    </row>
    <row r="21" spans="1:7">
      <c r="A21" t="s">
        <v>23</v>
      </c>
      <c r="B21" t="s">
        <v>22</v>
      </c>
      <c r="C21" t="s">
        <v>47</v>
      </c>
      <c r="D21" t="s">
        <v>45</v>
      </c>
      <c r="E21" t="s">
        <v>46</v>
      </c>
      <c r="F21">
        <v>12268</v>
      </c>
      <c r="G21">
        <v>2023</v>
      </c>
    </row>
    <row r="22" spans="1:7">
      <c r="A22" t="s">
        <v>25</v>
      </c>
      <c r="B22" t="s">
        <v>24</v>
      </c>
      <c r="C22" t="s">
        <v>48</v>
      </c>
      <c r="D22" t="s">
        <v>49</v>
      </c>
      <c r="E22" t="s">
        <v>50</v>
      </c>
      <c r="F22">
        <v>16230970</v>
      </c>
      <c r="G22">
        <v>2023</v>
      </c>
    </row>
    <row r="23" spans="1:7">
      <c r="A23" t="s">
        <v>27</v>
      </c>
      <c r="B23" t="s">
        <v>26</v>
      </c>
      <c r="C23" t="s">
        <v>51</v>
      </c>
      <c r="D23" t="s">
        <v>45</v>
      </c>
      <c r="E23" t="s">
        <v>46</v>
      </c>
      <c r="F23">
        <v>333848</v>
      </c>
      <c r="G23">
        <v>2023</v>
      </c>
    </row>
    <row r="24" spans="1:7">
      <c r="A24" t="s">
        <v>21</v>
      </c>
      <c r="B24" t="s">
        <v>20</v>
      </c>
      <c r="C24" t="s">
        <v>44</v>
      </c>
      <c r="D24" t="s">
        <v>45</v>
      </c>
      <c r="E24" t="s">
        <v>46</v>
      </c>
      <c r="F24">
        <v>12659</v>
      </c>
      <c r="G24">
        <v>2018</v>
      </c>
    </row>
    <row r="25" spans="1:7">
      <c r="A25" t="s">
        <v>23</v>
      </c>
      <c r="B25" t="s">
        <v>22</v>
      </c>
      <c r="C25" t="s">
        <v>47</v>
      </c>
      <c r="D25" t="s">
        <v>45</v>
      </c>
      <c r="E25" t="s">
        <v>46</v>
      </c>
      <c r="F25">
        <v>10010</v>
      </c>
      <c r="G25">
        <v>2018</v>
      </c>
    </row>
    <row r="26" spans="1:7">
      <c r="A26" t="s">
        <v>25</v>
      </c>
      <c r="B26" t="s">
        <v>24</v>
      </c>
      <c r="C26" t="s">
        <v>48</v>
      </c>
      <c r="D26" t="s">
        <v>49</v>
      </c>
      <c r="E26" t="s">
        <v>50</v>
      </c>
      <c r="F26">
        <v>8489148</v>
      </c>
      <c r="G26">
        <v>2018</v>
      </c>
    </row>
    <row r="27" spans="1:7">
      <c r="A27" t="s">
        <v>27</v>
      </c>
      <c r="B27" t="s">
        <v>26</v>
      </c>
      <c r="C27" t="s">
        <v>51</v>
      </c>
      <c r="D27" t="s">
        <v>45</v>
      </c>
      <c r="E27" t="s">
        <v>46</v>
      </c>
      <c r="F27">
        <v>95068</v>
      </c>
      <c r="G27">
        <v>2018</v>
      </c>
    </row>
    <row r="28" spans="1:7">
      <c r="A28" t="s">
        <v>21</v>
      </c>
      <c r="B28" t="s">
        <v>20</v>
      </c>
      <c r="C28" t="s">
        <v>44</v>
      </c>
      <c r="D28" t="s">
        <v>45</v>
      </c>
      <c r="E28" t="s">
        <v>46</v>
      </c>
      <c r="F28">
        <v>13049</v>
      </c>
      <c r="G28">
        <v>2017</v>
      </c>
    </row>
    <row r="29" spans="1:7">
      <c r="A29" t="s">
        <v>23</v>
      </c>
      <c r="B29" t="s">
        <v>22</v>
      </c>
      <c r="C29" t="s">
        <v>47</v>
      </c>
      <c r="D29" t="s">
        <v>45</v>
      </c>
      <c r="E29" t="s">
        <v>46</v>
      </c>
      <c r="F29">
        <v>9576</v>
      </c>
      <c r="G29">
        <v>2017</v>
      </c>
    </row>
    <row r="30" spans="1:7">
      <c r="A30" t="s">
        <v>25</v>
      </c>
      <c r="B30" t="s">
        <v>24</v>
      </c>
      <c r="C30" t="s">
        <v>48</v>
      </c>
      <c r="D30" t="s">
        <v>49</v>
      </c>
      <c r="E30" t="s">
        <v>50</v>
      </c>
      <c r="F30">
        <v>1547805</v>
      </c>
      <c r="G30">
        <v>2017</v>
      </c>
    </row>
    <row r="31" spans="1:7">
      <c r="A31" t="s">
        <v>27</v>
      </c>
      <c r="B31" t="s">
        <v>26</v>
      </c>
      <c r="C31" t="s">
        <v>51</v>
      </c>
      <c r="D31" t="s">
        <v>45</v>
      </c>
      <c r="E31" t="s">
        <v>46</v>
      </c>
      <c r="F31">
        <v>50179</v>
      </c>
      <c r="G31">
        <v>2017</v>
      </c>
    </row>
    <row r="32" spans="1:7">
      <c r="A32" t="s">
        <v>21</v>
      </c>
      <c r="B32" t="s">
        <v>20</v>
      </c>
      <c r="C32" t="s">
        <v>44</v>
      </c>
      <c r="D32" t="s">
        <v>45</v>
      </c>
      <c r="E32" t="s">
        <v>46</v>
      </c>
      <c r="F32">
        <v>13530</v>
      </c>
      <c r="G32">
        <v>2016</v>
      </c>
    </row>
    <row r="33" spans="1:7">
      <c r="A33" t="s">
        <v>23</v>
      </c>
      <c r="B33" t="s">
        <v>22</v>
      </c>
      <c r="C33" t="s">
        <v>47</v>
      </c>
      <c r="D33" t="s">
        <v>45</v>
      </c>
      <c r="E33" t="s">
        <v>46</v>
      </c>
      <c r="F33">
        <v>11056</v>
      </c>
      <c r="G33">
        <v>2016</v>
      </c>
    </row>
    <row r="34" spans="1:7">
      <c r="A34" t="s">
        <v>25</v>
      </c>
      <c r="B34" t="s">
        <v>24</v>
      </c>
      <c r="C34" t="s">
        <v>48</v>
      </c>
      <c r="D34" t="s">
        <v>49</v>
      </c>
      <c r="E34" t="s">
        <v>50</v>
      </c>
      <c r="F34">
        <v>1502154</v>
      </c>
      <c r="G34">
        <v>2016</v>
      </c>
    </row>
    <row r="35" spans="1:7">
      <c r="A35" t="s">
        <v>27</v>
      </c>
      <c r="B35" t="s">
        <v>26</v>
      </c>
      <c r="C35" t="s">
        <v>51</v>
      </c>
      <c r="D35" t="s">
        <v>45</v>
      </c>
      <c r="E35" t="s">
        <v>46</v>
      </c>
      <c r="F35">
        <v>49020</v>
      </c>
      <c r="G35">
        <v>2016</v>
      </c>
    </row>
    <row r="36" spans="1:7">
      <c r="A36" t="s">
        <v>21</v>
      </c>
      <c r="B36" t="s">
        <v>20</v>
      </c>
      <c r="C36" t="s">
        <v>44</v>
      </c>
      <c r="D36" t="s">
        <v>45</v>
      </c>
      <c r="E36" t="s">
        <v>46</v>
      </c>
      <c r="F36">
        <v>13422</v>
      </c>
      <c r="G36">
        <v>2015</v>
      </c>
    </row>
    <row r="37" spans="1:7">
      <c r="A37" t="s">
        <v>23</v>
      </c>
      <c r="B37" t="s">
        <v>22</v>
      </c>
      <c r="C37" t="s">
        <v>47</v>
      </c>
      <c r="D37" t="s">
        <v>45</v>
      </c>
      <c r="E37" t="s">
        <v>46</v>
      </c>
      <c r="F37">
        <v>10203</v>
      </c>
      <c r="G37">
        <v>2015</v>
      </c>
    </row>
    <row r="38" spans="1:7">
      <c r="A38" t="s">
        <v>25</v>
      </c>
      <c r="B38" t="s">
        <v>24</v>
      </c>
      <c r="C38" t="s">
        <v>48</v>
      </c>
      <c r="D38" t="s">
        <v>49</v>
      </c>
      <c r="E38" t="s">
        <v>50</v>
      </c>
      <c r="F38">
        <v>1169818</v>
      </c>
      <c r="G38">
        <v>2015</v>
      </c>
    </row>
    <row r="39" spans="1:7">
      <c r="A39" t="s">
        <v>27</v>
      </c>
      <c r="B39" t="s">
        <v>26</v>
      </c>
      <c r="C39" t="s">
        <v>51</v>
      </c>
      <c r="D39" t="s">
        <v>45</v>
      </c>
      <c r="E39" t="s">
        <v>46</v>
      </c>
      <c r="F39">
        <v>37956</v>
      </c>
      <c r="G39">
        <v>2015</v>
      </c>
    </row>
    <row r="40" spans="1:7">
      <c r="A40" t="s">
        <v>21</v>
      </c>
      <c r="B40" t="s">
        <v>20</v>
      </c>
      <c r="C40" t="s">
        <v>44</v>
      </c>
      <c r="D40" t="s">
        <v>45</v>
      </c>
      <c r="E40" t="s">
        <v>46</v>
      </c>
      <c r="F40">
        <v>15387</v>
      </c>
      <c r="G40">
        <v>2014</v>
      </c>
    </row>
    <row r="41" spans="1:7">
      <c r="A41" t="s">
        <v>23</v>
      </c>
      <c r="B41" t="s">
        <v>22</v>
      </c>
      <c r="C41" t="s">
        <v>47</v>
      </c>
      <c r="D41" t="s">
        <v>45</v>
      </c>
      <c r="E41" t="s">
        <v>46</v>
      </c>
      <c r="F41">
        <v>11965</v>
      </c>
      <c r="G41">
        <v>2014</v>
      </c>
    </row>
    <row r="42" spans="1:7">
      <c r="A42" t="s">
        <v>25</v>
      </c>
      <c r="B42" t="s">
        <v>24</v>
      </c>
      <c r="C42" t="s">
        <v>48</v>
      </c>
      <c r="D42" t="s">
        <v>49</v>
      </c>
      <c r="E42" t="s">
        <v>50</v>
      </c>
      <c r="F42">
        <v>6162193</v>
      </c>
      <c r="G42">
        <v>2014</v>
      </c>
    </row>
    <row r="43" spans="1:7">
      <c r="A43" t="s">
        <v>27</v>
      </c>
      <c r="B43" t="s">
        <v>26</v>
      </c>
      <c r="C43" t="s">
        <v>51</v>
      </c>
      <c r="D43" t="s">
        <v>45</v>
      </c>
      <c r="E43" t="s">
        <v>46</v>
      </c>
      <c r="F43">
        <v>90028</v>
      </c>
      <c r="G43">
        <v>2014</v>
      </c>
    </row>
    <row r="44" spans="1:7">
      <c r="A44" t="s">
        <v>21</v>
      </c>
      <c r="B44" t="s">
        <v>20</v>
      </c>
      <c r="C44" t="s">
        <v>44</v>
      </c>
      <c r="D44" t="s">
        <v>45</v>
      </c>
      <c r="E44" t="s">
        <v>46</v>
      </c>
      <c r="F44">
        <v>15822</v>
      </c>
      <c r="G44">
        <v>2013</v>
      </c>
    </row>
    <row r="45" spans="1:7">
      <c r="A45" t="s">
        <v>23</v>
      </c>
      <c r="B45" t="s">
        <v>22</v>
      </c>
      <c r="C45" t="s">
        <v>47</v>
      </c>
      <c r="D45" t="s">
        <v>45</v>
      </c>
      <c r="E45" t="s">
        <v>46</v>
      </c>
      <c r="F45">
        <v>11496</v>
      </c>
      <c r="G45">
        <v>2013</v>
      </c>
    </row>
    <row r="46" spans="1:7">
      <c r="A46" t="s">
        <v>25</v>
      </c>
      <c r="B46" t="s">
        <v>24</v>
      </c>
      <c r="C46" t="s">
        <v>48</v>
      </c>
      <c r="D46" t="s">
        <v>49</v>
      </c>
      <c r="E46" t="s">
        <v>50</v>
      </c>
      <c r="F46">
        <v>3435519</v>
      </c>
      <c r="G46">
        <v>2013</v>
      </c>
    </row>
    <row r="47" spans="1:7">
      <c r="A47" t="s">
        <v>27</v>
      </c>
      <c r="B47" t="s">
        <v>26</v>
      </c>
      <c r="C47" t="s">
        <v>51</v>
      </c>
      <c r="D47" t="s">
        <v>45</v>
      </c>
      <c r="E47" t="s">
        <v>46</v>
      </c>
      <c r="F47">
        <v>103573</v>
      </c>
      <c r="G47">
        <v>2013</v>
      </c>
    </row>
    <row r="48" spans="1:7">
      <c r="A48" t="s">
        <v>21</v>
      </c>
      <c r="B48" t="s">
        <v>20</v>
      </c>
      <c r="C48" t="s">
        <v>44</v>
      </c>
      <c r="D48" t="s">
        <v>45</v>
      </c>
      <c r="E48" t="s">
        <v>46</v>
      </c>
      <c r="F48">
        <v>16589</v>
      </c>
      <c r="G48">
        <v>2012</v>
      </c>
    </row>
    <row r="49" spans="1:7">
      <c r="A49" t="s">
        <v>23</v>
      </c>
      <c r="B49" t="s">
        <v>22</v>
      </c>
      <c r="C49" t="s">
        <v>47</v>
      </c>
      <c r="D49" t="s">
        <v>45</v>
      </c>
      <c r="E49" t="s">
        <v>46</v>
      </c>
      <c r="F49">
        <v>12412</v>
      </c>
      <c r="G49">
        <v>2012</v>
      </c>
    </row>
    <row r="50" spans="1:7">
      <c r="A50" t="s">
        <v>25</v>
      </c>
      <c r="B50" t="s">
        <v>24</v>
      </c>
      <c r="C50" t="s">
        <v>48</v>
      </c>
      <c r="D50" t="s">
        <v>49</v>
      </c>
      <c r="E50" t="s">
        <v>50</v>
      </c>
      <c r="F50">
        <v>4800000</v>
      </c>
      <c r="G50">
        <v>2012</v>
      </c>
    </row>
    <row r="51" spans="1:7">
      <c r="A51" t="s">
        <v>27</v>
      </c>
      <c r="B51" t="s">
        <v>26</v>
      </c>
      <c r="C51" t="s">
        <v>51</v>
      </c>
      <c r="D51" t="s">
        <v>45</v>
      </c>
      <c r="E51" t="s">
        <v>46</v>
      </c>
      <c r="F51">
        <v>115899</v>
      </c>
      <c r="G51">
        <v>2012</v>
      </c>
    </row>
    <row r="52" spans="1:7">
      <c r="A52" t="s">
        <v>21</v>
      </c>
      <c r="B52" t="s">
        <v>20</v>
      </c>
      <c r="C52" t="s">
        <v>44</v>
      </c>
      <c r="D52" t="s">
        <v>45</v>
      </c>
      <c r="E52" t="s">
        <v>46</v>
      </c>
      <c r="F52">
        <v>16768</v>
      </c>
      <c r="G52">
        <v>2011</v>
      </c>
    </row>
    <row r="53" spans="1:7">
      <c r="A53" t="s">
        <v>23</v>
      </c>
      <c r="B53" t="s">
        <v>22</v>
      </c>
      <c r="C53" t="s">
        <v>47</v>
      </c>
      <c r="D53" t="s">
        <v>45</v>
      </c>
      <c r="E53" t="s">
        <v>46</v>
      </c>
      <c r="F53">
        <v>12316</v>
      </c>
      <c r="G53">
        <v>2011</v>
      </c>
    </row>
    <row r="54" spans="1:7">
      <c r="A54" t="s">
        <v>25</v>
      </c>
      <c r="B54" t="s">
        <v>24</v>
      </c>
      <c r="C54" t="s">
        <v>48</v>
      </c>
      <c r="D54" t="s">
        <v>49</v>
      </c>
      <c r="E54" t="s">
        <v>50</v>
      </c>
      <c r="F54"/>
      <c r="G54">
        <v>2011</v>
      </c>
    </row>
    <row r="55" spans="1:7">
      <c r="A55" t="s">
        <v>27</v>
      </c>
      <c r="B55" t="s">
        <v>26</v>
      </c>
      <c r="C55" t="s">
        <v>51</v>
      </c>
      <c r="D55" t="s">
        <v>45</v>
      </c>
      <c r="E55" t="s">
        <v>46</v>
      </c>
      <c r="F55"/>
      <c r="G55">
        <v>2011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opLeftCell="D1" workbookViewId="0">
      <selection activeCell="I5" sqref="I5"/>
    </sheetView>
  </sheetViews>
  <sheetFormatPr defaultColWidth="9" defaultRowHeight="14.25" outlineLevelRow="4" outlineLevelCol="7"/>
  <cols>
    <col min="1" max="14" width="24.4" customWidth="1"/>
    <col min="15" max="16" width="15" customWidth="1"/>
    <col min="17" max="17" width="8.8" customWidth="1"/>
    <col min="18" max="18" width="11.4" customWidth="1"/>
    <col min="19" max="19" width="12" customWidth="1"/>
    <col min="20" max="20" width="9.9" customWidth="1"/>
    <col min="21" max="21" width="7.4" customWidth="1"/>
  </cols>
  <sheetData>
    <row r="1" ht="15" spans="1:2">
      <c r="A1" s="11" t="s">
        <v>52</v>
      </c>
      <c r="B1" s="12">
        <f>DATE(B2,B3,1)</f>
        <v>44927</v>
      </c>
    </row>
    <row r="2" ht="15" spans="1:4">
      <c r="A2" s="11" t="s">
        <v>16</v>
      </c>
      <c r="B2">
        <v>2023</v>
      </c>
      <c r="D2" s="12"/>
    </row>
    <row r="3" ht="15" spans="1:2">
      <c r="A3" s="11" t="s">
        <v>53</v>
      </c>
      <c r="B3">
        <v>1</v>
      </c>
    </row>
    <row r="4" s="10" customFormat="1" ht="18" customHeight="1" spans="1:8">
      <c r="A4" s="13" t="s">
        <v>28</v>
      </c>
      <c r="B4" s="13" t="s">
        <v>29</v>
      </c>
      <c r="C4" s="13" t="s">
        <v>30</v>
      </c>
      <c r="D4" s="13" t="s">
        <v>31</v>
      </c>
      <c r="E4" s="13" t="s">
        <v>32</v>
      </c>
      <c r="F4" s="13" t="s">
        <v>33</v>
      </c>
      <c r="G4" s="13" t="s">
        <v>34</v>
      </c>
      <c r="H4" s="13" t="s">
        <v>35</v>
      </c>
    </row>
    <row r="5" s="10" customFormat="1" ht="18" customHeight="1" spans="1:8">
      <c r="A5" s="13" t="s">
        <v>36</v>
      </c>
      <c r="B5" s="13" t="s">
        <v>37</v>
      </c>
      <c r="C5" s="13" t="s">
        <v>38</v>
      </c>
      <c r="D5" s="13" t="s">
        <v>39</v>
      </c>
      <c r="E5" s="13" t="s">
        <v>40</v>
      </c>
      <c r="F5" s="13" t="s">
        <v>41</v>
      </c>
      <c r="G5" s="13" t="s">
        <v>42</v>
      </c>
      <c r="H5" s="13" t="s">
        <v>43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2" workbookViewId="0">
      <selection activeCell="C20" sqref="C20"/>
    </sheetView>
  </sheetViews>
  <sheetFormatPr defaultColWidth="8.9" defaultRowHeight="14.25" outlineLevelCol="2"/>
  <cols>
    <col min="1" max="1" width="90" style="1" customWidth="1"/>
    <col min="2" max="2" width="2.6" style="2" customWidth="1"/>
    <col min="3" max="3" width="87.3" style="3" customWidth="1"/>
    <col min="4" max="16384" width="8.9" style="4"/>
  </cols>
  <sheetData>
    <row r="2" ht="17.25" spans="1:3">
      <c r="A2" s="5" t="s">
        <v>54</v>
      </c>
      <c r="C2" s="6" t="s">
        <v>55</v>
      </c>
    </row>
    <row r="3" spans="1:1">
      <c r="A3" s="7"/>
    </row>
    <row r="4" ht="28.5" spans="1:3">
      <c r="A4" s="7" t="s">
        <v>56</v>
      </c>
      <c r="C4" s="3" t="s">
        <v>57</v>
      </c>
    </row>
    <row r="6" ht="17.25" spans="1:3">
      <c r="A6" s="5" t="s">
        <v>58</v>
      </c>
      <c r="C6" s="6" t="s">
        <v>59</v>
      </c>
    </row>
    <row r="7" spans="1:1">
      <c r="A7" s="7"/>
    </row>
    <row r="8" ht="30" spans="1:3">
      <c r="A8" s="8" t="s">
        <v>60</v>
      </c>
      <c r="C8" s="3" t="s">
        <v>61</v>
      </c>
    </row>
    <row r="10" ht="17.25" spans="1:3">
      <c r="A10" s="5" t="s">
        <v>62</v>
      </c>
      <c r="C10" s="6" t="s">
        <v>63</v>
      </c>
    </row>
    <row r="11" spans="1:1">
      <c r="A11" s="7"/>
    </row>
    <row r="12" spans="1:3">
      <c r="A12" s="7" t="s">
        <v>64</v>
      </c>
      <c r="C12" s="3" t="s">
        <v>65</v>
      </c>
    </row>
    <row r="13" ht="15" spans="1:3">
      <c r="A13" s="8" t="s">
        <v>66</v>
      </c>
      <c r="C13" s="9" t="s">
        <v>67</v>
      </c>
    </row>
    <row r="14" ht="29.25" spans="1:3">
      <c r="A14" s="8" t="s">
        <v>68</v>
      </c>
      <c r="C14" s="9" t="s">
        <v>69</v>
      </c>
    </row>
    <row r="15" ht="15" spans="1:3">
      <c r="A15" s="8" t="s">
        <v>70</v>
      </c>
      <c r="C15" s="9" t="s">
        <v>71</v>
      </c>
    </row>
    <row r="16" ht="15" spans="1:3">
      <c r="A16" s="8" t="s">
        <v>72</v>
      </c>
      <c r="C16" s="9" t="s">
        <v>73</v>
      </c>
    </row>
    <row r="17" ht="15" spans="1:3">
      <c r="A17" s="8" t="s">
        <v>74</v>
      </c>
      <c r="C17" s="9" t="s">
        <v>75</v>
      </c>
    </row>
    <row r="18" spans="1:3">
      <c r="A18" s="7" t="s">
        <v>76</v>
      </c>
      <c r="C18" s="3" t="s">
        <v>77</v>
      </c>
    </row>
    <row r="19" spans="1:3">
      <c r="A19" s="7" t="s">
        <v>78</v>
      </c>
      <c r="C19" s="3" t="s">
        <v>79</v>
      </c>
    </row>
    <row r="20" ht="29.25" spans="1:3">
      <c r="A20" s="8" t="s">
        <v>80</v>
      </c>
      <c r="C20" s="9" t="s">
        <v>81</v>
      </c>
    </row>
    <row r="22" ht="17.25" spans="1:3">
      <c r="A22" s="5" t="s">
        <v>82</v>
      </c>
      <c r="C22" s="6" t="s">
        <v>83</v>
      </c>
    </row>
    <row r="23" spans="1:1">
      <c r="A23" s="7"/>
    </row>
    <row r="24" ht="29.25" spans="1:3">
      <c r="A24" s="7" t="s">
        <v>84</v>
      </c>
      <c r="C24" s="3" t="s">
        <v>85</v>
      </c>
    </row>
    <row r="25" ht="30" spans="1:3">
      <c r="A25" s="7" t="s">
        <v>86</v>
      </c>
      <c r="C25" s="3" t="s">
        <v>87</v>
      </c>
    </row>
    <row r="27" ht="17.25" spans="1:3">
      <c r="A27" s="5" t="s">
        <v>88</v>
      </c>
      <c r="C27" s="6" t="s">
        <v>89</v>
      </c>
    </row>
    <row r="28" spans="1:1">
      <c r="A28" s="7"/>
    </row>
    <row r="29" ht="15" spans="1:3">
      <c r="A29" s="7" t="s">
        <v>90</v>
      </c>
      <c r="C29" s="3" t="s">
        <v>91</v>
      </c>
    </row>
    <row r="30" spans="1:3">
      <c r="A30" s="7" t="s">
        <v>92</v>
      </c>
      <c r="C30" s="3" t="s">
        <v>93</v>
      </c>
    </row>
    <row r="32" ht="17.25" spans="1:3">
      <c r="A32" s="5" t="s">
        <v>94</v>
      </c>
      <c r="C32" s="6" t="s">
        <v>95</v>
      </c>
    </row>
    <row r="33" spans="1:1">
      <c r="A33" s="7"/>
    </row>
    <row r="34" ht="15" spans="1:3">
      <c r="A34" s="8" t="s">
        <v>96</v>
      </c>
      <c r="C34" s="3" t="s">
        <v>97</v>
      </c>
    </row>
    <row r="36" ht="17.25" spans="1:3">
      <c r="A36" s="5" t="s">
        <v>98</v>
      </c>
      <c r="C36" s="6" t="s">
        <v>99</v>
      </c>
    </row>
    <row r="37" spans="1:1">
      <c r="A37" s="7"/>
    </row>
    <row r="38" spans="1:3">
      <c r="A38" s="7" t="s">
        <v>100</v>
      </c>
      <c r="C38" s="3" t="s">
        <v>101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9F09CCB-DBCA-4583-8595-6CE63AF333C7}">
  <ds:schemaRefs/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2024-12-31T10:03:47Z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A65F1C1599D74382A6F890F8D06D42B7_13</vt:lpwstr>
  </property>
  <property fmtid="{D5CDD505-2E9C-101B-9397-08002B2CF9AE}" pid="5" name="KSOProductBuildVer">
    <vt:lpwstr>1033-12.2.0.19307</vt:lpwstr>
  </property>
</Properties>
</file>