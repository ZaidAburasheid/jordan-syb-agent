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Tabels\His\19\"/>
    </mc:Choice>
  </mc:AlternateContent>
  <bookViews>
    <workbookView xWindow="0" yWindow="0"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18022" localSheetId="1">'Source Table'!$G$7</definedName>
    <definedName name="_Toc175818030" localSheetId="1">'Source Table'!$G$8</definedName>
    <definedName name="_Toc175818038" localSheetId="2">'Relational DB'!$L$4</definedName>
    <definedName name="_Toc175818039" localSheetId="2">'Relational DB'!$L$29</definedName>
    <definedName name="_Toc175818040" localSheetId="2">'Relational DB'!$L$54</definedName>
    <definedName name="_Toc175818041" localSheetId="2">'Relational DB'!$L$79</definedName>
    <definedName name="_Toc175818042" localSheetId="2">'Relational DB'!$L$104</definedName>
    <definedName name="_Toc175818043" localSheetId="2">'Relational DB'!$L$129</definedName>
    <definedName name="_Toc175818044" localSheetId="2">'Relational DB'!$L$154</definedName>
    <definedName name="_Toc175818048" localSheetId="2">'Relational DB'!$L$5</definedName>
    <definedName name="_Toc175818049" localSheetId="2">'Relational DB'!$L$30</definedName>
    <definedName name="_Toc175818050" localSheetId="2">'Relational DB'!$L$55</definedName>
    <definedName name="_Toc175818051" localSheetId="2">'Relational DB'!$L$80</definedName>
    <definedName name="_Toc175818052" localSheetId="2">'Relational DB'!$L$105</definedName>
    <definedName name="_Toc175818053" localSheetId="2">'Relational DB'!$L$130</definedName>
    <definedName name="_Toc175818054" localSheetId="2">'Relational DB'!$L$155</definedName>
    <definedName name="_Toc175818058" localSheetId="2">'Relational DB'!$L$6</definedName>
    <definedName name="_Toc175818059" localSheetId="2">'Relational DB'!$L$31</definedName>
    <definedName name="_Toc175818060" localSheetId="2">'Relational DB'!$L$56</definedName>
    <definedName name="_Toc175818061" localSheetId="2">'Relational DB'!$L$81</definedName>
    <definedName name="_Toc175818062" localSheetId="2">'Relational DB'!$L$106</definedName>
    <definedName name="_Toc175818063" localSheetId="2">'Relational DB'!$L$131</definedName>
    <definedName name="_Toc175818064" localSheetId="2">'Relational DB'!$L$156</definedName>
    <definedName name="_Toc175818068" localSheetId="2">'Relational DB'!$L$7</definedName>
    <definedName name="_Toc175818069" localSheetId="2">'Relational DB'!$L$32</definedName>
    <definedName name="_Toc175818070" localSheetId="2">'Relational DB'!$L$57</definedName>
    <definedName name="_Toc175818071" localSheetId="2">'Relational DB'!$L$82</definedName>
    <definedName name="_Toc175818072" localSheetId="2">'Relational DB'!$L$107</definedName>
    <definedName name="_Toc175818073" localSheetId="2">'Relational DB'!$L$132</definedName>
    <definedName name="_Toc175818074" localSheetId="2">'Relational DB'!$L$157</definedName>
    <definedName name="_Toc175818078" localSheetId="2">'Relational DB'!$L$8</definedName>
    <definedName name="_Toc175818079" localSheetId="2">'Relational DB'!$L$33</definedName>
    <definedName name="_Toc175818080" localSheetId="2">'Relational DB'!$L$58</definedName>
    <definedName name="_Toc175818081" localSheetId="2">'Relational DB'!$L$83</definedName>
    <definedName name="_Toc175818082" localSheetId="2">'Relational DB'!$L$108</definedName>
    <definedName name="_Toc175818083" localSheetId="2">'Relational DB'!$L$133</definedName>
    <definedName name="_Toc175818084" localSheetId="2">'Relational DB'!$L$158</definedName>
    <definedName name="_Toc175818088" localSheetId="2">'Relational DB'!$L$9</definedName>
    <definedName name="_Toc175818089" localSheetId="2">'Relational DB'!$L$34</definedName>
    <definedName name="_Toc175818090" localSheetId="2">'Relational DB'!$L$59</definedName>
    <definedName name="_Toc175818091" localSheetId="2">'Relational DB'!$L$84</definedName>
    <definedName name="_Toc175818092" localSheetId="2">'Relational DB'!$L$109</definedName>
    <definedName name="_Toc175818093" localSheetId="2">'Relational DB'!$L$134</definedName>
    <definedName name="_Toc175818094" localSheetId="2">'Relational DB'!$L$159</definedName>
    <definedName name="_Toc175818098" localSheetId="2">'Relational DB'!$L$10</definedName>
    <definedName name="_Toc175818099" localSheetId="2">'Relational DB'!$L$35</definedName>
    <definedName name="_Toc175818100" localSheetId="2">'Relational DB'!$L$60</definedName>
    <definedName name="_Toc175818101" localSheetId="2">'Relational DB'!$L$85</definedName>
    <definedName name="_Toc175818102" localSheetId="2">'Relational DB'!$L$110</definedName>
    <definedName name="_Toc175818103" localSheetId="2">'Relational DB'!$L$135</definedName>
    <definedName name="_Toc175818104" localSheetId="2">'Relational DB'!$L$160</definedName>
    <definedName name="_Toc175818108" localSheetId="2">'Relational DB'!$L$11</definedName>
    <definedName name="_Toc175818109" localSheetId="2">'Relational DB'!$L$36</definedName>
    <definedName name="_Toc175818110" localSheetId="2">'Relational DB'!$L$61</definedName>
    <definedName name="_Toc175818111" localSheetId="2">'Relational DB'!$L$86</definedName>
    <definedName name="_Toc175818112" localSheetId="2">'Relational DB'!$L$111</definedName>
    <definedName name="_Toc175818113" localSheetId="2">'Relational DB'!$L$136</definedName>
    <definedName name="_Toc175818114" localSheetId="2">'Relational DB'!$L$161</definedName>
    <definedName name="_Toc175818118" localSheetId="2">'Relational DB'!$L$12</definedName>
    <definedName name="_Toc175818119" localSheetId="2">'Relational DB'!$L$37</definedName>
    <definedName name="_Toc175818120" localSheetId="2">'Relational DB'!$L$62</definedName>
    <definedName name="_Toc175818121" localSheetId="2">'Relational DB'!$L$87</definedName>
    <definedName name="_Toc175818122" localSheetId="2">'Relational DB'!$L$112</definedName>
    <definedName name="_Toc175818123" localSheetId="2">'Relational DB'!$L$137</definedName>
    <definedName name="_Toc175818124" localSheetId="2">'Relational DB'!$L$162</definedName>
    <definedName name="_Toc175818128" localSheetId="2">'Relational DB'!$L$13</definedName>
    <definedName name="_Toc175818129" localSheetId="2">'Relational DB'!$L$38</definedName>
    <definedName name="_Toc175818130" localSheetId="2">'Relational DB'!$L$63</definedName>
    <definedName name="_Toc175818131" localSheetId="2">'Relational DB'!$L$88</definedName>
    <definedName name="_Toc175818132" localSheetId="2">'Relational DB'!$L$113</definedName>
    <definedName name="_Toc175818133" localSheetId="2">'Relational DB'!$L$138</definedName>
    <definedName name="_Toc175818134" localSheetId="2">'Relational DB'!$L$163</definedName>
    <definedName name="_Toc175818138" localSheetId="2">'Relational DB'!$L$14</definedName>
    <definedName name="_Toc175818139" localSheetId="2">'Relational DB'!$L$39</definedName>
    <definedName name="_Toc175818140" localSheetId="2">'Relational DB'!$L$64</definedName>
    <definedName name="_Toc175818141" localSheetId="2">'Relational DB'!$L$89</definedName>
    <definedName name="_Toc175818142" localSheetId="2">'Relational DB'!$L$114</definedName>
    <definedName name="_Toc175818143" localSheetId="2">'Relational DB'!$L$139</definedName>
    <definedName name="_Toc175818144" localSheetId="2">'Relational DB'!$L$164</definedName>
    <definedName name="_Toc175818148" localSheetId="2">'Relational DB'!$L$15</definedName>
    <definedName name="_Toc175818149" localSheetId="2">'Relational DB'!$L$40</definedName>
    <definedName name="_Toc175818150" localSheetId="2">'Relational DB'!$L$65</definedName>
    <definedName name="_Toc175818151" localSheetId="2">'Relational DB'!$L$90</definedName>
    <definedName name="_Toc175818152" localSheetId="2">'Relational DB'!$L$115</definedName>
    <definedName name="_Toc175818153" localSheetId="2">'Relational DB'!$L$140</definedName>
    <definedName name="_Toc175818154" localSheetId="2">'Relational DB'!$L$165</definedName>
    <definedName name="_Toc175818158" localSheetId="2">'Relational DB'!$L$16</definedName>
    <definedName name="_Toc175818159" localSheetId="2">'Relational DB'!$L$41</definedName>
    <definedName name="_Toc175818160" localSheetId="2">'Relational DB'!$L$66</definedName>
    <definedName name="_Toc175818161" localSheetId="2">'Relational DB'!$L$91</definedName>
    <definedName name="_Toc175818162" localSheetId="2">'Relational DB'!$L$116</definedName>
    <definedName name="_Toc175818163" localSheetId="2">'Relational DB'!$L$141</definedName>
    <definedName name="_Toc175818164" localSheetId="2">'Relational DB'!$L$166</definedName>
    <definedName name="_Toc175818168" localSheetId="2">'Relational DB'!$L$17</definedName>
    <definedName name="_Toc175818169" localSheetId="2">'Relational DB'!$L$42</definedName>
    <definedName name="_Toc175818170" localSheetId="2">'Relational DB'!$L$67</definedName>
    <definedName name="_Toc175818171" localSheetId="2">'Relational DB'!$L$92</definedName>
    <definedName name="_Toc175818172" localSheetId="2">'Relational DB'!$L$117</definedName>
    <definedName name="_Toc175818173" localSheetId="2">'Relational DB'!$L$142</definedName>
    <definedName name="_Toc175818174" localSheetId="2">'Relational DB'!$L$167</definedName>
    <definedName name="_Toc175818178" localSheetId="2">'Relational DB'!$L$18</definedName>
    <definedName name="_Toc175818179" localSheetId="2">'Relational DB'!$L$43</definedName>
    <definedName name="_Toc175818180" localSheetId="2">'Relational DB'!$L$68</definedName>
    <definedName name="_Toc175818181" localSheetId="2">'Relational DB'!$L$93</definedName>
    <definedName name="_Toc175818182" localSheetId="2">'Relational DB'!$L$118</definedName>
    <definedName name="_Toc175818183" localSheetId="2">'Relational DB'!$L$143</definedName>
    <definedName name="_Toc175818184" localSheetId="2">'Relational DB'!$L$168</definedName>
    <definedName name="_Toc175818188" localSheetId="2">'Relational DB'!$L$19</definedName>
    <definedName name="_Toc175818189" localSheetId="2">'Relational DB'!$L$44</definedName>
    <definedName name="_Toc175818190" localSheetId="2">'Relational DB'!$L$69</definedName>
    <definedName name="_Toc175818191" localSheetId="2">'Relational DB'!$L$94</definedName>
    <definedName name="_Toc175818192" localSheetId="2">'Relational DB'!$L$119</definedName>
    <definedName name="_Toc175818193" localSheetId="2">'Relational DB'!$L$144</definedName>
    <definedName name="_Toc175818194" localSheetId="2">'Relational DB'!$L$169</definedName>
    <definedName name="_Toc175818198" localSheetId="2">'Relational DB'!$L$20</definedName>
    <definedName name="_Toc175818199" localSheetId="2">'Relational DB'!$L$45</definedName>
    <definedName name="_Toc175818200" localSheetId="2">'Relational DB'!$L$70</definedName>
    <definedName name="_Toc175818201" localSheetId="2">'Relational DB'!$L$95</definedName>
    <definedName name="_Toc175818202" localSheetId="2">'Relational DB'!$L$120</definedName>
    <definedName name="_Toc175818203" localSheetId="2">'Relational DB'!$L$145</definedName>
    <definedName name="_Toc175818204" localSheetId="2">'Relational DB'!$L$170</definedName>
    <definedName name="_Toc175818208" localSheetId="2">'Relational DB'!$L$21</definedName>
    <definedName name="_Toc175818209" localSheetId="2">'Relational DB'!$L$46</definedName>
    <definedName name="_Toc175818210" localSheetId="2">'Relational DB'!$L$71</definedName>
    <definedName name="_Toc175818211" localSheetId="2">'Relational DB'!$L$96</definedName>
    <definedName name="_Toc175818212" localSheetId="2">'Relational DB'!$L$121</definedName>
    <definedName name="_Toc175818213" localSheetId="2">'Relational DB'!$L$146</definedName>
    <definedName name="_Toc175818214" localSheetId="2">'Relational DB'!$L$171</definedName>
    <definedName name="_Toc175818218" localSheetId="2">'Relational DB'!$L$22</definedName>
    <definedName name="_Toc175818219" localSheetId="2">'Relational DB'!$L$47</definedName>
    <definedName name="_Toc175818220" localSheetId="2">'Relational DB'!$L$72</definedName>
    <definedName name="_Toc175818221" localSheetId="2">'Relational DB'!$L$97</definedName>
    <definedName name="_Toc175818222" localSheetId="2">'Relational DB'!$L$122</definedName>
    <definedName name="_Toc175818223" localSheetId="2">'Relational DB'!$L$147</definedName>
    <definedName name="_Toc175818224" localSheetId="2">'Relational DB'!$L$172</definedName>
    <definedName name="_Toc175818228" localSheetId="2">'Relational DB'!$L$23</definedName>
    <definedName name="_Toc175818229" localSheetId="2">'Relational DB'!$L$48</definedName>
    <definedName name="_Toc175818230" localSheetId="2">'Relational DB'!$L$73</definedName>
    <definedName name="_Toc175818231" localSheetId="2">'Relational DB'!$L$98</definedName>
    <definedName name="_Toc175818232" localSheetId="2">'Relational DB'!$L$123</definedName>
    <definedName name="_Toc175818233" localSheetId="2">'Relational DB'!$L$148</definedName>
    <definedName name="_Toc175818234" localSheetId="2">'Relational DB'!$L$173</definedName>
    <definedName name="_Toc175818238" localSheetId="2">'Relational DB'!$L$24</definedName>
    <definedName name="_Toc175818239" localSheetId="2">'Relational DB'!$L$49</definedName>
    <definedName name="_Toc175818240" localSheetId="2">'Relational DB'!$L$74</definedName>
    <definedName name="_Toc175818241" localSheetId="2">'Relational DB'!$L$99</definedName>
    <definedName name="_Toc175818242" localSheetId="2">'Relational DB'!$L$124</definedName>
    <definedName name="_Toc175818243" localSheetId="2">'Relational DB'!$L$149</definedName>
    <definedName name="_Toc175818244" localSheetId="2">'Relational DB'!$L$174</definedName>
    <definedName name="_Toc175818248" localSheetId="2">'Relational DB'!$L$25</definedName>
    <definedName name="_Toc175818249" localSheetId="2">'Relational DB'!$L$50</definedName>
    <definedName name="_Toc175818250" localSheetId="2">'Relational DB'!$L$75</definedName>
    <definedName name="_Toc175818251" localSheetId="2">'Relational DB'!$L$100</definedName>
    <definedName name="_Toc175818252" localSheetId="2">'Relational DB'!$L$125</definedName>
    <definedName name="_Toc175818253" localSheetId="2">'Relational DB'!$L$150</definedName>
    <definedName name="_Toc175818254" localSheetId="2">'Relational DB'!$L$175</definedName>
    <definedName name="_Toc175818258" localSheetId="2">'Relational DB'!$L$26</definedName>
    <definedName name="_Toc175818259" localSheetId="2">'Relational DB'!$L$51</definedName>
    <definedName name="_Toc175818260" localSheetId="2">'Relational DB'!$L$76</definedName>
    <definedName name="_Toc175818261" localSheetId="2">'Relational DB'!$L$101</definedName>
    <definedName name="_Toc175818262" localSheetId="2">'Relational DB'!$L$126</definedName>
    <definedName name="_Toc175818263" localSheetId="2">'Relational DB'!$L$151</definedName>
    <definedName name="_Toc175818264" localSheetId="2">'Relational DB'!$L$176</definedName>
    <definedName name="_Toc175818268" localSheetId="2">'Relational DB'!$L$27</definedName>
    <definedName name="_Toc175818269" localSheetId="2">'Relational DB'!$L$52</definedName>
    <definedName name="_Toc175818270" localSheetId="2">'Relational DB'!$L$77</definedName>
    <definedName name="_Toc175818271" localSheetId="2">'Relational DB'!$L$102</definedName>
    <definedName name="_Toc175818272" localSheetId="2">'Relational DB'!$L$127</definedName>
    <definedName name="_Toc175818273" localSheetId="2">'Relational DB'!$L$152</definedName>
    <definedName name="_Toc175818274" localSheetId="2">'Relational DB'!$L$177</definedName>
    <definedName name="_Toc175818278" localSheetId="2">'Relational DB'!$L$28</definedName>
    <definedName name="_Toc175818279" localSheetId="2">'Relational DB'!$L$53</definedName>
    <definedName name="_Toc175818280" localSheetId="2">'Relational DB'!$L$78</definedName>
    <definedName name="_Toc175818281" localSheetId="2">'Relational DB'!$L$103</definedName>
    <definedName name="_Toc175818282" localSheetId="2">'Relational DB'!$L$128</definedName>
    <definedName name="_Toc175818283" localSheetId="2">'Relational DB'!$L$153</definedName>
    <definedName name="_Toc175818284" localSheetId="2">'Relational DB'!$L$178</definedName>
    <definedName name="_xlnm.Print_Area" localSheetId="1">'Source Table'!$A$2:$I$33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53" i="3" l="1"/>
  <c r="J1353" i="3"/>
  <c r="I1353" i="3"/>
  <c r="H1353" i="3"/>
  <c r="G1353" i="3"/>
  <c r="F1353" i="3"/>
  <c r="K1352" i="3"/>
  <c r="J1352" i="3"/>
  <c r="I1352" i="3"/>
  <c r="H1352" i="3"/>
  <c r="G1352" i="3"/>
  <c r="F1352" i="3"/>
  <c r="K1351" i="3"/>
  <c r="J1351" i="3"/>
  <c r="I1351" i="3"/>
  <c r="H1351" i="3"/>
  <c r="G1351" i="3"/>
  <c r="F1351" i="3"/>
  <c r="K1350" i="3"/>
  <c r="J1350" i="3"/>
  <c r="I1350" i="3"/>
  <c r="H1350" i="3"/>
  <c r="G1350" i="3"/>
  <c r="F1350" i="3"/>
  <c r="K1349" i="3"/>
  <c r="J1349" i="3"/>
  <c r="I1349" i="3"/>
  <c r="H1349" i="3"/>
  <c r="G1349" i="3"/>
  <c r="F1349" i="3"/>
  <c r="K1348" i="3"/>
  <c r="J1348" i="3"/>
  <c r="I1348" i="3"/>
  <c r="H1348" i="3"/>
  <c r="G1348" i="3"/>
  <c r="F1348" i="3"/>
  <c r="K1347" i="3"/>
  <c r="J1347" i="3"/>
  <c r="I1347" i="3"/>
  <c r="H1347" i="3"/>
  <c r="G1347" i="3"/>
  <c r="F1347" i="3"/>
  <c r="K1346" i="3"/>
  <c r="J1346" i="3"/>
  <c r="I1346" i="3"/>
  <c r="H1346" i="3"/>
  <c r="G1346" i="3"/>
  <c r="F1346" i="3"/>
  <c r="K1345" i="3"/>
  <c r="J1345" i="3"/>
  <c r="I1345" i="3"/>
  <c r="H1345" i="3"/>
  <c r="G1345" i="3"/>
  <c r="F1345" i="3"/>
  <c r="K1344" i="3"/>
  <c r="J1344" i="3"/>
  <c r="I1344" i="3"/>
  <c r="H1344" i="3"/>
  <c r="G1344" i="3"/>
  <c r="F1344" i="3"/>
  <c r="K1343" i="3"/>
  <c r="J1343" i="3"/>
  <c r="I1343" i="3"/>
  <c r="H1343" i="3"/>
  <c r="G1343" i="3"/>
  <c r="F1343" i="3"/>
  <c r="K1342" i="3"/>
  <c r="J1342" i="3"/>
  <c r="I1342" i="3"/>
  <c r="H1342" i="3"/>
  <c r="G1342" i="3"/>
  <c r="F1342" i="3"/>
  <c r="K1341" i="3"/>
  <c r="J1341" i="3"/>
  <c r="I1341" i="3"/>
  <c r="H1341" i="3"/>
  <c r="G1341" i="3"/>
  <c r="F1341" i="3"/>
  <c r="K1340" i="3"/>
  <c r="J1340" i="3"/>
  <c r="I1340" i="3"/>
  <c r="H1340" i="3"/>
  <c r="G1340" i="3"/>
  <c r="F1340" i="3"/>
  <c r="K1339" i="3"/>
  <c r="J1339" i="3"/>
  <c r="I1339" i="3"/>
  <c r="H1339" i="3"/>
  <c r="G1339" i="3"/>
  <c r="F1339" i="3"/>
  <c r="K1338" i="3"/>
  <c r="J1338" i="3"/>
  <c r="I1338" i="3"/>
  <c r="H1338" i="3"/>
  <c r="G1338" i="3"/>
  <c r="F1338" i="3"/>
  <c r="K1337" i="3"/>
  <c r="J1337" i="3"/>
  <c r="I1337" i="3"/>
  <c r="H1337" i="3"/>
  <c r="G1337" i="3"/>
  <c r="F1337" i="3"/>
  <c r="K1336" i="3"/>
  <c r="J1336" i="3"/>
  <c r="I1336" i="3"/>
  <c r="H1336" i="3"/>
  <c r="G1336" i="3"/>
  <c r="F1336" i="3"/>
  <c r="K1335" i="3"/>
  <c r="J1335" i="3"/>
  <c r="I1335" i="3"/>
  <c r="H1335" i="3"/>
  <c r="G1335" i="3"/>
  <c r="F1335" i="3"/>
  <c r="K1334" i="3"/>
  <c r="J1334" i="3"/>
  <c r="I1334" i="3"/>
  <c r="H1334" i="3"/>
  <c r="G1334" i="3"/>
  <c r="F1334" i="3"/>
  <c r="K1333" i="3"/>
  <c r="J1333" i="3"/>
  <c r="I1333" i="3"/>
  <c r="H1333" i="3"/>
  <c r="G1333" i="3"/>
  <c r="F1333" i="3"/>
  <c r="K1332" i="3"/>
  <c r="J1332" i="3"/>
  <c r="I1332" i="3"/>
  <c r="H1332" i="3"/>
  <c r="G1332" i="3"/>
  <c r="F1332" i="3"/>
  <c r="K1331" i="3"/>
  <c r="J1331" i="3"/>
  <c r="I1331" i="3"/>
  <c r="H1331" i="3"/>
  <c r="G1331" i="3"/>
  <c r="F1331" i="3"/>
  <c r="K1330" i="3"/>
  <c r="J1330" i="3"/>
  <c r="I1330" i="3"/>
  <c r="H1330" i="3"/>
  <c r="G1330" i="3"/>
  <c r="F1330" i="3"/>
  <c r="K1329" i="3"/>
  <c r="J1329" i="3"/>
  <c r="I1329" i="3"/>
  <c r="H1329" i="3"/>
  <c r="G1329" i="3"/>
  <c r="F1329" i="3"/>
  <c r="K1328" i="3"/>
  <c r="J1328" i="3"/>
  <c r="I1328" i="3"/>
  <c r="H1328" i="3"/>
  <c r="G1328" i="3"/>
  <c r="F1328" i="3"/>
  <c r="K1327" i="3"/>
  <c r="J1327" i="3"/>
  <c r="I1327" i="3"/>
  <c r="H1327" i="3"/>
  <c r="G1327" i="3"/>
  <c r="F1327" i="3"/>
  <c r="K1326" i="3"/>
  <c r="J1326" i="3"/>
  <c r="I1326" i="3"/>
  <c r="H1326" i="3"/>
  <c r="G1326" i="3"/>
  <c r="F1326" i="3"/>
  <c r="K1325" i="3"/>
  <c r="J1325" i="3"/>
  <c r="I1325" i="3"/>
  <c r="H1325" i="3"/>
  <c r="G1325" i="3"/>
  <c r="F1325" i="3"/>
  <c r="K1324" i="3"/>
  <c r="J1324" i="3"/>
  <c r="I1324" i="3"/>
  <c r="H1324" i="3"/>
  <c r="G1324" i="3"/>
  <c r="F1324" i="3"/>
  <c r="K1323" i="3"/>
  <c r="J1323" i="3"/>
  <c r="I1323" i="3"/>
  <c r="H1323" i="3"/>
  <c r="G1323" i="3"/>
  <c r="F1323" i="3"/>
  <c r="K1322" i="3"/>
  <c r="J1322" i="3"/>
  <c r="I1322" i="3"/>
  <c r="H1322" i="3"/>
  <c r="G1322" i="3"/>
  <c r="F1322" i="3"/>
  <c r="K1321" i="3"/>
  <c r="J1321" i="3"/>
  <c r="I1321" i="3"/>
  <c r="H1321" i="3"/>
  <c r="G1321" i="3"/>
  <c r="F1321" i="3"/>
  <c r="K1320" i="3"/>
  <c r="J1320" i="3"/>
  <c r="I1320" i="3"/>
  <c r="H1320" i="3"/>
  <c r="G1320" i="3"/>
  <c r="F1320" i="3"/>
  <c r="K1319" i="3"/>
  <c r="J1319" i="3"/>
  <c r="I1319" i="3"/>
  <c r="H1319" i="3"/>
  <c r="G1319" i="3"/>
  <c r="F1319" i="3"/>
  <c r="K1318" i="3"/>
  <c r="J1318" i="3"/>
  <c r="I1318" i="3"/>
  <c r="H1318" i="3"/>
  <c r="G1318" i="3"/>
  <c r="F1318" i="3"/>
  <c r="K1317" i="3"/>
  <c r="J1317" i="3"/>
  <c r="I1317" i="3"/>
  <c r="H1317" i="3"/>
  <c r="G1317" i="3"/>
  <c r="F1317" i="3"/>
  <c r="K1316" i="3"/>
  <c r="J1316" i="3"/>
  <c r="I1316" i="3"/>
  <c r="H1316" i="3"/>
  <c r="G1316" i="3"/>
  <c r="F1316" i="3"/>
  <c r="K1315" i="3"/>
  <c r="J1315" i="3"/>
  <c r="I1315" i="3"/>
  <c r="H1315" i="3"/>
  <c r="G1315" i="3"/>
  <c r="F1315" i="3"/>
  <c r="K1314" i="3"/>
  <c r="J1314" i="3"/>
  <c r="I1314" i="3"/>
  <c r="H1314" i="3"/>
  <c r="G1314" i="3"/>
  <c r="F1314" i="3"/>
  <c r="K1313" i="3"/>
  <c r="J1313" i="3"/>
  <c r="I1313" i="3"/>
  <c r="H1313" i="3"/>
  <c r="G1313" i="3"/>
  <c r="F1313" i="3"/>
  <c r="K1312" i="3"/>
  <c r="J1312" i="3"/>
  <c r="I1312" i="3"/>
  <c r="H1312" i="3"/>
  <c r="G1312" i="3"/>
  <c r="F1312" i="3"/>
  <c r="K1311" i="3"/>
  <c r="J1311" i="3"/>
  <c r="I1311" i="3"/>
  <c r="H1311" i="3"/>
  <c r="G1311" i="3"/>
  <c r="F1311" i="3"/>
  <c r="K1310" i="3"/>
  <c r="J1310" i="3"/>
  <c r="I1310" i="3"/>
  <c r="H1310" i="3"/>
  <c r="G1310" i="3"/>
  <c r="F1310" i="3"/>
  <c r="K1309" i="3"/>
  <c r="J1309" i="3"/>
  <c r="I1309" i="3"/>
  <c r="H1309" i="3"/>
  <c r="G1309" i="3"/>
  <c r="F1309" i="3"/>
  <c r="K1308" i="3"/>
  <c r="J1308" i="3"/>
  <c r="I1308" i="3"/>
  <c r="H1308" i="3"/>
  <c r="G1308" i="3"/>
  <c r="F1308" i="3"/>
  <c r="K1307" i="3"/>
  <c r="J1307" i="3"/>
  <c r="I1307" i="3"/>
  <c r="H1307" i="3"/>
  <c r="G1307" i="3"/>
  <c r="F1307" i="3"/>
  <c r="K1306" i="3"/>
  <c r="J1306" i="3"/>
  <c r="I1306" i="3"/>
  <c r="H1306" i="3"/>
  <c r="G1306" i="3"/>
  <c r="F1306" i="3"/>
  <c r="K1305" i="3"/>
  <c r="J1305" i="3"/>
  <c r="I1305" i="3"/>
  <c r="H1305" i="3"/>
  <c r="G1305" i="3"/>
  <c r="F1305" i="3"/>
  <c r="K1304" i="3"/>
  <c r="J1304" i="3"/>
  <c r="I1304" i="3"/>
  <c r="H1304" i="3"/>
  <c r="G1304" i="3"/>
  <c r="F1304" i="3"/>
  <c r="K1303" i="3"/>
  <c r="J1303" i="3"/>
  <c r="I1303" i="3"/>
  <c r="H1303" i="3"/>
  <c r="G1303" i="3"/>
  <c r="F1303" i="3"/>
  <c r="K1302" i="3"/>
  <c r="J1302" i="3"/>
  <c r="I1302" i="3"/>
  <c r="H1302" i="3"/>
  <c r="G1302" i="3"/>
  <c r="F1302" i="3"/>
  <c r="K1301" i="3"/>
  <c r="J1301" i="3"/>
  <c r="I1301" i="3"/>
  <c r="H1301" i="3"/>
  <c r="G1301" i="3"/>
  <c r="F1301" i="3"/>
  <c r="K1300" i="3"/>
  <c r="J1300" i="3"/>
  <c r="I1300" i="3"/>
  <c r="H1300" i="3"/>
  <c r="G1300" i="3"/>
  <c r="F1300" i="3"/>
  <c r="K1299" i="3"/>
  <c r="J1299" i="3"/>
  <c r="I1299" i="3"/>
  <c r="H1299" i="3"/>
  <c r="G1299" i="3"/>
  <c r="F1299" i="3"/>
  <c r="K1298" i="3"/>
  <c r="J1298" i="3"/>
  <c r="I1298" i="3"/>
  <c r="H1298" i="3"/>
  <c r="G1298" i="3"/>
  <c r="F1298" i="3"/>
  <c r="K1297" i="3"/>
  <c r="J1297" i="3"/>
  <c r="I1297" i="3"/>
  <c r="H1297" i="3"/>
  <c r="G1297" i="3"/>
  <c r="F1297" i="3"/>
  <c r="K1296" i="3"/>
  <c r="J1296" i="3"/>
  <c r="I1296" i="3"/>
  <c r="H1296" i="3"/>
  <c r="G1296" i="3"/>
  <c r="F1296" i="3"/>
  <c r="K1295" i="3"/>
  <c r="J1295" i="3"/>
  <c r="I1295" i="3"/>
  <c r="H1295" i="3"/>
  <c r="G1295" i="3"/>
  <c r="F1295" i="3"/>
  <c r="K1294" i="3"/>
  <c r="J1294" i="3"/>
  <c r="I1294" i="3"/>
  <c r="H1294" i="3"/>
  <c r="G1294" i="3"/>
  <c r="F1294" i="3"/>
  <c r="K1293" i="3"/>
  <c r="J1293" i="3"/>
  <c r="I1293" i="3"/>
  <c r="H1293" i="3"/>
  <c r="G1293" i="3"/>
  <c r="F1293" i="3"/>
  <c r="K1292" i="3"/>
  <c r="J1292" i="3"/>
  <c r="I1292" i="3"/>
  <c r="H1292" i="3"/>
  <c r="G1292" i="3"/>
  <c r="F1292" i="3"/>
  <c r="K1291" i="3"/>
  <c r="J1291" i="3"/>
  <c r="I1291" i="3"/>
  <c r="H1291" i="3"/>
  <c r="G1291" i="3"/>
  <c r="F1291" i="3"/>
  <c r="K1290" i="3"/>
  <c r="J1290" i="3"/>
  <c r="I1290" i="3"/>
  <c r="H1290" i="3"/>
  <c r="G1290" i="3"/>
  <c r="F1290" i="3"/>
  <c r="K1289" i="3"/>
  <c r="J1289" i="3"/>
  <c r="I1289" i="3"/>
  <c r="H1289" i="3"/>
  <c r="G1289" i="3"/>
  <c r="F1289" i="3"/>
  <c r="K1288" i="3"/>
  <c r="J1288" i="3"/>
  <c r="I1288" i="3"/>
  <c r="H1288" i="3"/>
  <c r="G1288" i="3"/>
  <c r="F1288" i="3"/>
  <c r="K1287" i="3"/>
  <c r="J1287" i="3"/>
  <c r="I1287" i="3"/>
  <c r="H1287" i="3"/>
  <c r="G1287" i="3"/>
  <c r="F1287" i="3"/>
  <c r="K1286" i="3"/>
  <c r="J1286" i="3"/>
  <c r="I1286" i="3"/>
  <c r="H1286" i="3"/>
  <c r="G1286" i="3"/>
  <c r="F1286" i="3"/>
  <c r="K1285" i="3"/>
  <c r="J1285" i="3"/>
  <c r="I1285" i="3"/>
  <c r="H1285" i="3"/>
  <c r="G1285" i="3"/>
  <c r="F1285" i="3"/>
  <c r="K1284" i="3"/>
  <c r="J1284" i="3"/>
  <c r="I1284" i="3"/>
  <c r="H1284" i="3"/>
  <c r="G1284" i="3"/>
  <c r="F1284" i="3"/>
  <c r="K1283" i="3"/>
  <c r="J1283" i="3"/>
  <c r="I1283" i="3"/>
  <c r="H1283" i="3"/>
  <c r="G1283" i="3"/>
  <c r="F1283" i="3"/>
  <c r="K1282" i="3"/>
  <c r="J1282" i="3"/>
  <c r="I1282" i="3"/>
  <c r="H1282" i="3"/>
  <c r="G1282" i="3"/>
  <c r="F1282" i="3"/>
  <c r="K1281" i="3"/>
  <c r="J1281" i="3"/>
  <c r="I1281" i="3"/>
  <c r="H1281" i="3"/>
  <c r="G1281" i="3"/>
  <c r="F1281" i="3"/>
  <c r="K1280" i="3"/>
  <c r="J1280" i="3"/>
  <c r="I1280" i="3"/>
  <c r="H1280" i="3"/>
  <c r="G1280" i="3"/>
  <c r="F1280" i="3"/>
  <c r="K1279" i="3"/>
  <c r="J1279" i="3"/>
  <c r="I1279" i="3"/>
  <c r="H1279" i="3"/>
  <c r="G1279" i="3"/>
  <c r="F1279" i="3"/>
  <c r="K1278" i="3"/>
  <c r="J1278" i="3"/>
  <c r="I1278" i="3"/>
  <c r="H1278" i="3"/>
  <c r="G1278" i="3"/>
  <c r="F1278" i="3"/>
  <c r="K1277" i="3"/>
  <c r="J1277" i="3"/>
  <c r="I1277" i="3"/>
  <c r="H1277" i="3"/>
  <c r="G1277" i="3"/>
  <c r="F1277" i="3"/>
  <c r="K1276" i="3"/>
  <c r="J1276" i="3"/>
  <c r="I1276" i="3"/>
  <c r="H1276" i="3"/>
  <c r="G1276" i="3"/>
  <c r="F1276" i="3"/>
  <c r="K1275" i="3"/>
  <c r="J1275" i="3"/>
  <c r="I1275" i="3"/>
  <c r="H1275" i="3"/>
  <c r="G1275" i="3"/>
  <c r="F1275" i="3"/>
  <c r="K1274" i="3"/>
  <c r="J1274" i="3"/>
  <c r="I1274" i="3"/>
  <c r="H1274" i="3"/>
  <c r="G1274" i="3"/>
  <c r="F1274" i="3"/>
  <c r="K1273" i="3"/>
  <c r="J1273" i="3"/>
  <c r="I1273" i="3"/>
  <c r="H1273" i="3"/>
  <c r="G1273" i="3"/>
  <c r="F1273" i="3"/>
  <c r="K1272" i="3"/>
  <c r="J1272" i="3"/>
  <c r="I1272" i="3"/>
  <c r="H1272" i="3"/>
  <c r="G1272" i="3"/>
  <c r="F1272" i="3"/>
  <c r="K1271" i="3"/>
  <c r="J1271" i="3"/>
  <c r="I1271" i="3"/>
  <c r="H1271" i="3"/>
  <c r="G1271" i="3"/>
  <c r="F1271" i="3"/>
  <c r="K1270" i="3"/>
  <c r="J1270" i="3"/>
  <c r="I1270" i="3"/>
  <c r="H1270" i="3"/>
  <c r="G1270" i="3"/>
  <c r="F1270" i="3"/>
  <c r="K1269" i="3"/>
  <c r="J1269" i="3"/>
  <c r="I1269" i="3"/>
  <c r="H1269" i="3"/>
  <c r="G1269" i="3"/>
  <c r="F1269" i="3"/>
  <c r="K1268" i="3"/>
  <c r="J1268" i="3"/>
  <c r="I1268" i="3"/>
  <c r="H1268" i="3"/>
  <c r="G1268" i="3"/>
  <c r="F1268" i="3"/>
  <c r="K1267" i="3"/>
  <c r="J1267" i="3"/>
  <c r="I1267" i="3"/>
  <c r="H1267" i="3"/>
  <c r="G1267" i="3"/>
  <c r="F1267" i="3"/>
  <c r="K1266" i="3"/>
  <c r="J1266" i="3"/>
  <c r="I1266" i="3"/>
  <c r="H1266" i="3"/>
  <c r="G1266" i="3"/>
  <c r="F1266" i="3"/>
  <c r="K1265" i="3"/>
  <c r="J1265" i="3"/>
  <c r="I1265" i="3"/>
  <c r="H1265" i="3"/>
  <c r="G1265" i="3"/>
  <c r="F1265" i="3"/>
  <c r="K1264" i="3"/>
  <c r="J1264" i="3"/>
  <c r="I1264" i="3"/>
  <c r="H1264" i="3"/>
  <c r="G1264" i="3"/>
  <c r="F1264" i="3"/>
  <c r="K1263" i="3"/>
  <c r="J1263" i="3"/>
  <c r="I1263" i="3"/>
  <c r="H1263" i="3"/>
  <c r="G1263" i="3"/>
  <c r="F1263" i="3"/>
  <c r="K1262" i="3"/>
  <c r="J1262" i="3"/>
  <c r="I1262" i="3"/>
  <c r="H1262" i="3"/>
  <c r="G1262" i="3"/>
  <c r="F1262" i="3"/>
  <c r="K1261" i="3"/>
  <c r="J1261" i="3"/>
  <c r="I1261" i="3"/>
  <c r="H1261" i="3"/>
  <c r="G1261" i="3"/>
  <c r="F1261" i="3"/>
  <c r="K1260" i="3"/>
  <c r="J1260" i="3"/>
  <c r="I1260" i="3"/>
  <c r="H1260" i="3"/>
  <c r="G1260" i="3"/>
  <c r="F1260" i="3"/>
  <c r="K1259" i="3"/>
  <c r="J1259" i="3"/>
  <c r="I1259" i="3"/>
  <c r="H1259" i="3"/>
  <c r="G1259" i="3"/>
  <c r="F1259" i="3"/>
  <c r="K1258" i="3"/>
  <c r="J1258" i="3"/>
  <c r="I1258" i="3"/>
  <c r="H1258" i="3"/>
  <c r="G1258" i="3"/>
  <c r="F1258" i="3"/>
  <c r="K1257" i="3"/>
  <c r="J1257" i="3"/>
  <c r="I1257" i="3"/>
  <c r="H1257" i="3"/>
  <c r="G1257" i="3"/>
  <c r="F1257" i="3"/>
  <c r="K1256" i="3"/>
  <c r="J1256" i="3"/>
  <c r="I1256" i="3"/>
  <c r="H1256" i="3"/>
  <c r="G1256" i="3"/>
  <c r="F1256" i="3"/>
  <c r="K1255" i="3"/>
  <c r="J1255" i="3"/>
  <c r="I1255" i="3"/>
  <c r="H1255" i="3"/>
  <c r="G1255" i="3"/>
  <c r="F1255" i="3"/>
  <c r="K1254" i="3"/>
  <c r="J1254" i="3"/>
  <c r="I1254" i="3"/>
  <c r="H1254" i="3"/>
  <c r="G1254" i="3"/>
  <c r="F1254" i="3"/>
  <c r="K1253" i="3"/>
  <c r="J1253" i="3"/>
  <c r="I1253" i="3"/>
  <c r="H1253" i="3"/>
  <c r="G1253" i="3"/>
  <c r="F1253" i="3"/>
  <c r="K1252" i="3"/>
  <c r="J1252" i="3"/>
  <c r="I1252" i="3"/>
  <c r="H1252" i="3"/>
  <c r="G1252" i="3"/>
  <c r="F1252" i="3"/>
  <c r="K1251" i="3"/>
  <c r="J1251" i="3"/>
  <c r="I1251" i="3"/>
  <c r="H1251" i="3"/>
  <c r="G1251" i="3"/>
  <c r="F1251" i="3"/>
  <c r="K1250" i="3"/>
  <c r="J1250" i="3"/>
  <c r="I1250" i="3"/>
  <c r="H1250" i="3"/>
  <c r="G1250" i="3"/>
  <c r="F1250" i="3"/>
  <c r="K1249" i="3"/>
  <c r="J1249" i="3"/>
  <c r="I1249" i="3"/>
  <c r="H1249" i="3"/>
  <c r="G1249" i="3"/>
  <c r="F1249" i="3"/>
  <c r="K1248" i="3"/>
  <c r="J1248" i="3"/>
  <c r="I1248" i="3"/>
  <c r="H1248" i="3"/>
  <c r="G1248" i="3"/>
  <c r="F1248" i="3"/>
  <c r="K1247" i="3"/>
  <c r="J1247" i="3"/>
  <c r="I1247" i="3"/>
  <c r="H1247" i="3"/>
  <c r="G1247" i="3"/>
  <c r="F1247" i="3"/>
  <c r="K1246" i="3"/>
  <c r="J1246" i="3"/>
  <c r="I1246" i="3"/>
  <c r="H1246" i="3"/>
  <c r="G1246" i="3"/>
  <c r="F1246" i="3"/>
  <c r="K1245" i="3"/>
  <c r="J1245" i="3"/>
  <c r="I1245" i="3"/>
  <c r="H1245" i="3"/>
  <c r="G1245" i="3"/>
  <c r="F1245" i="3"/>
  <c r="K1244" i="3"/>
  <c r="J1244" i="3"/>
  <c r="I1244" i="3"/>
  <c r="H1244" i="3"/>
  <c r="G1244" i="3"/>
  <c r="F1244" i="3"/>
  <c r="K1243" i="3"/>
  <c r="J1243" i="3"/>
  <c r="I1243" i="3"/>
  <c r="H1243" i="3"/>
  <c r="G1243" i="3"/>
  <c r="F1243" i="3"/>
  <c r="K1242" i="3"/>
  <c r="J1242" i="3"/>
  <c r="I1242" i="3"/>
  <c r="H1242" i="3"/>
  <c r="G1242" i="3"/>
  <c r="F1242" i="3"/>
  <c r="K1241" i="3"/>
  <c r="J1241" i="3"/>
  <c r="I1241" i="3"/>
  <c r="H1241" i="3"/>
  <c r="G1241" i="3"/>
  <c r="F1241" i="3"/>
  <c r="K1240" i="3"/>
  <c r="J1240" i="3"/>
  <c r="I1240" i="3"/>
  <c r="H1240" i="3"/>
  <c r="G1240" i="3"/>
  <c r="F1240" i="3"/>
  <c r="K1239" i="3"/>
  <c r="J1239" i="3"/>
  <c r="I1239" i="3"/>
  <c r="H1239" i="3"/>
  <c r="G1239" i="3"/>
  <c r="F1239" i="3"/>
  <c r="K1238" i="3"/>
  <c r="J1238" i="3"/>
  <c r="I1238" i="3"/>
  <c r="H1238" i="3"/>
  <c r="G1238" i="3"/>
  <c r="F1238" i="3"/>
  <c r="K1237" i="3"/>
  <c r="J1237" i="3"/>
  <c r="I1237" i="3"/>
  <c r="H1237" i="3"/>
  <c r="G1237" i="3"/>
  <c r="F1237" i="3"/>
  <c r="K1236" i="3"/>
  <c r="J1236" i="3"/>
  <c r="I1236" i="3"/>
  <c r="H1236" i="3"/>
  <c r="G1236" i="3"/>
  <c r="F1236" i="3"/>
  <c r="K1235" i="3"/>
  <c r="J1235" i="3"/>
  <c r="I1235" i="3"/>
  <c r="H1235" i="3"/>
  <c r="G1235" i="3"/>
  <c r="F1235" i="3"/>
  <c r="K1234" i="3"/>
  <c r="J1234" i="3"/>
  <c r="I1234" i="3"/>
  <c r="H1234" i="3"/>
  <c r="G1234" i="3"/>
  <c r="F1234" i="3"/>
  <c r="K1233" i="3"/>
  <c r="J1233" i="3"/>
  <c r="I1233" i="3"/>
  <c r="H1233" i="3"/>
  <c r="G1233" i="3"/>
  <c r="F1233" i="3"/>
  <c r="K1232" i="3"/>
  <c r="J1232" i="3"/>
  <c r="I1232" i="3"/>
  <c r="H1232" i="3"/>
  <c r="G1232" i="3"/>
  <c r="F1232" i="3"/>
  <c r="K1231" i="3"/>
  <c r="J1231" i="3"/>
  <c r="I1231" i="3"/>
  <c r="H1231" i="3"/>
  <c r="G1231" i="3"/>
  <c r="F1231" i="3"/>
  <c r="K1230" i="3"/>
  <c r="J1230" i="3"/>
  <c r="I1230" i="3"/>
  <c r="H1230" i="3"/>
  <c r="G1230" i="3"/>
  <c r="F1230" i="3"/>
  <c r="K1229" i="3"/>
  <c r="J1229" i="3"/>
  <c r="I1229" i="3"/>
  <c r="H1229" i="3"/>
  <c r="G1229" i="3"/>
  <c r="F1229" i="3"/>
  <c r="K1228" i="3"/>
  <c r="J1228" i="3"/>
  <c r="I1228" i="3"/>
  <c r="H1228" i="3"/>
  <c r="G1228" i="3"/>
  <c r="F1228" i="3"/>
  <c r="K1227" i="3"/>
  <c r="J1227" i="3"/>
  <c r="I1227" i="3"/>
  <c r="H1227" i="3"/>
  <c r="G1227" i="3"/>
  <c r="F1227" i="3"/>
  <c r="K1226" i="3"/>
  <c r="J1226" i="3"/>
  <c r="I1226" i="3"/>
  <c r="H1226" i="3"/>
  <c r="G1226" i="3"/>
  <c r="F1226" i="3"/>
  <c r="K1225" i="3"/>
  <c r="J1225" i="3"/>
  <c r="I1225" i="3"/>
  <c r="H1225" i="3"/>
  <c r="G1225" i="3"/>
  <c r="F1225" i="3"/>
  <c r="K1224" i="3"/>
  <c r="J1224" i="3"/>
  <c r="I1224" i="3"/>
  <c r="H1224" i="3"/>
  <c r="G1224" i="3"/>
  <c r="F1224" i="3"/>
  <c r="K1223" i="3"/>
  <c r="J1223" i="3"/>
  <c r="I1223" i="3"/>
  <c r="H1223" i="3"/>
  <c r="G1223" i="3"/>
  <c r="F1223" i="3"/>
  <c r="K1222" i="3"/>
  <c r="J1222" i="3"/>
  <c r="I1222" i="3"/>
  <c r="H1222" i="3"/>
  <c r="G1222" i="3"/>
  <c r="F1222" i="3"/>
  <c r="K1221" i="3"/>
  <c r="J1221" i="3"/>
  <c r="I1221" i="3"/>
  <c r="H1221" i="3"/>
  <c r="G1221" i="3"/>
  <c r="F1221" i="3"/>
  <c r="K1220" i="3"/>
  <c r="J1220" i="3"/>
  <c r="I1220" i="3"/>
  <c r="H1220" i="3"/>
  <c r="G1220" i="3"/>
  <c r="F1220" i="3"/>
  <c r="K1219" i="3"/>
  <c r="J1219" i="3"/>
  <c r="I1219" i="3"/>
  <c r="H1219" i="3"/>
  <c r="G1219" i="3"/>
  <c r="F1219" i="3"/>
  <c r="K1218" i="3"/>
  <c r="J1218" i="3"/>
  <c r="I1218" i="3"/>
  <c r="H1218" i="3"/>
  <c r="G1218" i="3"/>
  <c r="F1218" i="3"/>
  <c r="K1217" i="3"/>
  <c r="J1217" i="3"/>
  <c r="I1217" i="3"/>
  <c r="H1217" i="3"/>
  <c r="G1217" i="3"/>
  <c r="F1217" i="3"/>
  <c r="K1216" i="3"/>
  <c r="J1216" i="3"/>
  <c r="I1216" i="3"/>
  <c r="H1216" i="3"/>
  <c r="G1216" i="3"/>
  <c r="F1216" i="3"/>
  <c r="K1215" i="3"/>
  <c r="J1215" i="3"/>
  <c r="I1215" i="3"/>
  <c r="H1215" i="3"/>
  <c r="G1215" i="3"/>
  <c r="F1215" i="3"/>
  <c r="K1214" i="3"/>
  <c r="J1214" i="3"/>
  <c r="I1214" i="3"/>
  <c r="H1214" i="3"/>
  <c r="G1214" i="3"/>
  <c r="F1214" i="3"/>
  <c r="K1213" i="3"/>
  <c r="J1213" i="3"/>
  <c r="I1213" i="3"/>
  <c r="H1213" i="3"/>
  <c r="G1213" i="3"/>
  <c r="F1213" i="3"/>
  <c r="K1212" i="3"/>
  <c r="J1212" i="3"/>
  <c r="I1212" i="3"/>
  <c r="H1212" i="3"/>
  <c r="G1212" i="3"/>
  <c r="F1212" i="3"/>
  <c r="K1211" i="3"/>
  <c r="J1211" i="3"/>
  <c r="I1211" i="3"/>
  <c r="H1211" i="3"/>
  <c r="G1211" i="3"/>
  <c r="F1211" i="3"/>
  <c r="K1210" i="3"/>
  <c r="J1210" i="3"/>
  <c r="I1210" i="3"/>
  <c r="H1210" i="3"/>
  <c r="G1210" i="3"/>
  <c r="F1210" i="3"/>
  <c r="K1209" i="3"/>
  <c r="J1209" i="3"/>
  <c r="I1209" i="3"/>
  <c r="H1209" i="3"/>
  <c r="G1209" i="3"/>
  <c r="F1209" i="3"/>
  <c r="K1208" i="3"/>
  <c r="J1208" i="3"/>
  <c r="I1208" i="3"/>
  <c r="H1208" i="3"/>
  <c r="G1208" i="3"/>
  <c r="F1208" i="3"/>
  <c r="K1207" i="3"/>
  <c r="J1207" i="3"/>
  <c r="I1207" i="3"/>
  <c r="H1207" i="3"/>
  <c r="G1207" i="3"/>
  <c r="F1207" i="3"/>
  <c r="K1206" i="3"/>
  <c r="J1206" i="3"/>
  <c r="I1206" i="3"/>
  <c r="H1206" i="3"/>
  <c r="G1206" i="3"/>
  <c r="F1206" i="3"/>
  <c r="K1205" i="3"/>
  <c r="J1205" i="3"/>
  <c r="I1205" i="3"/>
  <c r="H1205" i="3"/>
  <c r="G1205" i="3"/>
  <c r="F1205" i="3"/>
  <c r="K1204" i="3"/>
  <c r="J1204" i="3"/>
  <c r="I1204" i="3"/>
  <c r="H1204" i="3"/>
  <c r="G1204" i="3"/>
  <c r="F1204" i="3"/>
  <c r="K1203" i="3"/>
  <c r="J1203" i="3"/>
  <c r="I1203" i="3"/>
  <c r="H1203" i="3"/>
  <c r="G1203" i="3"/>
  <c r="F1203" i="3"/>
  <c r="K1202" i="3"/>
  <c r="J1202" i="3"/>
  <c r="I1202" i="3"/>
  <c r="H1202" i="3"/>
  <c r="G1202" i="3"/>
  <c r="F1202" i="3"/>
  <c r="K1201" i="3"/>
  <c r="J1201" i="3"/>
  <c r="I1201" i="3"/>
  <c r="H1201" i="3"/>
  <c r="G1201" i="3"/>
  <c r="F1201" i="3"/>
  <c r="K1200" i="3"/>
  <c r="J1200" i="3"/>
  <c r="I1200" i="3"/>
  <c r="H1200" i="3"/>
  <c r="G1200" i="3"/>
  <c r="F1200" i="3"/>
  <c r="K1199" i="3"/>
  <c r="J1199" i="3"/>
  <c r="I1199" i="3"/>
  <c r="H1199" i="3"/>
  <c r="G1199" i="3"/>
  <c r="F1199" i="3"/>
  <c r="K1198" i="3"/>
  <c r="J1198" i="3"/>
  <c r="I1198" i="3"/>
  <c r="H1198" i="3"/>
  <c r="G1198" i="3"/>
  <c r="F1198" i="3"/>
  <c r="K1197" i="3"/>
  <c r="J1197" i="3"/>
  <c r="I1197" i="3"/>
  <c r="H1197" i="3"/>
  <c r="G1197" i="3"/>
  <c r="F1197" i="3"/>
  <c r="K1196" i="3"/>
  <c r="J1196" i="3"/>
  <c r="I1196" i="3"/>
  <c r="H1196" i="3"/>
  <c r="G1196" i="3"/>
  <c r="F1196" i="3"/>
  <c r="K1195" i="3"/>
  <c r="J1195" i="3"/>
  <c r="I1195" i="3"/>
  <c r="H1195" i="3"/>
  <c r="G1195" i="3"/>
  <c r="F1195" i="3"/>
  <c r="K1194" i="3"/>
  <c r="J1194" i="3"/>
  <c r="I1194" i="3"/>
  <c r="H1194" i="3"/>
  <c r="G1194" i="3"/>
  <c r="F1194" i="3"/>
  <c r="K1193" i="3"/>
  <c r="J1193" i="3"/>
  <c r="I1193" i="3"/>
  <c r="H1193" i="3"/>
  <c r="G1193" i="3"/>
  <c r="F1193" i="3"/>
  <c r="K1192" i="3"/>
  <c r="J1192" i="3"/>
  <c r="I1192" i="3"/>
  <c r="H1192" i="3"/>
  <c r="G1192" i="3"/>
  <c r="F1192" i="3"/>
  <c r="K1191" i="3"/>
  <c r="J1191" i="3"/>
  <c r="I1191" i="3"/>
  <c r="H1191" i="3"/>
  <c r="G1191" i="3"/>
  <c r="F1191" i="3"/>
  <c r="K1190" i="3"/>
  <c r="J1190" i="3"/>
  <c r="I1190" i="3"/>
  <c r="H1190" i="3"/>
  <c r="G1190" i="3"/>
  <c r="F1190" i="3"/>
  <c r="K1189" i="3"/>
  <c r="J1189" i="3"/>
  <c r="I1189" i="3"/>
  <c r="H1189" i="3"/>
  <c r="G1189" i="3"/>
  <c r="F1189" i="3"/>
  <c r="K1188" i="3"/>
  <c r="J1188" i="3"/>
  <c r="I1188" i="3"/>
  <c r="H1188" i="3"/>
  <c r="G1188" i="3"/>
  <c r="F1188" i="3"/>
  <c r="K1187" i="3"/>
  <c r="J1187" i="3"/>
  <c r="I1187" i="3"/>
  <c r="H1187" i="3"/>
  <c r="G1187" i="3"/>
  <c r="F1187" i="3"/>
  <c r="K1186" i="3"/>
  <c r="J1186" i="3"/>
  <c r="I1186" i="3"/>
  <c r="H1186" i="3"/>
  <c r="G1186" i="3"/>
  <c r="F1186" i="3"/>
  <c r="K1185" i="3"/>
  <c r="J1185" i="3"/>
  <c r="I1185" i="3"/>
  <c r="H1185" i="3"/>
  <c r="G1185" i="3"/>
  <c r="F1185" i="3"/>
  <c r="K1184" i="3"/>
  <c r="J1184" i="3"/>
  <c r="I1184" i="3"/>
  <c r="H1184" i="3"/>
  <c r="G1184" i="3"/>
  <c r="F1184" i="3"/>
  <c r="K1183" i="3"/>
  <c r="J1183" i="3"/>
  <c r="I1183" i="3"/>
  <c r="H1183" i="3"/>
  <c r="G1183" i="3"/>
  <c r="F1183" i="3"/>
  <c r="K1182" i="3"/>
  <c r="J1182" i="3"/>
  <c r="I1182" i="3"/>
  <c r="H1182" i="3"/>
  <c r="G1182" i="3"/>
  <c r="F1182" i="3"/>
  <c r="K1181" i="3"/>
  <c r="J1181" i="3"/>
  <c r="I1181" i="3"/>
  <c r="H1181" i="3"/>
  <c r="G1181" i="3"/>
  <c r="F1181" i="3"/>
  <c r="K1180" i="3"/>
  <c r="J1180" i="3"/>
  <c r="I1180" i="3"/>
  <c r="H1180" i="3"/>
  <c r="G1180" i="3"/>
  <c r="F1180" i="3"/>
  <c r="K1179" i="3"/>
  <c r="J1179" i="3"/>
  <c r="I1179" i="3"/>
  <c r="H1179" i="3"/>
  <c r="G1179" i="3"/>
  <c r="F1179" i="3"/>
  <c r="K1178" i="3"/>
  <c r="J1178" i="3"/>
  <c r="I1178" i="3"/>
  <c r="H1178" i="3"/>
  <c r="G1178" i="3"/>
  <c r="F1178" i="3"/>
  <c r="K1177" i="3"/>
  <c r="J1177" i="3"/>
  <c r="I1177" i="3"/>
  <c r="H1177" i="3"/>
  <c r="G1177" i="3"/>
  <c r="F1177" i="3"/>
  <c r="K1176" i="3"/>
  <c r="J1176" i="3"/>
  <c r="I1176" i="3"/>
  <c r="H1176" i="3"/>
  <c r="G1176" i="3"/>
  <c r="F1176" i="3"/>
  <c r="K1175" i="3"/>
  <c r="J1175" i="3"/>
  <c r="I1175" i="3"/>
  <c r="H1175" i="3"/>
  <c r="G1175" i="3"/>
  <c r="F1175" i="3"/>
  <c r="K1174" i="3"/>
  <c r="J1174" i="3"/>
  <c r="I1174" i="3"/>
  <c r="H1174" i="3"/>
  <c r="G1174" i="3"/>
  <c r="F1174" i="3"/>
  <c r="K1173" i="3"/>
  <c r="J1173" i="3"/>
  <c r="I1173" i="3"/>
  <c r="H1173" i="3"/>
  <c r="G1173" i="3"/>
  <c r="F1173" i="3"/>
  <c r="K1172" i="3"/>
  <c r="J1172" i="3"/>
  <c r="I1172" i="3"/>
  <c r="H1172" i="3"/>
  <c r="G1172" i="3"/>
  <c r="F1172" i="3"/>
  <c r="K1171" i="3"/>
  <c r="J1171" i="3"/>
  <c r="I1171" i="3"/>
  <c r="H1171" i="3"/>
  <c r="G1171" i="3"/>
  <c r="F1171" i="3"/>
  <c r="K1170" i="3"/>
  <c r="J1170" i="3"/>
  <c r="I1170" i="3"/>
  <c r="H1170" i="3"/>
  <c r="G1170" i="3"/>
  <c r="F1170" i="3"/>
  <c r="K1169" i="3"/>
  <c r="J1169" i="3"/>
  <c r="I1169" i="3"/>
  <c r="H1169" i="3"/>
  <c r="G1169" i="3"/>
  <c r="F1169" i="3"/>
  <c r="K1168" i="3"/>
  <c r="J1168" i="3"/>
  <c r="I1168" i="3"/>
  <c r="H1168" i="3"/>
  <c r="G1168" i="3"/>
  <c r="F1168" i="3"/>
  <c r="K1167" i="3"/>
  <c r="J1167" i="3"/>
  <c r="I1167" i="3"/>
  <c r="H1167" i="3"/>
  <c r="G1167" i="3"/>
  <c r="F1167" i="3"/>
  <c r="K1166" i="3"/>
  <c r="J1166" i="3"/>
  <c r="I1166" i="3"/>
  <c r="H1166" i="3"/>
  <c r="G1166" i="3"/>
  <c r="F1166" i="3"/>
  <c r="K1165" i="3"/>
  <c r="J1165" i="3"/>
  <c r="I1165" i="3"/>
  <c r="H1165" i="3"/>
  <c r="G1165" i="3"/>
  <c r="F1165" i="3"/>
  <c r="K1164" i="3"/>
  <c r="J1164" i="3"/>
  <c r="I1164" i="3"/>
  <c r="H1164" i="3"/>
  <c r="G1164" i="3"/>
  <c r="F1164" i="3"/>
  <c r="K1163" i="3"/>
  <c r="J1163" i="3"/>
  <c r="I1163" i="3"/>
  <c r="H1163" i="3"/>
  <c r="G1163" i="3"/>
  <c r="F1163" i="3"/>
  <c r="K1162" i="3"/>
  <c r="J1162" i="3"/>
  <c r="I1162" i="3"/>
  <c r="H1162" i="3"/>
  <c r="G1162" i="3"/>
  <c r="F1162" i="3"/>
  <c r="K1161" i="3"/>
  <c r="J1161" i="3"/>
  <c r="I1161" i="3"/>
  <c r="H1161" i="3"/>
  <c r="G1161" i="3"/>
  <c r="F1161" i="3"/>
  <c r="K1160" i="3"/>
  <c r="J1160" i="3"/>
  <c r="I1160" i="3"/>
  <c r="H1160" i="3"/>
  <c r="G1160" i="3"/>
  <c r="F1160" i="3"/>
  <c r="K1159" i="3"/>
  <c r="J1159" i="3"/>
  <c r="I1159" i="3"/>
  <c r="H1159" i="3"/>
  <c r="G1159" i="3"/>
  <c r="F1159" i="3"/>
  <c r="K1158" i="3"/>
  <c r="J1158" i="3"/>
  <c r="I1158" i="3"/>
  <c r="H1158" i="3"/>
  <c r="G1158" i="3"/>
  <c r="F1158" i="3"/>
  <c r="K1157" i="3"/>
  <c r="J1157" i="3"/>
  <c r="I1157" i="3"/>
  <c r="H1157" i="3"/>
  <c r="G1157" i="3"/>
  <c r="F1157" i="3"/>
  <c r="K1156" i="3"/>
  <c r="J1156" i="3"/>
  <c r="I1156" i="3"/>
  <c r="H1156" i="3"/>
  <c r="G1156" i="3"/>
  <c r="F1156" i="3"/>
  <c r="K1155" i="3"/>
  <c r="J1155" i="3"/>
  <c r="I1155" i="3"/>
  <c r="H1155" i="3"/>
  <c r="G1155" i="3"/>
  <c r="F1155" i="3"/>
  <c r="K1154" i="3"/>
  <c r="J1154" i="3"/>
  <c r="I1154" i="3"/>
  <c r="H1154" i="3"/>
  <c r="G1154" i="3"/>
  <c r="F1154" i="3"/>
  <c r="K1153" i="3"/>
  <c r="J1153" i="3"/>
  <c r="I1153" i="3"/>
  <c r="H1153" i="3"/>
  <c r="G1153" i="3"/>
  <c r="F1153" i="3"/>
  <c r="K1152" i="3"/>
  <c r="J1152" i="3"/>
  <c r="I1152" i="3"/>
  <c r="H1152" i="3"/>
  <c r="G1152" i="3"/>
  <c r="F1152" i="3"/>
  <c r="K1151" i="3"/>
  <c r="J1151" i="3"/>
  <c r="I1151" i="3"/>
  <c r="H1151" i="3"/>
  <c r="G1151" i="3"/>
  <c r="F1151" i="3"/>
  <c r="K1150" i="3"/>
  <c r="J1150" i="3"/>
  <c r="I1150" i="3"/>
  <c r="H1150" i="3"/>
  <c r="G1150" i="3"/>
  <c r="F1150" i="3"/>
  <c r="K1149" i="3"/>
  <c r="J1149" i="3"/>
  <c r="I1149" i="3"/>
  <c r="H1149" i="3"/>
  <c r="G1149" i="3"/>
  <c r="F1149" i="3"/>
  <c r="K1148" i="3"/>
  <c r="J1148" i="3"/>
  <c r="I1148" i="3"/>
  <c r="H1148" i="3"/>
  <c r="G1148" i="3"/>
  <c r="F1148" i="3"/>
  <c r="K1147" i="3"/>
  <c r="J1147" i="3"/>
  <c r="I1147" i="3"/>
  <c r="H1147" i="3"/>
  <c r="G1147" i="3"/>
  <c r="F1147" i="3"/>
  <c r="K1146" i="3"/>
  <c r="J1146" i="3"/>
  <c r="I1146" i="3"/>
  <c r="H1146" i="3"/>
  <c r="G1146" i="3"/>
  <c r="F1146" i="3"/>
  <c r="K1145" i="3"/>
  <c r="J1145" i="3"/>
  <c r="I1145" i="3"/>
  <c r="H1145" i="3"/>
  <c r="G1145" i="3"/>
  <c r="F1145" i="3"/>
  <c r="K1144" i="3"/>
  <c r="J1144" i="3"/>
  <c r="I1144" i="3"/>
  <c r="H1144" i="3"/>
  <c r="G1144" i="3"/>
  <c r="F1144" i="3"/>
  <c r="K1143" i="3"/>
  <c r="J1143" i="3"/>
  <c r="I1143" i="3"/>
  <c r="H1143" i="3"/>
  <c r="G1143" i="3"/>
  <c r="F1143" i="3"/>
  <c r="K1142" i="3"/>
  <c r="J1142" i="3"/>
  <c r="I1142" i="3"/>
  <c r="H1142" i="3"/>
  <c r="G1142" i="3"/>
  <c r="F1142" i="3"/>
  <c r="K1141" i="3"/>
  <c r="J1141" i="3"/>
  <c r="I1141" i="3"/>
  <c r="H1141" i="3"/>
  <c r="G1141" i="3"/>
  <c r="F1141" i="3"/>
  <c r="K1140" i="3"/>
  <c r="J1140" i="3"/>
  <c r="I1140" i="3"/>
  <c r="H1140" i="3"/>
  <c r="G1140" i="3"/>
  <c r="F1140" i="3"/>
  <c r="K1139" i="3"/>
  <c r="J1139" i="3"/>
  <c r="I1139" i="3"/>
  <c r="H1139" i="3"/>
  <c r="G1139" i="3"/>
  <c r="F1139" i="3"/>
  <c r="K1138" i="3"/>
  <c r="J1138" i="3"/>
  <c r="I1138" i="3"/>
  <c r="H1138" i="3"/>
  <c r="G1138" i="3"/>
  <c r="F1138" i="3"/>
  <c r="K1137" i="3"/>
  <c r="J1137" i="3"/>
  <c r="I1137" i="3"/>
  <c r="H1137" i="3"/>
  <c r="G1137" i="3"/>
  <c r="F1137" i="3"/>
  <c r="K1136" i="3"/>
  <c r="J1136" i="3"/>
  <c r="I1136" i="3"/>
  <c r="H1136" i="3"/>
  <c r="G1136" i="3"/>
  <c r="F1136" i="3"/>
  <c r="K1135" i="3"/>
  <c r="J1135" i="3"/>
  <c r="I1135" i="3"/>
  <c r="H1135" i="3"/>
  <c r="G1135" i="3"/>
  <c r="F1135" i="3"/>
  <c r="K1134" i="3"/>
  <c r="J1134" i="3"/>
  <c r="I1134" i="3"/>
  <c r="H1134" i="3"/>
  <c r="G1134" i="3"/>
  <c r="F1134" i="3"/>
  <c r="K1133" i="3"/>
  <c r="J1133" i="3"/>
  <c r="I1133" i="3"/>
  <c r="H1133" i="3"/>
  <c r="G1133" i="3"/>
  <c r="F1133" i="3"/>
  <c r="K1132" i="3"/>
  <c r="J1132" i="3"/>
  <c r="I1132" i="3"/>
  <c r="H1132" i="3"/>
  <c r="G1132" i="3"/>
  <c r="F1132" i="3"/>
  <c r="K1131" i="3"/>
  <c r="J1131" i="3"/>
  <c r="I1131" i="3"/>
  <c r="H1131" i="3"/>
  <c r="G1131" i="3"/>
  <c r="F1131" i="3"/>
  <c r="K1130" i="3"/>
  <c r="J1130" i="3"/>
  <c r="I1130" i="3"/>
  <c r="H1130" i="3"/>
  <c r="G1130" i="3"/>
  <c r="F1130" i="3"/>
  <c r="K1129" i="3"/>
  <c r="J1129" i="3"/>
  <c r="I1129" i="3"/>
  <c r="H1129" i="3"/>
  <c r="G1129" i="3"/>
  <c r="F1129" i="3"/>
  <c r="K1128" i="3"/>
  <c r="J1128" i="3"/>
  <c r="I1128" i="3"/>
  <c r="H1128" i="3"/>
  <c r="G1128" i="3"/>
  <c r="F1128" i="3"/>
  <c r="K1127" i="3"/>
  <c r="J1127" i="3"/>
  <c r="I1127" i="3"/>
  <c r="H1127" i="3"/>
  <c r="G1127" i="3"/>
  <c r="F1127" i="3"/>
  <c r="K1126" i="3"/>
  <c r="J1126" i="3"/>
  <c r="I1126" i="3"/>
  <c r="H1126" i="3"/>
  <c r="G1126" i="3"/>
  <c r="F1126" i="3"/>
  <c r="K1125" i="3"/>
  <c r="J1125" i="3"/>
  <c r="I1125" i="3"/>
  <c r="H1125" i="3"/>
  <c r="G1125" i="3"/>
  <c r="F1125" i="3"/>
  <c r="K1124" i="3"/>
  <c r="J1124" i="3"/>
  <c r="I1124" i="3"/>
  <c r="H1124" i="3"/>
  <c r="G1124" i="3"/>
  <c r="F1124" i="3"/>
  <c r="K1123" i="3"/>
  <c r="J1123" i="3"/>
  <c r="I1123" i="3"/>
  <c r="H1123" i="3"/>
  <c r="G1123" i="3"/>
  <c r="F1123" i="3"/>
  <c r="K1122" i="3"/>
  <c r="J1122" i="3"/>
  <c r="I1122" i="3"/>
  <c r="H1122" i="3"/>
  <c r="G1122" i="3"/>
  <c r="F1122" i="3"/>
  <c r="K1121" i="3"/>
  <c r="J1121" i="3"/>
  <c r="I1121" i="3"/>
  <c r="H1121" i="3"/>
  <c r="G1121" i="3"/>
  <c r="F1121" i="3"/>
  <c r="K1120" i="3"/>
  <c r="J1120" i="3"/>
  <c r="I1120" i="3"/>
  <c r="H1120" i="3"/>
  <c r="G1120" i="3"/>
  <c r="F1120" i="3"/>
  <c r="K1119" i="3"/>
  <c r="J1119" i="3"/>
  <c r="I1119" i="3"/>
  <c r="H1119" i="3"/>
  <c r="G1119" i="3"/>
  <c r="F1119" i="3"/>
  <c r="K1118" i="3"/>
  <c r="J1118" i="3"/>
  <c r="I1118" i="3"/>
  <c r="H1118" i="3"/>
  <c r="G1118" i="3"/>
  <c r="F1118" i="3"/>
  <c r="K1117" i="3"/>
  <c r="J1117" i="3"/>
  <c r="I1117" i="3"/>
  <c r="H1117" i="3"/>
  <c r="G1117" i="3"/>
  <c r="F1117" i="3"/>
  <c r="K1116" i="3"/>
  <c r="J1116" i="3"/>
  <c r="I1116" i="3"/>
  <c r="H1116" i="3"/>
  <c r="G1116" i="3"/>
  <c r="F1116" i="3"/>
  <c r="K1115" i="3"/>
  <c r="J1115" i="3"/>
  <c r="I1115" i="3"/>
  <c r="H1115" i="3"/>
  <c r="G1115" i="3"/>
  <c r="F1115" i="3"/>
  <c r="K1114" i="3"/>
  <c r="J1114" i="3"/>
  <c r="I1114" i="3"/>
  <c r="H1114" i="3"/>
  <c r="G1114" i="3"/>
  <c r="F1114" i="3"/>
  <c r="K1113" i="3"/>
  <c r="J1113" i="3"/>
  <c r="I1113" i="3"/>
  <c r="H1113" i="3"/>
  <c r="G1113" i="3"/>
  <c r="F1113" i="3"/>
  <c r="K1112" i="3"/>
  <c r="J1112" i="3"/>
  <c r="I1112" i="3"/>
  <c r="H1112" i="3"/>
  <c r="G1112" i="3"/>
  <c r="F1112" i="3"/>
  <c r="K1111" i="3"/>
  <c r="J1111" i="3"/>
  <c r="I1111" i="3"/>
  <c r="H1111" i="3"/>
  <c r="G1111" i="3"/>
  <c r="F1111" i="3"/>
  <c r="K1110" i="3"/>
  <c r="J1110" i="3"/>
  <c r="I1110" i="3"/>
  <c r="H1110" i="3"/>
  <c r="G1110" i="3"/>
  <c r="F1110" i="3"/>
  <c r="K1109" i="3"/>
  <c r="J1109" i="3"/>
  <c r="I1109" i="3"/>
  <c r="H1109" i="3"/>
  <c r="G1109" i="3"/>
  <c r="F1109" i="3"/>
  <c r="K1108" i="3"/>
  <c r="J1108" i="3"/>
  <c r="I1108" i="3"/>
  <c r="H1108" i="3"/>
  <c r="G1108" i="3"/>
  <c r="F1108" i="3"/>
  <c r="K1107" i="3"/>
  <c r="J1107" i="3"/>
  <c r="I1107" i="3"/>
  <c r="H1107" i="3"/>
  <c r="G1107" i="3"/>
  <c r="F1107" i="3"/>
  <c r="K1106" i="3"/>
  <c r="J1106" i="3"/>
  <c r="I1106" i="3"/>
  <c r="H1106" i="3"/>
  <c r="G1106" i="3"/>
  <c r="F1106" i="3"/>
  <c r="K1105" i="3"/>
  <c r="J1105" i="3"/>
  <c r="I1105" i="3"/>
  <c r="H1105" i="3"/>
  <c r="G1105" i="3"/>
  <c r="F1105" i="3"/>
  <c r="K1104" i="3"/>
  <c r="J1104" i="3"/>
  <c r="I1104" i="3"/>
  <c r="H1104" i="3"/>
  <c r="G1104" i="3"/>
  <c r="F1104" i="3"/>
  <c r="K1103" i="3"/>
  <c r="J1103" i="3"/>
  <c r="I1103" i="3"/>
  <c r="H1103" i="3"/>
  <c r="G1103" i="3"/>
  <c r="F1103" i="3"/>
  <c r="K1102" i="3"/>
  <c r="J1102" i="3"/>
  <c r="I1102" i="3"/>
  <c r="H1102" i="3"/>
  <c r="G1102" i="3"/>
  <c r="F1102" i="3"/>
  <c r="K1101" i="3"/>
  <c r="J1101" i="3"/>
  <c r="I1101" i="3"/>
  <c r="H1101" i="3"/>
  <c r="G1101" i="3"/>
  <c r="F1101" i="3"/>
  <c r="K1100" i="3"/>
  <c r="J1100" i="3"/>
  <c r="I1100" i="3"/>
  <c r="H1100" i="3"/>
  <c r="G1100" i="3"/>
  <c r="F1100" i="3"/>
  <c r="K1099" i="3"/>
  <c r="J1099" i="3"/>
  <c r="I1099" i="3"/>
  <c r="H1099" i="3"/>
  <c r="G1099" i="3"/>
  <c r="F1099" i="3"/>
  <c r="K1098" i="3"/>
  <c r="J1098" i="3"/>
  <c r="I1098" i="3"/>
  <c r="H1098" i="3"/>
  <c r="G1098" i="3"/>
  <c r="F1098" i="3"/>
  <c r="K1097" i="3"/>
  <c r="J1097" i="3"/>
  <c r="I1097" i="3"/>
  <c r="H1097" i="3"/>
  <c r="G1097" i="3"/>
  <c r="F1097" i="3"/>
  <c r="K1096" i="3"/>
  <c r="J1096" i="3"/>
  <c r="I1096" i="3"/>
  <c r="H1096" i="3"/>
  <c r="G1096" i="3"/>
  <c r="F1096" i="3"/>
  <c r="K1095" i="3"/>
  <c r="J1095" i="3"/>
  <c r="I1095" i="3"/>
  <c r="H1095" i="3"/>
  <c r="G1095" i="3"/>
  <c r="F1095" i="3"/>
  <c r="K1094" i="3"/>
  <c r="J1094" i="3"/>
  <c r="I1094" i="3"/>
  <c r="H1094" i="3"/>
  <c r="G1094" i="3"/>
  <c r="F1094" i="3"/>
  <c r="K1093" i="3"/>
  <c r="J1093" i="3"/>
  <c r="I1093" i="3"/>
  <c r="H1093" i="3"/>
  <c r="G1093" i="3"/>
  <c r="F1093" i="3"/>
  <c r="K1092" i="3"/>
  <c r="J1092" i="3"/>
  <c r="I1092" i="3"/>
  <c r="H1092" i="3"/>
  <c r="G1092" i="3"/>
  <c r="F1092" i="3"/>
  <c r="K1091" i="3"/>
  <c r="J1091" i="3"/>
  <c r="I1091" i="3"/>
  <c r="H1091" i="3"/>
  <c r="G1091" i="3"/>
  <c r="F1091" i="3"/>
  <c r="K1090" i="3"/>
  <c r="J1090" i="3"/>
  <c r="I1090" i="3"/>
  <c r="H1090" i="3"/>
  <c r="G1090" i="3"/>
  <c r="F1090" i="3"/>
  <c r="K1089" i="3"/>
  <c r="J1089" i="3"/>
  <c r="I1089" i="3"/>
  <c r="H1089" i="3"/>
  <c r="G1089" i="3"/>
  <c r="F1089" i="3"/>
  <c r="K1088" i="3"/>
  <c r="J1088" i="3"/>
  <c r="I1088" i="3"/>
  <c r="H1088" i="3"/>
  <c r="G1088" i="3"/>
  <c r="F1088" i="3"/>
  <c r="K1087" i="3"/>
  <c r="J1087" i="3"/>
  <c r="I1087" i="3"/>
  <c r="H1087" i="3"/>
  <c r="G1087" i="3"/>
  <c r="F1087" i="3"/>
  <c r="K1086" i="3"/>
  <c r="J1086" i="3"/>
  <c r="I1086" i="3"/>
  <c r="H1086" i="3"/>
  <c r="G1086" i="3"/>
  <c r="F1086" i="3"/>
  <c r="K1085" i="3"/>
  <c r="J1085" i="3"/>
  <c r="I1085" i="3"/>
  <c r="H1085" i="3"/>
  <c r="G1085" i="3"/>
  <c r="F1085" i="3"/>
  <c r="K1084" i="3"/>
  <c r="J1084" i="3"/>
  <c r="I1084" i="3"/>
  <c r="H1084" i="3"/>
  <c r="G1084" i="3"/>
  <c r="F1084" i="3"/>
  <c r="K1083" i="3"/>
  <c r="J1083" i="3"/>
  <c r="I1083" i="3"/>
  <c r="H1083" i="3"/>
  <c r="G1083" i="3"/>
  <c r="F1083" i="3"/>
  <c r="K1082" i="3"/>
  <c r="J1082" i="3"/>
  <c r="I1082" i="3"/>
  <c r="H1082" i="3"/>
  <c r="G1082" i="3"/>
  <c r="F1082" i="3"/>
  <c r="K1081" i="3"/>
  <c r="J1081" i="3"/>
  <c r="I1081" i="3"/>
  <c r="H1081" i="3"/>
  <c r="G1081" i="3"/>
  <c r="F1081" i="3"/>
  <c r="K1080" i="3"/>
  <c r="J1080" i="3"/>
  <c r="I1080" i="3"/>
  <c r="H1080" i="3"/>
  <c r="G1080" i="3"/>
  <c r="F1080" i="3"/>
  <c r="K1079" i="3"/>
  <c r="J1079" i="3"/>
  <c r="I1079" i="3"/>
  <c r="H1079" i="3"/>
  <c r="G1079" i="3"/>
  <c r="F1079" i="3"/>
  <c r="K1078" i="3"/>
  <c r="J1078" i="3"/>
  <c r="I1078" i="3"/>
  <c r="H1078" i="3"/>
  <c r="G1078" i="3"/>
  <c r="F1078" i="3"/>
  <c r="K1077" i="3"/>
  <c r="J1077" i="3"/>
  <c r="I1077" i="3"/>
  <c r="H1077" i="3"/>
  <c r="G1077" i="3"/>
  <c r="F1077" i="3"/>
  <c r="K1076" i="3"/>
  <c r="J1076" i="3"/>
  <c r="I1076" i="3"/>
  <c r="H1076" i="3"/>
  <c r="G1076" i="3"/>
  <c r="F1076" i="3"/>
  <c r="K1075" i="3"/>
  <c r="J1075" i="3"/>
  <c r="I1075" i="3"/>
  <c r="H1075" i="3"/>
  <c r="G1075" i="3"/>
  <c r="F1075" i="3"/>
  <c r="K1074" i="3"/>
  <c r="J1074" i="3"/>
  <c r="I1074" i="3"/>
  <c r="H1074" i="3"/>
  <c r="G1074" i="3"/>
  <c r="F1074" i="3"/>
  <c r="K1073" i="3"/>
  <c r="J1073" i="3"/>
  <c r="I1073" i="3"/>
  <c r="H1073" i="3"/>
  <c r="G1073" i="3"/>
  <c r="F1073" i="3"/>
  <c r="K1072" i="3"/>
  <c r="J1072" i="3"/>
  <c r="I1072" i="3"/>
  <c r="H1072" i="3"/>
  <c r="G1072" i="3"/>
  <c r="F1072" i="3"/>
  <c r="K1071" i="3"/>
  <c r="J1071" i="3"/>
  <c r="I1071" i="3"/>
  <c r="H1071" i="3"/>
  <c r="G1071" i="3"/>
  <c r="F1071" i="3"/>
  <c r="K1070" i="3"/>
  <c r="J1070" i="3"/>
  <c r="I1070" i="3"/>
  <c r="H1070" i="3"/>
  <c r="G1070" i="3"/>
  <c r="F1070" i="3"/>
  <c r="K1069" i="3"/>
  <c r="J1069" i="3"/>
  <c r="I1069" i="3"/>
  <c r="H1069" i="3"/>
  <c r="G1069" i="3"/>
  <c r="F1069" i="3"/>
  <c r="K1068" i="3"/>
  <c r="J1068" i="3"/>
  <c r="I1068" i="3"/>
  <c r="H1068" i="3"/>
  <c r="G1068" i="3"/>
  <c r="F1068" i="3"/>
  <c r="K1067" i="3"/>
  <c r="J1067" i="3"/>
  <c r="I1067" i="3"/>
  <c r="H1067" i="3"/>
  <c r="G1067" i="3"/>
  <c r="F1067" i="3"/>
  <c r="K1066" i="3"/>
  <c r="J1066" i="3"/>
  <c r="I1066" i="3"/>
  <c r="H1066" i="3"/>
  <c r="G1066" i="3"/>
  <c r="F1066" i="3"/>
  <c r="K1065" i="3"/>
  <c r="J1065" i="3"/>
  <c r="I1065" i="3"/>
  <c r="H1065" i="3"/>
  <c r="G1065" i="3"/>
  <c r="F1065" i="3"/>
  <c r="K1064" i="3"/>
  <c r="J1064" i="3"/>
  <c r="I1064" i="3"/>
  <c r="H1064" i="3"/>
  <c r="G1064" i="3"/>
  <c r="F1064" i="3"/>
  <c r="K1063" i="3"/>
  <c r="J1063" i="3"/>
  <c r="I1063" i="3"/>
  <c r="H1063" i="3"/>
  <c r="G1063" i="3"/>
  <c r="F1063" i="3"/>
  <c r="K1062" i="3"/>
  <c r="J1062" i="3"/>
  <c r="I1062" i="3"/>
  <c r="H1062" i="3"/>
  <c r="G1062" i="3"/>
  <c r="F1062" i="3"/>
  <c r="K1061" i="3"/>
  <c r="J1061" i="3"/>
  <c r="I1061" i="3"/>
  <c r="H1061" i="3"/>
  <c r="G1061" i="3"/>
  <c r="F1061" i="3"/>
  <c r="K1060" i="3"/>
  <c r="J1060" i="3"/>
  <c r="I1060" i="3"/>
  <c r="H1060" i="3"/>
  <c r="G1060" i="3"/>
  <c r="F1060" i="3"/>
  <c r="K1059" i="3"/>
  <c r="J1059" i="3"/>
  <c r="I1059" i="3"/>
  <c r="H1059" i="3"/>
  <c r="G1059" i="3"/>
  <c r="F1059" i="3"/>
  <c r="K1058" i="3"/>
  <c r="J1058" i="3"/>
  <c r="I1058" i="3"/>
  <c r="H1058" i="3"/>
  <c r="G1058" i="3"/>
  <c r="F1058" i="3"/>
  <c r="K1057" i="3"/>
  <c r="J1057" i="3"/>
  <c r="I1057" i="3"/>
  <c r="H1057" i="3"/>
  <c r="G1057" i="3"/>
  <c r="F1057" i="3"/>
  <c r="K1056" i="3"/>
  <c r="J1056" i="3"/>
  <c r="I1056" i="3"/>
  <c r="H1056" i="3"/>
  <c r="G1056" i="3"/>
  <c r="F1056" i="3"/>
  <c r="K1055" i="3"/>
  <c r="J1055" i="3"/>
  <c r="I1055" i="3"/>
  <c r="H1055" i="3"/>
  <c r="G1055" i="3"/>
  <c r="F1055" i="3"/>
  <c r="K1054" i="3"/>
  <c r="J1054" i="3"/>
  <c r="I1054" i="3"/>
  <c r="H1054" i="3"/>
  <c r="G1054" i="3"/>
  <c r="F1054" i="3"/>
  <c r="K1053" i="3"/>
  <c r="J1053" i="3"/>
  <c r="I1053" i="3"/>
  <c r="H1053" i="3"/>
  <c r="G1053" i="3"/>
  <c r="F1053" i="3"/>
  <c r="K1052" i="3"/>
  <c r="J1052" i="3"/>
  <c r="I1052" i="3"/>
  <c r="H1052" i="3"/>
  <c r="G1052" i="3"/>
  <c r="F1052" i="3"/>
  <c r="K1051" i="3"/>
  <c r="J1051" i="3"/>
  <c r="I1051" i="3"/>
  <c r="H1051" i="3"/>
  <c r="G1051" i="3"/>
  <c r="F1051" i="3"/>
  <c r="K1050" i="3"/>
  <c r="J1050" i="3"/>
  <c r="I1050" i="3"/>
  <c r="H1050" i="3"/>
  <c r="G1050" i="3"/>
  <c r="F1050" i="3"/>
  <c r="K1049" i="3"/>
  <c r="J1049" i="3"/>
  <c r="I1049" i="3"/>
  <c r="H1049" i="3"/>
  <c r="G1049" i="3"/>
  <c r="F1049" i="3"/>
  <c r="K1048" i="3"/>
  <c r="J1048" i="3"/>
  <c r="I1048" i="3"/>
  <c r="H1048" i="3"/>
  <c r="G1048" i="3"/>
  <c r="F1048" i="3"/>
  <c r="K1047" i="3"/>
  <c r="J1047" i="3"/>
  <c r="I1047" i="3"/>
  <c r="H1047" i="3"/>
  <c r="G1047" i="3"/>
  <c r="F1047" i="3"/>
  <c r="K1046" i="3"/>
  <c r="J1046" i="3"/>
  <c r="I1046" i="3"/>
  <c r="H1046" i="3"/>
  <c r="G1046" i="3"/>
  <c r="F1046" i="3"/>
  <c r="K1045" i="3"/>
  <c r="J1045" i="3"/>
  <c r="I1045" i="3"/>
  <c r="H1045" i="3"/>
  <c r="G1045" i="3"/>
  <c r="F1045" i="3"/>
  <c r="K1044" i="3"/>
  <c r="J1044" i="3"/>
  <c r="I1044" i="3"/>
  <c r="H1044" i="3"/>
  <c r="G1044" i="3"/>
  <c r="F1044" i="3"/>
  <c r="K1043" i="3"/>
  <c r="J1043" i="3"/>
  <c r="I1043" i="3"/>
  <c r="H1043" i="3"/>
  <c r="G1043" i="3"/>
  <c r="F1043" i="3"/>
  <c r="K1042" i="3"/>
  <c r="J1042" i="3"/>
  <c r="I1042" i="3"/>
  <c r="H1042" i="3"/>
  <c r="G1042" i="3"/>
  <c r="F1042" i="3"/>
  <c r="K1041" i="3"/>
  <c r="J1041" i="3"/>
  <c r="I1041" i="3"/>
  <c r="H1041" i="3"/>
  <c r="G1041" i="3"/>
  <c r="F1041" i="3"/>
  <c r="K1040" i="3"/>
  <c r="J1040" i="3"/>
  <c r="I1040" i="3"/>
  <c r="H1040" i="3"/>
  <c r="G1040" i="3"/>
  <c r="F1040" i="3"/>
  <c r="K1039" i="3"/>
  <c r="J1039" i="3"/>
  <c r="I1039" i="3"/>
  <c r="H1039" i="3"/>
  <c r="G1039" i="3"/>
  <c r="F1039" i="3"/>
  <c r="K1038" i="3"/>
  <c r="J1038" i="3"/>
  <c r="I1038" i="3"/>
  <c r="H1038" i="3"/>
  <c r="G1038" i="3"/>
  <c r="F1038" i="3"/>
  <c r="K1037" i="3"/>
  <c r="J1037" i="3"/>
  <c r="I1037" i="3"/>
  <c r="H1037" i="3"/>
  <c r="G1037" i="3"/>
  <c r="F1037" i="3"/>
  <c r="K1036" i="3"/>
  <c r="J1036" i="3"/>
  <c r="I1036" i="3"/>
  <c r="H1036" i="3"/>
  <c r="G1036" i="3"/>
  <c r="F1036" i="3"/>
  <c r="K1035" i="3"/>
  <c r="J1035" i="3"/>
  <c r="I1035" i="3"/>
  <c r="H1035" i="3"/>
  <c r="G1035" i="3"/>
  <c r="F1035" i="3"/>
  <c r="K1034" i="3"/>
  <c r="J1034" i="3"/>
  <c r="I1034" i="3"/>
  <c r="H1034" i="3"/>
  <c r="G1034" i="3"/>
  <c r="F1034" i="3"/>
  <c r="K1033" i="3"/>
  <c r="J1033" i="3"/>
  <c r="I1033" i="3"/>
  <c r="H1033" i="3"/>
  <c r="G1033" i="3"/>
  <c r="F1033" i="3"/>
  <c r="K1032" i="3"/>
  <c r="J1032" i="3"/>
  <c r="I1032" i="3"/>
  <c r="H1032" i="3"/>
  <c r="G1032" i="3"/>
  <c r="F1032" i="3"/>
  <c r="K1031" i="3"/>
  <c r="J1031" i="3"/>
  <c r="I1031" i="3"/>
  <c r="H1031" i="3"/>
  <c r="G1031" i="3"/>
  <c r="F1031" i="3"/>
  <c r="K1030" i="3"/>
  <c r="J1030" i="3"/>
  <c r="I1030" i="3"/>
  <c r="H1030" i="3"/>
  <c r="G1030" i="3"/>
  <c r="F1030" i="3"/>
  <c r="K1029" i="3"/>
  <c r="J1029" i="3"/>
  <c r="I1029" i="3"/>
  <c r="H1029" i="3"/>
  <c r="G1029" i="3"/>
  <c r="F1029" i="3"/>
  <c r="K1028" i="3"/>
  <c r="J1028" i="3"/>
  <c r="I1028" i="3"/>
  <c r="H1028" i="3"/>
  <c r="G1028" i="3"/>
  <c r="F1028" i="3"/>
  <c r="K1027" i="3"/>
  <c r="J1027" i="3"/>
  <c r="I1027" i="3"/>
  <c r="H1027" i="3"/>
  <c r="G1027" i="3"/>
  <c r="F1027" i="3"/>
  <c r="K1026" i="3"/>
  <c r="J1026" i="3"/>
  <c r="I1026" i="3"/>
  <c r="H1026" i="3"/>
  <c r="G1026" i="3"/>
  <c r="F1026" i="3"/>
  <c r="K1025" i="3"/>
  <c r="J1025" i="3"/>
  <c r="I1025" i="3"/>
  <c r="H1025" i="3"/>
  <c r="G1025" i="3"/>
  <c r="F1025" i="3"/>
  <c r="K1024" i="3"/>
  <c r="J1024" i="3"/>
  <c r="I1024" i="3"/>
  <c r="H1024" i="3"/>
  <c r="G1024" i="3"/>
  <c r="F1024" i="3"/>
  <c r="K1023" i="3"/>
  <c r="J1023" i="3"/>
  <c r="I1023" i="3"/>
  <c r="H1023" i="3"/>
  <c r="G1023" i="3"/>
  <c r="F1023" i="3"/>
  <c r="K1022" i="3"/>
  <c r="J1022" i="3"/>
  <c r="I1022" i="3"/>
  <c r="H1022" i="3"/>
  <c r="G1022" i="3"/>
  <c r="F1022" i="3"/>
  <c r="K1021" i="3"/>
  <c r="J1021" i="3"/>
  <c r="I1021" i="3"/>
  <c r="H1021" i="3"/>
  <c r="G1021" i="3"/>
  <c r="F1021" i="3"/>
  <c r="K1020" i="3"/>
  <c r="J1020" i="3"/>
  <c r="I1020" i="3"/>
  <c r="H1020" i="3"/>
  <c r="G1020" i="3"/>
  <c r="F1020" i="3"/>
  <c r="K1019" i="3"/>
  <c r="J1019" i="3"/>
  <c r="I1019" i="3"/>
  <c r="H1019" i="3"/>
  <c r="G1019" i="3"/>
  <c r="F1019" i="3"/>
  <c r="K1018" i="3"/>
  <c r="J1018" i="3"/>
  <c r="I1018" i="3"/>
  <c r="H1018" i="3"/>
  <c r="G1018" i="3"/>
  <c r="F1018" i="3"/>
  <c r="K1017" i="3"/>
  <c r="J1017" i="3"/>
  <c r="I1017" i="3"/>
  <c r="H1017" i="3"/>
  <c r="G1017" i="3"/>
  <c r="F1017" i="3"/>
  <c r="K1016" i="3"/>
  <c r="J1016" i="3"/>
  <c r="I1016" i="3"/>
  <c r="H1016" i="3"/>
  <c r="G1016" i="3"/>
  <c r="F1016" i="3"/>
  <c r="K1015" i="3"/>
  <c r="J1015" i="3"/>
  <c r="I1015" i="3"/>
  <c r="H1015" i="3"/>
  <c r="G1015" i="3"/>
  <c r="F1015" i="3"/>
  <c r="K1014" i="3"/>
  <c r="J1014" i="3"/>
  <c r="I1014" i="3"/>
  <c r="H1014" i="3"/>
  <c r="G1014" i="3"/>
  <c r="F1014" i="3"/>
  <c r="K1013" i="3"/>
  <c r="J1013" i="3"/>
  <c r="I1013" i="3"/>
  <c r="H1013" i="3"/>
  <c r="G1013" i="3"/>
  <c r="F1013" i="3"/>
  <c r="K1012" i="3"/>
  <c r="J1012" i="3"/>
  <c r="I1012" i="3"/>
  <c r="H1012" i="3"/>
  <c r="G1012" i="3"/>
  <c r="F1012" i="3"/>
  <c r="K1011" i="3"/>
  <c r="J1011" i="3"/>
  <c r="I1011" i="3"/>
  <c r="H1011" i="3"/>
  <c r="G1011" i="3"/>
  <c r="F1011" i="3"/>
  <c r="K1010" i="3"/>
  <c r="J1010" i="3"/>
  <c r="I1010" i="3"/>
  <c r="H1010" i="3"/>
  <c r="G1010" i="3"/>
  <c r="F1010" i="3"/>
  <c r="K1009" i="3"/>
  <c r="J1009" i="3"/>
  <c r="I1009" i="3"/>
  <c r="H1009" i="3"/>
  <c r="G1009" i="3"/>
  <c r="F1009" i="3"/>
  <c r="K1008" i="3"/>
  <c r="J1008" i="3"/>
  <c r="I1008" i="3"/>
  <c r="H1008" i="3"/>
  <c r="G1008" i="3"/>
  <c r="F1008" i="3"/>
  <c r="K1007" i="3"/>
  <c r="J1007" i="3"/>
  <c r="I1007" i="3"/>
  <c r="H1007" i="3"/>
  <c r="G1007" i="3"/>
  <c r="F1007" i="3"/>
  <c r="K1006" i="3"/>
  <c r="J1006" i="3"/>
  <c r="I1006" i="3"/>
  <c r="H1006" i="3"/>
  <c r="G1006" i="3"/>
  <c r="F1006" i="3"/>
  <c r="K1005" i="3"/>
  <c r="J1005" i="3"/>
  <c r="I1005" i="3"/>
  <c r="H1005" i="3"/>
  <c r="G1005" i="3"/>
  <c r="F1005" i="3"/>
  <c r="K1004" i="3"/>
  <c r="J1004" i="3"/>
  <c r="I1004" i="3"/>
  <c r="H1004" i="3"/>
  <c r="G1004" i="3"/>
  <c r="F1004" i="3"/>
  <c r="K1003" i="3"/>
  <c r="J1003" i="3"/>
  <c r="I1003" i="3"/>
  <c r="H1003" i="3"/>
  <c r="G1003" i="3"/>
  <c r="F1003" i="3"/>
  <c r="K1002" i="3"/>
  <c r="J1002" i="3"/>
  <c r="I1002" i="3"/>
  <c r="H1002" i="3"/>
  <c r="G1002" i="3"/>
  <c r="F1002" i="3"/>
  <c r="K1001" i="3"/>
  <c r="J1001" i="3"/>
  <c r="I1001" i="3"/>
  <c r="H1001" i="3"/>
  <c r="G1001" i="3"/>
  <c r="F1001" i="3"/>
  <c r="K1000" i="3"/>
  <c r="J1000" i="3"/>
  <c r="I1000" i="3"/>
  <c r="H1000" i="3"/>
  <c r="G1000" i="3"/>
  <c r="F1000" i="3"/>
  <c r="K999" i="3"/>
  <c r="J999" i="3"/>
  <c r="I999" i="3"/>
  <c r="H999" i="3"/>
  <c r="G999" i="3"/>
  <c r="F999" i="3"/>
  <c r="K998" i="3"/>
  <c r="J998" i="3"/>
  <c r="I998" i="3"/>
  <c r="H998" i="3"/>
  <c r="G998" i="3"/>
  <c r="F998" i="3"/>
  <c r="K997" i="3"/>
  <c r="J997" i="3"/>
  <c r="I997" i="3"/>
  <c r="H997" i="3"/>
  <c r="G997" i="3"/>
  <c r="F997" i="3"/>
  <c r="K996" i="3"/>
  <c r="J996" i="3"/>
  <c r="I996" i="3"/>
  <c r="H996" i="3"/>
  <c r="G996" i="3"/>
  <c r="F996" i="3"/>
  <c r="K995" i="3"/>
  <c r="J995" i="3"/>
  <c r="I995" i="3"/>
  <c r="H995" i="3"/>
  <c r="G995" i="3"/>
  <c r="F995" i="3"/>
  <c r="K994" i="3"/>
  <c r="J994" i="3"/>
  <c r="I994" i="3"/>
  <c r="H994" i="3"/>
  <c r="G994" i="3"/>
  <c r="F994" i="3"/>
  <c r="K993" i="3"/>
  <c r="J993" i="3"/>
  <c r="I993" i="3"/>
  <c r="H993" i="3"/>
  <c r="G993" i="3"/>
  <c r="F993" i="3"/>
  <c r="K992" i="3"/>
  <c r="J992" i="3"/>
  <c r="I992" i="3"/>
  <c r="H992" i="3"/>
  <c r="G992" i="3"/>
  <c r="F992" i="3"/>
  <c r="K991" i="3"/>
  <c r="J991" i="3"/>
  <c r="I991" i="3"/>
  <c r="H991" i="3"/>
  <c r="G991" i="3"/>
  <c r="F991" i="3"/>
  <c r="K990" i="3"/>
  <c r="J990" i="3"/>
  <c r="I990" i="3"/>
  <c r="H990" i="3"/>
  <c r="G990" i="3"/>
  <c r="F990" i="3"/>
  <c r="K989" i="3"/>
  <c r="J989" i="3"/>
  <c r="I989" i="3"/>
  <c r="H989" i="3"/>
  <c r="G989" i="3"/>
  <c r="F989" i="3"/>
  <c r="K988" i="3"/>
  <c r="J988" i="3"/>
  <c r="I988" i="3"/>
  <c r="H988" i="3"/>
  <c r="G988" i="3"/>
  <c r="F988" i="3"/>
  <c r="K987" i="3"/>
  <c r="J987" i="3"/>
  <c r="I987" i="3"/>
  <c r="H987" i="3"/>
  <c r="G987" i="3"/>
  <c r="F987" i="3"/>
  <c r="K986" i="3"/>
  <c r="J986" i="3"/>
  <c r="I986" i="3"/>
  <c r="H986" i="3"/>
  <c r="G986" i="3"/>
  <c r="F986" i="3"/>
  <c r="K985" i="3"/>
  <c r="J985" i="3"/>
  <c r="I985" i="3"/>
  <c r="H985" i="3"/>
  <c r="G985" i="3"/>
  <c r="F985" i="3"/>
  <c r="K984" i="3"/>
  <c r="J984" i="3"/>
  <c r="I984" i="3"/>
  <c r="H984" i="3"/>
  <c r="G984" i="3"/>
  <c r="F984" i="3"/>
  <c r="K983" i="3"/>
  <c r="J983" i="3"/>
  <c r="I983" i="3"/>
  <c r="H983" i="3"/>
  <c r="G983" i="3"/>
  <c r="F983" i="3"/>
  <c r="K982" i="3"/>
  <c r="J982" i="3"/>
  <c r="I982" i="3"/>
  <c r="H982" i="3"/>
  <c r="G982" i="3"/>
  <c r="F982" i="3"/>
  <c r="K981" i="3"/>
  <c r="J981" i="3"/>
  <c r="I981" i="3"/>
  <c r="H981" i="3"/>
  <c r="G981" i="3"/>
  <c r="F981" i="3"/>
  <c r="K980" i="3"/>
  <c r="J980" i="3"/>
  <c r="I980" i="3"/>
  <c r="H980" i="3"/>
  <c r="G980" i="3"/>
  <c r="F980" i="3"/>
  <c r="K979" i="3"/>
  <c r="J979" i="3"/>
  <c r="I979" i="3"/>
  <c r="H979" i="3"/>
  <c r="G979" i="3"/>
  <c r="F979" i="3"/>
  <c r="K978" i="3"/>
  <c r="J978" i="3"/>
  <c r="I978" i="3"/>
  <c r="H978" i="3"/>
  <c r="G978" i="3"/>
  <c r="F978" i="3"/>
  <c r="K977" i="3"/>
  <c r="J977" i="3"/>
  <c r="I977" i="3"/>
  <c r="H977" i="3"/>
  <c r="G977" i="3"/>
  <c r="F977" i="3"/>
  <c r="K976" i="3"/>
  <c r="J976" i="3"/>
  <c r="I976" i="3"/>
  <c r="H976" i="3"/>
  <c r="G976" i="3"/>
  <c r="F976" i="3"/>
  <c r="K975" i="3"/>
  <c r="J975" i="3"/>
  <c r="I975" i="3"/>
  <c r="H975" i="3"/>
  <c r="G975" i="3"/>
  <c r="F975" i="3"/>
  <c r="K974" i="3"/>
  <c r="J974" i="3"/>
  <c r="I974" i="3"/>
  <c r="H974" i="3"/>
  <c r="G974" i="3"/>
  <c r="F974" i="3"/>
  <c r="K973" i="3"/>
  <c r="J973" i="3"/>
  <c r="I973" i="3"/>
  <c r="H973" i="3"/>
  <c r="G973" i="3"/>
  <c r="F973" i="3"/>
  <c r="K972" i="3"/>
  <c r="J972" i="3"/>
  <c r="I972" i="3"/>
  <c r="H972" i="3"/>
  <c r="G972" i="3"/>
  <c r="F972" i="3"/>
  <c r="K971" i="3"/>
  <c r="J971" i="3"/>
  <c r="I971" i="3"/>
  <c r="H971" i="3"/>
  <c r="G971" i="3"/>
  <c r="F971" i="3"/>
  <c r="K970" i="3"/>
  <c r="J970" i="3"/>
  <c r="I970" i="3"/>
  <c r="H970" i="3"/>
  <c r="G970" i="3"/>
  <c r="F970" i="3"/>
  <c r="K969" i="3"/>
  <c r="J969" i="3"/>
  <c r="I969" i="3"/>
  <c r="H969" i="3"/>
  <c r="G969" i="3"/>
  <c r="F969" i="3"/>
  <c r="K968" i="3"/>
  <c r="J968" i="3"/>
  <c r="I968" i="3"/>
  <c r="H968" i="3"/>
  <c r="G968" i="3"/>
  <c r="F968" i="3"/>
  <c r="K967" i="3"/>
  <c r="J967" i="3"/>
  <c r="I967" i="3"/>
  <c r="H967" i="3"/>
  <c r="G967" i="3"/>
  <c r="F967" i="3"/>
  <c r="K966" i="3"/>
  <c r="J966" i="3"/>
  <c r="I966" i="3"/>
  <c r="H966" i="3"/>
  <c r="G966" i="3"/>
  <c r="F966" i="3"/>
  <c r="K965" i="3"/>
  <c r="J965" i="3"/>
  <c r="I965" i="3"/>
  <c r="H965" i="3"/>
  <c r="G965" i="3"/>
  <c r="F965" i="3"/>
  <c r="K964" i="3"/>
  <c r="J964" i="3"/>
  <c r="I964" i="3"/>
  <c r="H964" i="3"/>
  <c r="G964" i="3"/>
  <c r="F964" i="3"/>
  <c r="K963" i="3"/>
  <c r="J963" i="3"/>
  <c r="I963" i="3"/>
  <c r="H963" i="3"/>
  <c r="G963" i="3"/>
  <c r="F963" i="3"/>
  <c r="K962" i="3"/>
  <c r="J962" i="3"/>
  <c r="I962" i="3"/>
  <c r="H962" i="3"/>
  <c r="G962" i="3"/>
  <c r="F962" i="3"/>
  <c r="K961" i="3"/>
  <c r="J961" i="3"/>
  <c r="I961" i="3"/>
  <c r="H961" i="3"/>
  <c r="G961" i="3"/>
  <c r="F961" i="3"/>
  <c r="K960" i="3"/>
  <c r="J960" i="3"/>
  <c r="I960" i="3"/>
  <c r="H960" i="3"/>
  <c r="G960" i="3"/>
  <c r="F960" i="3"/>
  <c r="K959" i="3"/>
  <c r="J959" i="3"/>
  <c r="I959" i="3"/>
  <c r="H959" i="3"/>
  <c r="G959" i="3"/>
  <c r="F959" i="3"/>
  <c r="K958" i="3"/>
  <c r="J958" i="3"/>
  <c r="I958" i="3"/>
  <c r="H958" i="3"/>
  <c r="G958" i="3"/>
  <c r="F958" i="3"/>
  <c r="K957" i="3"/>
  <c r="J957" i="3"/>
  <c r="I957" i="3"/>
  <c r="H957" i="3"/>
  <c r="G957" i="3"/>
  <c r="F957" i="3"/>
  <c r="K956" i="3"/>
  <c r="J956" i="3"/>
  <c r="I956" i="3"/>
  <c r="H956" i="3"/>
  <c r="G956" i="3"/>
  <c r="F956" i="3"/>
  <c r="K955" i="3"/>
  <c r="J955" i="3"/>
  <c r="I955" i="3"/>
  <c r="H955" i="3"/>
  <c r="G955" i="3"/>
  <c r="F955" i="3"/>
  <c r="K954" i="3"/>
  <c r="J954" i="3"/>
  <c r="I954" i="3"/>
  <c r="H954" i="3"/>
  <c r="G954" i="3"/>
  <c r="F954" i="3"/>
  <c r="K953" i="3"/>
  <c r="J953" i="3"/>
  <c r="I953" i="3"/>
  <c r="H953" i="3"/>
  <c r="G953" i="3"/>
  <c r="F953" i="3"/>
  <c r="K952" i="3"/>
  <c r="J952" i="3"/>
  <c r="I952" i="3"/>
  <c r="H952" i="3"/>
  <c r="G952" i="3"/>
  <c r="F952" i="3"/>
  <c r="K951" i="3"/>
  <c r="J951" i="3"/>
  <c r="I951" i="3"/>
  <c r="H951" i="3"/>
  <c r="G951" i="3"/>
  <c r="F951" i="3"/>
  <c r="K950" i="3"/>
  <c r="J950" i="3"/>
  <c r="I950" i="3"/>
  <c r="H950" i="3"/>
  <c r="G950" i="3"/>
  <c r="F950" i="3"/>
  <c r="K949" i="3"/>
  <c r="J949" i="3"/>
  <c r="I949" i="3"/>
  <c r="H949" i="3"/>
  <c r="G949" i="3"/>
  <c r="F949" i="3"/>
  <c r="K948" i="3"/>
  <c r="J948" i="3"/>
  <c r="I948" i="3"/>
  <c r="H948" i="3"/>
  <c r="G948" i="3"/>
  <c r="F948" i="3"/>
  <c r="K947" i="3"/>
  <c r="J947" i="3"/>
  <c r="I947" i="3"/>
  <c r="H947" i="3"/>
  <c r="G947" i="3"/>
  <c r="F947" i="3"/>
  <c r="K946" i="3"/>
  <c r="J946" i="3"/>
  <c r="I946" i="3"/>
  <c r="H946" i="3"/>
  <c r="G946" i="3"/>
  <c r="F946" i="3"/>
  <c r="K945" i="3"/>
  <c r="J945" i="3"/>
  <c r="I945" i="3"/>
  <c r="H945" i="3"/>
  <c r="G945" i="3"/>
  <c r="F945" i="3"/>
  <c r="K944" i="3"/>
  <c r="J944" i="3"/>
  <c r="I944" i="3"/>
  <c r="H944" i="3"/>
  <c r="G944" i="3"/>
  <c r="F944" i="3"/>
  <c r="K943" i="3"/>
  <c r="J943" i="3"/>
  <c r="I943" i="3"/>
  <c r="H943" i="3"/>
  <c r="G943" i="3"/>
  <c r="F943" i="3"/>
  <c r="K942" i="3"/>
  <c r="J942" i="3"/>
  <c r="I942" i="3"/>
  <c r="H942" i="3"/>
  <c r="G942" i="3"/>
  <c r="F942" i="3"/>
  <c r="K941" i="3"/>
  <c r="J941" i="3"/>
  <c r="I941" i="3"/>
  <c r="H941" i="3"/>
  <c r="G941" i="3"/>
  <c r="F941" i="3"/>
  <c r="K940" i="3"/>
  <c r="J940" i="3"/>
  <c r="I940" i="3"/>
  <c r="H940" i="3"/>
  <c r="G940" i="3"/>
  <c r="F940" i="3"/>
  <c r="K939" i="3"/>
  <c r="J939" i="3"/>
  <c r="I939" i="3"/>
  <c r="H939" i="3"/>
  <c r="G939" i="3"/>
  <c r="F939" i="3"/>
  <c r="K938" i="3"/>
  <c r="J938" i="3"/>
  <c r="I938" i="3"/>
  <c r="H938" i="3"/>
  <c r="G938" i="3"/>
  <c r="F938" i="3"/>
  <c r="K937" i="3"/>
  <c r="J937" i="3"/>
  <c r="I937" i="3"/>
  <c r="H937" i="3"/>
  <c r="G937" i="3"/>
  <c r="F937" i="3"/>
  <c r="K936" i="3"/>
  <c r="J936" i="3"/>
  <c r="I936" i="3"/>
  <c r="H936" i="3"/>
  <c r="G936" i="3"/>
  <c r="F936" i="3"/>
  <c r="K935" i="3"/>
  <c r="J935" i="3"/>
  <c r="I935" i="3"/>
  <c r="H935" i="3"/>
  <c r="G935" i="3"/>
  <c r="F935" i="3"/>
  <c r="K934" i="3"/>
  <c r="J934" i="3"/>
  <c r="I934" i="3"/>
  <c r="H934" i="3"/>
  <c r="G934" i="3"/>
  <c r="F934" i="3"/>
  <c r="K933" i="3"/>
  <c r="J933" i="3"/>
  <c r="I933" i="3"/>
  <c r="H933" i="3"/>
  <c r="G933" i="3"/>
  <c r="F933" i="3"/>
  <c r="K932" i="3"/>
  <c r="J932" i="3"/>
  <c r="I932" i="3"/>
  <c r="H932" i="3"/>
  <c r="G932" i="3"/>
  <c r="F932" i="3"/>
  <c r="K931" i="3"/>
  <c r="J931" i="3"/>
  <c r="I931" i="3"/>
  <c r="H931" i="3"/>
  <c r="G931" i="3"/>
  <c r="F931" i="3"/>
  <c r="K930" i="3"/>
  <c r="J930" i="3"/>
  <c r="I930" i="3"/>
  <c r="H930" i="3"/>
  <c r="G930" i="3"/>
  <c r="F930" i="3"/>
  <c r="K929" i="3"/>
  <c r="J929" i="3"/>
  <c r="I929" i="3"/>
  <c r="H929" i="3"/>
  <c r="G929" i="3"/>
  <c r="F929" i="3"/>
  <c r="K928" i="3"/>
  <c r="J928" i="3"/>
  <c r="I928" i="3"/>
  <c r="H928" i="3"/>
  <c r="G928" i="3"/>
  <c r="F928" i="3"/>
  <c r="K927" i="3"/>
  <c r="J927" i="3"/>
  <c r="I927" i="3"/>
  <c r="H927" i="3"/>
  <c r="G927" i="3"/>
  <c r="F927" i="3"/>
  <c r="K926" i="3"/>
  <c r="J926" i="3"/>
  <c r="I926" i="3"/>
  <c r="H926" i="3"/>
  <c r="G926" i="3"/>
  <c r="F926" i="3"/>
  <c r="K925" i="3"/>
  <c r="J925" i="3"/>
  <c r="I925" i="3"/>
  <c r="H925" i="3"/>
  <c r="G925" i="3"/>
  <c r="F925" i="3"/>
  <c r="K924" i="3"/>
  <c r="J924" i="3"/>
  <c r="I924" i="3"/>
  <c r="H924" i="3"/>
  <c r="G924" i="3"/>
  <c r="F924" i="3"/>
  <c r="K923" i="3"/>
  <c r="J923" i="3"/>
  <c r="I923" i="3"/>
  <c r="H923" i="3"/>
  <c r="G923" i="3"/>
  <c r="F923" i="3"/>
  <c r="K922" i="3"/>
  <c r="J922" i="3"/>
  <c r="I922" i="3"/>
  <c r="H922" i="3"/>
  <c r="G922" i="3"/>
  <c r="F922" i="3"/>
  <c r="K921" i="3"/>
  <c r="J921" i="3"/>
  <c r="I921" i="3"/>
  <c r="H921" i="3"/>
  <c r="G921" i="3"/>
  <c r="F921" i="3"/>
  <c r="K920" i="3"/>
  <c r="J920" i="3"/>
  <c r="I920" i="3"/>
  <c r="H920" i="3"/>
  <c r="G920" i="3"/>
  <c r="F920" i="3"/>
  <c r="K919" i="3"/>
  <c r="J919" i="3"/>
  <c r="I919" i="3"/>
  <c r="H919" i="3"/>
  <c r="G919" i="3"/>
  <c r="F919" i="3"/>
  <c r="K918" i="3"/>
  <c r="J918" i="3"/>
  <c r="I918" i="3"/>
  <c r="H918" i="3"/>
  <c r="G918" i="3"/>
  <c r="F918" i="3"/>
  <c r="K917" i="3"/>
  <c r="J917" i="3"/>
  <c r="I917" i="3"/>
  <c r="H917" i="3"/>
  <c r="G917" i="3"/>
  <c r="F917" i="3"/>
  <c r="K916" i="3"/>
  <c r="J916" i="3"/>
  <c r="I916" i="3"/>
  <c r="H916" i="3"/>
  <c r="G916" i="3"/>
  <c r="F916" i="3"/>
  <c r="K915" i="3"/>
  <c r="J915" i="3"/>
  <c r="I915" i="3"/>
  <c r="H915" i="3"/>
  <c r="G915" i="3"/>
  <c r="F915" i="3"/>
  <c r="K914" i="3"/>
  <c r="J914" i="3"/>
  <c r="I914" i="3"/>
  <c r="H914" i="3"/>
  <c r="G914" i="3"/>
  <c r="F914" i="3"/>
  <c r="K913" i="3"/>
  <c r="J913" i="3"/>
  <c r="I913" i="3"/>
  <c r="H913" i="3"/>
  <c r="G913" i="3"/>
  <c r="F913" i="3"/>
  <c r="K912" i="3"/>
  <c r="J912" i="3"/>
  <c r="I912" i="3"/>
  <c r="H912" i="3"/>
  <c r="G912" i="3"/>
  <c r="F912" i="3"/>
  <c r="K911" i="3"/>
  <c r="J911" i="3"/>
  <c r="I911" i="3"/>
  <c r="H911" i="3"/>
  <c r="G911" i="3"/>
  <c r="F911" i="3"/>
  <c r="K910" i="3"/>
  <c r="J910" i="3"/>
  <c r="I910" i="3"/>
  <c r="H910" i="3"/>
  <c r="G910" i="3"/>
  <c r="F910" i="3"/>
  <c r="K909" i="3"/>
  <c r="J909" i="3"/>
  <c r="I909" i="3"/>
  <c r="H909" i="3"/>
  <c r="G909" i="3"/>
  <c r="F909" i="3"/>
  <c r="K908" i="3"/>
  <c r="J908" i="3"/>
  <c r="I908" i="3"/>
  <c r="H908" i="3"/>
  <c r="G908" i="3"/>
  <c r="F908" i="3"/>
  <c r="K907" i="3"/>
  <c r="J907" i="3"/>
  <c r="I907" i="3"/>
  <c r="H907" i="3"/>
  <c r="G907" i="3"/>
  <c r="F907" i="3"/>
  <c r="K906" i="3"/>
  <c r="J906" i="3"/>
  <c r="I906" i="3"/>
  <c r="H906" i="3"/>
  <c r="G906" i="3"/>
  <c r="F906" i="3"/>
  <c r="K905" i="3"/>
  <c r="J905" i="3"/>
  <c r="I905" i="3"/>
  <c r="H905" i="3"/>
  <c r="G905" i="3"/>
  <c r="F905" i="3"/>
  <c r="K904" i="3"/>
  <c r="J904" i="3"/>
  <c r="I904" i="3"/>
  <c r="H904" i="3"/>
  <c r="G904" i="3"/>
  <c r="F904" i="3"/>
  <c r="K903" i="3"/>
  <c r="J903" i="3"/>
  <c r="I903" i="3"/>
  <c r="H903" i="3"/>
  <c r="G903" i="3"/>
  <c r="F903" i="3"/>
  <c r="K902" i="3"/>
  <c r="J902" i="3"/>
  <c r="I902" i="3"/>
  <c r="H902" i="3"/>
  <c r="G902" i="3"/>
  <c r="F902" i="3"/>
  <c r="K901" i="3"/>
  <c r="J901" i="3"/>
  <c r="I901" i="3"/>
  <c r="H901" i="3"/>
  <c r="G901" i="3"/>
  <c r="F901" i="3"/>
  <c r="K900" i="3"/>
  <c r="J900" i="3"/>
  <c r="I900" i="3"/>
  <c r="H900" i="3"/>
  <c r="G900" i="3"/>
  <c r="F900" i="3"/>
  <c r="K899" i="3"/>
  <c r="J899" i="3"/>
  <c r="I899" i="3"/>
  <c r="H899" i="3"/>
  <c r="G899" i="3"/>
  <c r="F899" i="3"/>
  <c r="K898" i="3"/>
  <c r="J898" i="3"/>
  <c r="I898" i="3"/>
  <c r="H898" i="3"/>
  <c r="G898" i="3"/>
  <c r="F898" i="3"/>
  <c r="K897" i="3"/>
  <c r="J897" i="3"/>
  <c r="I897" i="3"/>
  <c r="H897" i="3"/>
  <c r="G897" i="3"/>
  <c r="F897" i="3"/>
  <c r="K896" i="3"/>
  <c r="J896" i="3"/>
  <c r="I896" i="3"/>
  <c r="H896" i="3"/>
  <c r="G896" i="3"/>
  <c r="F896" i="3"/>
  <c r="K895" i="3"/>
  <c r="J895" i="3"/>
  <c r="I895" i="3"/>
  <c r="H895" i="3"/>
  <c r="G895" i="3"/>
  <c r="F895" i="3"/>
  <c r="K894" i="3"/>
  <c r="J894" i="3"/>
  <c r="I894" i="3"/>
  <c r="H894" i="3"/>
  <c r="G894" i="3"/>
  <c r="F894" i="3"/>
  <c r="K893" i="3"/>
  <c r="J893" i="3"/>
  <c r="I893" i="3"/>
  <c r="H893" i="3"/>
  <c r="G893" i="3"/>
  <c r="F893" i="3"/>
  <c r="K892" i="3"/>
  <c r="J892" i="3"/>
  <c r="I892" i="3"/>
  <c r="H892" i="3"/>
  <c r="G892" i="3"/>
  <c r="F892" i="3"/>
  <c r="K891" i="3"/>
  <c r="J891" i="3"/>
  <c r="I891" i="3"/>
  <c r="H891" i="3"/>
  <c r="G891" i="3"/>
  <c r="F891" i="3"/>
  <c r="K890" i="3"/>
  <c r="J890" i="3"/>
  <c r="I890" i="3"/>
  <c r="H890" i="3"/>
  <c r="G890" i="3"/>
  <c r="F890" i="3"/>
  <c r="K889" i="3"/>
  <c r="J889" i="3"/>
  <c r="I889" i="3"/>
  <c r="H889" i="3"/>
  <c r="G889" i="3"/>
  <c r="F889" i="3"/>
  <c r="K888" i="3"/>
  <c r="J888" i="3"/>
  <c r="I888" i="3"/>
  <c r="H888" i="3"/>
  <c r="G888" i="3"/>
  <c r="F888" i="3"/>
  <c r="K887" i="3"/>
  <c r="J887" i="3"/>
  <c r="I887" i="3"/>
  <c r="H887" i="3"/>
  <c r="G887" i="3"/>
  <c r="F887" i="3"/>
  <c r="K886" i="3"/>
  <c r="J886" i="3"/>
  <c r="I886" i="3"/>
  <c r="H886" i="3"/>
  <c r="G886" i="3"/>
  <c r="F886" i="3"/>
  <c r="K885" i="3"/>
  <c r="J885" i="3"/>
  <c r="I885" i="3"/>
  <c r="H885" i="3"/>
  <c r="G885" i="3"/>
  <c r="F885" i="3"/>
  <c r="K884" i="3"/>
  <c r="J884" i="3"/>
  <c r="I884" i="3"/>
  <c r="H884" i="3"/>
  <c r="G884" i="3"/>
  <c r="F884" i="3"/>
  <c r="K883" i="3"/>
  <c r="J883" i="3"/>
  <c r="I883" i="3"/>
  <c r="H883" i="3"/>
  <c r="G883" i="3"/>
  <c r="F883" i="3"/>
  <c r="K882" i="3"/>
  <c r="J882" i="3"/>
  <c r="I882" i="3"/>
  <c r="H882" i="3"/>
  <c r="G882" i="3"/>
  <c r="F882" i="3"/>
  <c r="K881" i="3"/>
  <c r="J881" i="3"/>
  <c r="I881" i="3"/>
  <c r="H881" i="3"/>
  <c r="G881" i="3"/>
  <c r="F881" i="3"/>
  <c r="K880" i="3"/>
  <c r="J880" i="3"/>
  <c r="I880" i="3"/>
  <c r="H880" i="3"/>
  <c r="G880" i="3"/>
  <c r="F880" i="3"/>
  <c r="K879" i="3"/>
  <c r="J879" i="3"/>
  <c r="I879" i="3"/>
  <c r="H879" i="3"/>
  <c r="G879" i="3"/>
  <c r="F879" i="3"/>
  <c r="K878" i="3"/>
  <c r="J878" i="3"/>
  <c r="I878" i="3"/>
  <c r="H878" i="3"/>
  <c r="G878" i="3"/>
  <c r="F878" i="3"/>
  <c r="K877" i="3"/>
  <c r="J877" i="3"/>
  <c r="I877" i="3"/>
  <c r="H877" i="3"/>
  <c r="G877" i="3"/>
  <c r="F877" i="3"/>
  <c r="K876" i="3"/>
  <c r="J876" i="3"/>
  <c r="I876" i="3"/>
  <c r="H876" i="3"/>
  <c r="G876" i="3"/>
  <c r="F876" i="3"/>
  <c r="K875" i="3"/>
  <c r="J875" i="3"/>
  <c r="I875" i="3"/>
  <c r="H875" i="3"/>
  <c r="G875" i="3"/>
  <c r="F875" i="3"/>
  <c r="K874" i="3"/>
  <c r="J874" i="3"/>
  <c r="I874" i="3"/>
  <c r="H874" i="3"/>
  <c r="G874" i="3"/>
  <c r="F874" i="3"/>
  <c r="K873" i="3"/>
  <c r="J873" i="3"/>
  <c r="I873" i="3"/>
  <c r="H873" i="3"/>
  <c r="G873" i="3"/>
  <c r="F873" i="3"/>
  <c r="K872" i="3"/>
  <c r="J872" i="3"/>
  <c r="I872" i="3"/>
  <c r="H872" i="3"/>
  <c r="G872" i="3"/>
  <c r="F872" i="3"/>
  <c r="K871" i="3"/>
  <c r="J871" i="3"/>
  <c r="I871" i="3"/>
  <c r="H871" i="3"/>
  <c r="G871" i="3"/>
  <c r="F871" i="3"/>
  <c r="K870" i="3"/>
  <c r="J870" i="3"/>
  <c r="I870" i="3"/>
  <c r="H870" i="3"/>
  <c r="G870" i="3"/>
  <c r="F870" i="3"/>
  <c r="K869" i="3"/>
  <c r="J869" i="3"/>
  <c r="I869" i="3"/>
  <c r="H869" i="3"/>
  <c r="G869" i="3"/>
  <c r="F869" i="3"/>
  <c r="K868" i="3"/>
  <c r="J868" i="3"/>
  <c r="I868" i="3"/>
  <c r="H868" i="3"/>
  <c r="G868" i="3"/>
  <c r="F868" i="3"/>
  <c r="K867" i="3"/>
  <c r="J867" i="3"/>
  <c r="I867" i="3"/>
  <c r="H867" i="3"/>
  <c r="G867" i="3"/>
  <c r="F867" i="3"/>
  <c r="K866" i="3"/>
  <c r="J866" i="3"/>
  <c r="I866" i="3"/>
  <c r="H866" i="3"/>
  <c r="G866" i="3"/>
  <c r="F866" i="3"/>
  <c r="K865" i="3"/>
  <c r="J865" i="3"/>
  <c r="I865" i="3"/>
  <c r="H865" i="3"/>
  <c r="G865" i="3"/>
  <c r="F865" i="3"/>
  <c r="K864" i="3"/>
  <c r="J864" i="3"/>
  <c r="I864" i="3"/>
  <c r="H864" i="3"/>
  <c r="G864" i="3"/>
  <c r="F864" i="3"/>
  <c r="K863" i="3"/>
  <c r="J863" i="3"/>
  <c r="I863" i="3"/>
  <c r="H863" i="3"/>
  <c r="G863" i="3"/>
  <c r="F863" i="3"/>
  <c r="K862" i="3"/>
  <c r="J862" i="3"/>
  <c r="I862" i="3"/>
  <c r="H862" i="3"/>
  <c r="G862" i="3"/>
  <c r="F862" i="3"/>
  <c r="K861" i="3"/>
  <c r="J861" i="3"/>
  <c r="I861" i="3"/>
  <c r="H861" i="3"/>
  <c r="G861" i="3"/>
  <c r="F861" i="3"/>
  <c r="K860" i="3"/>
  <c r="J860" i="3"/>
  <c r="I860" i="3"/>
  <c r="H860" i="3"/>
  <c r="G860" i="3"/>
  <c r="F860" i="3"/>
  <c r="K859" i="3"/>
  <c r="J859" i="3"/>
  <c r="I859" i="3"/>
  <c r="H859" i="3"/>
  <c r="G859" i="3"/>
  <c r="F859" i="3"/>
  <c r="K858" i="3"/>
  <c r="J858" i="3"/>
  <c r="I858" i="3"/>
  <c r="H858" i="3"/>
  <c r="G858" i="3"/>
  <c r="F858" i="3"/>
  <c r="K857" i="3"/>
  <c r="J857" i="3"/>
  <c r="I857" i="3"/>
  <c r="H857" i="3"/>
  <c r="G857" i="3"/>
  <c r="F857" i="3"/>
  <c r="K856" i="3"/>
  <c r="J856" i="3"/>
  <c r="I856" i="3"/>
  <c r="H856" i="3"/>
  <c r="G856" i="3"/>
  <c r="F856" i="3"/>
  <c r="K855" i="3"/>
  <c r="J855" i="3"/>
  <c r="I855" i="3"/>
  <c r="H855" i="3"/>
  <c r="G855" i="3"/>
  <c r="F855" i="3"/>
  <c r="K854" i="3"/>
  <c r="J854" i="3"/>
  <c r="I854" i="3"/>
  <c r="H854" i="3"/>
  <c r="G854" i="3"/>
  <c r="F854" i="3"/>
  <c r="K853" i="3"/>
  <c r="J853" i="3"/>
  <c r="I853" i="3"/>
  <c r="H853" i="3"/>
  <c r="G853" i="3"/>
  <c r="F853" i="3"/>
  <c r="K852" i="3"/>
  <c r="J852" i="3"/>
  <c r="I852" i="3"/>
  <c r="H852" i="3"/>
  <c r="G852" i="3"/>
  <c r="F852" i="3"/>
  <c r="K851" i="3"/>
  <c r="J851" i="3"/>
  <c r="I851" i="3"/>
  <c r="H851" i="3"/>
  <c r="G851" i="3"/>
  <c r="F851" i="3"/>
  <c r="K850" i="3"/>
  <c r="J850" i="3"/>
  <c r="I850" i="3"/>
  <c r="H850" i="3"/>
  <c r="G850" i="3"/>
  <c r="F850" i="3"/>
  <c r="K849" i="3"/>
  <c r="J849" i="3"/>
  <c r="I849" i="3"/>
  <c r="H849" i="3"/>
  <c r="G849" i="3"/>
  <c r="F849" i="3"/>
  <c r="K848" i="3"/>
  <c r="J848" i="3"/>
  <c r="I848" i="3"/>
  <c r="H848" i="3"/>
  <c r="G848" i="3"/>
  <c r="F848" i="3"/>
  <c r="K847" i="3"/>
  <c r="J847" i="3"/>
  <c r="I847" i="3"/>
  <c r="H847" i="3"/>
  <c r="G847" i="3"/>
  <c r="F847" i="3"/>
  <c r="K846" i="3"/>
  <c r="J846" i="3"/>
  <c r="I846" i="3"/>
  <c r="H846" i="3"/>
  <c r="G846" i="3"/>
  <c r="F846" i="3"/>
  <c r="K845" i="3"/>
  <c r="J845" i="3"/>
  <c r="I845" i="3"/>
  <c r="H845" i="3"/>
  <c r="G845" i="3"/>
  <c r="F845" i="3"/>
  <c r="K844" i="3"/>
  <c r="J844" i="3"/>
  <c r="I844" i="3"/>
  <c r="H844" i="3"/>
  <c r="G844" i="3"/>
  <c r="F844" i="3"/>
  <c r="K843" i="3"/>
  <c r="J843" i="3"/>
  <c r="I843" i="3"/>
  <c r="H843" i="3"/>
  <c r="G843" i="3"/>
  <c r="F843" i="3"/>
  <c r="K842" i="3"/>
  <c r="J842" i="3"/>
  <c r="I842" i="3"/>
  <c r="H842" i="3"/>
  <c r="G842" i="3"/>
  <c r="F842" i="3"/>
  <c r="K841" i="3"/>
  <c r="J841" i="3"/>
  <c r="I841" i="3"/>
  <c r="H841" i="3"/>
  <c r="G841" i="3"/>
  <c r="F841" i="3"/>
  <c r="K840" i="3"/>
  <c r="J840" i="3"/>
  <c r="I840" i="3"/>
  <c r="H840" i="3"/>
  <c r="G840" i="3"/>
  <c r="F840" i="3"/>
  <c r="K839" i="3"/>
  <c r="J839" i="3"/>
  <c r="I839" i="3"/>
  <c r="H839" i="3"/>
  <c r="G839" i="3"/>
  <c r="F839" i="3"/>
  <c r="K838" i="3"/>
  <c r="J838" i="3"/>
  <c r="I838" i="3"/>
  <c r="H838" i="3"/>
  <c r="G838" i="3"/>
  <c r="F838" i="3"/>
  <c r="K837" i="3"/>
  <c r="J837" i="3"/>
  <c r="I837" i="3"/>
  <c r="H837" i="3"/>
  <c r="G837" i="3"/>
  <c r="F837" i="3"/>
  <c r="K836" i="3"/>
  <c r="J836" i="3"/>
  <c r="I836" i="3"/>
  <c r="H836" i="3"/>
  <c r="G836" i="3"/>
  <c r="F836" i="3"/>
  <c r="K835" i="3"/>
  <c r="J835" i="3"/>
  <c r="I835" i="3"/>
  <c r="H835" i="3"/>
  <c r="G835" i="3"/>
  <c r="F835" i="3"/>
  <c r="K834" i="3"/>
  <c r="J834" i="3"/>
  <c r="I834" i="3"/>
  <c r="H834" i="3"/>
  <c r="G834" i="3"/>
  <c r="F834" i="3"/>
  <c r="K833" i="3"/>
  <c r="J833" i="3"/>
  <c r="I833" i="3"/>
  <c r="H833" i="3"/>
  <c r="G833" i="3"/>
  <c r="F833" i="3"/>
  <c r="K832" i="3"/>
  <c r="J832" i="3"/>
  <c r="I832" i="3"/>
  <c r="H832" i="3"/>
  <c r="G832" i="3"/>
  <c r="F832" i="3"/>
  <c r="K831" i="3"/>
  <c r="J831" i="3"/>
  <c r="I831" i="3"/>
  <c r="H831" i="3"/>
  <c r="G831" i="3"/>
  <c r="F831" i="3"/>
  <c r="K830" i="3"/>
  <c r="J830" i="3"/>
  <c r="I830" i="3"/>
  <c r="H830" i="3"/>
  <c r="G830" i="3"/>
  <c r="F830" i="3"/>
  <c r="K829" i="3"/>
  <c r="J829" i="3"/>
  <c r="I829" i="3"/>
  <c r="H829" i="3"/>
  <c r="G829" i="3"/>
  <c r="F829" i="3"/>
  <c r="K828" i="3"/>
  <c r="J828" i="3"/>
  <c r="I828" i="3"/>
  <c r="H828" i="3"/>
  <c r="G828" i="3"/>
  <c r="F828" i="3"/>
  <c r="K827" i="3"/>
  <c r="J827" i="3"/>
  <c r="I827" i="3"/>
  <c r="H827" i="3"/>
  <c r="G827" i="3"/>
  <c r="F827" i="3"/>
  <c r="K826" i="3"/>
  <c r="J826" i="3"/>
  <c r="I826" i="3"/>
  <c r="H826" i="3"/>
  <c r="G826" i="3"/>
  <c r="F826" i="3"/>
  <c r="K825" i="3"/>
  <c r="J825" i="3"/>
  <c r="I825" i="3"/>
  <c r="H825" i="3"/>
  <c r="G825" i="3"/>
  <c r="F825" i="3"/>
  <c r="K824" i="3"/>
  <c r="J824" i="3"/>
  <c r="I824" i="3"/>
  <c r="H824" i="3"/>
  <c r="G824" i="3"/>
  <c r="F824" i="3"/>
  <c r="K823" i="3"/>
  <c r="J823" i="3"/>
  <c r="I823" i="3"/>
  <c r="H823" i="3"/>
  <c r="G823" i="3"/>
  <c r="F823" i="3"/>
  <c r="K822" i="3"/>
  <c r="J822" i="3"/>
  <c r="I822" i="3"/>
  <c r="H822" i="3"/>
  <c r="G822" i="3"/>
  <c r="F822" i="3"/>
  <c r="K821" i="3"/>
  <c r="J821" i="3"/>
  <c r="I821" i="3"/>
  <c r="H821" i="3"/>
  <c r="G821" i="3"/>
  <c r="F821" i="3"/>
  <c r="K820" i="3"/>
  <c r="J820" i="3"/>
  <c r="I820" i="3"/>
  <c r="H820" i="3"/>
  <c r="G820" i="3"/>
  <c r="F820" i="3"/>
  <c r="K819" i="3"/>
  <c r="J819" i="3"/>
  <c r="I819" i="3"/>
  <c r="H819" i="3"/>
  <c r="G819" i="3"/>
  <c r="F819" i="3"/>
  <c r="K818" i="3"/>
  <c r="J818" i="3"/>
  <c r="I818" i="3"/>
  <c r="H818" i="3"/>
  <c r="G818" i="3"/>
  <c r="F818" i="3"/>
  <c r="K817" i="3"/>
  <c r="J817" i="3"/>
  <c r="I817" i="3"/>
  <c r="H817" i="3"/>
  <c r="G817" i="3"/>
  <c r="F817" i="3"/>
  <c r="K816" i="3"/>
  <c r="J816" i="3"/>
  <c r="I816" i="3"/>
  <c r="H816" i="3"/>
  <c r="G816" i="3"/>
  <c r="F816" i="3"/>
  <c r="K815" i="3"/>
  <c r="J815" i="3"/>
  <c r="I815" i="3"/>
  <c r="H815" i="3"/>
  <c r="G815" i="3"/>
  <c r="F815" i="3"/>
  <c r="K814" i="3"/>
  <c r="J814" i="3"/>
  <c r="I814" i="3"/>
  <c r="H814" i="3"/>
  <c r="G814" i="3"/>
  <c r="F814" i="3"/>
  <c r="K813" i="3"/>
  <c r="J813" i="3"/>
  <c r="I813" i="3"/>
  <c r="H813" i="3"/>
  <c r="G813" i="3"/>
  <c r="F813" i="3"/>
  <c r="K812" i="3"/>
  <c r="J812" i="3"/>
  <c r="I812" i="3"/>
  <c r="H812" i="3"/>
  <c r="G812" i="3"/>
  <c r="F812" i="3"/>
  <c r="K811" i="3"/>
  <c r="J811" i="3"/>
  <c r="I811" i="3"/>
  <c r="H811" i="3"/>
  <c r="G811" i="3"/>
  <c r="F811" i="3"/>
  <c r="K810" i="3"/>
  <c r="J810" i="3"/>
  <c r="I810" i="3"/>
  <c r="H810" i="3"/>
  <c r="G810" i="3"/>
  <c r="F810" i="3"/>
  <c r="K809" i="3"/>
  <c r="J809" i="3"/>
  <c r="I809" i="3"/>
  <c r="H809" i="3"/>
  <c r="G809" i="3"/>
  <c r="F809" i="3"/>
  <c r="K808" i="3"/>
  <c r="J808" i="3"/>
  <c r="I808" i="3"/>
  <c r="H808" i="3"/>
  <c r="G808" i="3"/>
  <c r="F808" i="3"/>
  <c r="K807" i="3"/>
  <c r="J807" i="3"/>
  <c r="I807" i="3"/>
  <c r="H807" i="3"/>
  <c r="G807" i="3"/>
  <c r="F807" i="3"/>
  <c r="K806" i="3"/>
  <c r="J806" i="3"/>
  <c r="I806" i="3"/>
  <c r="H806" i="3"/>
  <c r="G806" i="3"/>
  <c r="F806" i="3"/>
  <c r="K805" i="3"/>
  <c r="J805" i="3"/>
  <c r="I805" i="3"/>
  <c r="H805" i="3"/>
  <c r="G805" i="3"/>
  <c r="F805" i="3"/>
  <c r="K804" i="3"/>
  <c r="J804" i="3"/>
  <c r="I804" i="3"/>
  <c r="H804" i="3"/>
  <c r="G804" i="3"/>
  <c r="F804" i="3"/>
  <c r="K803" i="3"/>
  <c r="J803" i="3"/>
  <c r="I803" i="3"/>
  <c r="H803" i="3"/>
  <c r="G803" i="3"/>
  <c r="F803" i="3"/>
  <c r="K802" i="3"/>
  <c r="J802" i="3"/>
  <c r="I802" i="3"/>
  <c r="H802" i="3"/>
  <c r="G802" i="3"/>
  <c r="F802" i="3"/>
  <c r="K801" i="3"/>
  <c r="J801" i="3"/>
  <c r="I801" i="3"/>
  <c r="H801" i="3"/>
  <c r="G801" i="3"/>
  <c r="F801" i="3"/>
  <c r="K800" i="3"/>
  <c r="J800" i="3"/>
  <c r="I800" i="3"/>
  <c r="H800" i="3"/>
  <c r="G800" i="3"/>
  <c r="F800" i="3"/>
  <c r="K799" i="3"/>
  <c r="J799" i="3"/>
  <c r="I799" i="3"/>
  <c r="H799" i="3"/>
  <c r="G799" i="3"/>
  <c r="F799" i="3"/>
  <c r="K798" i="3"/>
  <c r="J798" i="3"/>
  <c r="I798" i="3"/>
  <c r="H798" i="3"/>
  <c r="G798" i="3"/>
  <c r="F798" i="3"/>
  <c r="K797" i="3"/>
  <c r="J797" i="3"/>
  <c r="I797" i="3"/>
  <c r="H797" i="3"/>
  <c r="G797" i="3"/>
  <c r="F797" i="3"/>
  <c r="K796" i="3"/>
  <c r="J796" i="3"/>
  <c r="I796" i="3"/>
  <c r="H796" i="3"/>
  <c r="G796" i="3"/>
  <c r="F796" i="3"/>
  <c r="K795" i="3"/>
  <c r="J795" i="3"/>
  <c r="I795" i="3"/>
  <c r="H795" i="3"/>
  <c r="G795" i="3"/>
  <c r="F795" i="3"/>
  <c r="K794" i="3"/>
  <c r="J794" i="3"/>
  <c r="I794" i="3"/>
  <c r="H794" i="3"/>
  <c r="G794" i="3"/>
  <c r="F794" i="3"/>
  <c r="K793" i="3"/>
  <c r="J793" i="3"/>
  <c r="I793" i="3"/>
  <c r="H793" i="3"/>
  <c r="G793" i="3"/>
  <c r="F793" i="3"/>
  <c r="K792" i="3"/>
  <c r="J792" i="3"/>
  <c r="I792" i="3"/>
  <c r="H792" i="3"/>
  <c r="G792" i="3"/>
  <c r="F792" i="3"/>
  <c r="K791" i="3"/>
  <c r="J791" i="3"/>
  <c r="I791" i="3"/>
  <c r="H791" i="3"/>
  <c r="G791" i="3"/>
  <c r="F791" i="3"/>
  <c r="K790" i="3"/>
  <c r="J790" i="3"/>
  <c r="I790" i="3"/>
  <c r="H790" i="3"/>
  <c r="G790" i="3"/>
  <c r="F790" i="3"/>
  <c r="K789" i="3"/>
  <c r="J789" i="3"/>
  <c r="I789" i="3"/>
  <c r="H789" i="3"/>
  <c r="G789" i="3"/>
  <c r="F789" i="3"/>
  <c r="K788" i="3"/>
  <c r="J788" i="3"/>
  <c r="I788" i="3"/>
  <c r="H788" i="3"/>
  <c r="G788" i="3"/>
  <c r="F788" i="3"/>
  <c r="K787" i="3"/>
  <c r="J787" i="3"/>
  <c r="I787" i="3"/>
  <c r="H787" i="3"/>
  <c r="G787" i="3"/>
  <c r="F787" i="3"/>
  <c r="K786" i="3"/>
  <c r="J786" i="3"/>
  <c r="I786" i="3"/>
  <c r="H786" i="3"/>
  <c r="G786" i="3"/>
  <c r="F786" i="3"/>
  <c r="K785" i="3"/>
  <c r="J785" i="3"/>
  <c r="I785" i="3"/>
  <c r="H785" i="3"/>
  <c r="G785" i="3"/>
  <c r="F785" i="3"/>
  <c r="K784" i="3"/>
  <c r="J784" i="3"/>
  <c r="I784" i="3"/>
  <c r="H784" i="3"/>
  <c r="G784" i="3"/>
  <c r="F784" i="3"/>
  <c r="K783" i="3"/>
  <c r="J783" i="3"/>
  <c r="I783" i="3"/>
  <c r="H783" i="3"/>
  <c r="G783" i="3"/>
  <c r="F783" i="3"/>
  <c r="K782" i="3"/>
  <c r="J782" i="3"/>
  <c r="I782" i="3"/>
  <c r="H782" i="3"/>
  <c r="G782" i="3"/>
  <c r="F782" i="3"/>
  <c r="K781" i="3"/>
  <c r="J781" i="3"/>
  <c r="I781" i="3"/>
  <c r="H781" i="3"/>
  <c r="G781" i="3"/>
  <c r="F781" i="3"/>
  <c r="K780" i="3"/>
  <c r="J780" i="3"/>
  <c r="I780" i="3"/>
  <c r="H780" i="3"/>
  <c r="G780" i="3"/>
  <c r="F780" i="3"/>
  <c r="K779" i="3"/>
  <c r="J779" i="3"/>
  <c r="I779" i="3"/>
  <c r="H779" i="3"/>
  <c r="G779" i="3"/>
  <c r="F779" i="3"/>
  <c r="K778" i="3"/>
  <c r="J778" i="3"/>
  <c r="I778" i="3"/>
  <c r="H778" i="3"/>
  <c r="G778" i="3"/>
  <c r="F778" i="3"/>
  <c r="K777" i="3"/>
  <c r="J777" i="3"/>
  <c r="I777" i="3"/>
  <c r="H777" i="3"/>
  <c r="G777" i="3"/>
  <c r="F777" i="3"/>
  <c r="K776" i="3"/>
  <c r="J776" i="3"/>
  <c r="I776" i="3"/>
  <c r="H776" i="3"/>
  <c r="G776" i="3"/>
  <c r="F776" i="3"/>
  <c r="K775" i="3"/>
  <c r="J775" i="3"/>
  <c r="I775" i="3"/>
  <c r="H775" i="3"/>
  <c r="G775" i="3"/>
  <c r="F775" i="3"/>
  <c r="K774" i="3"/>
  <c r="J774" i="3"/>
  <c r="I774" i="3"/>
  <c r="H774" i="3"/>
  <c r="G774" i="3"/>
  <c r="F774" i="3"/>
  <c r="K773" i="3"/>
  <c r="J773" i="3"/>
  <c r="I773" i="3"/>
  <c r="H773" i="3"/>
  <c r="G773" i="3"/>
  <c r="F773" i="3"/>
  <c r="K772" i="3"/>
  <c r="J772" i="3"/>
  <c r="I772" i="3"/>
  <c r="H772" i="3"/>
  <c r="G772" i="3"/>
  <c r="F772" i="3"/>
  <c r="K771" i="3"/>
  <c r="J771" i="3"/>
  <c r="I771" i="3"/>
  <c r="H771" i="3"/>
  <c r="G771" i="3"/>
  <c r="F771" i="3"/>
  <c r="K770" i="3"/>
  <c r="J770" i="3"/>
  <c r="I770" i="3"/>
  <c r="H770" i="3"/>
  <c r="G770" i="3"/>
  <c r="F770" i="3"/>
  <c r="K769" i="3"/>
  <c r="J769" i="3"/>
  <c r="I769" i="3"/>
  <c r="H769" i="3"/>
  <c r="G769" i="3"/>
  <c r="F769" i="3"/>
  <c r="K768" i="3"/>
  <c r="J768" i="3"/>
  <c r="I768" i="3"/>
  <c r="H768" i="3"/>
  <c r="G768" i="3"/>
  <c r="F768" i="3"/>
  <c r="K767" i="3"/>
  <c r="J767" i="3"/>
  <c r="I767" i="3"/>
  <c r="H767" i="3"/>
  <c r="G767" i="3"/>
  <c r="F767" i="3"/>
  <c r="K766" i="3"/>
  <c r="J766" i="3"/>
  <c r="I766" i="3"/>
  <c r="H766" i="3"/>
  <c r="G766" i="3"/>
  <c r="F766" i="3"/>
  <c r="K765" i="3"/>
  <c r="J765" i="3"/>
  <c r="I765" i="3"/>
  <c r="H765" i="3"/>
  <c r="G765" i="3"/>
  <c r="F765" i="3"/>
  <c r="K764" i="3"/>
  <c r="J764" i="3"/>
  <c r="I764" i="3"/>
  <c r="H764" i="3"/>
  <c r="G764" i="3"/>
  <c r="F764" i="3"/>
  <c r="K763" i="3"/>
  <c r="J763" i="3"/>
  <c r="I763" i="3"/>
  <c r="H763" i="3"/>
  <c r="G763" i="3"/>
  <c r="F763" i="3"/>
  <c r="K762" i="3"/>
  <c r="J762" i="3"/>
  <c r="I762" i="3"/>
  <c r="H762" i="3"/>
  <c r="G762" i="3"/>
  <c r="F762" i="3"/>
  <c r="K761" i="3"/>
  <c r="J761" i="3"/>
  <c r="I761" i="3"/>
  <c r="H761" i="3"/>
  <c r="G761" i="3"/>
  <c r="F761" i="3"/>
  <c r="K760" i="3"/>
  <c r="J760" i="3"/>
  <c r="I760" i="3"/>
  <c r="H760" i="3"/>
  <c r="G760" i="3"/>
  <c r="F760" i="3"/>
  <c r="K759" i="3"/>
  <c r="J759" i="3"/>
  <c r="I759" i="3"/>
  <c r="H759" i="3"/>
  <c r="G759" i="3"/>
  <c r="F759" i="3"/>
  <c r="K758" i="3"/>
  <c r="J758" i="3"/>
  <c r="I758" i="3"/>
  <c r="H758" i="3"/>
  <c r="G758" i="3"/>
  <c r="F758" i="3"/>
  <c r="K757" i="3"/>
  <c r="J757" i="3"/>
  <c r="I757" i="3"/>
  <c r="H757" i="3"/>
  <c r="G757" i="3"/>
  <c r="F757" i="3"/>
  <c r="K756" i="3"/>
  <c r="J756" i="3"/>
  <c r="I756" i="3"/>
  <c r="H756" i="3"/>
  <c r="G756" i="3"/>
  <c r="F756" i="3"/>
  <c r="K755" i="3"/>
  <c r="J755" i="3"/>
  <c r="I755" i="3"/>
  <c r="H755" i="3"/>
  <c r="G755" i="3"/>
  <c r="F755" i="3"/>
  <c r="K754" i="3"/>
  <c r="J754" i="3"/>
  <c r="I754" i="3"/>
  <c r="H754" i="3"/>
  <c r="G754" i="3"/>
  <c r="F754" i="3"/>
  <c r="K753" i="3"/>
  <c r="J753" i="3"/>
  <c r="I753" i="3"/>
  <c r="H753" i="3"/>
  <c r="G753" i="3"/>
  <c r="F753" i="3"/>
  <c r="K752" i="3"/>
  <c r="J752" i="3"/>
  <c r="I752" i="3"/>
  <c r="H752" i="3"/>
  <c r="G752" i="3"/>
  <c r="F752" i="3"/>
  <c r="K751" i="3"/>
  <c r="J751" i="3"/>
  <c r="I751" i="3"/>
  <c r="H751" i="3"/>
  <c r="G751" i="3"/>
  <c r="F751" i="3"/>
  <c r="K750" i="3"/>
  <c r="J750" i="3"/>
  <c r="I750" i="3"/>
  <c r="H750" i="3"/>
  <c r="G750" i="3"/>
  <c r="F750" i="3"/>
  <c r="K749" i="3"/>
  <c r="J749" i="3"/>
  <c r="I749" i="3"/>
  <c r="H749" i="3"/>
  <c r="G749" i="3"/>
  <c r="F749" i="3"/>
  <c r="K748" i="3"/>
  <c r="J748" i="3"/>
  <c r="I748" i="3"/>
  <c r="H748" i="3"/>
  <c r="G748" i="3"/>
  <c r="F748" i="3"/>
  <c r="K747" i="3"/>
  <c r="J747" i="3"/>
  <c r="I747" i="3"/>
  <c r="H747" i="3"/>
  <c r="G747" i="3"/>
  <c r="F747" i="3"/>
  <c r="K746" i="3"/>
  <c r="J746" i="3"/>
  <c r="I746" i="3"/>
  <c r="H746" i="3"/>
  <c r="G746" i="3"/>
  <c r="F746" i="3"/>
  <c r="K745" i="3"/>
  <c r="J745" i="3"/>
  <c r="I745" i="3"/>
  <c r="H745" i="3"/>
  <c r="G745" i="3"/>
  <c r="F745" i="3"/>
  <c r="K744" i="3"/>
  <c r="J744" i="3"/>
  <c r="I744" i="3"/>
  <c r="H744" i="3"/>
  <c r="G744" i="3"/>
  <c r="F744" i="3"/>
  <c r="K743" i="3"/>
  <c r="J743" i="3"/>
  <c r="I743" i="3"/>
  <c r="H743" i="3"/>
  <c r="G743" i="3"/>
  <c r="F743" i="3"/>
  <c r="K742" i="3"/>
  <c r="J742" i="3"/>
  <c r="I742" i="3"/>
  <c r="H742" i="3"/>
  <c r="G742" i="3"/>
  <c r="F742" i="3"/>
  <c r="K741" i="3"/>
  <c r="J741" i="3"/>
  <c r="I741" i="3"/>
  <c r="H741" i="3"/>
  <c r="G741" i="3"/>
  <c r="F741" i="3"/>
  <c r="K740" i="3"/>
  <c r="J740" i="3"/>
  <c r="I740" i="3"/>
  <c r="H740" i="3"/>
  <c r="G740" i="3"/>
  <c r="F740" i="3"/>
  <c r="K739" i="3"/>
  <c r="J739" i="3"/>
  <c r="I739" i="3"/>
  <c r="H739" i="3"/>
  <c r="G739" i="3"/>
  <c r="F739" i="3"/>
  <c r="K738" i="3"/>
  <c r="J738" i="3"/>
  <c r="I738" i="3"/>
  <c r="H738" i="3"/>
  <c r="G738" i="3"/>
  <c r="F738" i="3"/>
  <c r="K737" i="3"/>
  <c r="J737" i="3"/>
  <c r="I737" i="3"/>
  <c r="H737" i="3"/>
  <c r="G737" i="3"/>
  <c r="F737" i="3"/>
  <c r="K736" i="3"/>
  <c r="J736" i="3"/>
  <c r="I736" i="3"/>
  <c r="H736" i="3"/>
  <c r="G736" i="3"/>
  <c r="F736" i="3"/>
  <c r="K735" i="3"/>
  <c r="J735" i="3"/>
  <c r="I735" i="3"/>
  <c r="H735" i="3"/>
  <c r="G735" i="3"/>
  <c r="F735" i="3"/>
  <c r="K734" i="3"/>
  <c r="J734" i="3"/>
  <c r="I734" i="3"/>
  <c r="H734" i="3"/>
  <c r="G734" i="3"/>
  <c r="F734" i="3"/>
  <c r="K733" i="3"/>
  <c r="J733" i="3"/>
  <c r="I733" i="3"/>
  <c r="H733" i="3"/>
  <c r="G733" i="3"/>
  <c r="F733" i="3"/>
  <c r="K732" i="3"/>
  <c r="J732" i="3"/>
  <c r="I732" i="3"/>
  <c r="H732" i="3"/>
  <c r="G732" i="3"/>
  <c r="F732" i="3"/>
  <c r="K731" i="3"/>
  <c r="J731" i="3"/>
  <c r="I731" i="3"/>
  <c r="H731" i="3"/>
  <c r="G731" i="3"/>
  <c r="F731" i="3"/>
  <c r="K730" i="3"/>
  <c r="J730" i="3"/>
  <c r="I730" i="3"/>
  <c r="H730" i="3"/>
  <c r="G730" i="3"/>
  <c r="F730" i="3"/>
  <c r="K729" i="3"/>
  <c r="J729" i="3"/>
  <c r="I729" i="3"/>
  <c r="H729" i="3"/>
  <c r="G729" i="3"/>
  <c r="F729" i="3"/>
  <c r="K728" i="3"/>
  <c r="J728" i="3"/>
  <c r="I728" i="3"/>
  <c r="H728" i="3"/>
  <c r="G728" i="3"/>
  <c r="F728" i="3"/>
  <c r="K727" i="3"/>
  <c r="J727" i="3"/>
  <c r="I727" i="3"/>
  <c r="H727" i="3"/>
  <c r="G727" i="3"/>
  <c r="F727" i="3"/>
  <c r="K726" i="3"/>
  <c r="J726" i="3"/>
  <c r="I726" i="3"/>
  <c r="H726" i="3"/>
  <c r="G726" i="3"/>
  <c r="F726" i="3"/>
  <c r="K725" i="3"/>
  <c r="J725" i="3"/>
  <c r="I725" i="3"/>
  <c r="H725" i="3"/>
  <c r="G725" i="3"/>
  <c r="F725" i="3"/>
  <c r="K724" i="3"/>
  <c r="J724" i="3"/>
  <c r="I724" i="3"/>
  <c r="H724" i="3"/>
  <c r="G724" i="3"/>
  <c r="F724" i="3"/>
  <c r="K723" i="3"/>
  <c r="J723" i="3"/>
  <c r="I723" i="3"/>
  <c r="H723" i="3"/>
  <c r="G723" i="3"/>
  <c r="F723" i="3"/>
  <c r="K722" i="3"/>
  <c r="J722" i="3"/>
  <c r="I722" i="3"/>
  <c r="H722" i="3"/>
  <c r="G722" i="3"/>
  <c r="F722" i="3"/>
  <c r="K721" i="3"/>
  <c r="J721" i="3"/>
  <c r="I721" i="3"/>
  <c r="H721" i="3"/>
  <c r="G721" i="3"/>
  <c r="F721" i="3"/>
  <c r="K720" i="3"/>
  <c r="J720" i="3"/>
  <c r="I720" i="3"/>
  <c r="H720" i="3"/>
  <c r="G720" i="3"/>
  <c r="F720" i="3"/>
  <c r="K719" i="3"/>
  <c r="J719" i="3"/>
  <c r="I719" i="3"/>
  <c r="H719" i="3"/>
  <c r="G719" i="3"/>
  <c r="F719" i="3"/>
  <c r="K718" i="3"/>
  <c r="J718" i="3"/>
  <c r="I718" i="3"/>
  <c r="H718" i="3"/>
  <c r="G718" i="3"/>
  <c r="F718" i="3"/>
  <c r="K717" i="3"/>
  <c r="J717" i="3"/>
  <c r="I717" i="3"/>
  <c r="H717" i="3"/>
  <c r="G717" i="3"/>
  <c r="F717" i="3"/>
  <c r="K716" i="3"/>
  <c r="J716" i="3"/>
  <c r="I716" i="3"/>
  <c r="H716" i="3"/>
  <c r="G716" i="3"/>
  <c r="F716" i="3"/>
  <c r="K715" i="3"/>
  <c r="J715" i="3"/>
  <c r="I715" i="3"/>
  <c r="H715" i="3"/>
  <c r="G715" i="3"/>
  <c r="F715" i="3"/>
  <c r="K714" i="3"/>
  <c r="J714" i="3"/>
  <c r="I714" i="3"/>
  <c r="H714" i="3"/>
  <c r="G714" i="3"/>
  <c r="F714" i="3"/>
  <c r="K713" i="3"/>
  <c r="J713" i="3"/>
  <c r="I713" i="3"/>
  <c r="H713" i="3"/>
  <c r="G713" i="3"/>
  <c r="F713" i="3"/>
  <c r="K712" i="3"/>
  <c r="J712" i="3"/>
  <c r="I712" i="3"/>
  <c r="H712" i="3"/>
  <c r="G712" i="3"/>
  <c r="F712" i="3"/>
  <c r="K711" i="3"/>
  <c r="J711" i="3"/>
  <c r="I711" i="3"/>
  <c r="H711" i="3"/>
  <c r="G711" i="3"/>
  <c r="F711" i="3"/>
  <c r="K710" i="3"/>
  <c r="J710" i="3"/>
  <c r="I710" i="3"/>
  <c r="H710" i="3"/>
  <c r="G710" i="3"/>
  <c r="F710" i="3"/>
  <c r="K709" i="3"/>
  <c r="J709" i="3"/>
  <c r="I709" i="3"/>
  <c r="H709" i="3"/>
  <c r="G709" i="3"/>
  <c r="F709" i="3"/>
  <c r="K708" i="3"/>
  <c r="J708" i="3"/>
  <c r="I708" i="3"/>
  <c r="H708" i="3"/>
  <c r="G708" i="3"/>
  <c r="F708" i="3"/>
  <c r="K707" i="3"/>
  <c r="J707" i="3"/>
  <c r="I707" i="3"/>
  <c r="H707" i="3"/>
  <c r="G707" i="3"/>
  <c r="F707" i="3"/>
  <c r="K706" i="3"/>
  <c r="J706" i="3"/>
  <c r="I706" i="3"/>
  <c r="H706" i="3"/>
  <c r="G706" i="3"/>
  <c r="F706" i="3"/>
  <c r="K705" i="3"/>
  <c r="J705" i="3"/>
  <c r="I705" i="3"/>
  <c r="H705" i="3"/>
  <c r="G705" i="3"/>
  <c r="F705" i="3"/>
  <c r="K704" i="3"/>
  <c r="J704" i="3"/>
  <c r="I704" i="3"/>
  <c r="H704" i="3"/>
  <c r="G704" i="3"/>
  <c r="F704" i="3"/>
  <c r="K703" i="3"/>
  <c r="J703" i="3"/>
  <c r="I703" i="3"/>
  <c r="H703" i="3"/>
  <c r="G703" i="3"/>
  <c r="F703" i="3"/>
  <c r="K702" i="3"/>
  <c r="J702" i="3"/>
  <c r="I702" i="3"/>
  <c r="H702" i="3"/>
  <c r="G702" i="3"/>
  <c r="F702" i="3"/>
  <c r="K701" i="3"/>
  <c r="J701" i="3"/>
  <c r="I701" i="3"/>
  <c r="H701" i="3"/>
  <c r="G701" i="3"/>
  <c r="F701" i="3"/>
  <c r="K700" i="3"/>
  <c r="J700" i="3"/>
  <c r="I700" i="3"/>
  <c r="H700" i="3"/>
  <c r="G700" i="3"/>
  <c r="F700" i="3"/>
  <c r="K699" i="3"/>
  <c r="J699" i="3"/>
  <c r="I699" i="3"/>
  <c r="H699" i="3"/>
  <c r="G699" i="3"/>
  <c r="F699" i="3"/>
  <c r="K698" i="3"/>
  <c r="J698" i="3"/>
  <c r="I698" i="3"/>
  <c r="H698" i="3"/>
  <c r="G698" i="3"/>
  <c r="F698" i="3"/>
  <c r="K697" i="3"/>
  <c r="J697" i="3"/>
  <c r="I697" i="3"/>
  <c r="H697" i="3"/>
  <c r="G697" i="3"/>
  <c r="F697" i="3"/>
  <c r="K696" i="3"/>
  <c r="J696" i="3"/>
  <c r="I696" i="3"/>
  <c r="H696" i="3"/>
  <c r="G696" i="3"/>
  <c r="F696" i="3"/>
  <c r="K695" i="3"/>
  <c r="J695" i="3"/>
  <c r="I695" i="3"/>
  <c r="H695" i="3"/>
  <c r="G695" i="3"/>
  <c r="F695" i="3"/>
  <c r="K694" i="3"/>
  <c r="J694" i="3"/>
  <c r="I694" i="3"/>
  <c r="H694" i="3"/>
  <c r="G694" i="3"/>
  <c r="F694" i="3"/>
  <c r="K693" i="3"/>
  <c r="J693" i="3"/>
  <c r="I693" i="3"/>
  <c r="H693" i="3"/>
  <c r="G693" i="3"/>
  <c r="F693" i="3"/>
  <c r="K692" i="3"/>
  <c r="J692" i="3"/>
  <c r="I692" i="3"/>
  <c r="H692" i="3"/>
  <c r="G692" i="3"/>
  <c r="F692" i="3"/>
  <c r="K691" i="3"/>
  <c r="J691" i="3"/>
  <c r="I691" i="3"/>
  <c r="H691" i="3"/>
  <c r="G691" i="3"/>
  <c r="F691" i="3"/>
  <c r="K690" i="3"/>
  <c r="J690" i="3"/>
  <c r="I690" i="3"/>
  <c r="H690" i="3"/>
  <c r="G690" i="3"/>
  <c r="F690" i="3"/>
  <c r="K689" i="3"/>
  <c r="J689" i="3"/>
  <c r="I689" i="3"/>
  <c r="H689" i="3"/>
  <c r="G689" i="3"/>
  <c r="F689" i="3"/>
  <c r="K688" i="3"/>
  <c r="J688" i="3"/>
  <c r="I688" i="3"/>
  <c r="H688" i="3"/>
  <c r="G688" i="3"/>
  <c r="F688" i="3"/>
  <c r="K687" i="3"/>
  <c r="J687" i="3"/>
  <c r="I687" i="3"/>
  <c r="H687" i="3"/>
  <c r="G687" i="3"/>
  <c r="F687" i="3"/>
  <c r="K686" i="3"/>
  <c r="J686" i="3"/>
  <c r="I686" i="3"/>
  <c r="H686" i="3"/>
  <c r="G686" i="3"/>
  <c r="F686" i="3"/>
  <c r="K685" i="3"/>
  <c r="J685" i="3"/>
  <c r="I685" i="3"/>
  <c r="H685" i="3"/>
  <c r="G685" i="3"/>
  <c r="F685" i="3"/>
  <c r="K684" i="3"/>
  <c r="J684" i="3"/>
  <c r="I684" i="3"/>
  <c r="H684" i="3"/>
  <c r="G684" i="3"/>
  <c r="F684" i="3"/>
  <c r="K683" i="3"/>
  <c r="J683" i="3"/>
  <c r="I683" i="3"/>
  <c r="H683" i="3"/>
  <c r="G683" i="3"/>
  <c r="F683" i="3"/>
  <c r="K682" i="3"/>
  <c r="J682" i="3"/>
  <c r="I682" i="3"/>
  <c r="H682" i="3"/>
  <c r="G682" i="3"/>
  <c r="F682" i="3"/>
  <c r="K681" i="3"/>
  <c r="J681" i="3"/>
  <c r="I681" i="3"/>
  <c r="H681" i="3"/>
  <c r="G681" i="3"/>
  <c r="F681" i="3"/>
  <c r="K680" i="3"/>
  <c r="J680" i="3"/>
  <c r="I680" i="3"/>
  <c r="H680" i="3"/>
  <c r="G680" i="3"/>
  <c r="F680" i="3"/>
  <c r="K679" i="3"/>
  <c r="J679" i="3"/>
  <c r="I679" i="3"/>
  <c r="H679" i="3"/>
  <c r="G679" i="3"/>
  <c r="F679" i="3"/>
  <c r="K678" i="3"/>
  <c r="J678" i="3"/>
  <c r="I678" i="3"/>
  <c r="H678" i="3"/>
  <c r="G678" i="3"/>
  <c r="F678" i="3"/>
  <c r="K677" i="3"/>
  <c r="J677" i="3"/>
  <c r="I677" i="3"/>
  <c r="H677" i="3"/>
  <c r="G677" i="3"/>
  <c r="F677" i="3"/>
  <c r="K676" i="3"/>
  <c r="J676" i="3"/>
  <c r="I676" i="3"/>
  <c r="H676" i="3"/>
  <c r="G676" i="3"/>
  <c r="F676" i="3"/>
  <c r="K675" i="3"/>
  <c r="J675" i="3"/>
  <c r="I675" i="3"/>
  <c r="H675" i="3"/>
  <c r="G675" i="3"/>
  <c r="F675" i="3"/>
  <c r="K674" i="3"/>
  <c r="J674" i="3"/>
  <c r="I674" i="3"/>
  <c r="H674" i="3"/>
  <c r="G674" i="3"/>
  <c r="F674" i="3"/>
  <c r="K673" i="3"/>
  <c r="J673" i="3"/>
  <c r="I673" i="3"/>
  <c r="H673" i="3"/>
  <c r="G673" i="3"/>
  <c r="F673" i="3"/>
  <c r="K672" i="3"/>
  <c r="J672" i="3"/>
  <c r="I672" i="3"/>
  <c r="H672" i="3"/>
  <c r="G672" i="3"/>
  <c r="F672" i="3"/>
  <c r="K671" i="3"/>
  <c r="J671" i="3"/>
  <c r="I671" i="3"/>
  <c r="H671" i="3"/>
  <c r="G671" i="3"/>
  <c r="F671" i="3"/>
  <c r="K670" i="3"/>
  <c r="J670" i="3"/>
  <c r="I670" i="3"/>
  <c r="H670" i="3"/>
  <c r="G670" i="3"/>
  <c r="F670" i="3"/>
  <c r="K669" i="3"/>
  <c r="J669" i="3"/>
  <c r="I669" i="3"/>
  <c r="H669" i="3"/>
  <c r="G669" i="3"/>
  <c r="F669" i="3"/>
  <c r="K668" i="3"/>
  <c r="J668" i="3"/>
  <c r="I668" i="3"/>
  <c r="H668" i="3"/>
  <c r="G668" i="3"/>
  <c r="F668" i="3"/>
  <c r="K667" i="3"/>
  <c r="J667" i="3"/>
  <c r="I667" i="3"/>
  <c r="H667" i="3"/>
  <c r="G667" i="3"/>
  <c r="F667" i="3"/>
  <c r="K666" i="3"/>
  <c r="J666" i="3"/>
  <c r="I666" i="3"/>
  <c r="H666" i="3"/>
  <c r="G666" i="3"/>
  <c r="F666" i="3"/>
  <c r="K665" i="3"/>
  <c r="J665" i="3"/>
  <c r="I665" i="3"/>
  <c r="H665" i="3"/>
  <c r="G665" i="3"/>
  <c r="F665" i="3"/>
  <c r="K664" i="3"/>
  <c r="J664" i="3"/>
  <c r="I664" i="3"/>
  <c r="H664" i="3"/>
  <c r="G664" i="3"/>
  <c r="F664" i="3"/>
  <c r="K663" i="3"/>
  <c r="J663" i="3"/>
  <c r="I663" i="3"/>
  <c r="H663" i="3"/>
  <c r="G663" i="3"/>
  <c r="F663" i="3"/>
  <c r="K662" i="3"/>
  <c r="J662" i="3"/>
  <c r="I662" i="3"/>
  <c r="H662" i="3"/>
  <c r="G662" i="3"/>
  <c r="F662" i="3"/>
  <c r="K661" i="3"/>
  <c r="J661" i="3"/>
  <c r="I661" i="3"/>
  <c r="H661" i="3"/>
  <c r="G661" i="3"/>
  <c r="F661" i="3"/>
  <c r="K660" i="3"/>
  <c r="J660" i="3"/>
  <c r="I660" i="3"/>
  <c r="H660" i="3"/>
  <c r="G660" i="3"/>
  <c r="F660" i="3"/>
  <c r="K659" i="3"/>
  <c r="J659" i="3"/>
  <c r="I659" i="3"/>
  <c r="H659" i="3"/>
  <c r="G659" i="3"/>
  <c r="F659" i="3"/>
  <c r="K658" i="3"/>
  <c r="J658" i="3"/>
  <c r="I658" i="3"/>
  <c r="H658" i="3"/>
  <c r="G658" i="3"/>
  <c r="F658" i="3"/>
  <c r="K657" i="3"/>
  <c r="J657" i="3"/>
  <c r="I657" i="3"/>
  <c r="H657" i="3"/>
  <c r="G657" i="3"/>
  <c r="F657" i="3"/>
  <c r="K656" i="3"/>
  <c r="J656" i="3"/>
  <c r="I656" i="3"/>
  <c r="H656" i="3"/>
  <c r="G656" i="3"/>
  <c r="F656" i="3"/>
  <c r="K655" i="3"/>
  <c r="J655" i="3"/>
  <c r="I655" i="3"/>
  <c r="H655" i="3"/>
  <c r="G655" i="3"/>
  <c r="F655" i="3"/>
  <c r="K654" i="3"/>
  <c r="J654" i="3"/>
  <c r="I654" i="3"/>
  <c r="H654" i="3"/>
  <c r="G654" i="3"/>
  <c r="F654" i="3"/>
  <c r="K653" i="3"/>
  <c r="J653" i="3"/>
  <c r="I653" i="3"/>
  <c r="H653" i="3"/>
  <c r="G653" i="3"/>
  <c r="F653" i="3"/>
  <c r="K652" i="3"/>
  <c r="J652" i="3"/>
  <c r="I652" i="3"/>
  <c r="H652" i="3"/>
  <c r="G652" i="3"/>
  <c r="F652" i="3"/>
  <c r="K651" i="3"/>
  <c r="J651" i="3"/>
  <c r="I651" i="3"/>
  <c r="H651" i="3"/>
  <c r="G651" i="3"/>
  <c r="F651" i="3"/>
  <c r="K650" i="3"/>
  <c r="J650" i="3"/>
  <c r="I650" i="3"/>
  <c r="H650" i="3"/>
  <c r="G650" i="3"/>
  <c r="F650" i="3"/>
  <c r="K649" i="3"/>
  <c r="J649" i="3"/>
  <c r="I649" i="3"/>
  <c r="H649" i="3"/>
  <c r="G649" i="3"/>
  <c r="F649" i="3"/>
  <c r="K648" i="3"/>
  <c r="J648" i="3"/>
  <c r="I648" i="3"/>
  <c r="H648" i="3"/>
  <c r="G648" i="3"/>
  <c r="F648" i="3"/>
  <c r="K647" i="3"/>
  <c r="J647" i="3"/>
  <c r="I647" i="3"/>
  <c r="H647" i="3"/>
  <c r="G647" i="3"/>
  <c r="F647" i="3"/>
  <c r="K646" i="3"/>
  <c r="J646" i="3"/>
  <c r="I646" i="3"/>
  <c r="H646" i="3"/>
  <c r="G646" i="3"/>
  <c r="F646" i="3"/>
  <c r="K645" i="3"/>
  <c r="J645" i="3"/>
  <c r="I645" i="3"/>
  <c r="H645" i="3"/>
  <c r="G645" i="3"/>
  <c r="F645" i="3"/>
  <c r="K644" i="3"/>
  <c r="J644" i="3"/>
  <c r="I644" i="3"/>
  <c r="H644" i="3"/>
  <c r="G644" i="3"/>
  <c r="F644" i="3"/>
  <c r="K643" i="3"/>
  <c r="J643" i="3"/>
  <c r="I643" i="3"/>
  <c r="H643" i="3"/>
  <c r="G643" i="3"/>
  <c r="F643" i="3"/>
  <c r="K642" i="3"/>
  <c r="J642" i="3"/>
  <c r="I642" i="3"/>
  <c r="H642" i="3"/>
  <c r="G642" i="3"/>
  <c r="F642" i="3"/>
  <c r="K641" i="3"/>
  <c r="J641" i="3"/>
  <c r="I641" i="3"/>
  <c r="H641" i="3"/>
  <c r="G641" i="3"/>
  <c r="F641" i="3"/>
  <c r="K640" i="3"/>
  <c r="J640" i="3"/>
  <c r="I640" i="3"/>
  <c r="H640" i="3"/>
  <c r="G640" i="3"/>
  <c r="F640" i="3"/>
  <c r="K639" i="3"/>
  <c r="J639" i="3"/>
  <c r="I639" i="3"/>
  <c r="H639" i="3"/>
  <c r="G639" i="3"/>
  <c r="F639" i="3"/>
  <c r="K638" i="3"/>
  <c r="J638" i="3"/>
  <c r="I638" i="3"/>
  <c r="H638" i="3"/>
  <c r="G638" i="3"/>
  <c r="F638" i="3"/>
  <c r="K637" i="3"/>
  <c r="J637" i="3"/>
  <c r="I637" i="3"/>
  <c r="H637" i="3"/>
  <c r="G637" i="3"/>
  <c r="F637" i="3"/>
  <c r="K636" i="3"/>
  <c r="J636" i="3"/>
  <c r="I636" i="3"/>
  <c r="H636" i="3"/>
  <c r="G636" i="3"/>
  <c r="F636" i="3"/>
  <c r="K635" i="3"/>
  <c r="J635" i="3"/>
  <c r="I635" i="3"/>
  <c r="H635" i="3"/>
  <c r="G635" i="3"/>
  <c r="F635" i="3"/>
  <c r="K634" i="3"/>
  <c r="J634" i="3"/>
  <c r="I634" i="3"/>
  <c r="H634" i="3"/>
  <c r="G634" i="3"/>
  <c r="F634" i="3"/>
  <c r="K633" i="3"/>
  <c r="J633" i="3"/>
  <c r="I633" i="3"/>
  <c r="H633" i="3"/>
  <c r="G633" i="3"/>
  <c r="F633" i="3"/>
  <c r="K632" i="3"/>
  <c r="J632" i="3"/>
  <c r="I632" i="3"/>
  <c r="H632" i="3"/>
  <c r="G632" i="3"/>
  <c r="F632" i="3"/>
  <c r="K631" i="3"/>
  <c r="J631" i="3"/>
  <c r="I631" i="3"/>
  <c r="H631" i="3"/>
  <c r="G631" i="3"/>
  <c r="F631" i="3"/>
  <c r="K630" i="3"/>
  <c r="J630" i="3"/>
  <c r="I630" i="3"/>
  <c r="H630" i="3"/>
  <c r="G630" i="3"/>
  <c r="F630" i="3"/>
  <c r="K629" i="3"/>
  <c r="J629" i="3"/>
  <c r="I629" i="3"/>
  <c r="H629" i="3"/>
  <c r="G629" i="3"/>
  <c r="F629" i="3"/>
  <c r="K628" i="3"/>
  <c r="J628" i="3"/>
  <c r="I628" i="3"/>
  <c r="H628" i="3"/>
  <c r="G628" i="3"/>
  <c r="F628" i="3"/>
  <c r="K627" i="3"/>
  <c r="J627" i="3"/>
  <c r="I627" i="3"/>
  <c r="H627" i="3"/>
  <c r="G627" i="3"/>
  <c r="F627" i="3"/>
  <c r="K626" i="3"/>
  <c r="J626" i="3"/>
  <c r="I626" i="3"/>
  <c r="H626" i="3"/>
  <c r="G626" i="3"/>
  <c r="F626" i="3"/>
  <c r="K625" i="3"/>
  <c r="J625" i="3"/>
  <c r="I625" i="3"/>
  <c r="H625" i="3"/>
  <c r="G625" i="3"/>
  <c r="F625" i="3"/>
  <c r="K624" i="3"/>
  <c r="J624" i="3"/>
  <c r="I624" i="3"/>
  <c r="H624" i="3"/>
  <c r="G624" i="3"/>
  <c r="F624" i="3"/>
  <c r="K623" i="3"/>
  <c r="J623" i="3"/>
  <c r="I623" i="3"/>
  <c r="H623" i="3"/>
  <c r="G623" i="3"/>
  <c r="F623" i="3"/>
  <c r="K622" i="3"/>
  <c r="J622" i="3"/>
  <c r="I622" i="3"/>
  <c r="H622" i="3"/>
  <c r="G622" i="3"/>
  <c r="F622" i="3"/>
  <c r="K621" i="3"/>
  <c r="J621" i="3"/>
  <c r="I621" i="3"/>
  <c r="H621" i="3"/>
  <c r="G621" i="3"/>
  <c r="F621" i="3"/>
  <c r="K620" i="3"/>
  <c r="J620" i="3"/>
  <c r="I620" i="3"/>
  <c r="H620" i="3"/>
  <c r="G620" i="3"/>
  <c r="F620" i="3"/>
  <c r="K619" i="3"/>
  <c r="J619" i="3"/>
  <c r="I619" i="3"/>
  <c r="H619" i="3"/>
  <c r="G619" i="3"/>
  <c r="F619" i="3"/>
  <c r="K618" i="3"/>
  <c r="J618" i="3"/>
  <c r="I618" i="3"/>
  <c r="H618" i="3"/>
  <c r="G618" i="3"/>
  <c r="F618" i="3"/>
  <c r="K617" i="3"/>
  <c r="J617" i="3"/>
  <c r="I617" i="3"/>
  <c r="H617" i="3"/>
  <c r="G617" i="3"/>
  <c r="F617" i="3"/>
  <c r="K616" i="3"/>
  <c r="J616" i="3"/>
  <c r="I616" i="3"/>
  <c r="H616" i="3"/>
  <c r="G616" i="3"/>
  <c r="F616" i="3"/>
  <c r="K615" i="3"/>
  <c r="J615" i="3"/>
  <c r="I615" i="3"/>
  <c r="H615" i="3"/>
  <c r="G615" i="3"/>
  <c r="F615" i="3"/>
  <c r="K614" i="3"/>
  <c r="J614" i="3"/>
  <c r="I614" i="3"/>
  <c r="H614" i="3"/>
  <c r="G614" i="3"/>
  <c r="F614" i="3"/>
  <c r="K613" i="3"/>
  <c r="J613" i="3"/>
  <c r="I613" i="3"/>
  <c r="H613" i="3"/>
  <c r="G613" i="3"/>
  <c r="F613" i="3"/>
  <c r="K612" i="3"/>
  <c r="J612" i="3"/>
  <c r="I612" i="3"/>
  <c r="H612" i="3"/>
  <c r="G612" i="3"/>
  <c r="F612" i="3"/>
  <c r="K611" i="3"/>
  <c r="J611" i="3"/>
  <c r="I611" i="3"/>
  <c r="H611" i="3"/>
  <c r="G611" i="3"/>
  <c r="F611" i="3"/>
  <c r="K610" i="3"/>
  <c r="J610" i="3"/>
  <c r="I610" i="3"/>
  <c r="H610" i="3"/>
  <c r="G610" i="3"/>
  <c r="F610" i="3"/>
  <c r="K609" i="3"/>
  <c r="J609" i="3"/>
  <c r="I609" i="3"/>
  <c r="H609" i="3"/>
  <c r="G609" i="3"/>
  <c r="F609" i="3"/>
  <c r="K608" i="3"/>
  <c r="J608" i="3"/>
  <c r="I608" i="3"/>
  <c r="H608" i="3"/>
  <c r="G608" i="3"/>
  <c r="F608" i="3"/>
  <c r="K607" i="3"/>
  <c r="J607" i="3"/>
  <c r="I607" i="3"/>
  <c r="H607" i="3"/>
  <c r="G607" i="3"/>
  <c r="F607" i="3"/>
  <c r="K606" i="3"/>
  <c r="J606" i="3"/>
  <c r="I606" i="3"/>
  <c r="H606" i="3"/>
  <c r="G606" i="3"/>
  <c r="F606" i="3"/>
  <c r="K605" i="3"/>
  <c r="J605" i="3"/>
  <c r="I605" i="3"/>
  <c r="H605" i="3"/>
  <c r="G605" i="3"/>
  <c r="F605" i="3"/>
  <c r="K604" i="3"/>
  <c r="J604" i="3"/>
  <c r="I604" i="3"/>
  <c r="H604" i="3"/>
  <c r="G604" i="3"/>
  <c r="F604" i="3"/>
  <c r="K603" i="3"/>
  <c r="J603" i="3"/>
  <c r="I603" i="3"/>
  <c r="H603" i="3"/>
  <c r="G603" i="3"/>
  <c r="F603" i="3"/>
  <c r="K602" i="3"/>
  <c r="J602" i="3"/>
  <c r="I602" i="3"/>
  <c r="H602" i="3"/>
  <c r="G602" i="3"/>
  <c r="F602" i="3"/>
  <c r="K601" i="3"/>
  <c r="J601" i="3"/>
  <c r="I601" i="3"/>
  <c r="H601" i="3"/>
  <c r="G601" i="3"/>
  <c r="F601" i="3"/>
  <c r="K600" i="3"/>
  <c r="J600" i="3"/>
  <c r="I600" i="3"/>
  <c r="H600" i="3"/>
  <c r="G600" i="3"/>
  <c r="F600" i="3"/>
  <c r="K599" i="3"/>
  <c r="J599" i="3"/>
  <c r="I599" i="3"/>
  <c r="H599" i="3"/>
  <c r="G599" i="3"/>
  <c r="F599" i="3"/>
  <c r="K598" i="3"/>
  <c r="J598" i="3"/>
  <c r="I598" i="3"/>
  <c r="H598" i="3"/>
  <c r="G598" i="3"/>
  <c r="F598" i="3"/>
  <c r="K597" i="3"/>
  <c r="J597" i="3"/>
  <c r="I597" i="3"/>
  <c r="H597" i="3"/>
  <c r="G597" i="3"/>
  <c r="F597" i="3"/>
  <c r="K596" i="3"/>
  <c r="J596" i="3"/>
  <c r="I596" i="3"/>
  <c r="H596" i="3"/>
  <c r="G596" i="3"/>
  <c r="F596" i="3"/>
  <c r="K595" i="3"/>
  <c r="J595" i="3"/>
  <c r="I595" i="3"/>
  <c r="H595" i="3"/>
  <c r="G595" i="3"/>
  <c r="F595" i="3"/>
  <c r="K594" i="3"/>
  <c r="J594" i="3"/>
  <c r="I594" i="3"/>
  <c r="H594" i="3"/>
  <c r="G594" i="3"/>
  <c r="F594" i="3"/>
  <c r="K593" i="3"/>
  <c r="J593" i="3"/>
  <c r="I593" i="3"/>
  <c r="H593" i="3"/>
  <c r="G593" i="3"/>
  <c r="F593" i="3"/>
  <c r="K592" i="3"/>
  <c r="J592" i="3"/>
  <c r="I592" i="3"/>
  <c r="H592" i="3"/>
  <c r="G592" i="3"/>
  <c r="F592" i="3"/>
  <c r="K591" i="3"/>
  <c r="J591" i="3"/>
  <c r="I591" i="3"/>
  <c r="H591" i="3"/>
  <c r="G591" i="3"/>
  <c r="F591" i="3"/>
  <c r="K590" i="3"/>
  <c r="J590" i="3"/>
  <c r="I590" i="3"/>
  <c r="H590" i="3"/>
  <c r="G590" i="3"/>
  <c r="F590" i="3"/>
  <c r="K589" i="3"/>
  <c r="J589" i="3"/>
  <c r="I589" i="3"/>
  <c r="H589" i="3"/>
  <c r="G589" i="3"/>
  <c r="F589" i="3"/>
  <c r="K588" i="3"/>
  <c r="J588" i="3"/>
  <c r="I588" i="3"/>
  <c r="H588" i="3"/>
  <c r="G588" i="3"/>
  <c r="F588" i="3"/>
  <c r="K587" i="3"/>
  <c r="J587" i="3"/>
  <c r="I587" i="3"/>
  <c r="H587" i="3"/>
  <c r="G587" i="3"/>
  <c r="F587" i="3"/>
  <c r="K586" i="3"/>
  <c r="J586" i="3"/>
  <c r="I586" i="3"/>
  <c r="H586" i="3"/>
  <c r="G586" i="3"/>
  <c r="F586" i="3"/>
  <c r="K585" i="3"/>
  <c r="J585" i="3"/>
  <c r="I585" i="3"/>
  <c r="H585" i="3"/>
  <c r="G585" i="3"/>
  <c r="F585" i="3"/>
  <c r="K584" i="3"/>
  <c r="J584" i="3"/>
  <c r="I584" i="3"/>
  <c r="H584" i="3"/>
  <c r="G584" i="3"/>
  <c r="F584" i="3"/>
  <c r="K583" i="3"/>
  <c r="J583" i="3"/>
  <c r="I583" i="3"/>
  <c r="H583" i="3"/>
  <c r="G583" i="3"/>
  <c r="F583" i="3"/>
  <c r="K582" i="3"/>
  <c r="J582" i="3"/>
  <c r="I582" i="3"/>
  <c r="H582" i="3"/>
  <c r="G582" i="3"/>
  <c r="F582" i="3"/>
  <c r="K581" i="3"/>
  <c r="J581" i="3"/>
  <c r="I581" i="3"/>
  <c r="H581" i="3"/>
  <c r="G581" i="3"/>
  <c r="F581" i="3"/>
  <c r="K580" i="3"/>
  <c r="J580" i="3"/>
  <c r="I580" i="3"/>
  <c r="H580" i="3"/>
  <c r="G580" i="3"/>
  <c r="F580" i="3"/>
  <c r="K579" i="3"/>
  <c r="J579" i="3"/>
  <c r="I579" i="3"/>
  <c r="H579" i="3"/>
  <c r="G579" i="3"/>
  <c r="F579" i="3"/>
  <c r="K578" i="3"/>
  <c r="J578" i="3"/>
  <c r="I578" i="3"/>
  <c r="H578" i="3"/>
  <c r="G578" i="3"/>
  <c r="F578" i="3"/>
  <c r="K577" i="3"/>
  <c r="J577" i="3"/>
  <c r="I577" i="3"/>
  <c r="H577" i="3"/>
  <c r="G577" i="3"/>
  <c r="F577" i="3"/>
  <c r="K576" i="3"/>
  <c r="J576" i="3"/>
  <c r="I576" i="3"/>
  <c r="H576" i="3"/>
  <c r="G576" i="3"/>
  <c r="F576" i="3"/>
  <c r="K575" i="3"/>
  <c r="J575" i="3"/>
  <c r="I575" i="3"/>
  <c r="H575" i="3"/>
  <c r="G575" i="3"/>
  <c r="F575" i="3"/>
  <c r="K574" i="3"/>
  <c r="J574" i="3"/>
  <c r="I574" i="3"/>
  <c r="H574" i="3"/>
  <c r="G574" i="3"/>
  <c r="F574" i="3"/>
  <c r="K573" i="3"/>
  <c r="J573" i="3"/>
  <c r="I573" i="3"/>
  <c r="H573" i="3"/>
  <c r="G573" i="3"/>
  <c r="F573" i="3"/>
  <c r="K572" i="3"/>
  <c r="J572" i="3"/>
  <c r="I572" i="3"/>
  <c r="H572" i="3"/>
  <c r="G572" i="3"/>
  <c r="F572" i="3"/>
  <c r="K571" i="3"/>
  <c r="J571" i="3"/>
  <c r="I571" i="3"/>
  <c r="H571" i="3"/>
  <c r="G571" i="3"/>
  <c r="F571" i="3"/>
  <c r="K570" i="3"/>
  <c r="J570" i="3"/>
  <c r="I570" i="3"/>
  <c r="H570" i="3"/>
  <c r="G570" i="3"/>
  <c r="F570" i="3"/>
  <c r="K569" i="3"/>
  <c r="J569" i="3"/>
  <c r="I569" i="3"/>
  <c r="H569" i="3"/>
  <c r="G569" i="3"/>
  <c r="F569" i="3"/>
  <c r="K568" i="3"/>
  <c r="J568" i="3"/>
  <c r="I568" i="3"/>
  <c r="H568" i="3"/>
  <c r="G568" i="3"/>
  <c r="F568" i="3"/>
  <c r="K567" i="3"/>
  <c r="J567" i="3"/>
  <c r="I567" i="3"/>
  <c r="H567" i="3"/>
  <c r="G567" i="3"/>
  <c r="F567" i="3"/>
  <c r="K566" i="3"/>
  <c r="J566" i="3"/>
  <c r="I566" i="3"/>
  <c r="H566" i="3"/>
  <c r="G566" i="3"/>
  <c r="F566" i="3"/>
  <c r="K565" i="3"/>
  <c r="J565" i="3"/>
  <c r="I565" i="3"/>
  <c r="H565" i="3"/>
  <c r="G565" i="3"/>
  <c r="F565" i="3"/>
  <c r="K564" i="3"/>
  <c r="J564" i="3"/>
  <c r="I564" i="3"/>
  <c r="H564" i="3"/>
  <c r="G564" i="3"/>
  <c r="F564" i="3"/>
  <c r="K563" i="3"/>
  <c r="J563" i="3"/>
  <c r="I563" i="3"/>
  <c r="H563" i="3"/>
  <c r="G563" i="3"/>
  <c r="F563" i="3"/>
  <c r="K562" i="3"/>
  <c r="J562" i="3"/>
  <c r="I562" i="3"/>
  <c r="H562" i="3"/>
  <c r="G562" i="3"/>
  <c r="F562" i="3"/>
  <c r="K561" i="3"/>
  <c r="J561" i="3"/>
  <c r="I561" i="3"/>
  <c r="H561" i="3"/>
  <c r="G561" i="3"/>
  <c r="F561" i="3"/>
  <c r="K560" i="3"/>
  <c r="J560" i="3"/>
  <c r="I560" i="3"/>
  <c r="H560" i="3"/>
  <c r="G560" i="3"/>
  <c r="F560" i="3"/>
  <c r="K559" i="3"/>
  <c r="J559" i="3"/>
  <c r="I559" i="3"/>
  <c r="H559" i="3"/>
  <c r="G559" i="3"/>
  <c r="F559" i="3"/>
  <c r="K558" i="3"/>
  <c r="J558" i="3"/>
  <c r="I558" i="3"/>
  <c r="H558" i="3"/>
  <c r="G558" i="3"/>
  <c r="F558" i="3"/>
  <c r="K557" i="3"/>
  <c r="J557" i="3"/>
  <c r="I557" i="3"/>
  <c r="H557" i="3"/>
  <c r="G557" i="3"/>
  <c r="F557" i="3"/>
  <c r="K556" i="3"/>
  <c r="J556" i="3"/>
  <c r="I556" i="3"/>
  <c r="H556" i="3"/>
  <c r="G556" i="3"/>
  <c r="F556" i="3"/>
  <c r="K555" i="3"/>
  <c r="J555" i="3"/>
  <c r="I555" i="3"/>
  <c r="H555" i="3"/>
  <c r="G555" i="3"/>
  <c r="F555" i="3"/>
  <c r="K554" i="3"/>
  <c r="J554" i="3"/>
  <c r="I554" i="3"/>
  <c r="H554" i="3"/>
  <c r="G554" i="3"/>
  <c r="F554" i="3"/>
  <c r="K553" i="3"/>
  <c r="J553" i="3"/>
  <c r="I553" i="3"/>
  <c r="H553" i="3"/>
  <c r="G553" i="3"/>
  <c r="F553" i="3"/>
  <c r="K552" i="3"/>
  <c r="J552" i="3"/>
  <c r="I552" i="3"/>
  <c r="H552" i="3"/>
  <c r="G552" i="3"/>
  <c r="F552" i="3"/>
  <c r="K551" i="3"/>
  <c r="J551" i="3"/>
  <c r="I551" i="3"/>
  <c r="H551" i="3"/>
  <c r="G551" i="3"/>
  <c r="F551" i="3"/>
  <c r="K550" i="3"/>
  <c r="J550" i="3"/>
  <c r="I550" i="3"/>
  <c r="H550" i="3"/>
  <c r="G550" i="3"/>
  <c r="F550" i="3"/>
  <c r="K549" i="3"/>
  <c r="J549" i="3"/>
  <c r="I549" i="3"/>
  <c r="H549" i="3"/>
  <c r="G549" i="3"/>
  <c r="F549" i="3"/>
  <c r="K548" i="3"/>
  <c r="J548" i="3"/>
  <c r="I548" i="3"/>
  <c r="H548" i="3"/>
  <c r="G548" i="3"/>
  <c r="F548" i="3"/>
  <c r="K547" i="3"/>
  <c r="J547" i="3"/>
  <c r="I547" i="3"/>
  <c r="H547" i="3"/>
  <c r="G547" i="3"/>
  <c r="F547" i="3"/>
  <c r="K546" i="3"/>
  <c r="J546" i="3"/>
  <c r="I546" i="3"/>
  <c r="H546" i="3"/>
  <c r="G546" i="3"/>
  <c r="F546" i="3"/>
  <c r="K545" i="3"/>
  <c r="J545" i="3"/>
  <c r="I545" i="3"/>
  <c r="H545" i="3"/>
  <c r="G545" i="3"/>
  <c r="F545" i="3"/>
  <c r="K544" i="3"/>
  <c r="J544" i="3"/>
  <c r="I544" i="3"/>
  <c r="H544" i="3"/>
  <c r="G544" i="3"/>
  <c r="F544" i="3"/>
  <c r="K543" i="3"/>
  <c r="J543" i="3"/>
  <c r="I543" i="3"/>
  <c r="H543" i="3"/>
  <c r="G543" i="3"/>
  <c r="F543" i="3"/>
  <c r="K542" i="3"/>
  <c r="J542" i="3"/>
  <c r="I542" i="3"/>
  <c r="H542" i="3"/>
  <c r="G542" i="3"/>
  <c r="F542" i="3"/>
  <c r="K541" i="3"/>
  <c r="J541" i="3"/>
  <c r="I541" i="3"/>
  <c r="H541" i="3"/>
  <c r="G541" i="3"/>
  <c r="F541" i="3"/>
  <c r="K540" i="3"/>
  <c r="J540" i="3"/>
  <c r="I540" i="3"/>
  <c r="H540" i="3"/>
  <c r="G540" i="3"/>
  <c r="F540" i="3"/>
  <c r="K539" i="3"/>
  <c r="J539" i="3"/>
  <c r="I539" i="3"/>
  <c r="H539" i="3"/>
  <c r="G539" i="3"/>
  <c r="F539" i="3"/>
  <c r="K538" i="3"/>
  <c r="J538" i="3"/>
  <c r="I538" i="3"/>
  <c r="H538" i="3"/>
  <c r="G538" i="3"/>
  <c r="F538" i="3"/>
  <c r="K537" i="3"/>
  <c r="J537" i="3"/>
  <c r="I537" i="3"/>
  <c r="H537" i="3"/>
  <c r="G537" i="3"/>
  <c r="F537" i="3"/>
  <c r="K536" i="3"/>
  <c r="J536" i="3"/>
  <c r="I536" i="3"/>
  <c r="H536" i="3"/>
  <c r="G536" i="3"/>
  <c r="F536" i="3"/>
  <c r="K535" i="3"/>
  <c r="J535" i="3"/>
  <c r="I535" i="3"/>
  <c r="H535" i="3"/>
  <c r="G535" i="3"/>
  <c r="F535" i="3"/>
  <c r="K534" i="3"/>
  <c r="J534" i="3"/>
  <c r="I534" i="3"/>
  <c r="H534" i="3"/>
  <c r="G534" i="3"/>
  <c r="F534" i="3"/>
  <c r="K533" i="3"/>
  <c r="J533" i="3"/>
  <c r="I533" i="3"/>
  <c r="H533" i="3"/>
  <c r="G533" i="3"/>
  <c r="F533" i="3"/>
  <c r="K532" i="3"/>
  <c r="J532" i="3"/>
  <c r="I532" i="3"/>
  <c r="H532" i="3"/>
  <c r="G532" i="3"/>
  <c r="F532" i="3"/>
  <c r="K531" i="3"/>
  <c r="J531" i="3"/>
  <c r="I531" i="3"/>
  <c r="H531" i="3"/>
  <c r="G531" i="3"/>
  <c r="F531" i="3"/>
  <c r="K530" i="3"/>
  <c r="J530" i="3"/>
  <c r="I530" i="3"/>
  <c r="H530" i="3"/>
  <c r="G530" i="3"/>
  <c r="F530" i="3"/>
  <c r="K529" i="3"/>
  <c r="J529" i="3"/>
  <c r="I529" i="3"/>
  <c r="H529" i="3"/>
  <c r="G529" i="3"/>
  <c r="F529" i="3"/>
  <c r="K528" i="3"/>
  <c r="J528" i="3"/>
  <c r="I528" i="3"/>
  <c r="H528" i="3"/>
  <c r="G528" i="3"/>
  <c r="F528" i="3"/>
  <c r="K527" i="3"/>
  <c r="J527" i="3"/>
  <c r="I527" i="3"/>
  <c r="H527" i="3"/>
  <c r="G527" i="3"/>
  <c r="F527" i="3"/>
  <c r="K526" i="3"/>
  <c r="J526" i="3"/>
  <c r="I526" i="3"/>
  <c r="H526" i="3"/>
  <c r="G526" i="3"/>
  <c r="F526" i="3"/>
  <c r="K525" i="3"/>
  <c r="J525" i="3"/>
  <c r="I525" i="3"/>
  <c r="H525" i="3"/>
  <c r="G525" i="3"/>
  <c r="F525" i="3"/>
  <c r="K524" i="3"/>
  <c r="J524" i="3"/>
  <c r="I524" i="3"/>
  <c r="H524" i="3"/>
  <c r="G524" i="3"/>
  <c r="F524" i="3"/>
  <c r="K523" i="3"/>
  <c r="J523" i="3"/>
  <c r="I523" i="3"/>
  <c r="H523" i="3"/>
  <c r="G523" i="3"/>
  <c r="F523" i="3"/>
  <c r="K522" i="3"/>
  <c r="J522" i="3"/>
  <c r="I522" i="3"/>
  <c r="H522" i="3"/>
  <c r="G522" i="3"/>
  <c r="F522" i="3"/>
  <c r="K521" i="3"/>
  <c r="J521" i="3"/>
  <c r="I521" i="3"/>
  <c r="H521" i="3"/>
  <c r="G521" i="3"/>
  <c r="F521" i="3"/>
  <c r="K520" i="3"/>
  <c r="J520" i="3"/>
  <c r="I520" i="3"/>
  <c r="H520" i="3"/>
  <c r="G520" i="3"/>
  <c r="F520" i="3"/>
  <c r="K519" i="3"/>
  <c r="J519" i="3"/>
  <c r="I519" i="3"/>
  <c r="H519" i="3"/>
  <c r="G519" i="3"/>
  <c r="F519" i="3"/>
  <c r="K518" i="3"/>
  <c r="J518" i="3"/>
  <c r="I518" i="3"/>
  <c r="H518" i="3"/>
  <c r="G518" i="3"/>
  <c r="F518" i="3"/>
  <c r="K517" i="3"/>
  <c r="J517" i="3"/>
  <c r="I517" i="3"/>
  <c r="H517" i="3"/>
  <c r="G517" i="3"/>
  <c r="F517" i="3"/>
  <c r="K516" i="3"/>
  <c r="J516" i="3"/>
  <c r="I516" i="3"/>
  <c r="H516" i="3"/>
  <c r="G516" i="3"/>
  <c r="F516" i="3"/>
  <c r="K515" i="3"/>
  <c r="J515" i="3"/>
  <c r="I515" i="3"/>
  <c r="H515" i="3"/>
  <c r="G515" i="3"/>
  <c r="F515" i="3"/>
  <c r="K514" i="3"/>
  <c r="J514" i="3"/>
  <c r="I514" i="3"/>
  <c r="H514" i="3"/>
  <c r="G514" i="3"/>
  <c r="F514" i="3"/>
  <c r="K513" i="3"/>
  <c r="J513" i="3"/>
  <c r="I513" i="3"/>
  <c r="H513" i="3"/>
  <c r="G513" i="3"/>
  <c r="F513" i="3"/>
  <c r="K512" i="3"/>
  <c r="J512" i="3"/>
  <c r="I512" i="3"/>
  <c r="H512" i="3"/>
  <c r="G512" i="3"/>
  <c r="F512" i="3"/>
  <c r="K511" i="3"/>
  <c r="J511" i="3"/>
  <c r="I511" i="3"/>
  <c r="H511" i="3"/>
  <c r="G511" i="3"/>
  <c r="F511" i="3"/>
  <c r="K510" i="3"/>
  <c r="J510" i="3"/>
  <c r="I510" i="3"/>
  <c r="H510" i="3"/>
  <c r="G510" i="3"/>
  <c r="F510" i="3"/>
  <c r="K509" i="3"/>
  <c r="J509" i="3"/>
  <c r="I509" i="3"/>
  <c r="H509" i="3"/>
  <c r="G509" i="3"/>
  <c r="F509" i="3"/>
  <c r="K508" i="3"/>
  <c r="J508" i="3"/>
  <c r="I508" i="3"/>
  <c r="H508" i="3"/>
  <c r="G508" i="3"/>
  <c r="F508" i="3"/>
  <c r="K507" i="3"/>
  <c r="J507" i="3"/>
  <c r="I507" i="3"/>
  <c r="H507" i="3"/>
  <c r="G507" i="3"/>
  <c r="F507" i="3"/>
  <c r="K506" i="3"/>
  <c r="J506" i="3"/>
  <c r="I506" i="3"/>
  <c r="H506" i="3"/>
  <c r="G506" i="3"/>
  <c r="F506" i="3"/>
  <c r="K505" i="3"/>
  <c r="J505" i="3"/>
  <c r="I505" i="3"/>
  <c r="H505" i="3"/>
  <c r="G505" i="3"/>
  <c r="F505" i="3"/>
  <c r="K504" i="3"/>
  <c r="J504" i="3"/>
  <c r="I504" i="3"/>
  <c r="H504" i="3"/>
  <c r="G504" i="3"/>
  <c r="F504" i="3"/>
  <c r="K503" i="3"/>
  <c r="J503" i="3"/>
  <c r="I503" i="3"/>
  <c r="H503" i="3"/>
  <c r="G503" i="3"/>
  <c r="F503" i="3"/>
  <c r="K502" i="3"/>
  <c r="J502" i="3"/>
  <c r="I502" i="3"/>
  <c r="H502" i="3"/>
  <c r="G502" i="3"/>
  <c r="F502" i="3"/>
  <c r="K501" i="3"/>
  <c r="J501" i="3"/>
  <c r="I501" i="3"/>
  <c r="H501" i="3"/>
  <c r="G501" i="3"/>
  <c r="F501" i="3"/>
  <c r="K500" i="3"/>
  <c r="J500" i="3"/>
  <c r="I500" i="3"/>
  <c r="H500" i="3"/>
  <c r="G500" i="3"/>
  <c r="F500" i="3"/>
  <c r="K499" i="3"/>
  <c r="J499" i="3"/>
  <c r="I499" i="3"/>
  <c r="H499" i="3"/>
  <c r="G499" i="3"/>
  <c r="F499" i="3"/>
  <c r="K498" i="3"/>
  <c r="J498" i="3"/>
  <c r="I498" i="3"/>
  <c r="H498" i="3"/>
  <c r="G498" i="3"/>
  <c r="F498" i="3"/>
  <c r="K497" i="3"/>
  <c r="J497" i="3"/>
  <c r="I497" i="3"/>
  <c r="H497" i="3"/>
  <c r="G497" i="3"/>
  <c r="F497" i="3"/>
  <c r="K496" i="3"/>
  <c r="J496" i="3"/>
  <c r="I496" i="3"/>
  <c r="H496" i="3"/>
  <c r="G496" i="3"/>
  <c r="F496" i="3"/>
  <c r="K495" i="3"/>
  <c r="J495" i="3"/>
  <c r="I495" i="3"/>
  <c r="H495" i="3"/>
  <c r="G495" i="3"/>
  <c r="F495" i="3"/>
  <c r="K494" i="3"/>
  <c r="J494" i="3"/>
  <c r="I494" i="3"/>
  <c r="H494" i="3"/>
  <c r="G494" i="3"/>
  <c r="F494" i="3"/>
  <c r="K493" i="3"/>
  <c r="J493" i="3"/>
  <c r="I493" i="3"/>
  <c r="H493" i="3"/>
  <c r="G493" i="3"/>
  <c r="F493" i="3"/>
  <c r="K492" i="3"/>
  <c r="J492" i="3"/>
  <c r="I492" i="3"/>
  <c r="H492" i="3"/>
  <c r="G492" i="3"/>
  <c r="F492" i="3"/>
  <c r="K491" i="3"/>
  <c r="J491" i="3"/>
  <c r="I491" i="3"/>
  <c r="H491" i="3"/>
  <c r="G491" i="3"/>
  <c r="F491" i="3"/>
  <c r="K490" i="3"/>
  <c r="J490" i="3"/>
  <c r="I490" i="3"/>
  <c r="H490" i="3"/>
  <c r="G490" i="3"/>
  <c r="F490" i="3"/>
  <c r="K489" i="3"/>
  <c r="J489" i="3"/>
  <c r="I489" i="3"/>
  <c r="H489" i="3"/>
  <c r="G489" i="3"/>
  <c r="F489" i="3"/>
  <c r="K488" i="3"/>
  <c r="J488" i="3"/>
  <c r="I488" i="3"/>
  <c r="H488" i="3"/>
  <c r="G488" i="3"/>
  <c r="F488" i="3"/>
  <c r="K487" i="3"/>
  <c r="J487" i="3"/>
  <c r="I487" i="3"/>
  <c r="H487" i="3"/>
  <c r="G487" i="3"/>
  <c r="F487" i="3"/>
  <c r="K486" i="3"/>
  <c r="J486" i="3"/>
  <c r="I486" i="3"/>
  <c r="H486" i="3"/>
  <c r="G486" i="3"/>
  <c r="F486" i="3"/>
  <c r="K485" i="3"/>
  <c r="J485" i="3"/>
  <c r="I485" i="3"/>
  <c r="H485" i="3"/>
  <c r="G485" i="3"/>
  <c r="F485" i="3"/>
  <c r="K484" i="3"/>
  <c r="J484" i="3"/>
  <c r="I484" i="3"/>
  <c r="H484" i="3"/>
  <c r="G484" i="3"/>
  <c r="F484" i="3"/>
  <c r="K483" i="3"/>
  <c r="J483" i="3"/>
  <c r="I483" i="3"/>
  <c r="H483" i="3"/>
  <c r="G483" i="3"/>
  <c r="F483" i="3"/>
  <c r="K482" i="3"/>
  <c r="J482" i="3"/>
  <c r="I482" i="3"/>
  <c r="H482" i="3"/>
  <c r="G482" i="3"/>
  <c r="F482" i="3"/>
  <c r="K481" i="3"/>
  <c r="J481" i="3"/>
  <c r="I481" i="3"/>
  <c r="H481" i="3"/>
  <c r="G481" i="3"/>
  <c r="F481" i="3"/>
  <c r="K480" i="3"/>
  <c r="J480" i="3"/>
  <c r="I480" i="3"/>
  <c r="H480" i="3"/>
  <c r="G480" i="3"/>
  <c r="F480" i="3"/>
  <c r="K479" i="3"/>
  <c r="J479" i="3"/>
  <c r="I479" i="3"/>
  <c r="H479" i="3"/>
  <c r="G479" i="3"/>
  <c r="F479" i="3"/>
  <c r="K478" i="3"/>
  <c r="J478" i="3"/>
  <c r="I478" i="3"/>
  <c r="H478" i="3"/>
  <c r="G478" i="3"/>
  <c r="F478" i="3"/>
  <c r="K477" i="3"/>
  <c r="J477" i="3"/>
  <c r="I477" i="3"/>
  <c r="H477" i="3"/>
  <c r="G477" i="3"/>
  <c r="F477" i="3"/>
  <c r="K476" i="3"/>
  <c r="J476" i="3"/>
  <c r="I476" i="3"/>
  <c r="H476" i="3"/>
  <c r="G476" i="3"/>
  <c r="F476" i="3"/>
  <c r="K475" i="3"/>
  <c r="J475" i="3"/>
  <c r="I475" i="3"/>
  <c r="H475" i="3"/>
  <c r="G475" i="3"/>
  <c r="F475" i="3"/>
  <c r="K474" i="3"/>
  <c r="J474" i="3"/>
  <c r="I474" i="3"/>
  <c r="H474" i="3"/>
  <c r="G474" i="3"/>
  <c r="F474" i="3"/>
  <c r="K473" i="3"/>
  <c r="J473" i="3"/>
  <c r="I473" i="3"/>
  <c r="H473" i="3"/>
  <c r="G473" i="3"/>
  <c r="F473" i="3"/>
  <c r="K472" i="3"/>
  <c r="J472" i="3"/>
  <c r="I472" i="3"/>
  <c r="H472" i="3"/>
  <c r="G472" i="3"/>
  <c r="F472" i="3"/>
  <c r="K471" i="3"/>
  <c r="J471" i="3"/>
  <c r="I471" i="3"/>
  <c r="H471" i="3"/>
  <c r="G471" i="3"/>
  <c r="F471" i="3"/>
  <c r="K470" i="3"/>
  <c r="J470" i="3"/>
  <c r="I470" i="3"/>
  <c r="H470" i="3"/>
  <c r="G470" i="3"/>
  <c r="F470" i="3"/>
  <c r="K469" i="3"/>
  <c r="J469" i="3"/>
  <c r="I469" i="3"/>
  <c r="H469" i="3"/>
  <c r="G469" i="3"/>
  <c r="F469" i="3"/>
  <c r="K468" i="3"/>
  <c r="J468" i="3"/>
  <c r="I468" i="3"/>
  <c r="H468" i="3"/>
  <c r="G468" i="3"/>
  <c r="F468" i="3"/>
  <c r="K467" i="3"/>
  <c r="J467" i="3"/>
  <c r="I467" i="3"/>
  <c r="H467" i="3"/>
  <c r="G467" i="3"/>
  <c r="F467" i="3"/>
  <c r="K466" i="3"/>
  <c r="J466" i="3"/>
  <c r="I466" i="3"/>
  <c r="H466" i="3"/>
  <c r="G466" i="3"/>
  <c r="F466" i="3"/>
  <c r="K465" i="3"/>
  <c r="J465" i="3"/>
  <c r="I465" i="3"/>
  <c r="H465" i="3"/>
  <c r="G465" i="3"/>
  <c r="F465" i="3"/>
  <c r="K464" i="3"/>
  <c r="J464" i="3"/>
  <c r="I464" i="3"/>
  <c r="H464" i="3"/>
  <c r="G464" i="3"/>
  <c r="F464" i="3"/>
  <c r="K463" i="3"/>
  <c r="J463" i="3"/>
  <c r="I463" i="3"/>
  <c r="H463" i="3"/>
  <c r="G463" i="3"/>
  <c r="F463" i="3"/>
  <c r="K462" i="3"/>
  <c r="J462" i="3"/>
  <c r="I462" i="3"/>
  <c r="H462" i="3"/>
  <c r="G462" i="3"/>
  <c r="F462" i="3"/>
  <c r="K461" i="3"/>
  <c r="J461" i="3"/>
  <c r="I461" i="3"/>
  <c r="H461" i="3"/>
  <c r="G461" i="3"/>
  <c r="F461" i="3"/>
  <c r="K460" i="3"/>
  <c r="J460" i="3"/>
  <c r="I460" i="3"/>
  <c r="H460" i="3"/>
  <c r="G460" i="3"/>
  <c r="F460" i="3"/>
  <c r="K459" i="3"/>
  <c r="J459" i="3"/>
  <c r="I459" i="3"/>
  <c r="H459" i="3"/>
  <c r="G459" i="3"/>
  <c r="F459" i="3"/>
  <c r="K458" i="3"/>
  <c r="J458" i="3"/>
  <c r="I458" i="3"/>
  <c r="H458" i="3"/>
  <c r="G458" i="3"/>
  <c r="F458" i="3"/>
  <c r="K457" i="3"/>
  <c r="J457" i="3"/>
  <c r="I457" i="3"/>
  <c r="H457" i="3"/>
  <c r="G457" i="3"/>
  <c r="F457" i="3"/>
  <c r="K456" i="3"/>
  <c r="J456" i="3"/>
  <c r="I456" i="3"/>
  <c r="H456" i="3"/>
  <c r="G456" i="3"/>
  <c r="F456" i="3"/>
  <c r="K455" i="3"/>
  <c r="J455" i="3"/>
  <c r="I455" i="3"/>
  <c r="H455" i="3"/>
  <c r="G455" i="3"/>
  <c r="F455" i="3"/>
  <c r="K454" i="3"/>
  <c r="J454" i="3"/>
  <c r="I454" i="3"/>
  <c r="H454" i="3"/>
  <c r="G454" i="3"/>
  <c r="F454" i="3"/>
  <c r="K453" i="3"/>
  <c r="J453" i="3"/>
  <c r="I453" i="3"/>
  <c r="H453" i="3"/>
  <c r="G453" i="3"/>
  <c r="F453" i="3"/>
  <c r="K452" i="3"/>
  <c r="J452" i="3"/>
  <c r="I452" i="3"/>
  <c r="H452" i="3"/>
  <c r="G452" i="3"/>
  <c r="F452" i="3"/>
  <c r="K451" i="3"/>
  <c r="J451" i="3"/>
  <c r="I451" i="3"/>
  <c r="H451" i="3"/>
  <c r="G451" i="3"/>
  <c r="F451" i="3"/>
  <c r="K450" i="3"/>
  <c r="J450" i="3"/>
  <c r="I450" i="3"/>
  <c r="H450" i="3"/>
  <c r="G450" i="3"/>
  <c r="F450" i="3"/>
  <c r="K449" i="3"/>
  <c r="J449" i="3"/>
  <c r="I449" i="3"/>
  <c r="H449" i="3"/>
  <c r="G449" i="3"/>
  <c r="F449" i="3"/>
  <c r="K448" i="3"/>
  <c r="J448" i="3"/>
  <c r="I448" i="3"/>
  <c r="H448" i="3"/>
  <c r="G448" i="3"/>
  <c r="F448" i="3"/>
  <c r="K447" i="3"/>
  <c r="J447" i="3"/>
  <c r="I447" i="3"/>
  <c r="H447" i="3"/>
  <c r="G447" i="3"/>
  <c r="F447" i="3"/>
  <c r="K446" i="3"/>
  <c r="J446" i="3"/>
  <c r="I446" i="3"/>
  <c r="H446" i="3"/>
  <c r="G446" i="3"/>
  <c r="F446" i="3"/>
  <c r="K445" i="3"/>
  <c r="J445" i="3"/>
  <c r="I445" i="3"/>
  <c r="H445" i="3"/>
  <c r="G445" i="3"/>
  <c r="F445" i="3"/>
  <c r="K444" i="3"/>
  <c r="J444" i="3"/>
  <c r="I444" i="3"/>
  <c r="H444" i="3"/>
  <c r="G444" i="3"/>
  <c r="F444" i="3"/>
  <c r="K443" i="3"/>
  <c r="J443" i="3"/>
  <c r="I443" i="3"/>
  <c r="H443" i="3"/>
  <c r="G443" i="3"/>
  <c r="F443" i="3"/>
  <c r="K442" i="3"/>
  <c r="J442" i="3"/>
  <c r="I442" i="3"/>
  <c r="H442" i="3"/>
  <c r="G442" i="3"/>
  <c r="F442" i="3"/>
  <c r="K441" i="3"/>
  <c r="J441" i="3"/>
  <c r="I441" i="3"/>
  <c r="H441" i="3"/>
  <c r="G441" i="3"/>
  <c r="F441" i="3"/>
  <c r="K440" i="3"/>
  <c r="J440" i="3"/>
  <c r="I440" i="3"/>
  <c r="H440" i="3"/>
  <c r="G440" i="3"/>
  <c r="F440" i="3"/>
  <c r="K439" i="3"/>
  <c r="J439" i="3"/>
  <c r="I439" i="3"/>
  <c r="H439" i="3"/>
  <c r="G439" i="3"/>
  <c r="F439" i="3"/>
  <c r="K438" i="3"/>
  <c r="J438" i="3"/>
  <c r="I438" i="3"/>
  <c r="H438" i="3"/>
  <c r="G438" i="3"/>
  <c r="F438" i="3"/>
  <c r="K437" i="3"/>
  <c r="J437" i="3"/>
  <c r="I437" i="3"/>
  <c r="H437" i="3"/>
  <c r="G437" i="3"/>
  <c r="F437" i="3"/>
  <c r="K436" i="3"/>
  <c r="J436" i="3"/>
  <c r="I436" i="3"/>
  <c r="H436" i="3"/>
  <c r="G436" i="3"/>
  <c r="F436" i="3"/>
  <c r="K435" i="3"/>
  <c r="J435" i="3"/>
  <c r="I435" i="3"/>
  <c r="H435" i="3"/>
  <c r="G435" i="3"/>
  <c r="F435" i="3"/>
  <c r="K434" i="3"/>
  <c r="J434" i="3"/>
  <c r="I434" i="3"/>
  <c r="H434" i="3"/>
  <c r="G434" i="3"/>
  <c r="F434" i="3"/>
  <c r="K433" i="3"/>
  <c r="J433" i="3"/>
  <c r="I433" i="3"/>
  <c r="H433" i="3"/>
  <c r="G433" i="3"/>
  <c r="F433" i="3"/>
  <c r="K432" i="3"/>
  <c r="J432" i="3"/>
  <c r="I432" i="3"/>
  <c r="H432" i="3"/>
  <c r="G432" i="3"/>
  <c r="F432" i="3"/>
  <c r="K431" i="3"/>
  <c r="J431" i="3"/>
  <c r="I431" i="3"/>
  <c r="H431" i="3"/>
  <c r="G431" i="3"/>
  <c r="F431" i="3"/>
  <c r="K430" i="3"/>
  <c r="J430" i="3"/>
  <c r="I430" i="3"/>
  <c r="H430" i="3"/>
  <c r="G430" i="3"/>
  <c r="F430" i="3"/>
  <c r="K429" i="3"/>
  <c r="J429" i="3"/>
  <c r="I429" i="3"/>
  <c r="H429" i="3"/>
  <c r="G429" i="3"/>
  <c r="F429" i="3"/>
  <c r="K428" i="3"/>
  <c r="J428" i="3"/>
  <c r="I428" i="3"/>
  <c r="H428" i="3"/>
  <c r="G428" i="3"/>
  <c r="F428" i="3"/>
  <c r="K427" i="3"/>
  <c r="J427" i="3"/>
  <c r="I427" i="3"/>
  <c r="H427" i="3"/>
  <c r="G427" i="3"/>
  <c r="F427" i="3"/>
  <c r="K426" i="3"/>
  <c r="J426" i="3"/>
  <c r="I426" i="3"/>
  <c r="H426" i="3"/>
  <c r="G426" i="3"/>
  <c r="F426" i="3"/>
  <c r="K425" i="3"/>
  <c r="J425" i="3"/>
  <c r="I425" i="3"/>
  <c r="H425" i="3"/>
  <c r="G425" i="3"/>
  <c r="F425" i="3"/>
  <c r="K424" i="3"/>
  <c r="J424" i="3"/>
  <c r="I424" i="3"/>
  <c r="H424" i="3"/>
  <c r="G424" i="3"/>
  <c r="F424" i="3"/>
  <c r="K423" i="3"/>
  <c r="J423" i="3"/>
  <c r="I423" i="3"/>
  <c r="H423" i="3"/>
  <c r="G423" i="3"/>
  <c r="F423" i="3"/>
  <c r="K422" i="3"/>
  <c r="J422" i="3"/>
  <c r="I422" i="3"/>
  <c r="H422" i="3"/>
  <c r="G422" i="3"/>
  <c r="F422" i="3"/>
  <c r="K421" i="3"/>
  <c r="J421" i="3"/>
  <c r="I421" i="3"/>
  <c r="H421" i="3"/>
  <c r="G421" i="3"/>
  <c r="F421" i="3"/>
  <c r="K420" i="3"/>
  <c r="J420" i="3"/>
  <c r="I420" i="3"/>
  <c r="H420" i="3"/>
  <c r="G420" i="3"/>
  <c r="F420" i="3"/>
  <c r="K419" i="3"/>
  <c r="J419" i="3"/>
  <c r="I419" i="3"/>
  <c r="H419" i="3"/>
  <c r="G419" i="3"/>
  <c r="F419" i="3"/>
  <c r="K418" i="3"/>
  <c r="J418" i="3"/>
  <c r="I418" i="3"/>
  <c r="H418" i="3"/>
  <c r="G418" i="3"/>
  <c r="F418" i="3"/>
  <c r="K417" i="3"/>
  <c r="J417" i="3"/>
  <c r="I417" i="3"/>
  <c r="H417" i="3"/>
  <c r="G417" i="3"/>
  <c r="F417" i="3"/>
  <c r="K416" i="3"/>
  <c r="J416" i="3"/>
  <c r="I416" i="3"/>
  <c r="H416" i="3"/>
  <c r="G416" i="3"/>
  <c r="F416" i="3"/>
  <c r="K415" i="3"/>
  <c r="J415" i="3"/>
  <c r="I415" i="3"/>
  <c r="H415" i="3"/>
  <c r="G415" i="3"/>
  <c r="F415" i="3"/>
  <c r="K414" i="3"/>
  <c r="J414" i="3"/>
  <c r="I414" i="3"/>
  <c r="H414" i="3"/>
  <c r="G414" i="3"/>
  <c r="F414" i="3"/>
  <c r="K413" i="3"/>
  <c r="J413" i="3"/>
  <c r="I413" i="3"/>
  <c r="H413" i="3"/>
  <c r="G413" i="3"/>
  <c r="F413" i="3"/>
  <c r="K412" i="3"/>
  <c r="J412" i="3"/>
  <c r="I412" i="3"/>
  <c r="H412" i="3"/>
  <c r="G412" i="3"/>
  <c r="F412" i="3"/>
  <c r="K411" i="3"/>
  <c r="J411" i="3"/>
  <c r="I411" i="3"/>
  <c r="H411" i="3"/>
  <c r="G411" i="3"/>
  <c r="F411" i="3"/>
  <c r="K410" i="3"/>
  <c r="J410" i="3"/>
  <c r="I410" i="3"/>
  <c r="H410" i="3"/>
  <c r="G410" i="3"/>
  <c r="F410" i="3"/>
  <c r="K409" i="3"/>
  <c r="J409" i="3"/>
  <c r="I409" i="3"/>
  <c r="H409" i="3"/>
  <c r="G409" i="3"/>
  <c r="F409" i="3"/>
  <c r="K408" i="3"/>
  <c r="J408" i="3"/>
  <c r="I408" i="3"/>
  <c r="H408" i="3"/>
  <c r="G408" i="3"/>
  <c r="F408" i="3"/>
  <c r="K407" i="3"/>
  <c r="J407" i="3"/>
  <c r="I407" i="3"/>
  <c r="H407" i="3"/>
  <c r="G407" i="3"/>
  <c r="F407" i="3"/>
  <c r="K406" i="3"/>
  <c r="J406" i="3"/>
  <c r="I406" i="3"/>
  <c r="H406" i="3"/>
  <c r="G406" i="3"/>
  <c r="F406" i="3"/>
  <c r="K405" i="3"/>
  <c r="J405" i="3"/>
  <c r="I405" i="3"/>
  <c r="H405" i="3"/>
  <c r="G405" i="3"/>
  <c r="F405" i="3"/>
  <c r="K404" i="3"/>
  <c r="J404" i="3"/>
  <c r="I404" i="3"/>
  <c r="H404" i="3"/>
  <c r="G404" i="3"/>
  <c r="F404" i="3"/>
  <c r="K403" i="3"/>
  <c r="J403" i="3"/>
  <c r="I403" i="3"/>
  <c r="H403" i="3"/>
  <c r="G403" i="3"/>
  <c r="F403" i="3"/>
  <c r="K402" i="3"/>
  <c r="J402" i="3"/>
  <c r="I402" i="3"/>
  <c r="H402" i="3"/>
  <c r="G402" i="3"/>
  <c r="F402" i="3"/>
  <c r="K401" i="3"/>
  <c r="J401" i="3"/>
  <c r="I401" i="3"/>
  <c r="H401" i="3"/>
  <c r="G401" i="3"/>
  <c r="F401" i="3"/>
  <c r="K400" i="3"/>
  <c r="J400" i="3"/>
  <c r="I400" i="3"/>
  <c r="H400" i="3"/>
  <c r="G400" i="3"/>
  <c r="F400" i="3"/>
  <c r="K399" i="3"/>
  <c r="J399" i="3"/>
  <c r="I399" i="3"/>
  <c r="H399" i="3"/>
  <c r="G399" i="3"/>
  <c r="F399" i="3"/>
  <c r="K398" i="3"/>
  <c r="J398" i="3"/>
  <c r="I398" i="3"/>
  <c r="H398" i="3"/>
  <c r="G398" i="3"/>
  <c r="F398" i="3"/>
  <c r="K397" i="3"/>
  <c r="J397" i="3"/>
  <c r="I397" i="3"/>
  <c r="H397" i="3"/>
  <c r="G397" i="3"/>
  <c r="F397" i="3"/>
  <c r="K396" i="3"/>
  <c r="J396" i="3"/>
  <c r="I396" i="3"/>
  <c r="H396" i="3"/>
  <c r="G396" i="3"/>
  <c r="F396" i="3"/>
  <c r="K395" i="3"/>
  <c r="J395" i="3"/>
  <c r="I395" i="3"/>
  <c r="H395" i="3"/>
  <c r="G395" i="3"/>
  <c r="F395" i="3"/>
  <c r="K394" i="3"/>
  <c r="J394" i="3"/>
  <c r="I394" i="3"/>
  <c r="H394" i="3"/>
  <c r="G394" i="3"/>
  <c r="F394" i="3"/>
  <c r="K393" i="3"/>
  <c r="J393" i="3"/>
  <c r="I393" i="3"/>
  <c r="H393" i="3"/>
  <c r="G393" i="3"/>
  <c r="F393" i="3"/>
  <c r="K392" i="3"/>
  <c r="J392" i="3"/>
  <c r="I392" i="3"/>
  <c r="H392" i="3"/>
  <c r="G392" i="3"/>
  <c r="F392" i="3"/>
  <c r="K391" i="3"/>
  <c r="J391" i="3"/>
  <c r="I391" i="3"/>
  <c r="H391" i="3"/>
  <c r="G391" i="3"/>
  <c r="F391" i="3"/>
  <c r="K390" i="3"/>
  <c r="J390" i="3"/>
  <c r="I390" i="3"/>
  <c r="H390" i="3"/>
  <c r="G390" i="3"/>
  <c r="F390" i="3"/>
  <c r="K389" i="3"/>
  <c r="J389" i="3"/>
  <c r="I389" i="3"/>
  <c r="H389" i="3"/>
  <c r="G389" i="3"/>
  <c r="F389" i="3"/>
  <c r="K388" i="3"/>
  <c r="J388" i="3"/>
  <c r="I388" i="3"/>
  <c r="H388" i="3"/>
  <c r="G388" i="3"/>
  <c r="F388" i="3"/>
  <c r="K387" i="3"/>
  <c r="J387" i="3"/>
  <c r="I387" i="3"/>
  <c r="H387" i="3"/>
  <c r="G387" i="3"/>
  <c r="F387" i="3"/>
  <c r="K386" i="3"/>
  <c r="J386" i="3"/>
  <c r="I386" i="3"/>
  <c r="H386" i="3"/>
  <c r="G386" i="3"/>
  <c r="F386" i="3"/>
  <c r="K385" i="3"/>
  <c r="J385" i="3"/>
  <c r="I385" i="3"/>
  <c r="H385" i="3"/>
  <c r="G385" i="3"/>
  <c r="F385" i="3"/>
  <c r="K384" i="3"/>
  <c r="J384" i="3"/>
  <c r="I384" i="3"/>
  <c r="H384" i="3"/>
  <c r="G384" i="3"/>
  <c r="F384" i="3"/>
  <c r="K383" i="3"/>
  <c r="J383" i="3"/>
  <c r="I383" i="3"/>
  <c r="H383" i="3"/>
  <c r="G383" i="3"/>
  <c r="F383" i="3"/>
  <c r="K382" i="3"/>
  <c r="J382" i="3"/>
  <c r="I382" i="3"/>
  <c r="H382" i="3"/>
  <c r="G382" i="3"/>
  <c r="F382" i="3"/>
  <c r="K381" i="3"/>
  <c r="J381" i="3"/>
  <c r="I381" i="3"/>
  <c r="H381" i="3"/>
  <c r="G381" i="3"/>
  <c r="F381" i="3"/>
  <c r="K380" i="3"/>
  <c r="J380" i="3"/>
  <c r="I380" i="3"/>
  <c r="H380" i="3"/>
  <c r="G380" i="3"/>
  <c r="F380" i="3"/>
  <c r="K379" i="3"/>
  <c r="J379" i="3"/>
  <c r="I379" i="3"/>
  <c r="H379" i="3"/>
  <c r="G379" i="3"/>
  <c r="F379" i="3"/>
  <c r="K378" i="3"/>
  <c r="J378" i="3"/>
  <c r="I378" i="3"/>
  <c r="H378" i="3"/>
  <c r="G378" i="3"/>
  <c r="F378" i="3"/>
  <c r="K377" i="3"/>
  <c r="J377" i="3"/>
  <c r="I377" i="3"/>
  <c r="H377" i="3"/>
  <c r="G377" i="3"/>
  <c r="F377" i="3"/>
  <c r="K376" i="3"/>
  <c r="J376" i="3"/>
  <c r="I376" i="3"/>
  <c r="H376" i="3"/>
  <c r="G376" i="3"/>
  <c r="F376" i="3"/>
  <c r="K375" i="3"/>
  <c r="J375" i="3"/>
  <c r="I375" i="3"/>
  <c r="H375" i="3"/>
  <c r="G375" i="3"/>
  <c r="F375" i="3"/>
  <c r="K374" i="3"/>
  <c r="J374" i="3"/>
  <c r="I374" i="3"/>
  <c r="H374" i="3"/>
  <c r="G374" i="3"/>
  <c r="F374" i="3"/>
  <c r="K373" i="3"/>
  <c r="J373" i="3"/>
  <c r="I373" i="3"/>
  <c r="H373" i="3"/>
  <c r="G373" i="3"/>
  <c r="F373" i="3"/>
  <c r="K372" i="3"/>
  <c r="J372" i="3"/>
  <c r="I372" i="3"/>
  <c r="H372" i="3"/>
  <c r="G372" i="3"/>
  <c r="F372" i="3"/>
  <c r="K371" i="3"/>
  <c r="J371" i="3"/>
  <c r="I371" i="3"/>
  <c r="H371" i="3"/>
  <c r="G371" i="3"/>
  <c r="F371" i="3"/>
  <c r="K370" i="3"/>
  <c r="J370" i="3"/>
  <c r="I370" i="3"/>
  <c r="H370" i="3"/>
  <c r="G370" i="3"/>
  <c r="F370" i="3"/>
  <c r="K369" i="3"/>
  <c r="J369" i="3"/>
  <c r="I369" i="3"/>
  <c r="H369" i="3"/>
  <c r="G369" i="3"/>
  <c r="F369" i="3"/>
  <c r="K368" i="3"/>
  <c r="J368" i="3"/>
  <c r="I368" i="3"/>
  <c r="H368" i="3"/>
  <c r="G368" i="3"/>
  <c r="F368" i="3"/>
  <c r="K367" i="3"/>
  <c r="J367" i="3"/>
  <c r="I367" i="3"/>
  <c r="H367" i="3"/>
  <c r="G367" i="3"/>
  <c r="F367" i="3"/>
  <c r="K366" i="3"/>
  <c r="J366" i="3"/>
  <c r="I366" i="3"/>
  <c r="H366" i="3"/>
  <c r="G366" i="3"/>
  <c r="F366" i="3"/>
  <c r="K365" i="3"/>
  <c r="J365" i="3"/>
  <c r="I365" i="3"/>
  <c r="H365" i="3"/>
  <c r="G365" i="3"/>
  <c r="F365" i="3"/>
  <c r="K364" i="3"/>
  <c r="J364" i="3"/>
  <c r="I364" i="3"/>
  <c r="H364" i="3"/>
  <c r="G364" i="3"/>
  <c r="F364" i="3"/>
  <c r="K363" i="3"/>
  <c r="J363" i="3"/>
  <c r="I363" i="3"/>
  <c r="H363" i="3"/>
  <c r="G363" i="3"/>
  <c r="F363" i="3"/>
  <c r="K362" i="3"/>
  <c r="J362" i="3"/>
  <c r="I362" i="3"/>
  <c r="H362" i="3"/>
  <c r="G362" i="3"/>
  <c r="F362" i="3"/>
  <c r="K361" i="3"/>
  <c r="J361" i="3"/>
  <c r="I361" i="3"/>
  <c r="H361" i="3"/>
  <c r="G361" i="3"/>
  <c r="F361" i="3"/>
  <c r="K360" i="3"/>
  <c r="J360" i="3"/>
  <c r="I360" i="3"/>
  <c r="H360" i="3"/>
  <c r="G360" i="3"/>
  <c r="F360" i="3"/>
  <c r="K359" i="3"/>
  <c r="J359" i="3"/>
  <c r="I359" i="3"/>
  <c r="H359" i="3"/>
  <c r="G359" i="3"/>
  <c r="F359" i="3"/>
  <c r="K358" i="3"/>
  <c r="J358" i="3"/>
  <c r="I358" i="3"/>
  <c r="H358" i="3"/>
  <c r="G358" i="3"/>
  <c r="F358" i="3"/>
  <c r="K357" i="3"/>
  <c r="J357" i="3"/>
  <c r="I357" i="3"/>
  <c r="H357" i="3"/>
  <c r="G357" i="3"/>
  <c r="F357" i="3"/>
  <c r="K356" i="3"/>
  <c r="J356" i="3"/>
  <c r="I356" i="3"/>
  <c r="H356" i="3"/>
  <c r="G356" i="3"/>
  <c r="F356" i="3"/>
  <c r="K355" i="3"/>
  <c r="J355" i="3"/>
  <c r="I355" i="3"/>
  <c r="H355" i="3"/>
  <c r="G355" i="3"/>
  <c r="F355" i="3"/>
  <c r="K354" i="3"/>
  <c r="J354" i="3"/>
  <c r="I354" i="3"/>
  <c r="H354" i="3"/>
  <c r="G354" i="3"/>
  <c r="F354" i="3"/>
  <c r="K353" i="3"/>
  <c r="J353" i="3"/>
  <c r="I353" i="3"/>
  <c r="H353" i="3"/>
  <c r="G353" i="3"/>
  <c r="F353" i="3"/>
  <c r="K352" i="3"/>
  <c r="J352" i="3"/>
  <c r="I352" i="3"/>
  <c r="H352" i="3"/>
  <c r="G352" i="3"/>
  <c r="F352" i="3"/>
  <c r="K351" i="3"/>
  <c r="J351" i="3"/>
  <c r="I351" i="3"/>
  <c r="H351" i="3"/>
  <c r="G351" i="3"/>
  <c r="F351" i="3"/>
  <c r="K350" i="3"/>
  <c r="J350" i="3"/>
  <c r="I350" i="3"/>
  <c r="H350" i="3"/>
  <c r="G350" i="3"/>
  <c r="F350" i="3"/>
  <c r="K349" i="3"/>
  <c r="J349" i="3"/>
  <c r="I349" i="3"/>
  <c r="H349" i="3"/>
  <c r="G349" i="3"/>
  <c r="F349" i="3"/>
  <c r="K348" i="3"/>
  <c r="J348" i="3"/>
  <c r="I348" i="3"/>
  <c r="H348" i="3"/>
  <c r="G348" i="3"/>
  <c r="F348" i="3"/>
  <c r="K347" i="3"/>
  <c r="J347" i="3"/>
  <c r="I347" i="3"/>
  <c r="H347" i="3"/>
  <c r="G347" i="3"/>
  <c r="F347" i="3"/>
  <c r="K346" i="3"/>
  <c r="J346" i="3"/>
  <c r="I346" i="3"/>
  <c r="H346" i="3"/>
  <c r="G346" i="3"/>
  <c r="F346" i="3"/>
  <c r="K345" i="3"/>
  <c r="J345" i="3"/>
  <c r="I345" i="3"/>
  <c r="H345" i="3"/>
  <c r="G345" i="3"/>
  <c r="F345" i="3"/>
  <c r="K344" i="3"/>
  <c r="J344" i="3"/>
  <c r="I344" i="3"/>
  <c r="H344" i="3"/>
  <c r="G344" i="3"/>
  <c r="F344" i="3"/>
  <c r="K343" i="3"/>
  <c r="J343" i="3"/>
  <c r="I343" i="3"/>
  <c r="H343" i="3"/>
  <c r="G343" i="3"/>
  <c r="F343" i="3"/>
  <c r="K342" i="3"/>
  <c r="J342" i="3"/>
  <c r="I342" i="3"/>
  <c r="H342" i="3"/>
  <c r="G342" i="3"/>
  <c r="F342" i="3"/>
  <c r="K341" i="3"/>
  <c r="J341" i="3"/>
  <c r="I341" i="3"/>
  <c r="H341" i="3"/>
  <c r="G341" i="3"/>
  <c r="F341" i="3"/>
  <c r="K340" i="3"/>
  <c r="J340" i="3"/>
  <c r="I340" i="3"/>
  <c r="H340" i="3"/>
  <c r="G340" i="3"/>
  <c r="F340" i="3"/>
  <c r="K339" i="3"/>
  <c r="J339" i="3"/>
  <c r="I339" i="3"/>
  <c r="H339" i="3"/>
  <c r="G339" i="3"/>
  <c r="F339" i="3"/>
  <c r="K338" i="3"/>
  <c r="J338" i="3"/>
  <c r="I338" i="3"/>
  <c r="H338" i="3"/>
  <c r="G338" i="3"/>
  <c r="F338" i="3"/>
  <c r="K337" i="3"/>
  <c r="J337" i="3"/>
  <c r="I337" i="3"/>
  <c r="H337" i="3"/>
  <c r="G337" i="3"/>
  <c r="F337" i="3"/>
  <c r="K336" i="3"/>
  <c r="J336" i="3"/>
  <c r="I336" i="3"/>
  <c r="H336" i="3"/>
  <c r="G336" i="3"/>
  <c r="F336" i="3"/>
  <c r="K335" i="3"/>
  <c r="J335" i="3"/>
  <c r="I335" i="3"/>
  <c r="H335" i="3"/>
  <c r="G335" i="3"/>
  <c r="F335" i="3"/>
  <c r="K334" i="3"/>
  <c r="J334" i="3"/>
  <c r="I334" i="3"/>
  <c r="H334" i="3"/>
  <c r="G334" i="3"/>
  <c r="F334" i="3"/>
  <c r="K333" i="3"/>
  <c r="J333" i="3"/>
  <c r="I333" i="3"/>
  <c r="H333" i="3"/>
  <c r="G333" i="3"/>
  <c r="F333" i="3"/>
  <c r="K332" i="3"/>
  <c r="J332" i="3"/>
  <c r="I332" i="3"/>
  <c r="H332" i="3"/>
  <c r="G332" i="3"/>
  <c r="F332" i="3"/>
  <c r="K331" i="3"/>
  <c r="J331" i="3"/>
  <c r="I331" i="3"/>
  <c r="H331" i="3"/>
  <c r="G331" i="3"/>
  <c r="F331" i="3"/>
  <c r="K330" i="3"/>
  <c r="J330" i="3"/>
  <c r="I330" i="3"/>
  <c r="H330" i="3"/>
  <c r="G330" i="3"/>
  <c r="F330" i="3"/>
  <c r="K329" i="3"/>
  <c r="J329" i="3"/>
  <c r="I329" i="3"/>
  <c r="H329" i="3"/>
  <c r="G329" i="3"/>
  <c r="F329" i="3"/>
  <c r="K328" i="3"/>
  <c r="J328" i="3"/>
  <c r="I328" i="3"/>
  <c r="H328" i="3"/>
  <c r="G328" i="3"/>
  <c r="F328" i="3"/>
  <c r="K327" i="3"/>
  <c r="J327" i="3"/>
  <c r="I327" i="3"/>
  <c r="H327" i="3"/>
  <c r="G327" i="3"/>
  <c r="F327" i="3"/>
  <c r="K326" i="3"/>
  <c r="J326" i="3"/>
  <c r="I326" i="3"/>
  <c r="H326" i="3"/>
  <c r="G326" i="3"/>
  <c r="F326" i="3"/>
  <c r="K325" i="3"/>
  <c r="J325" i="3"/>
  <c r="I325" i="3"/>
  <c r="H325" i="3"/>
  <c r="G325" i="3"/>
  <c r="F325" i="3"/>
  <c r="K324" i="3"/>
  <c r="J324" i="3"/>
  <c r="I324" i="3"/>
  <c r="H324" i="3"/>
  <c r="G324" i="3"/>
  <c r="F324" i="3"/>
  <c r="K323" i="3"/>
  <c r="J323" i="3"/>
  <c r="I323" i="3"/>
  <c r="H323" i="3"/>
  <c r="G323" i="3"/>
  <c r="F323" i="3"/>
  <c r="K322" i="3"/>
  <c r="J322" i="3"/>
  <c r="I322" i="3"/>
  <c r="H322" i="3"/>
  <c r="G322" i="3"/>
  <c r="F322" i="3"/>
  <c r="K321" i="3"/>
  <c r="J321" i="3"/>
  <c r="I321" i="3"/>
  <c r="H321" i="3"/>
  <c r="G321" i="3"/>
  <c r="F321" i="3"/>
  <c r="K320" i="3"/>
  <c r="J320" i="3"/>
  <c r="I320" i="3"/>
  <c r="H320" i="3"/>
  <c r="G320" i="3"/>
  <c r="F320" i="3"/>
  <c r="K319" i="3"/>
  <c r="J319" i="3"/>
  <c r="I319" i="3"/>
  <c r="H319" i="3"/>
  <c r="G319" i="3"/>
  <c r="F319" i="3"/>
  <c r="K318" i="3"/>
  <c r="J318" i="3"/>
  <c r="I318" i="3"/>
  <c r="H318" i="3"/>
  <c r="G318" i="3"/>
  <c r="F318" i="3"/>
  <c r="K317" i="3"/>
  <c r="J317" i="3"/>
  <c r="I317" i="3"/>
  <c r="H317" i="3"/>
  <c r="G317" i="3"/>
  <c r="F317" i="3"/>
  <c r="K316" i="3"/>
  <c r="J316" i="3"/>
  <c r="I316" i="3"/>
  <c r="H316" i="3"/>
  <c r="G316" i="3"/>
  <c r="F316" i="3"/>
  <c r="K315" i="3"/>
  <c r="J315" i="3"/>
  <c r="I315" i="3"/>
  <c r="H315" i="3"/>
  <c r="G315" i="3"/>
  <c r="F315" i="3"/>
  <c r="K314" i="3"/>
  <c r="J314" i="3"/>
  <c r="I314" i="3"/>
  <c r="H314" i="3"/>
  <c r="G314" i="3"/>
  <c r="F314" i="3"/>
  <c r="K313" i="3"/>
  <c r="J313" i="3"/>
  <c r="I313" i="3"/>
  <c r="H313" i="3"/>
  <c r="G313" i="3"/>
  <c r="F313" i="3"/>
  <c r="K312" i="3"/>
  <c r="J312" i="3"/>
  <c r="I312" i="3"/>
  <c r="H312" i="3"/>
  <c r="G312" i="3"/>
  <c r="F312" i="3"/>
  <c r="K311" i="3"/>
  <c r="J311" i="3"/>
  <c r="I311" i="3"/>
  <c r="H311" i="3"/>
  <c r="G311" i="3"/>
  <c r="F311" i="3"/>
  <c r="K310" i="3"/>
  <c r="J310" i="3"/>
  <c r="I310" i="3"/>
  <c r="H310" i="3"/>
  <c r="G310" i="3"/>
  <c r="F310" i="3"/>
  <c r="K309" i="3"/>
  <c r="J309" i="3"/>
  <c r="I309" i="3"/>
  <c r="H309" i="3"/>
  <c r="G309" i="3"/>
  <c r="F309" i="3"/>
  <c r="K308" i="3"/>
  <c r="J308" i="3"/>
  <c r="I308" i="3"/>
  <c r="H308" i="3"/>
  <c r="G308" i="3"/>
  <c r="F308" i="3"/>
  <c r="K307" i="3"/>
  <c r="J307" i="3"/>
  <c r="I307" i="3"/>
  <c r="H307" i="3"/>
  <c r="G307" i="3"/>
  <c r="F307" i="3"/>
  <c r="K306" i="3"/>
  <c r="J306" i="3"/>
  <c r="I306" i="3"/>
  <c r="H306" i="3"/>
  <c r="G306" i="3"/>
  <c r="F306" i="3"/>
  <c r="K305" i="3"/>
  <c r="J305" i="3"/>
  <c r="I305" i="3"/>
  <c r="H305" i="3"/>
  <c r="G305" i="3"/>
  <c r="F305" i="3"/>
  <c r="K304" i="3"/>
  <c r="J304" i="3"/>
  <c r="I304" i="3"/>
  <c r="H304" i="3"/>
  <c r="G304" i="3"/>
  <c r="F304" i="3"/>
  <c r="K303" i="3"/>
  <c r="J303" i="3"/>
  <c r="I303" i="3"/>
  <c r="H303" i="3"/>
  <c r="G303" i="3"/>
  <c r="F303" i="3"/>
  <c r="K302" i="3"/>
  <c r="J302" i="3"/>
  <c r="I302" i="3"/>
  <c r="H302" i="3"/>
  <c r="G302" i="3"/>
  <c r="F302" i="3"/>
  <c r="K301" i="3"/>
  <c r="J301" i="3"/>
  <c r="I301" i="3"/>
  <c r="H301" i="3"/>
  <c r="G301" i="3"/>
  <c r="F301" i="3"/>
  <c r="K300" i="3"/>
  <c r="J300" i="3"/>
  <c r="I300" i="3"/>
  <c r="H300" i="3"/>
  <c r="G300" i="3"/>
  <c r="F300" i="3"/>
  <c r="K299" i="3"/>
  <c r="J299" i="3"/>
  <c r="I299" i="3"/>
  <c r="H299" i="3"/>
  <c r="G299" i="3"/>
  <c r="F299" i="3"/>
  <c r="K298" i="3"/>
  <c r="J298" i="3"/>
  <c r="I298" i="3"/>
  <c r="H298" i="3"/>
  <c r="G298" i="3"/>
  <c r="F298" i="3"/>
  <c r="K297" i="3"/>
  <c r="J297" i="3"/>
  <c r="I297" i="3"/>
  <c r="H297" i="3"/>
  <c r="G297" i="3"/>
  <c r="F297" i="3"/>
  <c r="K296" i="3"/>
  <c r="J296" i="3"/>
  <c r="I296" i="3"/>
  <c r="H296" i="3"/>
  <c r="G296" i="3"/>
  <c r="F296" i="3"/>
  <c r="K295" i="3"/>
  <c r="J295" i="3"/>
  <c r="I295" i="3"/>
  <c r="H295" i="3"/>
  <c r="G295" i="3"/>
  <c r="F295" i="3"/>
  <c r="K294" i="3"/>
  <c r="J294" i="3"/>
  <c r="I294" i="3"/>
  <c r="H294" i="3"/>
  <c r="G294" i="3"/>
  <c r="F294" i="3"/>
  <c r="K293" i="3"/>
  <c r="J293" i="3"/>
  <c r="I293" i="3"/>
  <c r="H293" i="3"/>
  <c r="G293" i="3"/>
  <c r="F293" i="3"/>
  <c r="K292" i="3"/>
  <c r="J292" i="3"/>
  <c r="I292" i="3"/>
  <c r="H292" i="3"/>
  <c r="G292" i="3"/>
  <c r="F292" i="3"/>
  <c r="K291" i="3"/>
  <c r="J291" i="3"/>
  <c r="I291" i="3"/>
  <c r="H291" i="3"/>
  <c r="G291" i="3"/>
  <c r="F291" i="3"/>
  <c r="K290" i="3"/>
  <c r="J290" i="3"/>
  <c r="I290" i="3"/>
  <c r="H290" i="3"/>
  <c r="G290" i="3"/>
  <c r="F290" i="3"/>
  <c r="K289" i="3"/>
  <c r="J289" i="3"/>
  <c r="I289" i="3"/>
  <c r="H289" i="3"/>
  <c r="G289" i="3"/>
  <c r="F289" i="3"/>
  <c r="K288" i="3"/>
  <c r="J288" i="3"/>
  <c r="I288" i="3"/>
  <c r="H288" i="3"/>
  <c r="G288" i="3"/>
  <c r="F288" i="3"/>
  <c r="K287" i="3"/>
  <c r="J287" i="3"/>
  <c r="I287" i="3"/>
  <c r="H287" i="3"/>
  <c r="G287" i="3"/>
  <c r="F287" i="3"/>
  <c r="K286" i="3"/>
  <c r="J286" i="3"/>
  <c r="I286" i="3"/>
  <c r="H286" i="3"/>
  <c r="G286" i="3"/>
  <c r="F286" i="3"/>
  <c r="K285" i="3"/>
  <c r="J285" i="3"/>
  <c r="I285" i="3"/>
  <c r="H285" i="3"/>
  <c r="G285" i="3"/>
  <c r="F285" i="3"/>
  <c r="K284" i="3"/>
  <c r="J284" i="3"/>
  <c r="I284" i="3"/>
  <c r="H284" i="3"/>
  <c r="G284" i="3"/>
  <c r="F284" i="3"/>
  <c r="K283" i="3"/>
  <c r="J283" i="3"/>
  <c r="I283" i="3"/>
  <c r="H283" i="3"/>
  <c r="G283" i="3"/>
  <c r="F283" i="3"/>
  <c r="K282" i="3"/>
  <c r="J282" i="3"/>
  <c r="I282" i="3"/>
  <c r="H282" i="3"/>
  <c r="G282" i="3"/>
  <c r="F282" i="3"/>
  <c r="K281" i="3"/>
  <c r="J281" i="3"/>
  <c r="I281" i="3"/>
  <c r="H281" i="3"/>
  <c r="G281" i="3"/>
  <c r="F281" i="3"/>
  <c r="K280" i="3"/>
  <c r="J280" i="3"/>
  <c r="I280" i="3"/>
  <c r="H280" i="3"/>
  <c r="G280" i="3"/>
  <c r="F280" i="3"/>
  <c r="K279" i="3"/>
  <c r="J279" i="3"/>
  <c r="I279" i="3"/>
  <c r="H279" i="3"/>
  <c r="G279" i="3"/>
  <c r="F279" i="3"/>
  <c r="K278" i="3"/>
  <c r="J278" i="3"/>
  <c r="I278" i="3"/>
  <c r="H278" i="3"/>
  <c r="G278" i="3"/>
  <c r="F278" i="3"/>
  <c r="K277" i="3"/>
  <c r="J277" i="3"/>
  <c r="I277" i="3"/>
  <c r="H277" i="3"/>
  <c r="G277" i="3"/>
  <c r="F277" i="3"/>
  <c r="K276" i="3"/>
  <c r="J276" i="3"/>
  <c r="I276" i="3"/>
  <c r="H276" i="3"/>
  <c r="G276" i="3"/>
  <c r="F276" i="3"/>
  <c r="K275" i="3"/>
  <c r="J275" i="3"/>
  <c r="I275" i="3"/>
  <c r="H275" i="3"/>
  <c r="G275" i="3"/>
  <c r="F275" i="3"/>
  <c r="K274" i="3"/>
  <c r="J274" i="3"/>
  <c r="I274" i="3"/>
  <c r="H274" i="3"/>
  <c r="G274" i="3"/>
  <c r="F274" i="3"/>
  <c r="K273" i="3"/>
  <c r="J273" i="3"/>
  <c r="I273" i="3"/>
  <c r="H273" i="3"/>
  <c r="G273" i="3"/>
  <c r="F273" i="3"/>
  <c r="K272" i="3"/>
  <c r="J272" i="3"/>
  <c r="I272" i="3"/>
  <c r="H272" i="3"/>
  <c r="G272" i="3"/>
  <c r="F272" i="3"/>
  <c r="K271" i="3"/>
  <c r="J271" i="3"/>
  <c r="I271" i="3"/>
  <c r="H271" i="3"/>
  <c r="G271" i="3"/>
  <c r="F271" i="3"/>
  <c r="K270" i="3"/>
  <c r="J270" i="3"/>
  <c r="I270" i="3"/>
  <c r="H270" i="3"/>
  <c r="G270" i="3"/>
  <c r="F270" i="3"/>
  <c r="K269" i="3"/>
  <c r="J269" i="3"/>
  <c r="I269" i="3"/>
  <c r="H269" i="3"/>
  <c r="G269" i="3"/>
  <c r="F269" i="3"/>
  <c r="K268" i="3"/>
  <c r="J268" i="3"/>
  <c r="I268" i="3"/>
  <c r="H268" i="3"/>
  <c r="G268" i="3"/>
  <c r="F268" i="3"/>
  <c r="K267" i="3"/>
  <c r="J267" i="3"/>
  <c r="I267" i="3"/>
  <c r="H267" i="3"/>
  <c r="G267" i="3"/>
  <c r="F267" i="3"/>
  <c r="K266" i="3"/>
  <c r="J266" i="3"/>
  <c r="I266" i="3"/>
  <c r="H266" i="3"/>
  <c r="G266" i="3"/>
  <c r="F266" i="3"/>
  <c r="K265" i="3"/>
  <c r="J265" i="3"/>
  <c r="I265" i="3"/>
  <c r="H265" i="3"/>
  <c r="G265" i="3"/>
  <c r="F265" i="3"/>
  <c r="K264" i="3"/>
  <c r="J264" i="3"/>
  <c r="I264" i="3"/>
  <c r="H264" i="3"/>
  <c r="G264" i="3"/>
  <c r="F264" i="3"/>
  <c r="K263" i="3"/>
  <c r="J263" i="3"/>
  <c r="I263" i="3"/>
  <c r="H263" i="3"/>
  <c r="G263" i="3"/>
  <c r="F263" i="3"/>
  <c r="K262" i="3"/>
  <c r="J262" i="3"/>
  <c r="I262" i="3"/>
  <c r="H262" i="3"/>
  <c r="G262" i="3"/>
  <c r="F262" i="3"/>
  <c r="K261" i="3"/>
  <c r="J261" i="3"/>
  <c r="I261" i="3"/>
  <c r="H261" i="3"/>
  <c r="G261" i="3"/>
  <c r="F261" i="3"/>
  <c r="K260" i="3"/>
  <c r="J260" i="3"/>
  <c r="I260" i="3"/>
  <c r="H260" i="3"/>
  <c r="G260" i="3"/>
  <c r="F260" i="3"/>
  <c r="K259" i="3"/>
  <c r="J259" i="3"/>
  <c r="I259" i="3"/>
  <c r="H259" i="3"/>
  <c r="G259" i="3"/>
  <c r="F259" i="3"/>
  <c r="K258" i="3"/>
  <c r="J258" i="3"/>
  <c r="I258" i="3"/>
  <c r="H258" i="3"/>
  <c r="G258" i="3"/>
  <c r="F258" i="3"/>
  <c r="K257" i="3"/>
  <c r="J257" i="3"/>
  <c r="I257" i="3"/>
  <c r="H257" i="3"/>
  <c r="G257" i="3"/>
  <c r="F257" i="3"/>
  <c r="K256" i="3"/>
  <c r="J256" i="3"/>
  <c r="I256" i="3"/>
  <c r="H256" i="3"/>
  <c r="G256" i="3"/>
  <c r="F256" i="3"/>
  <c r="K255" i="3"/>
  <c r="J255" i="3"/>
  <c r="I255" i="3"/>
  <c r="H255" i="3"/>
  <c r="G255" i="3"/>
  <c r="F255" i="3"/>
  <c r="K254" i="3"/>
  <c r="J254" i="3"/>
  <c r="I254" i="3"/>
  <c r="H254" i="3"/>
  <c r="G254" i="3"/>
  <c r="F254" i="3"/>
  <c r="K253" i="3"/>
  <c r="J253" i="3"/>
  <c r="I253" i="3"/>
  <c r="H253" i="3"/>
  <c r="G253" i="3"/>
  <c r="F253" i="3"/>
  <c r="K252" i="3"/>
  <c r="J252" i="3"/>
  <c r="I252" i="3"/>
  <c r="H252" i="3"/>
  <c r="G252" i="3"/>
  <c r="F252" i="3"/>
  <c r="K251" i="3"/>
  <c r="J251" i="3"/>
  <c r="I251" i="3"/>
  <c r="H251" i="3"/>
  <c r="G251" i="3"/>
  <c r="F251" i="3"/>
  <c r="K250" i="3"/>
  <c r="J250" i="3"/>
  <c r="I250" i="3"/>
  <c r="H250" i="3"/>
  <c r="G250" i="3"/>
  <c r="F250" i="3"/>
  <c r="K249" i="3"/>
  <c r="J249" i="3"/>
  <c r="I249" i="3"/>
  <c r="H249" i="3"/>
  <c r="G249" i="3"/>
  <c r="F249" i="3"/>
  <c r="K248" i="3"/>
  <c r="J248" i="3"/>
  <c r="I248" i="3"/>
  <c r="H248" i="3"/>
  <c r="G248" i="3"/>
  <c r="F248" i="3"/>
  <c r="K247" i="3"/>
  <c r="J247" i="3"/>
  <c r="I247" i="3"/>
  <c r="H247" i="3"/>
  <c r="G247" i="3"/>
  <c r="F247" i="3"/>
  <c r="K246" i="3"/>
  <c r="J246" i="3"/>
  <c r="I246" i="3"/>
  <c r="H246" i="3"/>
  <c r="G246" i="3"/>
  <c r="F246" i="3"/>
  <c r="K245" i="3"/>
  <c r="J245" i="3"/>
  <c r="I245" i="3"/>
  <c r="H245" i="3"/>
  <c r="G245" i="3"/>
  <c r="F245" i="3"/>
  <c r="K244" i="3"/>
  <c r="J244" i="3"/>
  <c r="I244" i="3"/>
  <c r="H244" i="3"/>
  <c r="G244" i="3"/>
  <c r="F244" i="3"/>
  <c r="K243" i="3"/>
  <c r="J243" i="3"/>
  <c r="I243" i="3"/>
  <c r="H243" i="3"/>
  <c r="G243" i="3"/>
  <c r="F243" i="3"/>
  <c r="K242" i="3"/>
  <c r="J242" i="3"/>
  <c r="I242" i="3"/>
  <c r="H242" i="3"/>
  <c r="G242" i="3"/>
  <c r="F242" i="3"/>
  <c r="K241" i="3"/>
  <c r="J241" i="3"/>
  <c r="I241" i="3"/>
  <c r="H241" i="3"/>
  <c r="G241" i="3"/>
  <c r="F241" i="3"/>
  <c r="K240" i="3"/>
  <c r="J240" i="3"/>
  <c r="I240" i="3"/>
  <c r="H240" i="3"/>
  <c r="G240" i="3"/>
  <c r="F240" i="3"/>
  <c r="K239" i="3"/>
  <c r="J239" i="3"/>
  <c r="I239" i="3"/>
  <c r="H239" i="3"/>
  <c r="G239" i="3"/>
  <c r="F239" i="3"/>
  <c r="K238" i="3"/>
  <c r="J238" i="3"/>
  <c r="I238" i="3"/>
  <c r="H238" i="3"/>
  <c r="G238" i="3"/>
  <c r="F238" i="3"/>
  <c r="K237" i="3"/>
  <c r="J237" i="3"/>
  <c r="I237" i="3"/>
  <c r="H237" i="3"/>
  <c r="G237" i="3"/>
  <c r="F237" i="3"/>
  <c r="K236" i="3"/>
  <c r="J236" i="3"/>
  <c r="I236" i="3"/>
  <c r="H236" i="3"/>
  <c r="G236" i="3"/>
  <c r="F236" i="3"/>
  <c r="K235" i="3"/>
  <c r="J235" i="3"/>
  <c r="I235" i="3"/>
  <c r="H235" i="3"/>
  <c r="G235" i="3"/>
  <c r="F235" i="3"/>
  <c r="K234" i="3"/>
  <c r="J234" i="3"/>
  <c r="I234" i="3"/>
  <c r="H234" i="3"/>
  <c r="G234" i="3"/>
  <c r="F234" i="3"/>
  <c r="K233" i="3"/>
  <c r="J233" i="3"/>
  <c r="I233" i="3"/>
  <c r="H233" i="3"/>
  <c r="G233" i="3"/>
  <c r="F233" i="3"/>
  <c r="K232" i="3"/>
  <c r="J232" i="3"/>
  <c r="I232" i="3"/>
  <c r="H232" i="3"/>
  <c r="G232" i="3"/>
  <c r="F232" i="3"/>
  <c r="K231" i="3"/>
  <c r="J231" i="3"/>
  <c r="I231" i="3"/>
  <c r="H231" i="3"/>
  <c r="G231" i="3"/>
  <c r="F231" i="3"/>
  <c r="K230" i="3"/>
  <c r="J230" i="3"/>
  <c r="I230" i="3"/>
  <c r="H230" i="3"/>
  <c r="G230" i="3"/>
  <c r="F230" i="3"/>
  <c r="K229" i="3"/>
  <c r="J229" i="3"/>
  <c r="I229" i="3"/>
  <c r="H229" i="3"/>
  <c r="G229" i="3"/>
  <c r="F229" i="3"/>
  <c r="K228" i="3"/>
  <c r="J228" i="3"/>
  <c r="I228" i="3"/>
  <c r="H228" i="3"/>
  <c r="G228" i="3"/>
  <c r="F228" i="3"/>
  <c r="K227" i="3"/>
  <c r="J227" i="3"/>
  <c r="I227" i="3"/>
  <c r="H227" i="3"/>
  <c r="G227" i="3"/>
  <c r="F227" i="3"/>
  <c r="K226" i="3"/>
  <c r="J226" i="3"/>
  <c r="I226" i="3"/>
  <c r="H226" i="3"/>
  <c r="G226" i="3"/>
  <c r="F226" i="3"/>
  <c r="K225" i="3"/>
  <c r="J225" i="3"/>
  <c r="I225" i="3"/>
  <c r="H225" i="3"/>
  <c r="G225" i="3"/>
  <c r="F225" i="3"/>
  <c r="K224" i="3"/>
  <c r="J224" i="3"/>
  <c r="I224" i="3"/>
  <c r="H224" i="3"/>
  <c r="G224" i="3"/>
  <c r="F224" i="3"/>
  <c r="K223" i="3"/>
  <c r="J223" i="3"/>
  <c r="I223" i="3"/>
  <c r="H223" i="3"/>
  <c r="G223" i="3"/>
  <c r="F223" i="3"/>
  <c r="K222" i="3"/>
  <c r="J222" i="3"/>
  <c r="I222" i="3"/>
  <c r="H222" i="3"/>
  <c r="G222" i="3"/>
  <c r="F222" i="3"/>
  <c r="K221" i="3"/>
  <c r="J221" i="3"/>
  <c r="I221" i="3"/>
  <c r="H221" i="3"/>
  <c r="G221" i="3"/>
  <c r="F221" i="3"/>
  <c r="K220" i="3"/>
  <c r="J220" i="3"/>
  <c r="I220" i="3"/>
  <c r="H220" i="3"/>
  <c r="G220" i="3"/>
  <c r="F220" i="3"/>
  <c r="K219" i="3"/>
  <c r="J219" i="3"/>
  <c r="I219" i="3"/>
  <c r="H219" i="3"/>
  <c r="G219" i="3"/>
  <c r="F219" i="3"/>
  <c r="K218" i="3"/>
  <c r="J218" i="3"/>
  <c r="I218" i="3"/>
  <c r="H218" i="3"/>
  <c r="G218" i="3"/>
  <c r="F218" i="3"/>
  <c r="K217" i="3"/>
  <c r="J217" i="3"/>
  <c r="I217" i="3"/>
  <c r="H217" i="3"/>
  <c r="G217" i="3"/>
  <c r="F217" i="3"/>
  <c r="K216" i="3"/>
  <c r="J216" i="3"/>
  <c r="I216" i="3"/>
  <c r="H216" i="3"/>
  <c r="G216" i="3"/>
  <c r="F216" i="3"/>
  <c r="K215" i="3"/>
  <c r="J215" i="3"/>
  <c r="I215" i="3"/>
  <c r="H215" i="3"/>
  <c r="G215" i="3"/>
  <c r="F215" i="3"/>
  <c r="K214" i="3"/>
  <c r="J214" i="3"/>
  <c r="I214" i="3"/>
  <c r="H214" i="3"/>
  <c r="G214" i="3"/>
  <c r="F214" i="3"/>
  <c r="K213" i="3"/>
  <c r="J213" i="3"/>
  <c r="I213" i="3"/>
  <c r="H213" i="3"/>
  <c r="G213" i="3"/>
  <c r="F213" i="3"/>
  <c r="K212" i="3"/>
  <c r="J212" i="3"/>
  <c r="I212" i="3"/>
  <c r="H212" i="3"/>
  <c r="G212" i="3"/>
  <c r="F212" i="3"/>
  <c r="K211" i="3"/>
  <c r="J211" i="3"/>
  <c r="I211" i="3"/>
  <c r="H211" i="3"/>
  <c r="G211" i="3"/>
  <c r="F211" i="3"/>
  <c r="K210" i="3"/>
  <c r="J210" i="3"/>
  <c r="I210" i="3"/>
  <c r="H210" i="3"/>
  <c r="G210" i="3"/>
  <c r="F210" i="3"/>
  <c r="K209" i="3"/>
  <c r="J209" i="3"/>
  <c r="I209" i="3"/>
  <c r="H209" i="3"/>
  <c r="G209" i="3"/>
  <c r="F209" i="3"/>
  <c r="K208" i="3"/>
  <c r="J208" i="3"/>
  <c r="I208" i="3"/>
  <c r="H208" i="3"/>
  <c r="G208" i="3"/>
  <c r="F208" i="3"/>
  <c r="K207" i="3"/>
  <c r="J207" i="3"/>
  <c r="I207" i="3"/>
  <c r="H207" i="3"/>
  <c r="G207" i="3"/>
  <c r="F207" i="3"/>
  <c r="K206" i="3"/>
  <c r="J206" i="3"/>
  <c r="I206" i="3"/>
  <c r="H206" i="3"/>
  <c r="G206" i="3"/>
  <c r="F206" i="3"/>
  <c r="K205" i="3"/>
  <c r="J205" i="3"/>
  <c r="I205" i="3"/>
  <c r="H205" i="3"/>
  <c r="G205" i="3"/>
  <c r="F205" i="3"/>
  <c r="K204" i="3"/>
  <c r="J204" i="3"/>
  <c r="I204" i="3"/>
  <c r="H204" i="3"/>
  <c r="G204" i="3"/>
  <c r="F204" i="3"/>
  <c r="K203" i="3"/>
  <c r="J203" i="3"/>
  <c r="I203" i="3"/>
  <c r="H203" i="3"/>
  <c r="G203" i="3"/>
  <c r="F203" i="3"/>
  <c r="K202" i="3"/>
  <c r="J202" i="3"/>
  <c r="I202" i="3"/>
  <c r="H202" i="3"/>
  <c r="G202" i="3"/>
  <c r="F202" i="3"/>
  <c r="K201" i="3"/>
  <c r="J201" i="3"/>
  <c r="I201" i="3"/>
  <c r="H201" i="3"/>
  <c r="G201" i="3"/>
  <c r="F201" i="3"/>
  <c r="K200" i="3"/>
  <c r="J200" i="3"/>
  <c r="I200" i="3"/>
  <c r="H200" i="3"/>
  <c r="G200" i="3"/>
  <c r="F200" i="3"/>
  <c r="K199" i="3"/>
  <c r="J199" i="3"/>
  <c r="I199" i="3"/>
  <c r="H199" i="3"/>
  <c r="G199" i="3"/>
  <c r="F199" i="3"/>
  <c r="K198" i="3"/>
  <c r="J198" i="3"/>
  <c r="I198" i="3"/>
  <c r="H198" i="3"/>
  <c r="G198" i="3"/>
  <c r="F198" i="3"/>
  <c r="K197" i="3"/>
  <c r="J197" i="3"/>
  <c r="I197" i="3"/>
  <c r="H197" i="3"/>
  <c r="G197" i="3"/>
  <c r="F197" i="3"/>
  <c r="K196" i="3"/>
  <c r="J196" i="3"/>
  <c r="I196" i="3"/>
  <c r="H196" i="3"/>
  <c r="G196" i="3"/>
  <c r="F196" i="3"/>
  <c r="K195" i="3"/>
  <c r="J195" i="3"/>
  <c r="I195" i="3"/>
  <c r="H195" i="3"/>
  <c r="G195" i="3"/>
  <c r="F195" i="3"/>
  <c r="K194" i="3"/>
  <c r="J194" i="3"/>
  <c r="I194" i="3"/>
  <c r="H194" i="3"/>
  <c r="G194" i="3"/>
  <c r="F194" i="3"/>
  <c r="K193" i="3"/>
  <c r="J193" i="3"/>
  <c r="I193" i="3"/>
  <c r="H193" i="3"/>
  <c r="G193" i="3"/>
  <c r="F193" i="3"/>
  <c r="K192" i="3"/>
  <c r="J192" i="3"/>
  <c r="I192" i="3"/>
  <c r="H192" i="3"/>
  <c r="G192" i="3"/>
  <c r="F192" i="3"/>
  <c r="K191" i="3"/>
  <c r="J191" i="3"/>
  <c r="I191" i="3"/>
  <c r="H191" i="3"/>
  <c r="G191" i="3"/>
  <c r="F191" i="3"/>
  <c r="K190" i="3"/>
  <c r="J190" i="3"/>
  <c r="I190" i="3"/>
  <c r="H190" i="3"/>
  <c r="G190" i="3"/>
  <c r="F190" i="3"/>
  <c r="K189" i="3"/>
  <c r="J189" i="3"/>
  <c r="I189" i="3"/>
  <c r="H189" i="3"/>
  <c r="G189" i="3"/>
  <c r="F189" i="3"/>
  <c r="K188" i="3"/>
  <c r="J188" i="3"/>
  <c r="I188" i="3"/>
  <c r="H188" i="3"/>
  <c r="G188" i="3"/>
  <c r="F188" i="3"/>
  <c r="K187" i="3"/>
  <c r="J187" i="3"/>
  <c r="I187" i="3"/>
  <c r="H187" i="3"/>
  <c r="G187" i="3"/>
  <c r="F187" i="3"/>
  <c r="K186" i="3"/>
  <c r="J186" i="3"/>
  <c r="I186" i="3"/>
  <c r="H186" i="3"/>
  <c r="G186" i="3"/>
  <c r="F186" i="3"/>
  <c r="K185" i="3"/>
  <c r="J185" i="3"/>
  <c r="I185" i="3"/>
  <c r="H185" i="3"/>
  <c r="G185" i="3"/>
  <c r="F185" i="3"/>
  <c r="K184" i="3"/>
  <c r="J184" i="3"/>
  <c r="I184" i="3"/>
  <c r="H184" i="3"/>
  <c r="G184" i="3"/>
  <c r="F184" i="3"/>
  <c r="K183" i="3"/>
  <c r="J183" i="3"/>
  <c r="I183" i="3"/>
  <c r="H183" i="3"/>
  <c r="G183" i="3"/>
  <c r="F183" i="3"/>
  <c r="K182" i="3"/>
  <c r="J182" i="3"/>
  <c r="I182" i="3"/>
  <c r="H182" i="3"/>
  <c r="G182" i="3"/>
  <c r="F182" i="3"/>
  <c r="K181" i="3"/>
  <c r="J181" i="3"/>
  <c r="I181" i="3"/>
  <c r="H181" i="3"/>
  <c r="G181" i="3"/>
  <c r="F181" i="3"/>
  <c r="K180" i="3"/>
  <c r="J180" i="3"/>
  <c r="I180" i="3"/>
  <c r="H180" i="3"/>
  <c r="G180" i="3"/>
  <c r="F180" i="3"/>
  <c r="K179" i="3"/>
  <c r="J179" i="3"/>
  <c r="I179" i="3"/>
  <c r="H179" i="3"/>
  <c r="G179" i="3"/>
  <c r="F179" i="3"/>
  <c r="K178" i="3"/>
  <c r="J178" i="3"/>
  <c r="I178" i="3"/>
  <c r="H178" i="3"/>
  <c r="G178" i="3"/>
  <c r="F178" i="3"/>
  <c r="K177" i="3"/>
  <c r="J177" i="3"/>
  <c r="I177" i="3"/>
  <c r="H177" i="3"/>
  <c r="G177" i="3"/>
  <c r="F177" i="3"/>
  <c r="K176" i="3"/>
  <c r="J176" i="3"/>
  <c r="I176" i="3"/>
  <c r="H176" i="3"/>
  <c r="G176" i="3"/>
  <c r="F176" i="3"/>
  <c r="K175" i="3"/>
  <c r="J175" i="3"/>
  <c r="I175" i="3"/>
  <c r="H175" i="3"/>
  <c r="G175" i="3"/>
  <c r="F175" i="3"/>
  <c r="K174" i="3"/>
  <c r="J174" i="3"/>
  <c r="I174" i="3"/>
  <c r="H174" i="3"/>
  <c r="G174" i="3"/>
  <c r="F174" i="3"/>
  <c r="K173" i="3"/>
  <c r="J173" i="3"/>
  <c r="I173" i="3"/>
  <c r="H173" i="3"/>
  <c r="G173" i="3"/>
  <c r="F173" i="3"/>
  <c r="K172" i="3"/>
  <c r="J172" i="3"/>
  <c r="I172" i="3"/>
  <c r="H172" i="3"/>
  <c r="G172" i="3"/>
  <c r="F172" i="3"/>
  <c r="K171" i="3"/>
  <c r="J171" i="3"/>
  <c r="I171" i="3"/>
  <c r="H171" i="3"/>
  <c r="G171" i="3"/>
  <c r="F171" i="3"/>
  <c r="K170" i="3"/>
  <c r="J170" i="3"/>
  <c r="I170" i="3"/>
  <c r="H170" i="3"/>
  <c r="G170" i="3"/>
  <c r="F170" i="3"/>
  <c r="K169" i="3"/>
  <c r="J169" i="3"/>
  <c r="I169" i="3"/>
  <c r="H169" i="3"/>
  <c r="G169" i="3"/>
  <c r="F169" i="3"/>
  <c r="K168" i="3"/>
  <c r="J168" i="3"/>
  <c r="I168" i="3"/>
  <c r="H168" i="3"/>
  <c r="G168" i="3"/>
  <c r="F168" i="3"/>
  <c r="K167" i="3"/>
  <c r="J167" i="3"/>
  <c r="I167" i="3"/>
  <c r="H167" i="3"/>
  <c r="G167" i="3"/>
  <c r="F167" i="3"/>
  <c r="K166" i="3"/>
  <c r="J166" i="3"/>
  <c r="I166" i="3"/>
  <c r="H166" i="3"/>
  <c r="G166" i="3"/>
  <c r="F166" i="3"/>
  <c r="K165" i="3"/>
  <c r="J165" i="3"/>
  <c r="I165" i="3"/>
  <c r="H165" i="3"/>
  <c r="G165" i="3"/>
  <c r="F165" i="3"/>
  <c r="K164" i="3"/>
  <c r="J164" i="3"/>
  <c r="I164" i="3"/>
  <c r="H164" i="3"/>
  <c r="G164" i="3"/>
  <c r="F164" i="3"/>
  <c r="K163" i="3"/>
  <c r="J163" i="3"/>
  <c r="I163" i="3"/>
  <c r="H163" i="3"/>
  <c r="G163" i="3"/>
  <c r="F163" i="3"/>
  <c r="K162" i="3"/>
  <c r="J162" i="3"/>
  <c r="I162" i="3"/>
  <c r="H162" i="3"/>
  <c r="G162" i="3"/>
  <c r="F162" i="3"/>
  <c r="K161" i="3"/>
  <c r="J161" i="3"/>
  <c r="I161" i="3"/>
  <c r="H161" i="3"/>
  <c r="G161" i="3"/>
  <c r="F161" i="3"/>
  <c r="K160" i="3"/>
  <c r="J160" i="3"/>
  <c r="I160" i="3"/>
  <c r="H160" i="3"/>
  <c r="G160" i="3"/>
  <c r="F160" i="3"/>
  <c r="K159" i="3"/>
  <c r="J159" i="3"/>
  <c r="I159" i="3"/>
  <c r="H159" i="3"/>
  <c r="G159" i="3"/>
  <c r="F159" i="3"/>
  <c r="K158" i="3"/>
  <c r="J158" i="3"/>
  <c r="I158" i="3"/>
  <c r="H158" i="3"/>
  <c r="G158" i="3"/>
  <c r="F158" i="3"/>
  <c r="K157" i="3"/>
  <c r="J157" i="3"/>
  <c r="I157" i="3"/>
  <c r="H157" i="3"/>
  <c r="G157" i="3"/>
  <c r="F157" i="3"/>
  <c r="K156" i="3"/>
  <c r="J156" i="3"/>
  <c r="I156" i="3"/>
  <c r="H156" i="3"/>
  <c r="G156" i="3"/>
  <c r="F156" i="3"/>
  <c r="K155" i="3"/>
  <c r="J155" i="3"/>
  <c r="I155" i="3"/>
  <c r="H155" i="3"/>
  <c r="G155" i="3"/>
  <c r="F155" i="3"/>
  <c r="K154" i="3"/>
  <c r="J154" i="3"/>
  <c r="I154" i="3"/>
  <c r="H154" i="3"/>
  <c r="G154" i="3"/>
  <c r="F154" i="3"/>
  <c r="F105" i="3" l="1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G104" i="3"/>
  <c r="F10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G54" i="3"/>
  <c r="F54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23" i="3"/>
  <c r="G23" i="3"/>
  <c r="F24" i="3"/>
  <c r="G24" i="3"/>
  <c r="F25" i="3"/>
  <c r="G25" i="3"/>
  <c r="F26" i="3"/>
  <c r="G26" i="3"/>
  <c r="F27" i="3"/>
  <c r="G27" i="3"/>
  <c r="F28" i="3"/>
  <c r="G28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F4" i="2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4" i="3"/>
  <c r="G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K153" i="3"/>
  <c r="J153" i="3"/>
  <c r="K152" i="3"/>
  <c r="J152" i="3"/>
  <c r="K151" i="3"/>
  <c r="J151" i="3"/>
  <c r="K150" i="3"/>
  <c r="J150" i="3"/>
  <c r="K149" i="3"/>
  <c r="J149" i="3"/>
  <c r="K148" i="3"/>
  <c r="J148" i="3"/>
  <c r="K147" i="3"/>
  <c r="J147" i="3"/>
  <c r="K146" i="3"/>
  <c r="J146" i="3"/>
  <c r="K145" i="3"/>
  <c r="J145" i="3"/>
  <c r="K144" i="3"/>
  <c r="J144" i="3"/>
  <c r="K143" i="3"/>
  <c r="J143" i="3"/>
  <c r="K142" i="3"/>
  <c r="J142" i="3"/>
  <c r="K141" i="3"/>
  <c r="J141" i="3"/>
  <c r="K140" i="3"/>
  <c r="J140" i="3"/>
  <c r="K139" i="3"/>
  <c r="J139" i="3"/>
  <c r="K138" i="3"/>
  <c r="J138" i="3"/>
  <c r="K137" i="3"/>
  <c r="J137" i="3"/>
  <c r="K136" i="3"/>
  <c r="J136" i="3"/>
  <c r="K135" i="3"/>
  <c r="J135" i="3"/>
  <c r="K134" i="3"/>
  <c r="J134" i="3"/>
  <c r="K133" i="3"/>
  <c r="J133" i="3"/>
  <c r="K132" i="3"/>
  <c r="J132" i="3"/>
  <c r="K131" i="3"/>
  <c r="J131" i="3"/>
  <c r="K130" i="3"/>
  <c r="J130" i="3"/>
  <c r="K129" i="3"/>
  <c r="J129" i="3"/>
  <c r="K128" i="3"/>
  <c r="J128" i="3"/>
  <c r="K127" i="3"/>
  <c r="J127" i="3"/>
  <c r="K126" i="3"/>
  <c r="J126" i="3"/>
  <c r="K125" i="3"/>
  <c r="J125" i="3"/>
  <c r="K124" i="3"/>
  <c r="J124" i="3"/>
  <c r="K123" i="3"/>
  <c r="J123" i="3"/>
  <c r="K122" i="3"/>
  <c r="J122" i="3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H29" i="3" l="1"/>
  <c r="I29" i="3"/>
  <c r="I4" i="3"/>
  <c r="H4" i="3"/>
  <c r="B2" i="2"/>
  <c r="B1" i="4" l="1"/>
  <c r="B3" i="2"/>
</calcChain>
</file>

<file path=xl/sharedStrings.xml><?xml version="1.0" encoding="utf-8"?>
<sst xmlns="http://schemas.openxmlformats.org/spreadsheetml/2006/main" count="6947" uniqueCount="164">
  <si>
    <t>Code</t>
  </si>
  <si>
    <t>Version</t>
  </si>
  <si>
    <t>V1</t>
  </si>
  <si>
    <t>اسم القالب</t>
  </si>
  <si>
    <t>Template Name</t>
  </si>
  <si>
    <t>دورية البيانات</t>
  </si>
  <si>
    <t>سنوي</t>
  </si>
  <si>
    <t>Data Frequency</t>
  </si>
  <si>
    <t>Annual</t>
  </si>
  <si>
    <t>الجهة المصدرية</t>
  </si>
  <si>
    <t>Data Source</t>
  </si>
  <si>
    <t>Year</t>
  </si>
  <si>
    <t>السنة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</si>
  <si>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</si>
  <si>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</si>
  <si>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</si>
  <si>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</si>
  <si>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</si>
  <si>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</si>
  <si>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</si>
  <si>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</si>
  <si>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</si>
  <si>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</si>
  <si>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</si>
  <si>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</si>
  <si>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</si>
  <si>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</si>
  <si>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</si>
  <si>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</si>
  <si>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</si>
  <si>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</si>
  <si>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</si>
  <si>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</si>
  <si>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</si>
  <si>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</si>
  <si>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</si>
  <si>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</si>
  <si>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</si>
  <si>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</si>
  <si>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</si>
  <si>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</si>
  <si>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</si>
  <si>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</si>
  <si>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</si>
  <si>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</si>
  <si>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</si>
  <si>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</si>
  <si>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</si>
  <si>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</si>
  <si>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</si>
  <si>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</si>
  <si>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</si>
  <si>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</si>
  <si>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</si>
  <si>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</si>
  <si>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</si>
  <si>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</si>
  <si>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</si>
  <si>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</si>
  <si>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</si>
  <si>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</si>
  <si>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</si>
  <si>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</si>
  <si>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</si>
  <si>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</si>
  <si>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</si>
  <si>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</si>
  <si>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</si>
  <si>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</si>
  <si>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</si>
  <si>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</si>
  <si>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</si>
  <si>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</si>
  <si>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</si>
  <si>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</si>
  <si>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</si>
  <si>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</si>
  <si>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</si>
  <si>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</si>
  <si>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</si>
  <si>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</si>
  <si>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t>Number</t>
  </si>
  <si>
    <t>عدد</t>
  </si>
  <si>
    <t>التخصص</t>
  </si>
  <si>
    <t>Specialization</t>
  </si>
  <si>
    <t>ذكر</t>
  </si>
  <si>
    <t>Male</t>
  </si>
  <si>
    <t>أنثى</t>
  </si>
  <si>
    <t>Female</t>
  </si>
  <si>
    <t>CL_SEX_EN_V1</t>
  </si>
  <si>
    <t>Sex</t>
  </si>
  <si>
    <t>الجنس</t>
  </si>
  <si>
    <t>CL_SEX_AR_V1</t>
  </si>
  <si>
    <t>SYB_19_2_5</t>
  </si>
  <si>
    <t>الأطباء المسجّلون في نقابة الأطباء حسب الاختصاص والجنس ونوع القطاع</t>
  </si>
  <si>
    <t>Physicians Registered at the Physicians Syndicate by Specialization, Sex and Kind of Sector</t>
  </si>
  <si>
    <t>نقابة الأطباء الأردنيين</t>
  </si>
  <si>
    <t>Jordanian Medical Syndicate</t>
  </si>
  <si>
    <t>القطاع العام</t>
  </si>
  <si>
    <t>Public Sector</t>
  </si>
  <si>
    <t>القطاع الخاص</t>
  </si>
  <si>
    <t>Private Sector</t>
  </si>
  <si>
    <t>آخرون</t>
  </si>
  <si>
    <t>Others</t>
  </si>
  <si>
    <t>طبيب عام</t>
  </si>
  <si>
    <t>جراحة عامة</t>
  </si>
  <si>
    <t>باطنية</t>
  </si>
  <si>
    <t>نسائية وتوليد</t>
  </si>
  <si>
    <t>أطفال</t>
  </si>
  <si>
    <t>العيون</t>
  </si>
  <si>
    <t>العظام</t>
  </si>
  <si>
    <t>أذن وأنف وحنجرة</t>
  </si>
  <si>
    <t>جراحةأعصاب</t>
  </si>
  <si>
    <t>جراحة قلب</t>
  </si>
  <si>
    <t>التجميل</t>
  </si>
  <si>
    <t>النفسية</t>
  </si>
  <si>
    <t>جلدية وتناسلية</t>
  </si>
  <si>
    <t>مرض الأعصاب</t>
  </si>
  <si>
    <t>صدرية</t>
  </si>
  <si>
    <t>جهاز هضمي</t>
  </si>
  <si>
    <t>أشعة تشخيصية</t>
  </si>
  <si>
    <t>تخدير وإنعاش</t>
  </si>
  <si>
    <t>طب طبيعي</t>
  </si>
  <si>
    <t>طب شرعي</t>
  </si>
  <si>
    <t>طب أسرة</t>
  </si>
  <si>
    <t xml:space="preserve">المسالك البولية </t>
  </si>
  <si>
    <t>أمراض القلب</t>
  </si>
  <si>
    <t>مختبرات</t>
  </si>
  <si>
    <t>أخرى</t>
  </si>
  <si>
    <t>General Practitioner</t>
  </si>
  <si>
    <t>Surgeon</t>
  </si>
  <si>
    <t>Internist</t>
  </si>
  <si>
    <t>Gynecologist and Obst.</t>
  </si>
  <si>
    <t>Pediatrics</t>
  </si>
  <si>
    <t>Ophthalmologist</t>
  </si>
  <si>
    <t>Orthopedic Surg.</t>
  </si>
  <si>
    <t>E.N.T.Surg.</t>
  </si>
  <si>
    <t>Neurosurgery</t>
  </si>
  <si>
    <t>Cardiothoracic</t>
  </si>
  <si>
    <t>Plastic Surgeon</t>
  </si>
  <si>
    <t>Psychiatry</t>
  </si>
  <si>
    <t>Dermatologist Venereal</t>
  </si>
  <si>
    <t>Neurology/ Nervous</t>
  </si>
  <si>
    <t>Pumologist</t>
  </si>
  <si>
    <t>G.I.T. Specialist</t>
  </si>
  <si>
    <t>Diagnostic Radiology</t>
  </si>
  <si>
    <t>Anesthetic</t>
  </si>
  <si>
    <t>Physiotherapist</t>
  </si>
  <si>
    <t>Forensic</t>
  </si>
  <si>
    <t xml:space="preserve">Family </t>
  </si>
  <si>
    <t>Urologist</t>
  </si>
  <si>
    <t>Cardiology</t>
  </si>
  <si>
    <t>Laboratory</t>
  </si>
  <si>
    <t>الأطباء المسجّلون في نقابة الأطباء</t>
  </si>
  <si>
    <t>Physicians Registered at the Physicians Syndicate</t>
  </si>
  <si>
    <t>CL_SECTOR_EN_V2</t>
  </si>
  <si>
    <t>CL_SECTOR_AR_V2</t>
  </si>
  <si>
    <t>القطاع</t>
  </si>
  <si>
    <t>Sector</t>
  </si>
  <si>
    <t>Physicians  Specialization</t>
  </si>
  <si>
    <t>التخصص الطبي</t>
  </si>
  <si>
    <t>CL_PHY_SPECALIZATION_EN_V1</t>
  </si>
  <si>
    <t>CL_PHY_SPECALIZATION_AR_V1</t>
  </si>
  <si>
    <t>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</si>
</sst>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family val="2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family val="2"/>
    </font>
    <font>
      <sz val="16"/>
      <color rgb="FFFFFFFF"/>
      <name val="Aptos Narrow"/>
      <charset val="134"/>
      <scheme val="minor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theme="1"/>
      <name val="Arial Unicode MS"/>
      <charset val="134"/>
    </font>
    <font>
      <sz val="11"/>
      <color theme="1"/>
      <name val="Aptos Narrow"/>
      <charset val="134"/>
      <scheme val="minor"/>
    </font>
    <font>
      <sz val="11"/>
      <color rgb="FF000000"/>
      <name val="Calibri"/>
      <family val="2"/>
    </font>
    <font>
      <sz val="9"/>
      <color theme="1"/>
      <name val="Times New Roman"/>
      <family val="1"/>
    </font>
    <font>
      <sz val="9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3" fillId="0" borderId="0">
      <alignment horizontal="centerContinuous" vertical="center"/>
    </xf>
    <xf numFmtId="0" fontId="14" fillId="0" borderId="0">
      <alignment horizontal="centerContinuous" vertical="center"/>
    </xf>
    <xf numFmtId="1" fontId="15" fillId="7" borderId="2">
      <alignment horizontal="center" vertical="center"/>
    </xf>
    <xf numFmtId="0" fontId="16" fillId="7" borderId="2">
      <alignment horizontal="center" vertical="center" wrapText="1"/>
    </xf>
    <xf numFmtId="0" fontId="17" fillId="7" borderId="2">
      <alignment horizontal="center" vertical="center" wrapText="1"/>
    </xf>
    <xf numFmtId="0" fontId="12" fillId="0" borderId="0"/>
    <xf numFmtId="0" fontId="12" fillId="0" borderId="0"/>
    <xf numFmtId="0" fontId="20" fillId="0" borderId="0"/>
    <xf numFmtId="0" fontId="20" fillId="0" borderId="0"/>
    <xf numFmtId="0" fontId="12" fillId="0" borderId="0"/>
    <xf numFmtId="0" fontId="20" fillId="0" borderId="0"/>
    <xf numFmtId="9" fontId="20" fillId="0" borderId="0"/>
    <xf numFmtId="9" fontId="20" fillId="0" borderId="0"/>
    <xf numFmtId="0" fontId="18" fillId="0" borderId="0">
      <alignment horizontal="right" vertical="center"/>
    </xf>
    <xf numFmtId="0" fontId="12" fillId="0" borderId="0">
      <alignment horizontal="left" vertical="center"/>
    </xf>
  </cellStyleXfs>
  <cellXfs count="46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0" fontId="9" fillId="4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quotePrefix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readingOrder="2"/>
    </xf>
    <xf numFmtId="0" fontId="0" fillId="8" borderId="0" xfId="0" applyFont="1" applyFill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0" borderId="1" xfId="8" applyFont="1" applyFill="1" applyBorder="1" applyAlignment="1" applyProtection="1">
      <alignment horizontal="center"/>
    </xf>
    <xf numFmtId="0" fontId="9" fillId="6" borderId="4" xfId="0" applyFont="1" applyFill="1" applyBorder="1" applyAlignment="1">
      <alignment horizontal="right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0" fontId="22" fillId="9" borderId="0" xfId="0" applyFont="1" applyFill="1" applyBorder="1" applyAlignment="1">
      <alignment horizontal="righ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 readingOrder="2"/>
    </xf>
    <xf numFmtId="0" fontId="22" fillId="0" borderId="0" xfId="0" applyFont="1" applyBorder="1" applyAlignment="1">
      <alignment horizontal="right" vertical="center" readingOrder="2"/>
    </xf>
    <xf numFmtId="0" fontId="22" fillId="9" borderId="0" xfId="0" applyFont="1" applyFill="1" applyBorder="1" applyAlignment="1">
      <alignment horizontal="right" vertical="center" readingOrder="2"/>
    </xf>
  </cellXfs>
  <cellStyles count="18"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" xfId="0" builtinId="0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4" sqref="B4"/>
    </sheetView>
  </sheetViews>
  <sheetFormatPr defaultColWidth="9" defaultRowHeight="13.5"/>
  <cols>
    <col min="1" max="1" width="32.375" customWidth="1"/>
    <col min="2" max="2" width="120.25" customWidth="1"/>
  </cols>
  <sheetData>
    <row r="1" spans="1:2" ht="21" customHeight="1">
      <c r="A1" s="18" t="s">
        <v>0</v>
      </c>
      <c r="B1" s="19" t="s">
        <v>93</v>
      </c>
    </row>
    <row r="2" spans="1:2" ht="21" customHeight="1">
      <c r="A2" s="18" t="s">
        <v>1</v>
      </c>
      <c r="B2" s="19" t="s">
        <v>2</v>
      </c>
    </row>
    <row r="3" spans="1:2" ht="21" customHeight="1">
      <c r="A3" s="18" t="s">
        <v>3</v>
      </c>
      <c r="B3" s="20" t="s">
        <v>94</v>
      </c>
    </row>
    <row r="4" spans="1:2" ht="21" customHeight="1">
      <c r="A4" s="18" t="s">
        <v>4</v>
      </c>
      <c r="B4" s="21" t="s">
        <v>95</v>
      </c>
    </row>
    <row r="5" spans="1:2" ht="21" customHeight="1">
      <c r="A5" s="18" t="s">
        <v>5</v>
      </c>
      <c r="B5" s="22" t="s">
        <v>6</v>
      </c>
    </row>
    <row r="6" spans="1:2" ht="21" customHeight="1">
      <c r="A6" s="18" t="s">
        <v>7</v>
      </c>
      <c r="B6" s="22" t="s">
        <v>8</v>
      </c>
    </row>
    <row r="7" spans="1:2" ht="21" customHeight="1">
      <c r="A7" s="18" t="s">
        <v>9</v>
      </c>
      <c r="B7" s="19" t="s">
        <v>96</v>
      </c>
    </row>
    <row r="8" spans="1:2" ht="21" customHeight="1">
      <c r="A8" s="18" t="s">
        <v>10</v>
      </c>
      <c r="B8" s="19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3"/>
  <sheetViews>
    <sheetView view="pageBreakPreview" topLeftCell="B1" zoomScale="70" zoomScaleNormal="100" zoomScaleSheetLayoutView="70" workbookViewId="0">
      <selection activeCell="G5" sqref="C5:H5"/>
    </sheetView>
  </sheetViews>
  <sheetFormatPr defaultColWidth="16.75" defaultRowHeight="13.5"/>
  <cols>
    <col min="1" max="1" width="4.75" hidden="1" customWidth="1"/>
    <col min="2" max="2" width="33.75" bestFit="1" customWidth="1"/>
    <col min="3" max="3" width="9.75" bestFit="1" customWidth="1"/>
    <col min="4" max="4" width="6.875" customWidth="1"/>
    <col min="5" max="5" width="9.75" bestFit="1" customWidth="1"/>
    <col min="6" max="6" width="13.25" customWidth="1"/>
    <col min="7" max="7" width="9.75" bestFit="1" customWidth="1"/>
    <col min="8" max="8" width="13.875" customWidth="1"/>
    <col min="9" max="9" width="15.5" bestFit="1" customWidth="1"/>
  </cols>
  <sheetData>
    <row r="2" spans="2:9" ht="28.15" customHeight="1">
      <c r="B2" s="34" t="str">
        <f>'Cover Page'!B4</f>
        <v>Physicians Registered at the Physicians Syndicate by Specialization, Sex and Kind of Sector</v>
      </c>
      <c r="C2" s="34"/>
      <c r="D2" s="34"/>
      <c r="E2" s="34"/>
      <c r="F2" s="34"/>
      <c r="G2" s="34"/>
      <c r="H2" s="34"/>
      <c r="I2" s="34"/>
    </row>
    <row r="3" spans="2:9" ht="28.15" customHeight="1">
      <c r="B3" s="34" t="str">
        <f>'Cover Page'!B3</f>
        <v>الأطباء المسجّلون في نقابة الأطباء حسب الاختصاص والجنس ونوع القطاع</v>
      </c>
      <c r="C3" s="34"/>
      <c r="D3" s="34"/>
      <c r="E3" s="34"/>
      <c r="F3" s="34"/>
      <c r="G3" s="34"/>
      <c r="H3" s="34"/>
      <c r="I3" s="34"/>
    </row>
    <row r="4" spans="2:9" ht="28.15" customHeight="1">
      <c r="B4" s="17" t="s">
        <v>11</v>
      </c>
      <c r="C4" s="27"/>
      <c r="D4" s="28"/>
      <c r="E4" s="31"/>
      <c r="F4" s="32">
        <f>YEAR('Template Data'!B1)</f>
        <v>2024</v>
      </c>
      <c r="G4" s="28"/>
      <c r="H4" s="29"/>
      <c r="I4" s="17" t="s">
        <v>12</v>
      </c>
    </row>
    <row r="5" spans="2:9" ht="28.15" customHeight="1">
      <c r="B5" s="35" t="s">
        <v>84</v>
      </c>
      <c r="C5" s="37" t="s">
        <v>102</v>
      </c>
      <c r="D5" s="37"/>
      <c r="E5" s="37" t="s">
        <v>100</v>
      </c>
      <c r="F5" s="37"/>
      <c r="G5" s="37" t="s">
        <v>98</v>
      </c>
      <c r="H5" s="37"/>
      <c r="I5" s="35" t="s">
        <v>83</v>
      </c>
    </row>
    <row r="6" spans="2:9" ht="28.15" customHeight="1">
      <c r="B6" s="36"/>
      <c r="C6" s="37" t="s">
        <v>103</v>
      </c>
      <c r="D6" s="37"/>
      <c r="E6" s="37" t="s">
        <v>101</v>
      </c>
      <c r="F6" s="37"/>
      <c r="G6" s="37" t="s">
        <v>99</v>
      </c>
      <c r="H6" s="37"/>
      <c r="I6" s="36"/>
    </row>
    <row r="7" spans="2:9" ht="28.15" customHeight="1">
      <c r="B7" s="36"/>
      <c r="C7" s="24" t="s">
        <v>87</v>
      </c>
      <c r="D7" s="24" t="s">
        <v>85</v>
      </c>
      <c r="E7" s="24" t="s">
        <v>87</v>
      </c>
      <c r="F7" s="24" t="s">
        <v>85</v>
      </c>
      <c r="G7" s="24" t="s">
        <v>87</v>
      </c>
      <c r="H7" s="24" t="s">
        <v>85</v>
      </c>
      <c r="I7" s="36"/>
    </row>
    <row r="8" spans="2:9" ht="28.15" customHeight="1">
      <c r="B8" s="36"/>
      <c r="C8" s="24" t="s">
        <v>88</v>
      </c>
      <c r="D8" s="33" t="s">
        <v>86</v>
      </c>
      <c r="E8" s="24" t="s">
        <v>88</v>
      </c>
      <c r="F8" s="33" t="s">
        <v>86</v>
      </c>
      <c r="G8" s="24" t="s">
        <v>88</v>
      </c>
      <c r="H8" s="33" t="s">
        <v>86</v>
      </c>
      <c r="I8" s="36"/>
    </row>
    <row r="9" spans="2:9" ht="28.15" customHeight="1">
      <c r="B9" s="24" t="s">
        <v>129</v>
      </c>
      <c r="C9" s="30"/>
      <c r="D9" s="30"/>
      <c r="E9" s="30"/>
      <c r="F9" s="30"/>
      <c r="G9" s="30"/>
      <c r="H9" s="30"/>
      <c r="I9" s="24" t="s">
        <v>104</v>
      </c>
    </row>
    <row r="10" spans="2:9" ht="22.15" customHeight="1">
      <c r="B10" s="24" t="s">
        <v>130</v>
      </c>
      <c r="C10" s="30"/>
      <c r="D10" s="30"/>
      <c r="E10" s="30"/>
      <c r="F10" s="30"/>
      <c r="G10" s="30"/>
      <c r="H10" s="30"/>
      <c r="I10" s="24" t="s">
        <v>105</v>
      </c>
    </row>
    <row r="11" spans="2:9" ht="22.15" customHeight="1">
      <c r="B11" s="24" t="s">
        <v>131</v>
      </c>
      <c r="C11" s="30"/>
      <c r="D11" s="30"/>
      <c r="E11" s="30"/>
      <c r="F11" s="30"/>
      <c r="G11" s="30"/>
      <c r="H11" s="30"/>
      <c r="I11" s="24" t="s">
        <v>106</v>
      </c>
    </row>
    <row r="12" spans="2:9" ht="18.75">
      <c r="B12" s="24" t="s">
        <v>132</v>
      </c>
      <c r="C12" s="30"/>
      <c r="D12" s="30"/>
      <c r="E12" s="30"/>
      <c r="F12" s="30"/>
      <c r="G12" s="30"/>
      <c r="H12" s="30"/>
      <c r="I12" s="24" t="s">
        <v>107</v>
      </c>
    </row>
    <row r="13" spans="2:9" ht="18.75">
      <c r="B13" s="24" t="s">
        <v>133</v>
      </c>
      <c r="C13" s="30"/>
      <c r="D13" s="30"/>
      <c r="E13" s="30"/>
      <c r="F13" s="30"/>
      <c r="G13" s="30"/>
      <c r="H13" s="30"/>
      <c r="I13" s="24" t="s">
        <v>108</v>
      </c>
    </row>
    <row r="14" spans="2:9" ht="18.75">
      <c r="B14" s="24" t="s">
        <v>134</v>
      </c>
      <c r="C14" s="30"/>
      <c r="D14" s="30"/>
      <c r="E14" s="30"/>
      <c r="F14" s="30"/>
      <c r="G14" s="30"/>
      <c r="H14" s="30"/>
      <c r="I14" s="24" t="s">
        <v>109</v>
      </c>
    </row>
    <row r="15" spans="2:9" ht="18.75">
      <c r="B15" s="24" t="s">
        <v>135</v>
      </c>
      <c r="C15" s="30"/>
      <c r="D15" s="30"/>
      <c r="E15" s="30"/>
      <c r="F15" s="30"/>
      <c r="G15" s="30"/>
      <c r="H15" s="30"/>
      <c r="I15" s="24" t="s">
        <v>110</v>
      </c>
    </row>
    <row r="16" spans="2:9" ht="18.75">
      <c r="B16" s="24" t="s">
        <v>136</v>
      </c>
      <c r="C16" s="30"/>
      <c r="D16" s="30"/>
      <c r="E16" s="30"/>
      <c r="F16" s="30"/>
      <c r="G16" s="30"/>
      <c r="H16" s="30"/>
      <c r="I16" s="24" t="s">
        <v>111</v>
      </c>
    </row>
    <row r="17" spans="2:9" ht="18.75">
      <c r="B17" s="24" t="s">
        <v>137</v>
      </c>
      <c r="C17" s="30"/>
      <c r="D17" s="30"/>
      <c r="E17" s="30"/>
      <c r="F17" s="30"/>
      <c r="G17" s="30"/>
      <c r="H17" s="30"/>
      <c r="I17" s="24" t="s">
        <v>112</v>
      </c>
    </row>
    <row r="18" spans="2:9" ht="18.75">
      <c r="B18" s="24" t="s">
        <v>138</v>
      </c>
      <c r="C18" s="30"/>
      <c r="D18" s="30"/>
      <c r="E18" s="30"/>
      <c r="F18" s="30"/>
      <c r="G18" s="30"/>
      <c r="H18" s="30"/>
      <c r="I18" s="24" t="s">
        <v>113</v>
      </c>
    </row>
    <row r="19" spans="2:9" ht="18.75">
      <c r="B19" s="24" t="s">
        <v>139</v>
      </c>
      <c r="C19" s="30"/>
      <c r="D19" s="30"/>
      <c r="E19" s="30"/>
      <c r="F19" s="30"/>
      <c r="G19" s="30"/>
      <c r="H19" s="30"/>
      <c r="I19" s="24" t="s">
        <v>114</v>
      </c>
    </row>
    <row r="20" spans="2:9" ht="18.75">
      <c r="B20" s="24" t="s">
        <v>140</v>
      </c>
      <c r="C20" s="30"/>
      <c r="D20" s="30"/>
      <c r="E20" s="30"/>
      <c r="F20" s="30"/>
      <c r="G20" s="30"/>
      <c r="H20" s="30"/>
      <c r="I20" s="24" t="s">
        <v>115</v>
      </c>
    </row>
    <row r="21" spans="2:9" ht="18.75">
      <c r="B21" s="24" t="s">
        <v>141</v>
      </c>
      <c r="C21" s="30"/>
      <c r="D21" s="30"/>
      <c r="E21" s="30"/>
      <c r="F21" s="30"/>
      <c r="G21" s="30"/>
      <c r="H21" s="30"/>
      <c r="I21" s="24" t="s">
        <v>116</v>
      </c>
    </row>
    <row r="22" spans="2:9" ht="18.75">
      <c r="B22" s="24" t="s">
        <v>142</v>
      </c>
      <c r="C22" s="30"/>
      <c r="D22" s="30"/>
      <c r="E22" s="30"/>
      <c r="F22" s="30"/>
      <c r="G22" s="30"/>
      <c r="H22" s="30"/>
      <c r="I22" s="24" t="s">
        <v>117</v>
      </c>
    </row>
    <row r="23" spans="2:9" ht="18.75">
      <c r="B23" s="24" t="s">
        <v>143</v>
      </c>
      <c r="C23" s="30"/>
      <c r="D23" s="30"/>
      <c r="E23" s="30"/>
      <c r="F23" s="30"/>
      <c r="G23" s="30"/>
      <c r="H23" s="30"/>
      <c r="I23" s="24" t="s">
        <v>118</v>
      </c>
    </row>
    <row r="24" spans="2:9" ht="18.75">
      <c r="B24" s="24" t="s">
        <v>144</v>
      </c>
      <c r="C24" s="30"/>
      <c r="D24" s="30"/>
      <c r="E24" s="30"/>
      <c r="F24" s="30"/>
      <c r="G24" s="30"/>
      <c r="H24" s="30"/>
      <c r="I24" s="24" t="s">
        <v>119</v>
      </c>
    </row>
    <row r="25" spans="2:9" ht="18.75">
      <c r="B25" s="24" t="s">
        <v>145</v>
      </c>
      <c r="C25" s="30"/>
      <c r="D25" s="30"/>
      <c r="E25" s="30"/>
      <c r="F25" s="30"/>
      <c r="G25" s="30"/>
      <c r="H25" s="30"/>
      <c r="I25" s="24" t="s">
        <v>120</v>
      </c>
    </row>
    <row r="26" spans="2:9" ht="18.75">
      <c r="B26" s="24" t="s">
        <v>146</v>
      </c>
      <c r="C26" s="30"/>
      <c r="D26" s="30"/>
      <c r="E26" s="30"/>
      <c r="F26" s="30"/>
      <c r="G26" s="30"/>
      <c r="H26" s="30"/>
      <c r="I26" s="24" t="s">
        <v>121</v>
      </c>
    </row>
    <row r="27" spans="2:9" ht="18.75">
      <c r="B27" s="24" t="s">
        <v>147</v>
      </c>
      <c r="C27" s="30"/>
      <c r="D27" s="30"/>
      <c r="E27" s="30"/>
      <c r="F27" s="30"/>
      <c r="G27" s="30"/>
      <c r="H27" s="30"/>
      <c r="I27" s="24" t="s">
        <v>122</v>
      </c>
    </row>
    <row r="28" spans="2:9" ht="18.75">
      <c r="B28" s="24" t="s">
        <v>148</v>
      </c>
      <c r="C28" s="30"/>
      <c r="D28" s="30"/>
      <c r="E28" s="30"/>
      <c r="F28" s="30"/>
      <c r="G28" s="30"/>
      <c r="H28" s="30"/>
      <c r="I28" s="24" t="s">
        <v>123</v>
      </c>
    </row>
    <row r="29" spans="2:9" ht="18.75">
      <c r="B29" s="24" t="s">
        <v>149</v>
      </c>
      <c r="C29" s="30"/>
      <c r="D29" s="30"/>
      <c r="E29" s="30"/>
      <c r="F29" s="30"/>
      <c r="G29" s="30"/>
      <c r="H29" s="30"/>
      <c r="I29" s="24" t="s">
        <v>124</v>
      </c>
    </row>
    <row r="30" spans="2:9" ht="18.75">
      <c r="B30" s="24" t="s">
        <v>150</v>
      </c>
      <c r="C30" s="30"/>
      <c r="D30" s="30"/>
      <c r="E30" s="30"/>
      <c r="F30" s="30"/>
      <c r="G30" s="30"/>
      <c r="H30" s="30"/>
      <c r="I30" s="24" t="s">
        <v>125</v>
      </c>
    </row>
    <row r="31" spans="2:9" ht="18.75">
      <c r="B31" s="24" t="s">
        <v>151</v>
      </c>
      <c r="C31" s="30"/>
      <c r="D31" s="30"/>
      <c r="E31" s="30"/>
      <c r="F31" s="30"/>
      <c r="G31" s="30"/>
      <c r="H31" s="30"/>
      <c r="I31" s="24" t="s">
        <v>126</v>
      </c>
    </row>
    <row r="32" spans="2:9" ht="18.75">
      <c r="B32" s="24" t="s">
        <v>152</v>
      </c>
      <c r="C32" s="30"/>
      <c r="D32" s="30"/>
      <c r="E32" s="30"/>
      <c r="F32" s="30"/>
      <c r="G32" s="30"/>
      <c r="H32" s="30"/>
      <c r="I32" s="24" t="s">
        <v>127</v>
      </c>
    </row>
    <row r="33" spans="2:9" ht="18.75">
      <c r="B33" s="24" t="s">
        <v>103</v>
      </c>
      <c r="C33" s="30"/>
      <c r="D33" s="30"/>
      <c r="E33" s="30"/>
      <c r="F33" s="30"/>
      <c r="G33" s="30"/>
      <c r="H33" s="30"/>
      <c r="I33" s="24" t="s">
        <v>128</v>
      </c>
    </row>
  </sheetData>
  <sheetProtection password="DEF8" sheet="1" objects="1" scenarios="1"/>
  <protectedRanges>
    <protectedRange sqref="C9:H33" name="Range5"/>
    <protectedRange sqref="C9:H14" name="Range3"/>
    <protectedRange sqref="C9:H14" name="Range2"/>
    <protectedRange sqref="C9:H14" name="Range4"/>
  </protectedRanges>
  <mergeCells count="10">
    <mergeCell ref="B2:I2"/>
    <mergeCell ref="B3:I3"/>
    <mergeCell ref="B5:B8"/>
    <mergeCell ref="I5:I8"/>
    <mergeCell ref="G5:H5"/>
    <mergeCell ref="E5:F5"/>
    <mergeCell ref="C5:D5"/>
    <mergeCell ref="G6:H6"/>
    <mergeCell ref="E6:F6"/>
    <mergeCell ref="C6:D6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3"/>
  <sheetViews>
    <sheetView tabSelected="1" topLeftCell="E1" zoomScale="70" zoomScaleNormal="70" workbookViewId="0">
      <selection activeCell="I10" sqref="I10"/>
    </sheetView>
  </sheetViews>
  <sheetFormatPr defaultColWidth="9" defaultRowHeight="13.5"/>
  <cols>
    <col min="1" max="1" width="24.75" customWidth="1"/>
    <col min="2" max="2" width="51.125" customWidth="1"/>
    <col min="3" max="3" width="9.75" customWidth="1"/>
    <col min="4" max="5" width="18.125" customWidth="1"/>
    <col min="6" max="6" width="33.375" bestFit="1" customWidth="1"/>
    <col min="7" max="10" width="33.375" customWidth="1"/>
    <col min="11" max="11" width="18.125" customWidth="1"/>
    <col min="12" max="14" width="15.375" customWidth="1"/>
  </cols>
  <sheetData>
    <row r="1" spans="1:14" ht="20.25">
      <c r="A1" s="14" t="s">
        <v>13</v>
      </c>
    </row>
    <row r="2" spans="1:14" s="10" customFormat="1" ht="18" customHeight="1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26" t="s">
        <v>155</v>
      </c>
      <c r="G2" s="26" t="s">
        <v>156</v>
      </c>
      <c r="H2" s="26" t="s">
        <v>89</v>
      </c>
      <c r="I2" s="26" t="s">
        <v>92</v>
      </c>
      <c r="J2" s="26" t="s">
        <v>161</v>
      </c>
      <c r="K2" s="26" t="s">
        <v>162</v>
      </c>
      <c r="L2" s="13" t="s">
        <v>19</v>
      </c>
      <c r="M2" s="13" t="s">
        <v>20</v>
      </c>
      <c r="N2" s="13" t="s">
        <v>21</v>
      </c>
    </row>
    <row r="3" spans="1:14" s="10" customFormat="1" ht="18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26" t="s">
        <v>158</v>
      </c>
      <c r="G3" s="26" t="s">
        <v>157</v>
      </c>
      <c r="H3" s="26" t="s">
        <v>90</v>
      </c>
      <c r="I3" s="26" t="s">
        <v>91</v>
      </c>
      <c r="J3" s="26" t="s">
        <v>159</v>
      </c>
      <c r="K3" s="26" t="s">
        <v>160</v>
      </c>
      <c r="L3" s="13" t="s">
        <v>27</v>
      </c>
      <c r="M3" s="13" t="s">
        <v>28</v>
      </c>
      <c r="N3" s="13" t="s">
        <v>29</v>
      </c>
    </row>
    <row r="4" spans="1:14" ht="15">
      <c r="A4" t="s">
        <v>153</v>
      </c>
      <c r="B4" t="s">
        <v>154</v>
      </c>
      <c r="C4" s="15" t="s">
        <v>30</v>
      </c>
      <c r="D4" s="23" t="s">
        <v>81</v>
      </c>
      <c r="E4" s="25" t="s">
        <v>82</v>
      </c>
      <c r="F4" s="25" t="str">
        <f>'Source Table'!$G$6</f>
        <v>Public Sector</v>
      </c>
      <c r="G4" s="25" t="str">
        <f>'Source Table'!$G$5</f>
        <v>القطاع العام</v>
      </c>
      <c r="H4" t="str">
        <f>'Source Table'!$H$8</f>
        <v>Male</v>
      </c>
      <c r="I4" s="25" t="str">
        <f>'Source Table'!$H$7</f>
        <v>ذكر</v>
      </c>
      <c r="J4" s="25" t="str">
        <f>'Source Table'!$B$9</f>
        <v>General Practitioner</v>
      </c>
      <c r="K4" s="25" t="str">
        <f>'Source Table'!$I$9</f>
        <v>طبيب عام</v>
      </c>
      <c r="L4" s="38">
        <v>4402</v>
      </c>
      <c r="M4">
        <v>2023</v>
      </c>
    </row>
    <row r="5" spans="1:14" ht="15">
      <c r="A5" t="s">
        <v>153</v>
      </c>
      <c r="B5" t="s">
        <v>154</v>
      </c>
      <c r="C5" s="15" t="s">
        <v>30</v>
      </c>
      <c r="D5" s="23" t="s">
        <v>81</v>
      </c>
      <c r="E5" s="25" t="s">
        <v>82</v>
      </c>
      <c r="F5" s="25" t="str">
        <f>'Source Table'!$G$6</f>
        <v>Public Sector</v>
      </c>
      <c r="G5" s="25" t="str">
        <f>'Source Table'!$G$5</f>
        <v>القطاع العام</v>
      </c>
      <c r="H5" t="str">
        <f>'Source Table'!$H$8</f>
        <v>Male</v>
      </c>
      <c r="I5" s="25" t="str">
        <f>'Source Table'!$H$7</f>
        <v>ذكر</v>
      </c>
      <c r="J5" s="25" t="str">
        <f>'Source Table'!$B$10</f>
        <v>Surgeon</v>
      </c>
      <c r="K5" s="25" t="str">
        <f>'Source Table'!$I$10</f>
        <v>جراحة عامة</v>
      </c>
      <c r="L5" s="39">
        <v>655</v>
      </c>
      <c r="M5">
        <v>2023</v>
      </c>
    </row>
    <row r="6" spans="1:14" ht="15">
      <c r="A6" t="s">
        <v>153</v>
      </c>
      <c r="B6" t="s">
        <v>154</v>
      </c>
      <c r="C6" s="15" t="s">
        <v>30</v>
      </c>
      <c r="D6" s="23" t="s">
        <v>81</v>
      </c>
      <c r="E6" s="25" t="s">
        <v>82</v>
      </c>
      <c r="F6" s="25" t="str">
        <f>'Source Table'!$G$6</f>
        <v>Public Sector</v>
      </c>
      <c r="G6" s="25" t="str">
        <f>'Source Table'!$G$5</f>
        <v>القطاع العام</v>
      </c>
      <c r="H6" t="str">
        <f>'Source Table'!$H$8</f>
        <v>Male</v>
      </c>
      <c r="I6" s="25" t="str">
        <f>'Source Table'!$H$7</f>
        <v>ذكر</v>
      </c>
      <c r="J6" s="25" t="str">
        <f>'Source Table'!$B$11</f>
        <v>Internist</v>
      </c>
      <c r="K6" s="25" t="str">
        <f>'Source Table'!$I$11</f>
        <v>باطنية</v>
      </c>
      <c r="L6" s="39">
        <v>487</v>
      </c>
      <c r="M6">
        <v>2023</v>
      </c>
    </row>
    <row r="7" spans="1:14" ht="15">
      <c r="A7" t="s">
        <v>153</v>
      </c>
      <c r="B7" t="s">
        <v>154</v>
      </c>
      <c r="C7" s="15" t="s">
        <v>30</v>
      </c>
      <c r="D7" s="23" t="s">
        <v>81</v>
      </c>
      <c r="E7" s="25" t="s">
        <v>82</v>
      </c>
      <c r="F7" s="25" t="str">
        <f>'Source Table'!$G$6</f>
        <v>Public Sector</v>
      </c>
      <c r="G7" s="25" t="str">
        <f>'Source Table'!$G$5</f>
        <v>القطاع العام</v>
      </c>
      <c r="H7" t="str">
        <f>'Source Table'!$H$8</f>
        <v>Male</v>
      </c>
      <c r="I7" s="25" t="str">
        <f>'Source Table'!$H$7</f>
        <v>ذكر</v>
      </c>
      <c r="J7" s="25" t="str">
        <f>'Source Table'!$B$12</f>
        <v>Gynecologist and Obst.</v>
      </c>
      <c r="K7" s="25" t="str">
        <f>'Source Table'!$I$12</f>
        <v>نسائية وتوليد</v>
      </c>
      <c r="L7" s="39">
        <v>250</v>
      </c>
      <c r="M7">
        <v>2023</v>
      </c>
    </row>
    <row r="8" spans="1:14" ht="15">
      <c r="A8" t="s">
        <v>153</v>
      </c>
      <c r="B8" t="s">
        <v>154</v>
      </c>
      <c r="C8" s="15" t="s">
        <v>30</v>
      </c>
      <c r="D8" s="23" t="s">
        <v>81</v>
      </c>
      <c r="E8" s="25" t="s">
        <v>82</v>
      </c>
      <c r="F8" s="25" t="str">
        <f>'Source Table'!$G$6</f>
        <v>Public Sector</v>
      </c>
      <c r="G8" s="25" t="str">
        <f>'Source Table'!$G$5</f>
        <v>القطاع العام</v>
      </c>
      <c r="H8" t="str">
        <f>'Source Table'!$H$8</f>
        <v>Male</v>
      </c>
      <c r="I8" s="25" t="str">
        <f>'Source Table'!$H$7</f>
        <v>ذكر</v>
      </c>
      <c r="J8" s="25" t="str">
        <f>'Source Table'!$B$13</f>
        <v>Pediatrics</v>
      </c>
      <c r="K8" s="25" t="str">
        <f>'Source Table'!$I$13</f>
        <v>أطفال</v>
      </c>
      <c r="L8" s="39">
        <v>319</v>
      </c>
      <c r="M8">
        <v>2023</v>
      </c>
    </row>
    <row r="9" spans="1:14" ht="15">
      <c r="A9" t="s">
        <v>153</v>
      </c>
      <c r="B9" t="s">
        <v>154</v>
      </c>
      <c r="C9" s="15" t="s">
        <v>30</v>
      </c>
      <c r="D9" s="23" t="s">
        <v>81</v>
      </c>
      <c r="E9" s="25" t="s">
        <v>82</v>
      </c>
      <c r="F9" s="25" t="str">
        <f>'Source Table'!$G$6</f>
        <v>Public Sector</v>
      </c>
      <c r="G9" s="25" t="str">
        <f>'Source Table'!$G$5</f>
        <v>القطاع العام</v>
      </c>
      <c r="H9" t="str">
        <f>'Source Table'!$H$8</f>
        <v>Male</v>
      </c>
      <c r="I9" s="25" t="str">
        <f>'Source Table'!$H$7</f>
        <v>ذكر</v>
      </c>
      <c r="J9" s="25" t="str">
        <f>'Source Table'!$B$14</f>
        <v>Ophthalmologist</v>
      </c>
      <c r="K9" s="25" t="str">
        <f>'Source Table'!$I$14</f>
        <v>العيون</v>
      </c>
      <c r="L9" s="39">
        <v>201</v>
      </c>
      <c r="M9">
        <v>2023</v>
      </c>
    </row>
    <row r="10" spans="1:14" ht="15">
      <c r="A10" t="s">
        <v>153</v>
      </c>
      <c r="B10" t="s">
        <v>154</v>
      </c>
      <c r="C10" s="15" t="s">
        <v>30</v>
      </c>
      <c r="D10" s="23" t="s">
        <v>81</v>
      </c>
      <c r="E10" s="25" t="s">
        <v>82</v>
      </c>
      <c r="F10" s="25" t="str">
        <f>'Source Table'!$G$6</f>
        <v>Public Sector</v>
      </c>
      <c r="G10" s="25" t="str">
        <f>'Source Table'!$G$5</f>
        <v>القطاع العام</v>
      </c>
      <c r="H10" t="str">
        <f>'Source Table'!$H$8</f>
        <v>Male</v>
      </c>
      <c r="I10" s="25" t="str">
        <f>'Source Table'!$H$7</f>
        <v>ذكر</v>
      </c>
      <c r="J10" s="25" t="str">
        <f>'Source Table'!$B$15</f>
        <v>Orthopedic Surg.</v>
      </c>
      <c r="K10" s="25" t="str">
        <f>'Source Table'!$I$15</f>
        <v>العظام</v>
      </c>
      <c r="L10" s="39">
        <v>315</v>
      </c>
      <c r="M10">
        <v>2023</v>
      </c>
    </row>
    <row r="11" spans="1:14" ht="15">
      <c r="A11" t="s">
        <v>153</v>
      </c>
      <c r="B11" t="s">
        <v>154</v>
      </c>
      <c r="C11" s="15" t="s">
        <v>30</v>
      </c>
      <c r="D11" s="23" t="s">
        <v>81</v>
      </c>
      <c r="E11" s="25" t="s">
        <v>82</v>
      </c>
      <c r="F11" s="25" t="str">
        <f>'Source Table'!$G$6</f>
        <v>Public Sector</v>
      </c>
      <c r="G11" s="25" t="str">
        <f>'Source Table'!$G$5</f>
        <v>القطاع العام</v>
      </c>
      <c r="H11" t="str">
        <f>'Source Table'!$H$8</f>
        <v>Male</v>
      </c>
      <c r="I11" s="25" t="str">
        <f>'Source Table'!$H$7</f>
        <v>ذكر</v>
      </c>
      <c r="J11" s="25" t="str">
        <f>'Source Table'!$B$16</f>
        <v>E.N.T.Surg.</v>
      </c>
      <c r="K11" s="25" t="str">
        <f>'Source Table'!$I$16</f>
        <v>أذن وأنف وحنجرة</v>
      </c>
      <c r="L11" s="39">
        <v>195</v>
      </c>
      <c r="M11">
        <v>2023</v>
      </c>
    </row>
    <row r="12" spans="1:14" ht="15">
      <c r="A12" t="s">
        <v>153</v>
      </c>
      <c r="B12" t="s">
        <v>154</v>
      </c>
      <c r="C12" s="15" t="s">
        <v>30</v>
      </c>
      <c r="D12" s="23" t="s">
        <v>81</v>
      </c>
      <c r="E12" s="25" t="s">
        <v>82</v>
      </c>
      <c r="F12" s="25" t="str">
        <f>'Source Table'!$G$6</f>
        <v>Public Sector</v>
      </c>
      <c r="G12" s="25" t="str">
        <f>'Source Table'!$G$5</f>
        <v>القطاع العام</v>
      </c>
      <c r="H12" t="str">
        <f>'Source Table'!$H$8</f>
        <v>Male</v>
      </c>
      <c r="I12" s="25" t="str">
        <f>'Source Table'!$H$7</f>
        <v>ذكر</v>
      </c>
      <c r="J12" s="25" t="str">
        <f>'Source Table'!$B$17</f>
        <v>Neurosurgery</v>
      </c>
      <c r="K12" s="25" t="str">
        <f>'Source Table'!$I$17</f>
        <v>جراحةأعصاب</v>
      </c>
      <c r="L12" s="39">
        <v>66</v>
      </c>
      <c r="M12">
        <v>2023</v>
      </c>
    </row>
    <row r="13" spans="1:14" ht="15">
      <c r="A13" t="s">
        <v>153</v>
      </c>
      <c r="B13" t="s">
        <v>154</v>
      </c>
      <c r="C13" s="15" t="s">
        <v>30</v>
      </c>
      <c r="D13" s="23" t="s">
        <v>81</v>
      </c>
      <c r="E13" s="25" t="s">
        <v>82</v>
      </c>
      <c r="F13" s="25" t="str">
        <f>'Source Table'!$G$6</f>
        <v>Public Sector</v>
      </c>
      <c r="G13" s="25" t="str">
        <f>'Source Table'!$G$5</f>
        <v>القطاع العام</v>
      </c>
      <c r="H13" t="str">
        <f>'Source Table'!$H$8</f>
        <v>Male</v>
      </c>
      <c r="I13" s="25" t="str">
        <f>'Source Table'!$H$7</f>
        <v>ذكر</v>
      </c>
      <c r="J13" s="25" t="str">
        <f>'Source Table'!$B$18</f>
        <v>Cardiothoracic</v>
      </c>
      <c r="K13" s="25" t="str">
        <f>'Source Table'!$I$18</f>
        <v>جراحة قلب</v>
      </c>
      <c r="L13" s="39">
        <v>27</v>
      </c>
      <c r="M13">
        <v>2023</v>
      </c>
    </row>
    <row r="14" spans="1:14" ht="15">
      <c r="A14" t="s">
        <v>153</v>
      </c>
      <c r="B14" t="s">
        <v>154</v>
      </c>
      <c r="C14" s="15" t="s">
        <v>30</v>
      </c>
      <c r="D14" s="23" t="s">
        <v>81</v>
      </c>
      <c r="E14" s="25" t="s">
        <v>82</v>
      </c>
      <c r="F14" s="25" t="str">
        <f>'Source Table'!$G$6</f>
        <v>Public Sector</v>
      </c>
      <c r="G14" s="25" t="str">
        <f>'Source Table'!$G$5</f>
        <v>القطاع العام</v>
      </c>
      <c r="H14" t="str">
        <f>'Source Table'!$H$8</f>
        <v>Male</v>
      </c>
      <c r="I14" s="25" t="str">
        <f>'Source Table'!$H$7</f>
        <v>ذكر</v>
      </c>
      <c r="J14" s="25" t="str">
        <f>'Source Table'!$B$19</f>
        <v>Plastic Surgeon</v>
      </c>
      <c r="K14" s="25" t="str">
        <f>'Source Table'!$I$19</f>
        <v>التجميل</v>
      </c>
      <c r="L14" s="39">
        <v>26</v>
      </c>
      <c r="M14">
        <v>2023</v>
      </c>
    </row>
    <row r="15" spans="1:14" ht="15">
      <c r="A15" t="s">
        <v>153</v>
      </c>
      <c r="B15" t="s">
        <v>154</v>
      </c>
      <c r="C15" s="15" t="s">
        <v>30</v>
      </c>
      <c r="D15" s="23" t="s">
        <v>81</v>
      </c>
      <c r="E15" s="25" t="s">
        <v>82</v>
      </c>
      <c r="F15" s="25" t="str">
        <f>'Source Table'!$G$6</f>
        <v>Public Sector</v>
      </c>
      <c r="G15" s="25" t="str">
        <f>'Source Table'!$G$5</f>
        <v>القطاع العام</v>
      </c>
      <c r="H15" t="str">
        <f>'Source Table'!$H$8</f>
        <v>Male</v>
      </c>
      <c r="I15" s="25" t="str">
        <f>'Source Table'!$H$7</f>
        <v>ذكر</v>
      </c>
      <c r="J15" s="25" t="str">
        <f>'Source Table'!$B$20</f>
        <v>Psychiatry</v>
      </c>
      <c r="K15" s="25" t="str">
        <f>'Source Table'!$I$20</f>
        <v>النفسية</v>
      </c>
      <c r="L15" s="39">
        <v>70</v>
      </c>
      <c r="M15">
        <v>2023</v>
      </c>
    </row>
    <row r="16" spans="1:14" ht="15">
      <c r="A16" t="s">
        <v>153</v>
      </c>
      <c r="B16" t="s">
        <v>154</v>
      </c>
      <c r="C16" s="15" t="s">
        <v>30</v>
      </c>
      <c r="D16" s="23" t="s">
        <v>81</v>
      </c>
      <c r="E16" s="25" t="s">
        <v>82</v>
      </c>
      <c r="F16" s="25" t="str">
        <f>'Source Table'!$G$6</f>
        <v>Public Sector</v>
      </c>
      <c r="G16" s="25" t="str">
        <f>'Source Table'!$G$5</f>
        <v>القطاع العام</v>
      </c>
      <c r="H16" t="str">
        <f>'Source Table'!$H$8</f>
        <v>Male</v>
      </c>
      <c r="I16" s="25" t="str">
        <f>'Source Table'!$H$7</f>
        <v>ذكر</v>
      </c>
      <c r="J16" s="25" t="str">
        <f>'Source Table'!$B$21</f>
        <v>Dermatologist Venereal</v>
      </c>
      <c r="K16" s="25" t="str">
        <f>'Source Table'!$I$21</f>
        <v>جلدية وتناسلية</v>
      </c>
      <c r="L16" s="39">
        <v>87</v>
      </c>
      <c r="M16">
        <v>2023</v>
      </c>
    </row>
    <row r="17" spans="1:13" ht="15">
      <c r="A17" t="s">
        <v>153</v>
      </c>
      <c r="B17" t="s">
        <v>154</v>
      </c>
      <c r="C17" s="15" t="s">
        <v>30</v>
      </c>
      <c r="D17" s="23" t="s">
        <v>81</v>
      </c>
      <c r="E17" s="25" t="s">
        <v>82</v>
      </c>
      <c r="F17" s="25" t="str">
        <f>'Source Table'!$G$6</f>
        <v>Public Sector</v>
      </c>
      <c r="G17" s="25" t="str">
        <f>'Source Table'!$G$5</f>
        <v>القطاع العام</v>
      </c>
      <c r="H17" t="str">
        <f>'Source Table'!$H$8</f>
        <v>Male</v>
      </c>
      <c r="I17" s="25" t="str">
        <f>'Source Table'!$H$7</f>
        <v>ذكر</v>
      </c>
      <c r="J17" s="25" t="str">
        <f>'Source Table'!$B$22</f>
        <v>Neurology/ Nervous</v>
      </c>
      <c r="K17" s="25" t="str">
        <f>'Source Table'!$I$22</f>
        <v>مرض الأعصاب</v>
      </c>
      <c r="L17" s="39">
        <v>21</v>
      </c>
      <c r="M17">
        <v>2023</v>
      </c>
    </row>
    <row r="18" spans="1:13" ht="15">
      <c r="A18" t="s">
        <v>153</v>
      </c>
      <c r="B18" t="s">
        <v>154</v>
      </c>
      <c r="C18" s="15" t="s">
        <v>30</v>
      </c>
      <c r="D18" s="23" t="s">
        <v>81</v>
      </c>
      <c r="E18" s="25" t="s">
        <v>82</v>
      </c>
      <c r="F18" s="25" t="str">
        <f>'Source Table'!$G$6</f>
        <v>Public Sector</v>
      </c>
      <c r="G18" s="25" t="str">
        <f>'Source Table'!$G$5</f>
        <v>القطاع العام</v>
      </c>
      <c r="H18" t="str">
        <f>'Source Table'!$H$8</f>
        <v>Male</v>
      </c>
      <c r="I18" s="25" t="str">
        <f>'Source Table'!$H$7</f>
        <v>ذكر</v>
      </c>
      <c r="J18" s="25" t="str">
        <f>'Source Table'!$B$23</f>
        <v>Pumologist</v>
      </c>
      <c r="K18" s="25" t="str">
        <f>'Source Table'!$I$23</f>
        <v>صدرية</v>
      </c>
      <c r="L18" s="39">
        <v>21</v>
      </c>
      <c r="M18">
        <v>2023</v>
      </c>
    </row>
    <row r="19" spans="1:13" ht="15">
      <c r="A19" t="s">
        <v>153</v>
      </c>
      <c r="B19" t="s">
        <v>154</v>
      </c>
      <c r="C19" s="15" t="s">
        <v>30</v>
      </c>
      <c r="D19" s="23" t="s">
        <v>81</v>
      </c>
      <c r="E19" s="25" t="s">
        <v>82</v>
      </c>
      <c r="F19" s="25" t="str">
        <f>'Source Table'!$G$6</f>
        <v>Public Sector</v>
      </c>
      <c r="G19" s="25" t="str">
        <f>'Source Table'!$G$5</f>
        <v>القطاع العام</v>
      </c>
      <c r="H19" t="str">
        <f>'Source Table'!$H$8</f>
        <v>Male</v>
      </c>
      <c r="I19" s="25" t="str">
        <f>'Source Table'!$H$7</f>
        <v>ذكر</v>
      </c>
      <c r="J19" s="25" t="str">
        <f>'Source Table'!$B$24</f>
        <v>G.I.T. Specialist</v>
      </c>
      <c r="K19" s="25" t="str">
        <f>'Source Table'!$I$24</f>
        <v>جهاز هضمي</v>
      </c>
      <c r="L19" s="39">
        <v>27</v>
      </c>
      <c r="M19">
        <v>2023</v>
      </c>
    </row>
    <row r="20" spans="1:13" ht="15">
      <c r="A20" t="s">
        <v>153</v>
      </c>
      <c r="B20" t="s">
        <v>154</v>
      </c>
      <c r="C20" s="15" t="s">
        <v>30</v>
      </c>
      <c r="D20" s="23" t="s">
        <v>81</v>
      </c>
      <c r="E20" s="25" t="s">
        <v>82</v>
      </c>
      <c r="F20" s="25" t="str">
        <f>'Source Table'!$G$6</f>
        <v>Public Sector</v>
      </c>
      <c r="G20" s="25" t="str">
        <f>'Source Table'!$G$5</f>
        <v>القطاع العام</v>
      </c>
      <c r="H20" t="str">
        <f>'Source Table'!$H$8</f>
        <v>Male</v>
      </c>
      <c r="I20" s="25" t="str">
        <f>'Source Table'!$H$7</f>
        <v>ذكر</v>
      </c>
      <c r="J20" s="25" t="str">
        <f>'Source Table'!$B$25</f>
        <v>Diagnostic Radiology</v>
      </c>
      <c r="K20" s="25" t="str">
        <f>'Source Table'!$I$25</f>
        <v>أشعة تشخيصية</v>
      </c>
      <c r="L20" s="39">
        <v>178</v>
      </c>
      <c r="M20">
        <v>2023</v>
      </c>
    </row>
    <row r="21" spans="1:13" ht="15">
      <c r="A21" t="s">
        <v>153</v>
      </c>
      <c r="B21" t="s">
        <v>154</v>
      </c>
      <c r="C21" s="15" t="s">
        <v>30</v>
      </c>
      <c r="D21" s="23" t="s">
        <v>81</v>
      </c>
      <c r="E21" s="25" t="s">
        <v>82</v>
      </c>
      <c r="F21" s="25" t="str">
        <f>'Source Table'!$G$6</f>
        <v>Public Sector</v>
      </c>
      <c r="G21" s="25" t="str">
        <f>'Source Table'!$G$5</f>
        <v>القطاع العام</v>
      </c>
      <c r="H21" t="str">
        <f>'Source Table'!$H$8</f>
        <v>Male</v>
      </c>
      <c r="I21" s="25" t="str">
        <f>'Source Table'!$H$7</f>
        <v>ذكر</v>
      </c>
      <c r="J21" s="25" t="str">
        <f>'Source Table'!$B$26</f>
        <v>Anesthetic</v>
      </c>
      <c r="K21" s="25" t="str">
        <f>'Source Table'!$I$26</f>
        <v>تخدير وإنعاش</v>
      </c>
      <c r="L21" s="39">
        <v>327</v>
      </c>
      <c r="M21">
        <v>2023</v>
      </c>
    </row>
    <row r="22" spans="1:13" ht="15">
      <c r="A22" t="s">
        <v>153</v>
      </c>
      <c r="B22" t="s">
        <v>154</v>
      </c>
      <c r="C22" s="15" t="s">
        <v>30</v>
      </c>
      <c r="D22" s="23" t="s">
        <v>81</v>
      </c>
      <c r="E22" s="25" t="s">
        <v>82</v>
      </c>
      <c r="F22" s="25" t="str">
        <f>'Source Table'!$G$6</f>
        <v>Public Sector</v>
      </c>
      <c r="G22" s="25" t="str">
        <f>'Source Table'!$G$5</f>
        <v>القطاع العام</v>
      </c>
      <c r="H22" t="str">
        <f>'Source Table'!$H$8</f>
        <v>Male</v>
      </c>
      <c r="I22" s="25" t="str">
        <f>'Source Table'!$H$7</f>
        <v>ذكر</v>
      </c>
      <c r="J22" s="25" t="str">
        <f>'Source Table'!$B$27</f>
        <v>Physiotherapist</v>
      </c>
      <c r="K22" s="25" t="str">
        <f>'Source Table'!$I$27</f>
        <v>طب طبيعي</v>
      </c>
      <c r="L22" s="39">
        <v>62</v>
      </c>
      <c r="M22">
        <v>2023</v>
      </c>
    </row>
    <row r="23" spans="1:13" ht="15">
      <c r="A23" t="s">
        <v>153</v>
      </c>
      <c r="B23" t="s">
        <v>154</v>
      </c>
      <c r="C23" s="15" t="s">
        <v>30</v>
      </c>
      <c r="D23" s="23" t="s">
        <v>81</v>
      </c>
      <c r="E23" s="25" t="s">
        <v>82</v>
      </c>
      <c r="F23" s="25" t="str">
        <f>'Source Table'!$G$6</f>
        <v>Public Sector</v>
      </c>
      <c r="G23" s="25" t="str">
        <f>'Source Table'!$G$5</f>
        <v>القطاع العام</v>
      </c>
      <c r="H23" t="str">
        <f>'Source Table'!$H$8</f>
        <v>Male</v>
      </c>
      <c r="I23" s="25" t="str">
        <f>'Source Table'!$H$7</f>
        <v>ذكر</v>
      </c>
      <c r="J23" s="25" t="str">
        <f>'Source Table'!$B$28</f>
        <v>Forensic</v>
      </c>
      <c r="K23" s="25" t="str">
        <f>'Source Table'!$I$28</f>
        <v>طب شرعي</v>
      </c>
      <c r="L23" s="39">
        <v>41</v>
      </c>
      <c r="M23">
        <v>2023</v>
      </c>
    </row>
    <row r="24" spans="1:13" ht="15">
      <c r="A24" t="s">
        <v>153</v>
      </c>
      <c r="B24" t="s">
        <v>154</v>
      </c>
      <c r="C24" s="15" t="s">
        <v>30</v>
      </c>
      <c r="D24" s="23" t="s">
        <v>81</v>
      </c>
      <c r="E24" s="25" t="s">
        <v>82</v>
      </c>
      <c r="F24" s="25" t="str">
        <f>'Source Table'!$G$6</f>
        <v>Public Sector</v>
      </c>
      <c r="G24" s="25" t="str">
        <f>'Source Table'!$G$5</f>
        <v>القطاع العام</v>
      </c>
      <c r="H24" t="str">
        <f>'Source Table'!$H$8</f>
        <v>Male</v>
      </c>
      <c r="I24" s="25" t="str">
        <f>'Source Table'!$H$7</f>
        <v>ذكر</v>
      </c>
      <c r="J24" s="25" t="str">
        <f>'Source Table'!$B$29</f>
        <v xml:space="preserve">Family </v>
      </c>
      <c r="K24" s="25" t="str">
        <f>'Source Table'!$I$29</f>
        <v>طب أسرة</v>
      </c>
      <c r="L24" s="39">
        <v>122</v>
      </c>
      <c r="M24">
        <v>2023</v>
      </c>
    </row>
    <row r="25" spans="1:13" ht="15">
      <c r="A25" t="s">
        <v>153</v>
      </c>
      <c r="B25" t="s">
        <v>154</v>
      </c>
      <c r="C25" s="15" t="s">
        <v>30</v>
      </c>
      <c r="D25" s="23" t="s">
        <v>81</v>
      </c>
      <c r="E25" s="25" t="s">
        <v>82</v>
      </c>
      <c r="F25" s="25" t="str">
        <f>'Source Table'!$G$6</f>
        <v>Public Sector</v>
      </c>
      <c r="G25" s="25" t="str">
        <f>'Source Table'!$G$5</f>
        <v>القطاع العام</v>
      </c>
      <c r="H25" t="str">
        <f>'Source Table'!$H$8</f>
        <v>Male</v>
      </c>
      <c r="I25" s="25" t="str">
        <f>'Source Table'!$H$7</f>
        <v>ذكر</v>
      </c>
      <c r="J25" s="25" t="str">
        <f>'Source Table'!$B$30</f>
        <v>Urologist</v>
      </c>
      <c r="K25" s="25" t="str">
        <f>'Source Table'!$I$30</f>
        <v xml:space="preserve">المسالك البولية </v>
      </c>
      <c r="L25" s="39">
        <v>123</v>
      </c>
      <c r="M25">
        <v>2023</v>
      </c>
    </row>
    <row r="26" spans="1:13" ht="15">
      <c r="A26" t="s">
        <v>153</v>
      </c>
      <c r="B26" t="s">
        <v>154</v>
      </c>
      <c r="C26" s="15" t="s">
        <v>30</v>
      </c>
      <c r="D26" s="23" t="s">
        <v>81</v>
      </c>
      <c r="E26" s="25" t="s">
        <v>82</v>
      </c>
      <c r="F26" s="25" t="str">
        <f>'Source Table'!$G$6</f>
        <v>Public Sector</v>
      </c>
      <c r="G26" s="25" t="str">
        <f>'Source Table'!$G$5</f>
        <v>القطاع العام</v>
      </c>
      <c r="H26" t="str">
        <f>'Source Table'!$H$8</f>
        <v>Male</v>
      </c>
      <c r="I26" s="25" t="str">
        <f>'Source Table'!$H$7</f>
        <v>ذكر</v>
      </c>
      <c r="J26" s="25" t="str">
        <f>'Source Table'!$B$31</f>
        <v>Cardiology</v>
      </c>
      <c r="K26" s="25" t="str">
        <f>'Source Table'!$I$31</f>
        <v>أمراض القلب</v>
      </c>
      <c r="L26" s="39">
        <v>44</v>
      </c>
      <c r="M26">
        <v>2023</v>
      </c>
    </row>
    <row r="27" spans="1:13" ht="15">
      <c r="A27" t="s">
        <v>153</v>
      </c>
      <c r="B27" t="s">
        <v>154</v>
      </c>
      <c r="C27" s="15" t="s">
        <v>30</v>
      </c>
      <c r="D27" s="23" t="s">
        <v>81</v>
      </c>
      <c r="E27" s="25" t="s">
        <v>82</v>
      </c>
      <c r="F27" s="25" t="str">
        <f>'Source Table'!$G$6</f>
        <v>Public Sector</v>
      </c>
      <c r="G27" s="25" t="str">
        <f>'Source Table'!$G$5</f>
        <v>القطاع العام</v>
      </c>
      <c r="H27" t="str">
        <f>'Source Table'!$H$8</f>
        <v>Male</v>
      </c>
      <c r="I27" s="25" t="str">
        <f>'Source Table'!$H$7</f>
        <v>ذكر</v>
      </c>
      <c r="J27" s="25" t="str">
        <f>'Source Table'!$B$32</f>
        <v>Laboratory</v>
      </c>
      <c r="K27" s="25" t="str">
        <f>'Source Table'!$I$32</f>
        <v>مختبرات</v>
      </c>
      <c r="L27" s="39">
        <v>20</v>
      </c>
      <c r="M27">
        <v>2023</v>
      </c>
    </row>
    <row r="28" spans="1:13" ht="15">
      <c r="A28" t="s">
        <v>153</v>
      </c>
      <c r="B28" t="s">
        <v>154</v>
      </c>
      <c r="C28" s="15" t="s">
        <v>30</v>
      </c>
      <c r="D28" s="23" t="s">
        <v>81</v>
      </c>
      <c r="E28" s="25" t="s">
        <v>82</v>
      </c>
      <c r="F28" s="25" t="str">
        <f>'Source Table'!$G$6</f>
        <v>Public Sector</v>
      </c>
      <c r="G28" s="25" t="str">
        <f>'Source Table'!$G$5</f>
        <v>القطاع العام</v>
      </c>
      <c r="H28" t="str">
        <f>'Source Table'!$H$8</f>
        <v>Male</v>
      </c>
      <c r="I28" s="25" t="str">
        <f>'Source Table'!$H$7</f>
        <v>ذكر</v>
      </c>
      <c r="J28" s="25" t="str">
        <f>'Source Table'!$B$33</f>
        <v>Others</v>
      </c>
      <c r="K28" s="25" t="str">
        <f>'Source Table'!$I$33</f>
        <v>أخرى</v>
      </c>
      <c r="L28" s="39">
        <v>571</v>
      </c>
      <c r="M28">
        <v>2023</v>
      </c>
    </row>
    <row r="29" spans="1:13" ht="15">
      <c r="A29" t="s">
        <v>153</v>
      </c>
      <c r="B29" t="s">
        <v>154</v>
      </c>
      <c r="C29" s="15" t="s">
        <v>30</v>
      </c>
      <c r="D29" s="23" t="s">
        <v>81</v>
      </c>
      <c r="E29" s="25" t="s">
        <v>82</v>
      </c>
      <c r="F29" s="25" t="str">
        <f>'Source Table'!$G$6</f>
        <v>Public Sector</v>
      </c>
      <c r="G29" s="25" t="str">
        <f>'Source Table'!$G$5</f>
        <v>القطاع العام</v>
      </c>
      <c r="H29" t="str">
        <f>'Source Table'!$G$8</f>
        <v>Female</v>
      </c>
      <c r="I29" s="16" t="str">
        <f>'Source Table'!$G$7</f>
        <v>أنثى</v>
      </c>
      <c r="J29" s="25" t="str">
        <f>'Source Table'!$B$9</f>
        <v>General Practitioner</v>
      </c>
      <c r="K29" s="25" t="str">
        <f>'Source Table'!$I$9</f>
        <v>طبيب عام</v>
      </c>
      <c r="L29" s="38">
        <v>1032</v>
      </c>
      <c r="M29">
        <v>2023</v>
      </c>
    </row>
    <row r="30" spans="1:13" ht="15">
      <c r="A30" t="s">
        <v>153</v>
      </c>
      <c r="B30" t="s">
        <v>154</v>
      </c>
      <c r="C30" s="15" t="s">
        <v>30</v>
      </c>
      <c r="D30" s="23" t="s">
        <v>81</v>
      </c>
      <c r="E30" s="25" t="s">
        <v>82</v>
      </c>
      <c r="F30" s="25" t="str">
        <f>'Source Table'!$G$6</f>
        <v>Public Sector</v>
      </c>
      <c r="G30" s="25" t="str">
        <f>'Source Table'!$G$5</f>
        <v>القطاع العام</v>
      </c>
      <c r="H30" t="str">
        <f>'Source Table'!$G$8</f>
        <v>Female</v>
      </c>
      <c r="I30" s="16" t="str">
        <f>'Source Table'!$G$7</f>
        <v>أنثى</v>
      </c>
      <c r="J30" s="25" t="str">
        <f>'Source Table'!$B$10</f>
        <v>Surgeon</v>
      </c>
      <c r="K30" s="25" t="str">
        <f>'Source Table'!$I$10</f>
        <v>جراحة عامة</v>
      </c>
      <c r="L30" s="39">
        <v>27</v>
      </c>
      <c r="M30">
        <v>2023</v>
      </c>
    </row>
    <row r="31" spans="1:13" ht="15">
      <c r="A31" t="s">
        <v>153</v>
      </c>
      <c r="B31" t="s">
        <v>154</v>
      </c>
      <c r="C31" s="15" t="s">
        <v>30</v>
      </c>
      <c r="D31" s="23" t="s">
        <v>81</v>
      </c>
      <c r="E31" s="25" t="s">
        <v>82</v>
      </c>
      <c r="F31" s="25" t="str">
        <f>'Source Table'!$G$6</f>
        <v>Public Sector</v>
      </c>
      <c r="G31" s="25" t="str">
        <f>'Source Table'!$G$5</f>
        <v>القطاع العام</v>
      </c>
      <c r="H31" t="str">
        <f>'Source Table'!$G$8</f>
        <v>Female</v>
      </c>
      <c r="I31" s="16" t="str">
        <f>'Source Table'!$G$7</f>
        <v>أنثى</v>
      </c>
      <c r="J31" s="25" t="str">
        <f>'Source Table'!$B$11</f>
        <v>Internist</v>
      </c>
      <c r="K31" s="25" t="str">
        <f>'Source Table'!$I$11</f>
        <v>باطنية</v>
      </c>
      <c r="L31" s="39">
        <v>80</v>
      </c>
      <c r="M31">
        <v>2023</v>
      </c>
    </row>
    <row r="32" spans="1:13" ht="15">
      <c r="A32" t="s">
        <v>153</v>
      </c>
      <c r="B32" t="s">
        <v>154</v>
      </c>
      <c r="C32" s="15" t="s">
        <v>30</v>
      </c>
      <c r="D32" s="23" t="s">
        <v>81</v>
      </c>
      <c r="E32" s="25" t="s">
        <v>82</v>
      </c>
      <c r="F32" s="25" t="str">
        <f>'Source Table'!$G$6</f>
        <v>Public Sector</v>
      </c>
      <c r="G32" s="25" t="str">
        <f>'Source Table'!$G$5</f>
        <v>القطاع العام</v>
      </c>
      <c r="H32" t="str">
        <f>'Source Table'!$G$8</f>
        <v>Female</v>
      </c>
      <c r="I32" s="16" t="str">
        <f>'Source Table'!$G$7</f>
        <v>أنثى</v>
      </c>
      <c r="J32" s="25" t="str">
        <f>'Source Table'!$B$12</f>
        <v>Gynecologist and Obst.</v>
      </c>
      <c r="K32" s="25" t="str">
        <f>'Source Table'!$I$12</f>
        <v>نسائية وتوليد</v>
      </c>
      <c r="L32" s="39">
        <v>139</v>
      </c>
      <c r="M32">
        <v>2023</v>
      </c>
    </row>
    <row r="33" spans="1:13" ht="15">
      <c r="A33" t="s">
        <v>153</v>
      </c>
      <c r="B33" t="s">
        <v>154</v>
      </c>
      <c r="C33" s="15" t="s">
        <v>30</v>
      </c>
      <c r="D33" s="23" t="s">
        <v>81</v>
      </c>
      <c r="E33" s="25" t="s">
        <v>82</v>
      </c>
      <c r="F33" s="25" t="str">
        <f>'Source Table'!$G$6</f>
        <v>Public Sector</v>
      </c>
      <c r="G33" s="25" t="str">
        <f>'Source Table'!$G$5</f>
        <v>القطاع العام</v>
      </c>
      <c r="H33" t="str">
        <f>'Source Table'!$G$8</f>
        <v>Female</v>
      </c>
      <c r="I33" s="16" t="str">
        <f>'Source Table'!$G$7</f>
        <v>أنثى</v>
      </c>
      <c r="J33" s="25" t="str">
        <f>'Source Table'!$B$13</f>
        <v>Pediatrics</v>
      </c>
      <c r="K33" s="25" t="str">
        <f>'Source Table'!$I$13</f>
        <v>أطفال</v>
      </c>
      <c r="L33" s="39">
        <v>202</v>
      </c>
      <c r="M33">
        <v>2023</v>
      </c>
    </row>
    <row r="34" spans="1:13" ht="15">
      <c r="A34" t="s">
        <v>153</v>
      </c>
      <c r="B34" t="s">
        <v>154</v>
      </c>
      <c r="C34" s="15" t="s">
        <v>30</v>
      </c>
      <c r="D34" s="23" t="s">
        <v>81</v>
      </c>
      <c r="E34" s="25" t="s">
        <v>82</v>
      </c>
      <c r="F34" s="25" t="str">
        <f>'Source Table'!$G$6</f>
        <v>Public Sector</v>
      </c>
      <c r="G34" s="25" t="str">
        <f>'Source Table'!$G$5</f>
        <v>القطاع العام</v>
      </c>
      <c r="H34" t="str">
        <f>'Source Table'!$G$8</f>
        <v>Female</v>
      </c>
      <c r="I34" s="16" t="str">
        <f>'Source Table'!$G$7</f>
        <v>أنثى</v>
      </c>
      <c r="J34" s="25" t="str">
        <f>'Source Table'!$B$14</f>
        <v>Ophthalmologist</v>
      </c>
      <c r="K34" s="25" t="str">
        <f>'Source Table'!$I$14</f>
        <v>العيون</v>
      </c>
      <c r="L34" s="39">
        <v>92</v>
      </c>
      <c r="M34">
        <v>2023</v>
      </c>
    </row>
    <row r="35" spans="1:13" ht="15">
      <c r="A35" t="s">
        <v>153</v>
      </c>
      <c r="B35" t="s">
        <v>154</v>
      </c>
      <c r="C35" s="15" t="s">
        <v>30</v>
      </c>
      <c r="D35" s="23" t="s">
        <v>81</v>
      </c>
      <c r="E35" s="25" t="s">
        <v>82</v>
      </c>
      <c r="F35" s="25" t="str">
        <f>'Source Table'!$G$6</f>
        <v>Public Sector</v>
      </c>
      <c r="G35" s="25" t="str">
        <f>'Source Table'!$G$5</f>
        <v>القطاع العام</v>
      </c>
      <c r="H35" t="str">
        <f>'Source Table'!$G$8</f>
        <v>Female</v>
      </c>
      <c r="I35" s="16" t="str">
        <f>'Source Table'!$G$7</f>
        <v>أنثى</v>
      </c>
      <c r="J35" s="25" t="str">
        <f>'Source Table'!$B$15</f>
        <v>Orthopedic Surg.</v>
      </c>
      <c r="K35" s="25" t="str">
        <f>'Source Table'!$I$15</f>
        <v>العظام</v>
      </c>
      <c r="L35" s="39">
        <v>0</v>
      </c>
      <c r="M35">
        <v>2023</v>
      </c>
    </row>
    <row r="36" spans="1:13" ht="15">
      <c r="A36" t="s">
        <v>153</v>
      </c>
      <c r="B36" t="s">
        <v>154</v>
      </c>
      <c r="C36" s="15" t="s">
        <v>30</v>
      </c>
      <c r="D36" s="23" t="s">
        <v>81</v>
      </c>
      <c r="E36" s="25" t="s">
        <v>82</v>
      </c>
      <c r="F36" s="25" t="str">
        <f>'Source Table'!$G$6</f>
        <v>Public Sector</v>
      </c>
      <c r="G36" s="25" t="str">
        <f>'Source Table'!$G$5</f>
        <v>القطاع العام</v>
      </c>
      <c r="H36" t="str">
        <f>'Source Table'!$G$8</f>
        <v>Female</v>
      </c>
      <c r="I36" s="16" t="str">
        <f>'Source Table'!$G$7</f>
        <v>أنثى</v>
      </c>
      <c r="J36" s="25" t="str">
        <f>'Source Table'!$B$16</f>
        <v>E.N.T.Surg.</v>
      </c>
      <c r="K36" s="25" t="str">
        <f>'Source Table'!$I$16</f>
        <v>أذن وأنف وحنجرة</v>
      </c>
      <c r="L36" s="39">
        <v>35</v>
      </c>
      <c r="M36">
        <v>2023</v>
      </c>
    </row>
    <row r="37" spans="1:13" ht="15">
      <c r="A37" t="s">
        <v>153</v>
      </c>
      <c r="B37" t="s">
        <v>154</v>
      </c>
      <c r="C37" s="15" t="s">
        <v>30</v>
      </c>
      <c r="D37" s="23" t="s">
        <v>81</v>
      </c>
      <c r="E37" s="25" t="s">
        <v>82</v>
      </c>
      <c r="F37" s="25" t="str">
        <f>'Source Table'!$G$6</f>
        <v>Public Sector</v>
      </c>
      <c r="G37" s="25" t="str">
        <f>'Source Table'!$G$5</f>
        <v>القطاع العام</v>
      </c>
      <c r="H37" t="str">
        <f>'Source Table'!$G$8</f>
        <v>Female</v>
      </c>
      <c r="I37" s="16" t="str">
        <f>'Source Table'!$G$7</f>
        <v>أنثى</v>
      </c>
      <c r="J37" s="25" t="str">
        <f>'Source Table'!$B$17</f>
        <v>Neurosurgery</v>
      </c>
      <c r="K37" s="25" t="str">
        <f>'Source Table'!$I$17</f>
        <v>جراحةأعصاب</v>
      </c>
      <c r="L37" s="39">
        <v>1</v>
      </c>
      <c r="M37">
        <v>2023</v>
      </c>
    </row>
    <row r="38" spans="1:13" ht="15">
      <c r="A38" t="s">
        <v>153</v>
      </c>
      <c r="B38" t="s">
        <v>154</v>
      </c>
      <c r="C38" s="15" t="s">
        <v>30</v>
      </c>
      <c r="D38" s="23" t="s">
        <v>81</v>
      </c>
      <c r="E38" s="25" t="s">
        <v>82</v>
      </c>
      <c r="F38" s="25" t="str">
        <f>'Source Table'!$G$6</f>
        <v>Public Sector</v>
      </c>
      <c r="G38" s="25" t="str">
        <f>'Source Table'!$G$5</f>
        <v>القطاع العام</v>
      </c>
      <c r="H38" t="str">
        <f>'Source Table'!$G$8</f>
        <v>Female</v>
      </c>
      <c r="I38" s="16" t="str">
        <f>'Source Table'!$G$7</f>
        <v>أنثى</v>
      </c>
      <c r="J38" s="25" t="str">
        <f>'Source Table'!$B$18</f>
        <v>Cardiothoracic</v>
      </c>
      <c r="K38" s="25" t="str">
        <f>'Source Table'!$I$18</f>
        <v>جراحة قلب</v>
      </c>
      <c r="L38" s="39">
        <v>0</v>
      </c>
      <c r="M38">
        <v>2023</v>
      </c>
    </row>
    <row r="39" spans="1:13" ht="15">
      <c r="A39" t="s">
        <v>153</v>
      </c>
      <c r="B39" t="s">
        <v>154</v>
      </c>
      <c r="C39" s="15" t="s">
        <v>30</v>
      </c>
      <c r="D39" s="23" t="s">
        <v>81</v>
      </c>
      <c r="E39" s="25" t="s">
        <v>82</v>
      </c>
      <c r="F39" s="25" t="str">
        <f>'Source Table'!$G$6</f>
        <v>Public Sector</v>
      </c>
      <c r="G39" s="25" t="str">
        <f>'Source Table'!$G$5</f>
        <v>القطاع العام</v>
      </c>
      <c r="H39" t="str">
        <f>'Source Table'!$G$8</f>
        <v>Female</v>
      </c>
      <c r="I39" s="16" t="str">
        <f>'Source Table'!$G$7</f>
        <v>أنثى</v>
      </c>
      <c r="J39" s="25" t="str">
        <f>'Source Table'!$B$19</f>
        <v>Plastic Surgeon</v>
      </c>
      <c r="K39" s="25" t="str">
        <f>'Source Table'!$I$19</f>
        <v>التجميل</v>
      </c>
      <c r="L39" s="39">
        <v>0</v>
      </c>
      <c r="M39">
        <v>2023</v>
      </c>
    </row>
    <row r="40" spans="1:13" ht="15">
      <c r="A40" t="s">
        <v>153</v>
      </c>
      <c r="B40" t="s">
        <v>154</v>
      </c>
      <c r="C40" s="15" t="s">
        <v>30</v>
      </c>
      <c r="D40" s="23" t="s">
        <v>81</v>
      </c>
      <c r="E40" s="25" t="s">
        <v>82</v>
      </c>
      <c r="F40" s="25" t="str">
        <f>'Source Table'!$G$6</f>
        <v>Public Sector</v>
      </c>
      <c r="G40" s="25" t="str">
        <f>'Source Table'!$G$5</f>
        <v>القطاع العام</v>
      </c>
      <c r="H40" t="str">
        <f>'Source Table'!$G$8</f>
        <v>Female</v>
      </c>
      <c r="I40" s="16" t="str">
        <f>'Source Table'!$G$7</f>
        <v>أنثى</v>
      </c>
      <c r="J40" s="25" t="str">
        <f>'Source Table'!$B$20</f>
        <v>Psychiatry</v>
      </c>
      <c r="K40" s="25" t="str">
        <f>'Source Table'!$I$20</f>
        <v>النفسية</v>
      </c>
      <c r="L40" s="39">
        <v>16</v>
      </c>
      <c r="M40">
        <v>2023</v>
      </c>
    </row>
    <row r="41" spans="1:13" ht="15">
      <c r="A41" t="s">
        <v>153</v>
      </c>
      <c r="B41" t="s">
        <v>154</v>
      </c>
      <c r="C41" s="15" t="s">
        <v>30</v>
      </c>
      <c r="D41" s="23" t="s">
        <v>81</v>
      </c>
      <c r="E41" s="25" t="s">
        <v>82</v>
      </c>
      <c r="F41" s="25" t="str">
        <f>'Source Table'!$G$6</f>
        <v>Public Sector</v>
      </c>
      <c r="G41" s="25" t="str">
        <f>'Source Table'!$G$5</f>
        <v>القطاع العام</v>
      </c>
      <c r="H41" t="str">
        <f>'Source Table'!$G$8</f>
        <v>Female</v>
      </c>
      <c r="I41" s="16" t="str">
        <f>'Source Table'!$G$7</f>
        <v>أنثى</v>
      </c>
      <c r="J41" s="25" t="str">
        <f>'Source Table'!$B$21</f>
        <v>Dermatologist Venereal</v>
      </c>
      <c r="K41" s="25" t="str">
        <f>'Source Table'!$I$21</f>
        <v>جلدية وتناسلية</v>
      </c>
      <c r="L41" s="39">
        <v>45</v>
      </c>
      <c r="M41">
        <v>2023</v>
      </c>
    </row>
    <row r="42" spans="1:13" ht="15">
      <c r="A42" t="s">
        <v>153</v>
      </c>
      <c r="B42" t="s">
        <v>154</v>
      </c>
      <c r="C42" s="15" t="s">
        <v>30</v>
      </c>
      <c r="D42" s="23" t="s">
        <v>81</v>
      </c>
      <c r="E42" s="25" t="s">
        <v>82</v>
      </c>
      <c r="F42" s="25" t="str">
        <f>'Source Table'!$G$6</f>
        <v>Public Sector</v>
      </c>
      <c r="G42" s="25" t="str">
        <f>'Source Table'!$G$5</f>
        <v>القطاع العام</v>
      </c>
      <c r="H42" t="str">
        <f>'Source Table'!$G$8</f>
        <v>Female</v>
      </c>
      <c r="I42" s="16" t="str">
        <f>'Source Table'!$G$7</f>
        <v>أنثى</v>
      </c>
      <c r="J42" s="25" t="str">
        <f>'Source Table'!$B$22</f>
        <v>Neurology/ Nervous</v>
      </c>
      <c r="K42" s="25" t="str">
        <f>'Source Table'!$I$22</f>
        <v>مرض الأعصاب</v>
      </c>
      <c r="L42" s="39">
        <v>5</v>
      </c>
      <c r="M42">
        <v>2023</v>
      </c>
    </row>
    <row r="43" spans="1:13" ht="15">
      <c r="A43" t="s">
        <v>153</v>
      </c>
      <c r="B43" t="s">
        <v>154</v>
      </c>
      <c r="C43" s="15" t="s">
        <v>30</v>
      </c>
      <c r="D43" s="23" t="s">
        <v>81</v>
      </c>
      <c r="E43" s="25" t="s">
        <v>82</v>
      </c>
      <c r="F43" s="25" t="str">
        <f>'Source Table'!$G$6</f>
        <v>Public Sector</v>
      </c>
      <c r="G43" s="25" t="str">
        <f>'Source Table'!$G$5</f>
        <v>القطاع العام</v>
      </c>
      <c r="H43" t="str">
        <f>'Source Table'!$G$8</f>
        <v>Female</v>
      </c>
      <c r="I43" s="16" t="str">
        <f>'Source Table'!$G$7</f>
        <v>أنثى</v>
      </c>
      <c r="J43" s="25" t="str">
        <f>'Source Table'!$B$23</f>
        <v>Pumologist</v>
      </c>
      <c r="K43" s="25" t="str">
        <f>'Source Table'!$I$23</f>
        <v>صدرية</v>
      </c>
      <c r="L43" s="39">
        <v>2</v>
      </c>
      <c r="M43">
        <v>2023</v>
      </c>
    </row>
    <row r="44" spans="1:13" ht="15">
      <c r="A44" t="s">
        <v>153</v>
      </c>
      <c r="B44" t="s">
        <v>154</v>
      </c>
      <c r="C44" s="15" t="s">
        <v>30</v>
      </c>
      <c r="D44" s="23" t="s">
        <v>81</v>
      </c>
      <c r="E44" s="25" t="s">
        <v>82</v>
      </c>
      <c r="F44" s="25" t="str">
        <f>'Source Table'!$G$6</f>
        <v>Public Sector</v>
      </c>
      <c r="G44" s="25" t="str">
        <f>'Source Table'!$G$5</f>
        <v>القطاع العام</v>
      </c>
      <c r="H44" t="str">
        <f>'Source Table'!$G$8</f>
        <v>Female</v>
      </c>
      <c r="I44" s="16" t="str">
        <f>'Source Table'!$G$7</f>
        <v>أنثى</v>
      </c>
      <c r="J44" s="25" t="str">
        <f>'Source Table'!$B$24</f>
        <v>G.I.T. Specialist</v>
      </c>
      <c r="K44" s="25" t="str">
        <f>'Source Table'!$I$24</f>
        <v>جهاز هضمي</v>
      </c>
      <c r="L44" s="39">
        <v>4</v>
      </c>
      <c r="M44">
        <v>2023</v>
      </c>
    </row>
    <row r="45" spans="1:13" ht="15">
      <c r="A45" t="s">
        <v>153</v>
      </c>
      <c r="B45" t="s">
        <v>154</v>
      </c>
      <c r="C45" s="15" t="s">
        <v>30</v>
      </c>
      <c r="D45" s="23" t="s">
        <v>81</v>
      </c>
      <c r="E45" s="25" t="s">
        <v>82</v>
      </c>
      <c r="F45" s="25" t="str">
        <f>'Source Table'!$G$6</f>
        <v>Public Sector</v>
      </c>
      <c r="G45" s="25" t="str">
        <f>'Source Table'!$G$5</f>
        <v>القطاع العام</v>
      </c>
      <c r="H45" t="str">
        <f>'Source Table'!$G$8</f>
        <v>Female</v>
      </c>
      <c r="I45" s="16" t="str">
        <f>'Source Table'!$G$7</f>
        <v>أنثى</v>
      </c>
      <c r="J45" s="25" t="str">
        <f>'Source Table'!$B$25</f>
        <v>Diagnostic Radiology</v>
      </c>
      <c r="K45" s="25" t="str">
        <f>'Source Table'!$I$25</f>
        <v>أشعة تشخيصية</v>
      </c>
      <c r="L45" s="39">
        <v>83</v>
      </c>
      <c r="M45">
        <v>2023</v>
      </c>
    </row>
    <row r="46" spans="1:13" ht="15">
      <c r="A46" t="s">
        <v>153</v>
      </c>
      <c r="B46" t="s">
        <v>154</v>
      </c>
      <c r="C46" s="15" t="s">
        <v>30</v>
      </c>
      <c r="D46" s="23" t="s">
        <v>81</v>
      </c>
      <c r="E46" s="25" t="s">
        <v>82</v>
      </c>
      <c r="F46" s="25" t="str">
        <f>'Source Table'!$G$6</f>
        <v>Public Sector</v>
      </c>
      <c r="G46" s="25" t="str">
        <f>'Source Table'!$G$5</f>
        <v>القطاع العام</v>
      </c>
      <c r="H46" t="str">
        <f>'Source Table'!$G$8</f>
        <v>Female</v>
      </c>
      <c r="I46" s="16" t="str">
        <f>'Source Table'!$G$7</f>
        <v>أنثى</v>
      </c>
      <c r="J46" s="25" t="str">
        <f>'Source Table'!$B$26</f>
        <v>Anesthetic</v>
      </c>
      <c r="K46" s="25" t="str">
        <f>'Source Table'!$I$26</f>
        <v>تخدير وإنعاش</v>
      </c>
      <c r="L46" s="39">
        <v>23</v>
      </c>
      <c r="M46">
        <v>2023</v>
      </c>
    </row>
    <row r="47" spans="1:13" ht="15">
      <c r="A47" t="s">
        <v>153</v>
      </c>
      <c r="B47" t="s">
        <v>154</v>
      </c>
      <c r="C47" s="15" t="s">
        <v>30</v>
      </c>
      <c r="D47" s="23" t="s">
        <v>81</v>
      </c>
      <c r="E47" s="25" t="s">
        <v>82</v>
      </c>
      <c r="F47" s="25" t="str">
        <f>'Source Table'!$G$6</f>
        <v>Public Sector</v>
      </c>
      <c r="G47" s="25" t="str">
        <f>'Source Table'!$G$5</f>
        <v>القطاع العام</v>
      </c>
      <c r="H47" t="str">
        <f>'Source Table'!$G$8</f>
        <v>Female</v>
      </c>
      <c r="I47" s="16" t="str">
        <f>'Source Table'!$G$7</f>
        <v>أنثى</v>
      </c>
      <c r="J47" s="25" t="str">
        <f>'Source Table'!$B$27</f>
        <v>Physiotherapist</v>
      </c>
      <c r="K47" s="25" t="str">
        <f>'Source Table'!$I$27</f>
        <v>طب طبيعي</v>
      </c>
      <c r="L47" s="39">
        <v>15</v>
      </c>
      <c r="M47">
        <v>2023</v>
      </c>
    </row>
    <row r="48" spans="1:13" ht="15">
      <c r="A48" t="s">
        <v>153</v>
      </c>
      <c r="B48" t="s">
        <v>154</v>
      </c>
      <c r="C48" s="15" t="s">
        <v>30</v>
      </c>
      <c r="D48" s="23" t="s">
        <v>81</v>
      </c>
      <c r="E48" s="25" t="s">
        <v>82</v>
      </c>
      <c r="F48" s="25" t="str">
        <f>'Source Table'!$G$6</f>
        <v>Public Sector</v>
      </c>
      <c r="G48" s="25" t="str">
        <f>'Source Table'!$G$5</f>
        <v>القطاع العام</v>
      </c>
      <c r="H48" t="str">
        <f>'Source Table'!$G$8</f>
        <v>Female</v>
      </c>
      <c r="I48" s="16" t="str">
        <f>'Source Table'!$G$7</f>
        <v>أنثى</v>
      </c>
      <c r="J48" s="25" t="str">
        <f>'Source Table'!$B$28</f>
        <v>Forensic</v>
      </c>
      <c r="K48" s="25" t="str">
        <f>'Source Table'!$I$28</f>
        <v>طب شرعي</v>
      </c>
      <c r="L48" s="39">
        <v>4</v>
      </c>
      <c r="M48">
        <v>2023</v>
      </c>
    </row>
    <row r="49" spans="1:13" ht="15">
      <c r="A49" t="s">
        <v>153</v>
      </c>
      <c r="B49" t="s">
        <v>154</v>
      </c>
      <c r="C49" s="15" t="s">
        <v>30</v>
      </c>
      <c r="D49" s="23" t="s">
        <v>81</v>
      </c>
      <c r="E49" s="25" t="s">
        <v>82</v>
      </c>
      <c r="F49" s="25" t="str">
        <f>'Source Table'!$G$6</f>
        <v>Public Sector</v>
      </c>
      <c r="G49" s="25" t="str">
        <f>'Source Table'!$G$5</f>
        <v>القطاع العام</v>
      </c>
      <c r="H49" t="str">
        <f>'Source Table'!$G$8</f>
        <v>Female</v>
      </c>
      <c r="I49" s="16" t="str">
        <f>'Source Table'!$G$7</f>
        <v>أنثى</v>
      </c>
      <c r="J49" s="25" t="str">
        <f>'Source Table'!$B$29</f>
        <v xml:space="preserve">Family </v>
      </c>
      <c r="K49" s="25" t="str">
        <f>'Source Table'!$I$29</f>
        <v>طب أسرة</v>
      </c>
      <c r="L49" s="39">
        <v>176</v>
      </c>
      <c r="M49">
        <v>2023</v>
      </c>
    </row>
    <row r="50" spans="1:13" ht="15">
      <c r="A50" t="s">
        <v>153</v>
      </c>
      <c r="B50" t="s">
        <v>154</v>
      </c>
      <c r="C50" s="15" t="s">
        <v>30</v>
      </c>
      <c r="D50" s="23" t="s">
        <v>81</v>
      </c>
      <c r="E50" s="25" t="s">
        <v>82</v>
      </c>
      <c r="F50" s="25" t="str">
        <f>'Source Table'!$G$6</f>
        <v>Public Sector</v>
      </c>
      <c r="G50" s="25" t="str">
        <f>'Source Table'!$G$5</f>
        <v>القطاع العام</v>
      </c>
      <c r="H50" t="str">
        <f>'Source Table'!$G$8</f>
        <v>Female</v>
      </c>
      <c r="I50" s="16" t="str">
        <f>'Source Table'!$G$7</f>
        <v>أنثى</v>
      </c>
      <c r="J50" s="25" t="str">
        <f>'Source Table'!$B$30</f>
        <v>Urologist</v>
      </c>
      <c r="K50" s="25" t="str">
        <f>'Source Table'!$I$30</f>
        <v xml:space="preserve">المسالك البولية </v>
      </c>
      <c r="L50" s="39">
        <v>1</v>
      </c>
      <c r="M50">
        <v>2023</v>
      </c>
    </row>
    <row r="51" spans="1:13" ht="15">
      <c r="A51" t="s">
        <v>153</v>
      </c>
      <c r="B51" t="s">
        <v>154</v>
      </c>
      <c r="C51" s="15" t="s">
        <v>30</v>
      </c>
      <c r="D51" s="23" t="s">
        <v>81</v>
      </c>
      <c r="E51" s="25" t="s">
        <v>82</v>
      </c>
      <c r="F51" s="25" t="str">
        <f>'Source Table'!$G$6</f>
        <v>Public Sector</v>
      </c>
      <c r="G51" s="25" t="str">
        <f>'Source Table'!$G$5</f>
        <v>القطاع العام</v>
      </c>
      <c r="H51" t="str">
        <f>'Source Table'!$G$8</f>
        <v>Female</v>
      </c>
      <c r="I51" s="16" t="str">
        <f>'Source Table'!$G$7</f>
        <v>أنثى</v>
      </c>
      <c r="J51" s="25" t="str">
        <f>'Source Table'!$B$31</f>
        <v>Cardiology</v>
      </c>
      <c r="K51" s="25" t="str">
        <f>'Source Table'!$I$31</f>
        <v>أمراض القلب</v>
      </c>
      <c r="L51" s="39">
        <v>3</v>
      </c>
      <c r="M51">
        <v>2023</v>
      </c>
    </row>
    <row r="52" spans="1:13" ht="15">
      <c r="A52" t="s">
        <v>153</v>
      </c>
      <c r="B52" t="s">
        <v>154</v>
      </c>
      <c r="C52" s="15" t="s">
        <v>30</v>
      </c>
      <c r="D52" s="23" t="s">
        <v>81</v>
      </c>
      <c r="E52" s="25" t="s">
        <v>82</v>
      </c>
      <c r="F52" s="25" t="str">
        <f>'Source Table'!$G$6</f>
        <v>Public Sector</v>
      </c>
      <c r="G52" s="25" t="str">
        <f>'Source Table'!$G$5</f>
        <v>القطاع العام</v>
      </c>
      <c r="H52" t="str">
        <f>'Source Table'!$G$8</f>
        <v>Female</v>
      </c>
      <c r="I52" s="16" t="str">
        <f>'Source Table'!$G$7</f>
        <v>أنثى</v>
      </c>
      <c r="J52" s="25" t="str">
        <f>'Source Table'!$B$32</f>
        <v>Laboratory</v>
      </c>
      <c r="K52" s="25" t="str">
        <f>'Source Table'!$I$32</f>
        <v>مختبرات</v>
      </c>
      <c r="L52" s="39">
        <v>17</v>
      </c>
      <c r="M52">
        <v>2023</v>
      </c>
    </row>
    <row r="53" spans="1:13" ht="15">
      <c r="A53" t="s">
        <v>153</v>
      </c>
      <c r="B53" t="s">
        <v>154</v>
      </c>
      <c r="C53" s="15" t="s">
        <v>30</v>
      </c>
      <c r="D53" s="23" t="s">
        <v>81</v>
      </c>
      <c r="E53" s="25" t="s">
        <v>82</v>
      </c>
      <c r="F53" s="25" t="str">
        <f>'Source Table'!$G$6</f>
        <v>Public Sector</v>
      </c>
      <c r="G53" s="25" t="str">
        <f>'Source Table'!$G$5</f>
        <v>القطاع العام</v>
      </c>
      <c r="H53" t="str">
        <f>'Source Table'!$G$8</f>
        <v>Female</v>
      </c>
      <c r="I53" s="16" t="str">
        <f>'Source Table'!$G$7</f>
        <v>أنثى</v>
      </c>
      <c r="J53" s="25" t="str">
        <f>'Source Table'!$B$33</f>
        <v>Others</v>
      </c>
      <c r="K53" s="25" t="str">
        <f>'Source Table'!$I$33</f>
        <v>أخرى</v>
      </c>
      <c r="L53" s="39">
        <v>141</v>
      </c>
      <c r="M53">
        <v>2023</v>
      </c>
    </row>
    <row r="54" spans="1:13" ht="15">
      <c r="A54" t="s">
        <v>153</v>
      </c>
      <c r="B54" t="s">
        <v>154</v>
      </c>
      <c r="C54" s="15" t="s">
        <v>30</v>
      </c>
      <c r="D54" s="23" t="s">
        <v>81</v>
      </c>
      <c r="E54" s="25" t="s">
        <v>82</v>
      </c>
      <c r="F54" s="16" t="str">
        <f>'Source Table'!$E$6</f>
        <v>Private Sector</v>
      </c>
      <c r="G54" s="16" t="str">
        <f>'Source Table'!$E$5</f>
        <v>القطاع الخاص</v>
      </c>
      <c r="H54" t="str">
        <f>'Source Table'!$H$8</f>
        <v>Male</v>
      </c>
      <c r="I54" s="25" t="str">
        <f>'Source Table'!$H$7</f>
        <v>ذكر</v>
      </c>
      <c r="J54" s="25" t="str">
        <f>'Source Table'!$B$9</f>
        <v>General Practitioner</v>
      </c>
      <c r="K54" s="25" t="str">
        <f>'Source Table'!$I$9</f>
        <v>طبيب عام</v>
      </c>
      <c r="L54" s="38">
        <v>2319</v>
      </c>
      <c r="M54">
        <v>2023</v>
      </c>
    </row>
    <row r="55" spans="1:13" ht="15">
      <c r="A55" t="s">
        <v>153</v>
      </c>
      <c r="B55" t="s">
        <v>154</v>
      </c>
      <c r="C55" s="15" t="s">
        <v>30</v>
      </c>
      <c r="D55" s="23" t="s">
        <v>81</v>
      </c>
      <c r="E55" s="25" t="s">
        <v>82</v>
      </c>
      <c r="F55" s="16" t="str">
        <f>'Source Table'!$E$6</f>
        <v>Private Sector</v>
      </c>
      <c r="G55" s="16" t="str">
        <f>'Source Table'!$E$5</f>
        <v>القطاع الخاص</v>
      </c>
      <c r="H55" t="str">
        <f>'Source Table'!$H$8</f>
        <v>Male</v>
      </c>
      <c r="I55" s="25" t="str">
        <f>'Source Table'!$H$7</f>
        <v>ذكر</v>
      </c>
      <c r="J55" s="25" t="str">
        <f>'Source Table'!$B$10</f>
        <v>Surgeon</v>
      </c>
      <c r="K55" s="25" t="str">
        <f>'Source Table'!$I$10</f>
        <v>جراحة عامة</v>
      </c>
      <c r="L55" s="39">
        <v>512</v>
      </c>
      <c r="M55">
        <v>2023</v>
      </c>
    </row>
    <row r="56" spans="1:13" ht="15">
      <c r="A56" t="s">
        <v>153</v>
      </c>
      <c r="B56" t="s">
        <v>154</v>
      </c>
      <c r="C56" s="15" t="s">
        <v>30</v>
      </c>
      <c r="D56" s="23" t="s">
        <v>81</v>
      </c>
      <c r="E56" s="25" t="s">
        <v>82</v>
      </c>
      <c r="F56" s="16" t="str">
        <f>'Source Table'!$E$6</f>
        <v>Private Sector</v>
      </c>
      <c r="G56" s="16" t="str">
        <f>'Source Table'!$E$5</f>
        <v>القطاع الخاص</v>
      </c>
      <c r="H56" t="str">
        <f>'Source Table'!$H$8</f>
        <v>Male</v>
      </c>
      <c r="I56" s="25" t="str">
        <f>'Source Table'!$H$7</f>
        <v>ذكر</v>
      </c>
      <c r="J56" s="25" t="str">
        <f>'Source Table'!$B$11</f>
        <v>Internist</v>
      </c>
      <c r="K56" s="25" t="str">
        <f>'Source Table'!$I$11</f>
        <v>باطنية</v>
      </c>
      <c r="L56" s="39">
        <v>602</v>
      </c>
      <c r="M56">
        <v>2023</v>
      </c>
    </row>
    <row r="57" spans="1:13" ht="15">
      <c r="A57" t="s">
        <v>153</v>
      </c>
      <c r="B57" t="s">
        <v>154</v>
      </c>
      <c r="C57" s="15" t="s">
        <v>30</v>
      </c>
      <c r="D57" s="23" t="s">
        <v>81</v>
      </c>
      <c r="E57" s="25" t="s">
        <v>82</v>
      </c>
      <c r="F57" s="16" t="str">
        <f>'Source Table'!$E$6</f>
        <v>Private Sector</v>
      </c>
      <c r="G57" s="16" t="str">
        <f>'Source Table'!$E$5</f>
        <v>القطاع الخاص</v>
      </c>
      <c r="H57" t="str">
        <f>'Source Table'!$H$8</f>
        <v>Male</v>
      </c>
      <c r="I57" s="25" t="str">
        <f>'Source Table'!$H$7</f>
        <v>ذكر</v>
      </c>
      <c r="J57" s="25" t="str">
        <f>'Source Table'!$B$12</f>
        <v>Gynecologist and Obst.</v>
      </c>
      <c r="K57" s="25" t="str">
        <f>'Source Table'!$I$12</f>
        <v>نسائية وتوليد</v>
      </c>
      <c r="L57" s="39">
        <v>437</v>
      </c>
      <c r="M57">
        <v>2023</v>
      </c>
    </row>
    <row r="58" spans="1:13" ht="15">
      <c r="A58" t="s">
        <v>153</v>
      </c>
      <c r="B58" t="s">
        <v>154</v>
      </c>
      <c r="C58" s="15" t="s">
        <v>30</v>
      </c>
      <c r="D58" s="23" t="s">
        <v>81</v>
      </c>
      <c r="E58" s="25" t="s">
        <v>82</v>
      </c>
      <c r="F58" s="16" t="str">
        <f>'Source Table'!$E$6</f>
        <v>Private Sector</v>
      </c>
      <c r="G58" s="16" t="str">
        <f>'Source Table'!$E$5</f>
        <v>القطاع الخاص</v>
      </c>
      <c r="H58" t="str">
        <f>'Source Table'!$H$8</f>
        <v>Male</v>
      </c>
      <c r="I58" s="25" t="str">
        <f>'Source Table'!$H$7</f>
        <v>ذكر</v>
      </c>
      <c r="J58" s="25" t="str">
        <f>'Source Table'!$B$13</f>
        <v>Pediatrics</v>
      </c>
      <c r="K58" s="25" t="str">
        <f>'Source Table'!$I$13</f>
        <v>أطفال</v>
      </c>
      <c r="L58" s="39">
        <v>412</v>
      </c>
      <c r="M58">
        <v>2023</v>
      </c>
    </row>
    <row r="59" spans="1:13" ht="15">
      <c r="A59" t="s">
        <v>153</v>
      </c>
      <c r="B59" t="s">
        <v>154</v>
      </c>
      <c r="C59" s="15" t="s">
        <v>30</v>
      </c>
      <c r="D59" s="23" t="s">
        <v>81</v>
      </c>
      <c r="E59" s="25" t="s">
        <v>82</v>
      </c>
      <c r="F59" s="16" t="str">
        <f>'Source Table'!$E$6</f>
        <v>Private Sector</v>
      </c>
      <c r="G59" s="16" t="str">
        <f>'Source Table'!$E$5</f>
        <v>القطاع الخاص</v>
      </c>
      <c r="H59" t="str">
        <f>'Source Table'!$H$8</f>
        <v>Male</v>
      </c>
      <c r="I59" s="25" t="str">
        <f>'Source Table'!$H$7</f>
        <v>ذكر</v>
      </c>
      <c r="J59" s="25" t="str">
        <f>'Source Table'!$B$14</f>
        <v>Ophthalmologist</v>
      </c>
      <c r="K59" s="25" t="str">
        <f>'Source Table'!$I$14</f>
        <v>العيون</v>
      </c>
      <c r="L59" s="39">
        <v>235</v>
      </c>
      <c r="M59">
        <v>2023</v>
      </c>
    </row>
    <row r="60" spans="1:13" ht="15">
      <c r="A60" t="s">
        <v>153</v>
      </c>
      <c r="B60" t="s">
        <v>154</v>
      </c>
      <c r="C60" s="15" t="s">
        <v>30</v>
      </c>
      <c r="D60" s="23" t="s">
        <v>81</v>
      </c>
      <c r="E60" s="25" t="s">
        <v>82</v>
      </c>
      <c r="F60" s="16" t="str">
        <f>'Source Table'!$E$6</f>
        <v>Private Sector</v>
      </c>
      <c r="G60" s="16" t="str">
        <f>'Source Table'!$E$5</f>
        <v>القطاع الخاص</v>
      </c>
      <c r="H60" t="str">
        <f>'Source Table'!$H$8</f>
        <v>Male</v>
      </c>
      <c r="I60" s="25" t="str">
        <f>'Source Table'!$H$7</f>
        <v>ذكر</v>
      </c>
      <c r="J60" s="25" t="str">
        <f>'Source Table'!$B$15</f>
        <v>Orthopedic Surg.</v>
      </c>
      <c r="K60" s="25" t="str">
        <f>'Source Table'!$I$15</f>
        <v>العظام</v>
      </c>
      <c r="L60" s="39">
        <v>315</v>
      </c>
      <c r="M60">
        <v>2023</v>
      </c>
    </row>
    <row r="61" spans="1:13" ht="15">
      <c r="A61" t="s">
        <v>153</v>
      </c>
      <c r="B61" t="s">
        <v>154</v>
      </c>
      <c r="C61" s="15" t="s">
        <v>30</v>
      </c>
      <c r="D61" s="23" t="s">
        <v>81</v>
      </c>
      <c r="E61" s="25" t="s">
        <v>82</v>
      </c>
      <c r="F61" s="16" t="str">
        <f>'Source Table'!$E$6</f>
        <v>Private Sector</v>
      </c>
      <c r="G61" s="16" t="str">
        <f>'Source Table'!$E$5</f>
        <v>القطاع الخاص</v>
      </c>
      <c r="H61" t="str">
        <f>'Source Table'!$H$8</f>
        <v>Male</v>
      </c>
      <c r="I61" s="25" t="str">
        <f>'Source Table'!$H$7</f>
        <v>ذكر</v>
      </c>
      <c r="J61" s="25" t="str">
        <f>'Source Table'!$B$16</f>
        <v>E.N.T.Surg.</v>
      </c>
      <c r="K61" s="25" t="str">
        <f>'Source Table'!$I$16</f>
        <v>أذن وأنف وحنجرة</v>
      </c>
      <c r="L61" s="39">
        <v>187</v>
      </c>
      <c r="M61">
        <v>2023</v>
      </c>
    </row>
    <row r="62" spans="1:13" ht="15">
      <c r="A62" t="s">
        <v>153</v>
      </c>
      <c r="B62" t="s">
        <v>154</v>
      </c>
      <c r="C62" s="15" t="s">
        <v>30</v>
      </c>
      <c r="D62" s="23" t="s">
        <v>81</v>
      </c>
      <c r="E62" s="25" t="s">
        <v>82</v>
      </c>
      <c r="F62" s="16" t="str">
        <f>'Source Table'!$E$6</f>
        <v>Private Sector</v>
      </c>
      <c r="G62" s="16" t="str">
        <f>'Source Table'!$E$5</f>
        <v>القطاع الخاص</v>
      </c>
      <c r="H62" t="str">
        <f>'Source Table'!$H$8</f>
        <v>Male</v>
      </c>
      <c r="I62" s="25" t="str">
        <f>'Source Table'!$H$7</f>
        <v>ذكر</v>
      </c>
      <c r="J62" s="25" t="str">
        <f>'Source Table'!$B$17</f>
        <v>Neurosurgery</v>
      </c>
      <c r="K62" s="25" t="str">
        <f>'Source Table'!$I$17</f>
        <v>جراحةأعصاب</v>
      </c>
      <c r="L62" s="39">
        <v>71</v>
      </c>
      <c r="M62">
        <v>2023</v>
      </c>
    </row>
    <row r="63" spans="1:13" ht="15">
      <c r="A63" t="s">
        <v>153</v>
      </c>
      <c r="B63" t="s">
        <v>154</v>
      </c>
      <c r="C63" s="15" t="s">
        <v>30</v>
      </c>
      <c r="D63" s="23" t="s">
        <v>81</v>
      </c>
      <c r="E63" s="25" t="s">
        <v>82</v>
      </c>
      <c r="F63" s="16" t="str">
        <f>'Source Table'!$E$6</f>
        <v>Private Sector</v>
      </c>
      <c r="G63" s="16" t="str">
        <f>'Source Table'!$E$5</f>
        <v>القطاع الخاص</v>
      </c>
      <c r="H63" t="str">
        <f>'Source Table'!$H$8</f>
        <v>Male</v>
      </c>
      <c r="I63" s="25" t="str">
        <f>'Source Table'!$H$7</f>
        <v>ذكر</v>
      </c>
      <c r="J63" s="25" t="str">
        <f>'Source Table'!$B$18</f>
        <v>Cardiothoracic</v>
      </c>
      <c r="K63" s="25" t="str">
        <f>'Source Table'!$I$18</f>
        <v>جراحة قلب</v>
      </c>
      <c r="L63" s="39">
        <v>26</v>
      </c>
      <c r="M63">
        <v>2023</v>
      </c>
    </row>
    <row r="64" spans="1:13" ht="15">
      <c r="A64" t="s">
        <v>153</v>
      </c>
      <c r="B64" t="s">
        <v>154</v>
      </c>
      <c r="C64" s="15" t="s">
        <v>30</v>
      </c>
      <c r="D64" s="23" t="s">
        <v>81</v>
      </c>
      <c r="E64" s="25" t="s">
        <v>82</v>
      </c>
      <c r="F64" s="16" t="str">
        <f>'Source Table'!$E$6</f>
        <v>Private Sector</v>
      </c>
      <c r="G64" s="16" t="str">
        <f>'Source Table'!$E$5</f>
        <v>القطاع الخاص</v>
      </c>
      <c r="H64" t="str">
        <f>'Source Table'!$H$8</f>
        <v>Male</v>
      </c>
      <c r="I64" s="25" t="str">
        <f>'Source Table'!$H$7</f>
        <v>ذكر</v>
      </c>
      <c r="J64" s="25" t="str">
        <f>'Source Table'!$B$19</f>
        <v>Plastic Surgeon</v>
      </c>
      <c r="K64" s="25" t="str">
        <f>'Source Table'!$I$19</f>
        <v>التجميل</v>
      </c>
      <c r="L64" s="39">
        <v>48</v>
      </c>
      <c r="M64">
        <v>2023</v>
      </c>
    </row>
    <row r="65" spans="1:13" ht="15">
      <c r="A65" t="s">
        <v>153</v>
      </c>
      <c r="B65" t="s">
        <v>154</v>
      </c>
      <c r="C65" s="15" t="s">
        <v>30</v>
      </c>
      <c r="D65" s="23" t="s">
        <v>81</v>
      </c>
      <c r="E65" s="25" t="s">
        <v>82</v>
      </c>
      <c r="F65" s="16" t="str">
        <f>'Source Table'!$E$6</f>
        <v>Private Sector</v>
      </c>
      <c r="G65" s="16" t="str">
        <f>'Source Table'!$E$5</f>
        <v>القطاع الخاص</v>
      </c>
      <c r="H65" t="str">
        <f>'Source Table'!$H$8</f>
        <v>Male</v>
      </c>
      <c r="I65" s="25" t="str">
        <f>'Source Table'!$H$7</f>
        <v>ذكر</v>
      </c>
      <c r="J65" s="25" t="str">
        <f>'Source Table'!$B$20</f>
        <v>Psychiatry</v>
      </c>
      <c r="K65" s="25" t="str">
        <f>'Source Table'!$I$20</f>
        <v>النفسية</v>
      </c>
      <c r="L65" s="39">
        <v>89</v>
      </c>
      <c r="M65">
        <v>2023</v>
      </c>
    </row>
    <row r="66" spans="1:13" ht="15">
      <c r="A66" t="s">
        <v>153</v>
      </c>
      <c r="B66" t="s">
        <v>154</v>
      </c>
      <c r="C66" s="15" t="s">
        <v>30</v>
      </c>
      <c r="D66" s="23" t="s">
        <v>81</v>
      </c>
      <c r="E66" s="25" t="s">
        <v>82</v>
      </c>
      <c r="F66" s="16" t="str">
        <f>'Source Table'!$E$6</f>
        <v>Private Sector</v>
      </c>
      <c r="G66" s="16" t="str">
        <f>'Source Table'!$E$5</f>
        <v>القطاع الخاص</v>
      </c>
      <c r="H66" t="str">
        <f>'Source Table'!$H$8</f>
        <v>Male</v>
      </c>
      <c r="I66" s="25" t="str">
        <f>'Source Table'!$H$7</f>
        <v>ذكر</v>
      </c>
      <c r="J66" s="25" t="str">
        <f>'Source Table'!$B$21</f>
        <v>Dermatologist Venereal</v>
      </c>
      <c r="K66" s="25" t="str">
        <f>'Source Table'!$I$21</f>
        <v>جلدية وتناسلية</v>
      </c>
      <c r="L66" s="39">
        <v>162</v>
      </c>
      <c r="M66">
        <v>2023</v>
      </c>
    </row>
    <row r="67" spans="1:13" ht="15">
      <c r="A67" t="s">
        <v>153</v>
      </c>
      <c r="B67" t="s">
        <v>154</v>
      </c>
      <c r="C67" s="15" t="s">
        <v>30</v>
      </c>
      <c r="D67" s="23" t="s">
        <v>81</v>
      </c>
      <c r="E67" s="25" t="s">
        <v>82</v>
      </c>
      <c r="F67" s="16" t="str">
        <f>'Source Table'!$E$6</f>
        <v>Private Sector</v>
      </c>
      <c r="G67" s="16" t="str">
        <f>'Source Table'!$E$5</f>
        <v>القطاع الخاص</v>
      </c>
      <c r="H67" t="str">
        <f>'Source Table'!$H$8</f>
        <v>Male</v>
      </c>
      <c r="I67" s="25" t="str">
        <f>'Source Table'!$H$7</f>
        <v>ذكر</v>
      </c>
      <c r="J67" s="25" t="str">
        <f>'Source Table'!$B$22</f>
        <v>Neurology/ Nervous</v>
      </c>
      <c r="K67" s="25" t="str">
        <f>'Source Table'!$I$22</f>
        <v>مرض الأعصاب</v>
      </c>
      <c r="L67" s="39">
        <v>42</v>
      </c>
      <c r="M67">
        <v>2023</v>
      </c>
    </row>
    <row r="68" spans="1:13" ht="15">
      <c r="A68" t="s">
        <v>153</v>
      </c>
      <c r="B68" t="s">
        <v>154</v>
      </c>
      <c r="C68" s="15" t="s">
        <v>30</v>
      </c>
      <c r="D68" s="23" t="s">
        <v>81</v>
      </c>
      <c r="E68" s="25" t="s">
        <v>82</v>
      </c>
      <c r="F68" s="16" t="str">
        <f>'Source Table'!$E$6</f>
        <v>Private Sector</v>
      </c>
      <c r="G68" s="16" t="str">
        <f>'Source Table'!$E$5</f>
        <v>القطاع الخاص</v>
      </c>
      <c r="H68" t="str">
        <f>'Source Table'!$H$8</f>
        <v>Male</v>
      </c>
      <c r="I68" s="25" t="str">
        <f>'Source Table'!$H$7</f>
        <v>ذكر</v>
      </c>
      <c r="J68" s="25" t="str">
        <f>'Source Table'!$B$23</f>
        <v>Pumologist</v>
      </c>
      <c r="K68" s="25" t="str">
        <f>'Source Table'!$I$23</f>
        <v>صدرية</v>
      </c>
      <c r="L68" s="39">
        <v>54</v>
      </c>
      <c r="M68">
        <v>2023</v>
      </c>
    </row>
    <row r="69" spans="1:13" ht="15">
      <c r="A69" t="s">
        <v>153</v>
      </c>
      <c r="B69" t="s">
        <v>154</v>
      </c>
      <c r="C69" s="15" t="s">
        <v>30</v>
      </c>
      <c r="D69" s="23" t="s">
        <v>81</v>
      </c>
      <c r="E69" s="25" t="s">
        <v>82</v>
      </c>
      <c r="F69" s="16" t="str">
        <f>'Source Table'!$E$6</f>
        <v>Private Sector</v>
      </c>
      <c r="G69" s="16" t="str">
        <f>'Source Table'!$E$5</f>
        <v>القطاع الخاص</v>
      </c>
      <c r="H69" t="str">
        <f>'Source Table'!$H$8</f>
        <v>Male</v>
      </c>
      <c r="I69" s="25" t="str">
        <f>'Source Table'!$H$7</f>
        <v>ذكر</v>
      </c>
      <c r="J69" s="25" t="str">
        <f>'Source Table'!$B$24</f>
        <v>G.I.T. Specialist</v>
      </c>
      <c r="K69" s="25" t="str">
        <f>'Source Table'!$I$24</f>
        <v>جهاز هضمي</v>
      </c>
      <c r="L69" s="39">
        <v>73</v>
      </c>
      <c r="M69">
        <v>2023</v>
      </c>
    </row>
    <row r="70" spans="1:13" ht="15">
      <c r="A70" t="s">
        <v>153</v>
      </c>
      <c r="B70" t="s">
        <v>154</v>
      </c>
      <c r="C70" s="15" t="s">
        <v>30</v>
      </c>
      <c r="D70" s="23" t="s">
        <v>81</v>
      </c>
      <c r="E70" s="25" t="s">
        <v>82</v>
      </c>
      <c r="F70" s="16" t="str">
        <f>'Source Table'!$E$6</f>
        <v>Private Sector</v>
      </c>
      <c r="G70" s="16" t="str">
        <f>'Source Table'!$E$5</f>
        <v>القطاع الخاص</v>
      </c>
      <c r="H70" t="str">
        <f>'Source Table'!$H$8</f>
        <v>Male</v>
      </c>
      <c r="I70" s="25" t="str">
        <f>'Source Table'!$H$7</f>
        <v>ذكر</v>
      </c>
      <c r="J70" s="25" t="str">
        <f>'Source Table'!$B$25</f>
        <v>Diagnostic Radiology</v>
      </c>
      <c r="K70" s="25" t="str">
        <f>'Source Table'!$I$25</f>
        <v>أشعة تشخيصية</v>
      </c>
      <c r="L70" s="39">
        <v>184</v>
      </c>
      <c r="M70">
        <v>2023</v>
      </c>
    </row>
    <row r="71" spans="1:13" ht="15">
      <c r="A71" t="s">
        <v>153</v>
      </c>
      <c r="B71" t="s">
        <v>154</v>
      </c>
      <c r="C71" s="15" t="s">
        <v>30</v>
      </c>
      <c r="D71" s="23" t="s">
        <v>81</v>
      </c>
      <c r="E71" s="25" t="s">
        <v>82</v>
      </c>
      <c r="F71" s="16" t="str">
        <f>'Source Table'!$E$6</f>
        <v>Private Sector</v>
      </c>
      <c r="G71" s="16" t="str">
        <f>'Source Table'!$E$5</f>
        <v>القطاع الخاص</v>
      </c>
      <c r="H71" t="str">
        <f>'Source Table'!$H$8</f>
        <v>Male</v>
      </c>
      <c r="I71" s="25" t="str">
        <f>'Source Table'!$H$7</f>
        <v>ذكر</v>
      </c>
      <c r="J71" s="25" t="str">
        <f>'Source Table'!$B$26</f>
        <v>Anesthetic</v>
      </c>
      <c r="K71" s="25" t="str">
        <f>'Source Table'!$I$26</f>
        <v>تخدير وإنعاش</v>
      </c>
      <c r="L71" s="39">
        <v>269</v>
      </c>
      <c r="M71">
        <v>2023</v>
      </c>
    </row>
    <row r="72" spans="1:13" ht="15">
      <c r="A72" t="s">
        <v>153</v>
      </c>
      <c r="B72" t="s">
        <v>154</v>
      </c>
      <c r="C72" s="15" t="s">
        <v>30</v>
      </c>
      <c r="D72" s="23" t="s">
        <v>81</v>
      </c>
      <c r="E72" s="25" t="s">
        <v>82</v>
      </c>
      <c r="F72" s="16" t="str">
        <f>'Source Table'!$E$6</f>
        <v>Private Sector</v>
      </c>
      <c r="G72" s="16" t="str">
        <f>'Source Table'!$E$5</f>
        <v>القطاع الخاص</v>
      </c>
      <c r="H72" t="str">
        <f>'Source Table'!$H$8</f>
        <v>Male</v>
      </c>
      <c r="I72" s="25" t="str">
        <f>'Source Table'!$H$7</f>
        <v>ذكر</v>
      </c>
      <c r="J72" s="25" t="str">
        <f>'Source Table'!$B$27</f>
        <v>Physiotherapist</v>
      </c>
      <c r="K72" s="25" t="str">
        <f>'Source Table'!$I$27</f>
        <v>طب طبيعي</v>
      </c>
      <c r="L72" s="39">
        <v>26</v>
      </c>
      <c r="M72">
        <v>2023</v>
      </c>
    </row>
    <row r="73" spans="1:13" ht="15">
      <c r="A73" t="s">
        <v>153</v>
      </c>
      <c r="B73" t="s">
        <v>154</v>
      </c>
      <c r="C73" s="15" t="s">
        <v>30</v>
      </c>
      <c r="D73" s="23" t="s">
        <v>81</v>
      </c>
      <c r="E73" s="25" t="s">
        <v>82</v>
      </c>
      <c r="F73" s="16" t="str">
        <f>'Source Table'!$E$6</f>
        <v>Private Sector</v>
      </c>
      <c r="G73" s="16" t="str">
        <f>'Source Table'!$E$5</f>
        <v>القطاع الخاص</v>
      </c>
      <c r="H73" t="str">
        <f>'Source Table'!$H$8</f>
        <v>Male</v>
      </c>
      <c r="I73" s="25" t="str">
        <f>'Source Table'!$H$7</f>
        <v>ذكر</v>
      </c>
      <c r="J73" s="25" t="str">
        <f>'Source Table'!$B$28</f>
        <v>Forensic</v>
      </c>
      <c r="K73" s="25" t="str">
        <f>'Source Table'!$I$28</f>
        <v>طب شرعي</v>
      </c>
      <c r="L73" s="39">
        <v>3</v>
      </c>
      <c r="M73">
        <v>2023</v>
      </c>
    </row>
    <row r="74" spans="1:13" ht="15">
      <c r="A74" t="s">
        <v>153</v>
      </c>
      <c r="B74" t="s">
        <v>154</v>
      </c>
      <c r="C74" s="15" t="s">
        <v>30</v>
      </c>
      <c r="D74" s="23" t="s">
        <v>81</v>
      </c>
      <c r="E74" s="25" t="s">
        <v>82</v>
      </c>
      <c r="F74" s="16" t="str">
        <f>'Source Table'!$E$6</f>
        <v>Private Sector</v>
      </c>
      <c r="G74" s="16" t="str">
        <f>'Source Table'!$E$5</f>
        <v>القطاع الخاص</v>
      </c>
      <c r="H74" t="str">
        <f>'Source Table'!$H$8</f>
        <v>Male</v>
      </c>
      <c r="I74" s="25" t="str">
        <f>'Source Table'!$H$7</f>
        <v>ذكر</v>
      </c>
      <c r="J74" s="25" t="str">
        <f>'Source Table'!$B$29</f>
        <v xml:space="preserve">Family </v>
      </c>
      <c r="K74" s="25" t="str">
        <f>'Source Table'!$I$29</f>
        <v>طب أسرة</v>
      </c>
      <c r="L74" s="39">
        <v>44</v>
      </c>
      <c r="M74">
        <v>2023</v>
      </c>
    </row>
    <row r="75" spans="1:13" ht="15">
      <c r="A75" t="s">
        <v>153</v>
      </c>
      <c r="B75" t="s">
        <v>154</v>
      </c>
      <c r="C75" s="15" t="s">
        <v>30</v>
      </c>
      <c r="D75" s="23" t="s">
        <v>81</v>
      </c>
      <c r="E75" s="25" t="s">
        <v>82</v>
      </c>
      <c r="F75" s="16" t="str">
        <f>'Source Table'!$E$6</f>
        <v>Private Sector</v>
      </c>
      <c r="G75" s="16" t="str">
        <f>'Source Table'!$E$5</f>
        <v>القطاع الخاص</v>
      </c>
      <c r="H75" t="str">
        <f>'Source Table'!$H$8</f>
        <v>Male</v>
      </c>
      <c r="I75" s="25" t="str">
        <f>'Source Table'!$H$7</f>
        <v>ذكر</v>
      </c>
      <c r="J75" s="25" t="str">
        <f>'Source Table'!$B$30</f>
        <v>Urologist</v>
      </c>
      <c r="K75" s="25" t="str">
        <f>'Source Table'!$I$30</f>
        <v xml:space="preserve">المسالك البولية </v>
      </c>
      <c r="L75" s="39">
        <v>139</v>
      </c>
      <c r="M75">
        <v>2023</v>
      </c>
    </row>
    <row r="76" spans="1:13" ht="15">
      <c r="A76" t="s">
        <v>153</v>
      </c>
      <c r="B76" t="s">
        <v>154</v>
      </c>
      <c r="C76" s="15" t="s">
        <v>30</v>
      </c>
      <c r="D76" s="23" t="s">
        <v>81</v>
      </c>
      <c r="E76" s="25" t="s">
        <v>82</v>
      </c>
      <c r="F76" s="16" t="str">
        <f>'Source Table'!$E$6</f>
        <v>Private Sector</v>
      </c>
      <c r="G76" s="16" t="str">
        <f>'Source Table'!$E$5</f>
        <v>القطاع الخاص</v>
      </c>
      <c r="H76" t="str">
        <f>'Source Table'!$H$8</f>
        <v>Male</v>
      </c>
      <c r="I76" s="25" t="str">
        <f>'Source Table'!$H$7</f>
        <v>ذكر</v>
      </c>
      <c r="J76" s="25" t="str">
        <f>'Source Table'!$B$31</f>
        <v>Cardiology</v>
      </c>
      <c r="K76" s="25" t="str">
        <f>'Source Table'!$I$31</f>
        <v>أمراض القلب</v>
      </c>
      <c r="L76" s="39">
        <v>100</v>
      </c>
      <c r="M76">
        <v>2023</v>
      </c>
    </row>
    <row r="77" spans="1:13" ht="15">
      <c r="A77" t="s">
        <v>153</v>
      </c>
      <c r="B77" t="s">
        <v>154</v>
      </c>
      <c r="C77" s="15" t="s">
        <v>30</v>
      </c>
      <c r="D77" s="23" t="s">
        <v>81</v>
      </c>
      <c r="E77" s="25" t="s">
        <v>82</v>
      </c>
      <c r="F77" s="16" t="str">
        <f>'Source Table'!$E$6</f>
        <v>Private Sector</v>
      </c>
      <c r="G77" s="16" t="str">
        <f>'Source Table'!$E$5</f>
        <v>القطاع الخاص</v>
      </c>
      <c r="H77" t="str">
        <f>'Source Table'!$H$8</f>
        <v>Male</v>
      </c>
      <c r="I77" s="25" t="str">
        <f>'Source Table'!$H$7</f>
        <v>ذكر</v>
      </c>
      <c r="J77" s="25" t="str">
        <f>'Source Table'!$B$32</f>
        <v>Laboratory</v>
      </c>
      <c r="K77" s="25" t="str">
        <f>'Source Table'!$I$32</f>
        <v>مختبرات</v>
      </c>
      <c r="L77" s="39">
        <v>16</v>
      </c>
      <c r="M77">
        <v>2023</v>
      </c>
    </row>
    <row r="78" spans="1:13" ht="15">
      <c r="A78" t="s">
        <v>153</v>
      </c>
      <c r="B78" t="s">
        <v>154</v>
      </c>
      <c r="C78" s="15" t="s">
        <v>30</v>
      </c>
      <c r="D78" s="23" t="s">
        <v>81</v>
      </c>
      <c r="E78" s="25" t="s">
        <v>82</v>
      </c>
      <c r="F78" s="16" t="str">
        <f>'Source Table'!$E$6</f>
        <v>Private Sector</v>
      </c>
      <c r="G78" s="16" t="str">
        <f>'Source Table'!$E$5</f>
        <v>القطاع الخاص</v>
      </c>
      <c r="H78" t="str">
        <f>'Source Table'!$H$8</f>
        <v>Male</v>
      </c>
      <c r="I78" s="25" t="str">
        <f>'Source Table'!$H$7</f>
        <v>ذكر</v>
      </c>
      <c r="J78" s="25" t="str">
        <f>'Source Table'!$B$33</f>
        <v>Others</v>
      </c>
      <c r="K78" s="25" t="str">
        <f>'Source Table'!$I$33</f>
        <v>أخرى</v>
      </c>
      <c r="L78" s="39">
        <v>479</v>
      </c>
      <c r="M78">
        <v>2023</v>
      </c>
    </row>
    <row r="79" spans="1:13" ht="15">
      <c r="A79" t="s">
        <v>153</v>
      </c>
      <c r="B79" t="s">
        <v>154</v>
      </c>
      <c r="C79" s="15" t="s">
        <v>30</v>
      </c>
      <c r="D79" s="23" t="s">
        <v>81</v>
      </c>
      <c r="E79" s="25" t="s">
        <v>82</v>
      </c>
      <c r="F79" s="16" t="str">
        <f>'Source Table'!$E$6</f>
        <v>Private Sector</v>
      </c>
      <c r="G79" s="16" t="str">
        <f>'Source Table'!$E$5</f>
        <v>القطاع الخاص</v>
      </c>
      <c r="H79" t="str">
        <f>'Source Table'!$G$8</f>
        <v>Female</v>
      </c>
      <c r="I79" s="16" t="str">
        <f>'Source Table'!$G$7</f>
        <v>أنثى</v>
      </c>
      <c r="J79" s="25" t="str">
        <f>'Source Table'!$B$9</f>
        <v>General Practitioner</v>
      </c>
      <c r="K79" s="25" t="str">
        <f>'Source Table'!$I$9</f>
        <v>طبيب عام</v>
      </c>
      <c r="L79" s="39">
        <v>632</v>
      </c>
      <c r="M79">
        <v>2023</v>
      </c>
    </row>
    <row r="80" spans="1:13" ht="15">
      <c r="A80" t="s">
        <v>153</v>
      </c>
      <c r="B80" t="s">
        <v>154</v>
      </c>
      <c r="C80" s="15" t="s">
        <v>30</v>
      </c>
      <c r="D80" s="23" t="s">
        <v>81</v>
      </c>
      <c r="E80" s="25" t="s">
        <v>82</v>
      </c>
      <c r="F80" s="16" t="str">
        <f>'Source Table'!$E$6</f>
        <v>Private Sector</v>
      </c>
      <c r="G80" s="16" t="str">
        <f>'Source Table'!$E$5</f>
        <v>القطاع الخاص</v>
      </c>
      <c r="H80" t="str">
        <f>'Source Table'!$G$8</f>
        <v>Female</v>
      </c>
      <c r="I80" s="16" t="str">
        <f>'Source Table'!$G$7</f>
        <v>أنثى</v>
      </c>
      <c r="J80" s="25" t="str">
        <f>'Source Table'!$B$10</f>
        <v>Surgeon</v>
      </c>
      <c r="K80" s="25" t="str">
        <f>'Source Table'!$I$10</f>
        <v>جراحة عامة</v>
      </c>
      <c r="L80" s="39">
        <v>18</v>
      </c>
      <c r="M80">
        <v>2023</v>
      </c>
    </row>
    <row r="81" spans="1:13" ht="15">
      <c r="A81" t="s">
        <v>153</v>
      </c>
      <c r="B81" t="s">
        <v>154</v>
      </c>
      <c r="C81" s="15" t="s">
        <v>30</v>
      </c>
      <c r="D81" s="23" t="s">
        <v>81</v>
      </c>
      <c r="E81" s="25" t="s">
        <v>82</v>
      </c>
      <c r="F81" s="16" t="str">
        <f>'Source Table'!$E$6</f>
        <v>Private Sector</v>
      </c>
      <c r="G81" s="16" t="str">
        <f>'Source Table'!$E$5</f>
        <v>القطاع الخاص</v>
      </c>
      <c r="H81" t="str">
        <f>'Source Table'!$G$8</f>
        <v>Female</v>
      </c>
      <c r="I81" s="16" t="str">
        <f>'Source Table'!$G$7</f>
        <v>أنثى</v>
      </c>
      <c r="J81" s="25" t="str">
        <f>'Source Table'!$B$11</f>
        <v>Internist</v>
      </c>
      <c r="K81" s="25" t="str">
        <f>'Source Table'!$I$11</f>
        <v>باطنية</v>
      </c>
      <c r="L81" s="39">
        <v>96</v>
      </c>
      <c r="M81">
        <v>2023</v>
      </c>
    </row>
    <row r="82" spans="1:13" ht="15">
      <c r="A82" t="s">
        <v>153</v>
      </c>
      <c r="B82" t="s">
        <v>154</v>
      </c>
      <c r="C82" s="15" t="s">
        <v>30</v>
      </c>
      <c r="D82" s="23" t="s">
        <v>81</v>
      </c>
      <c r="E82" s="25" t="s">
        <v>82</v>
      </c>
      <c r="F82" s="16" t="str">
        <f>'Source Table'!$E$6</f>
        <v>Private Sector</v>
      </c>
      <c r="G82" s="16" t="str">
        <f>'Source Table'!$E$5</f>
        <v>القطاع الخاص</v>
      </c>
      <c r="H82" t="str">
        <f>'Source Table'!$G$8</f>
        <v>Female</v>
      </c>
      <c r="I82" s="16" t="str">
        <f>'Source Table'!$G$7</f>
        <v>أنثى</v>
      </c>
      <c r="J82" s="25" t="str">
        <f>'Source Table'!$B$12</f>
        <v>Gynecologist and Obst.</v>
      </c>
      <c r="K82" s="25" t="str">
        <f>'Source Table'!$I$12</f>
        <v>نسائية وتوليد</v>
      </c>
      <c r="L82" s="39">
        <v>315</v>
      </c>
      <c r="M82">
        <v>2023</v>
      </c>
    </row>
    <row r="83" spans="1:13" ht="15">
      <c r="A83" t="s">
        <v>153</v>
      </c>
      <c r="B83" t="s">
        <v>154</v>
      </c>
      <c r="C83" s="15" t="s">
        <v>30</v>
      </c>
      <c r="D83" s="23" t="s">
        <v>81</v>
      </c>
      <c r="E83" s="25" t="s">
        <v>82</v>
      </c>
      <c r="F83" s="16" t="str">
        <f>'Source Table'!$E$6</f>
        <v>Private Sector</v>
      </c>
      <c r="G83" s="16" t="str">
        <f>'Source Table'!$E$5</f>
        <v>القطاع الخاص</v>
      </c>
      <c r="H83" t="str">
        <f>'Source Table'!$G$8</f>
        <v>Female</v>
      </c>
      <c r="I83" s="16" t="str">
        <f>'Source Table'!$G$7</f>
        <v>أنثى</v>
      </c>
      <c r="J83" s="25" t="str">
        <f>'Source Table'!$B$13</f>
        <v>Pediatrics</v>
      </c>
      <c r="K83" s="25" t="str">
        <f>'Source Table'!$I$13</f>
        <v>أطفال</v>
      </c>
      <c r="L83" s="39">
        <v>152</v>
      </c>
      <c r="M83">
        <v>2023</v>
      </c>
    </row>
    <row r="84" spans="1:13" ht="15">
      <c r="A84" t="s">
        <v>153</v>
      </c>
      <c r="B84" t="s">
        <v>154</v>
      </c>
      <c r="C84" s="15" t="s">
        <v>30</v>
      </c>
      <c r="D84" s="23" t="s">
        <v>81</v>
      </c>
      <c r="E84" s="25" t="s">
        <v>82</v>
      </c>
      <c r="F84" s="16" t="str">
        <f>'Source Table'!$E$6</f>
        <v>Private Sector</v>
      </c>
      <c r="G84" s="16" t="str">
        <f>'Source Table'!$E$5</f>
        <v>القطاع الخاص</v>
      </c>
      <c r="H84" t="str">
        <f>'Source Table'!$G$8</f>
        <v>Female</v>
      </c>
      <c r="I84" s="16" t="str">
        <f>'Source Table'!$G$7</f>
        <v>أنثى</v>
      </c>
      <c r="J84" s="25" t="str">
        <f>'Source Table'!$B$14</f>
        <v>Ophthalmologist</v>
      </c>
      <c r="K84" s="25" t="str">
        <f>'Source Table'!$I$14</f>
        <v>العيون</v>
      </c>
      <c r="L84" s="39">
        <v>61</v>
      </c>
      <c r="M84">
        <v>2023</v>
      </c>
    </row>
    <row r="85" spans="1:13" ht="15">
      <c r="A85" t="s">
        <v>153</v>
      </c>
      <c r="B85" t="s">
        <v>154</v>
      </c>
      <c r="C85" s="15" t="s">
        <v>30</v>
      </c>
      <c r="D85" s="23" t="s">
        <v>81</v>
      </c>
      <c r="E85" s="25" t="s">
        <v>82</v>
      </c>
      <c r="F85" s="16" t="str">
        <f>'Source Table'!$E$6</f>
        <v>Private Sector</v>
      </c>
      <c r="G85" s="16" t="str">
        <f>'Source Table'!$E$5</f>
        <v>القطاع الخاص</v>
      </c>
      <c r="H85" t="str">
        <f>'Source Table'!$G$8</f>
        <v>Female</v>
      </c>
      <c r="I85" s="16" t="str">
        <f>'Source Table'!$G$7</f>
        <v>أنثى</v>
      </c>
      <c r="J85" s="25" t="str">
        <f>'Source Table'!$B$15</f>
        <v>Orthopedic Surg.</v>
      </c>
      <c r="K85" s="25" t="str">
        <f>'Source Table'!$I$15</f>
        <v>العظام</v>
      </c>
      <c r="L85" s="39">
        <v>1</v>
      </c>
      <c r="M85">
        <v>2023</v>
      </c>
    </row>
    <row r="86" spans="1:13" ht="15">
      <c r="A86" t="s">
        <v>153</v>
      </c>
      <c r="B86" t="s">
        <v>154</v>
      </c>
      <c r="C86" s="15" t="s">
        <v>30</v>
      </c>
      <c r="D86" s="23" t="s">
        <v>81</v>
      </c>
      <c r="E86" s="25" t="s">
        <v>82</v>
      </c>
      <c r="F86" s="16" t="str">
        <f>'Source Table'!$E$6</f>
        <v>Private Sector</v>
      </c>
      <c r="G86" s="16" t="str">
        <f>'Source Table'!$E$5</f>
        <v>القطاع الخاص</v>
      </c>
      <c r="H86" t="str">
        <f>'Source Table'!$G$8</f>
        <v>Female</v>
      </c>
      <c r="I86" s="16" t="str">
        <f>'Source Table'!$G$7</f>
        <v>أنثى</v>
      </c>
      <c r="J86" s="25" t="str">
        <f>'Source Table'!$B$16</f>
        <v>E.N.T.Surg.</v>
      </c>
      <c r="K86" s="25" t="str">
        <f>'Source Table'!$I$16</f>
        <v>أذن وأنف وحنجرة</v>
      </c>
      <c r="L86" s="39">
        <v>9</v>
      </c>
      <c r="M86">
        <v>2023</v>
      </c>
    </row>
    <row r="87" spans="1:13" ht="15">
      <c r="A87" t="s">
        <v>153</v>
      </c>
      <c r="B87" t="s">
        <v>154</v>
      </c>
      <c r="C87" s="15" t="s">
        <v>30</v>
      </c>
      <c r="D87" s="23" t="s">
        <v>81</v>
      </c>
      <c r="E87" s="25" t="s">
        <v>82</v>
      </c>
      <c r="F87" s="16" t="str">
        <f>'Source Table'!$E$6</f>
        <v>Private Sector</v>
      </c>
      <c r="G87" s="16" t="str">
        <f>'Source Table'!$E$5</f>
        <v>القطاع الخاص</v>
      </c>
      <c r="H87" t="str">
        <f>'Source Table'!$G$8</f>
        <v>Female</v>
      </c>
      <c r="I87" s="16" t="str">
        <f>'Source Table'!$G$7</f>
        <v>أنثى</v>
      </c>
      <c r="J87" s="25" t="str">
        <f>'Source Table'!$B$17</f>
        <v>Neurosurgery</v>
      </c>
      <c r="K87" s="25" t="str">
        <f>'Source Table'!$I$17</f>
        <v>جراحةأعصاب</v>
      </c>
      <c r="L87" s="39">
        <v>3</v>
      </c>
      <c r="M87">
        <v>2023</v>
      </c>
    </row>
    <row r="88" spans="1:13" ht="15">
      <c r="A88" t="s">
        <v>153</v>
      </c>
      <c r="B88" t="s">
        <v>154</v>
      </c>
      <c r="C88" s="15" t="s">
        <v>30</v>
      </c>
      <c r="D88" s="23" t="s">
        <v>81</v>
      </c>
      <c r="E88" s="25" t="s">
        <v>82</v>
      </c>
      <c r="F88" s="16" t="str">
        <f>'Source Table'!$E$6</f>
        <v>Private Sector</v>
      </c>
      <c r="G88" s="16" t="str">
        <f>'Source Table'!$E$5</f>
        <v>القطاع الخاص</v>
      </c>
      <c r="H88" t="str">
        <f>'Source Table'!$G$8</f>
        <v>Female</v>
      </c>
      <c r="I88" s="16" t="str">
        <f>'Source Table'!$G$7</f>
        <v>أنثى</v>
      </c>
      <c r="J88" s="25" t="str">
        <f>'Source Table'!$B$18</f>
        <v>Cardiothoracic</v>
      </c>
      <c r="K88" s="25" t="str">
        <f>'Source Table'!$I$18</f>
        <v>جراحة قلب</v>
      </c>
      <c r="L88" s="39">
        <v>0</v>
      </c>
      <c r="M88">
        <v>2023</v>
      </c>
    </row>
    <row r="89" spans="1:13" ht="15">
      <c r="A89" t="s">
        <v>153</v>
      </c>
      <c r="B89" t="s">
        <v>154</v>
      </c>
      <c r="C89" s="15" t="s">
        <v>30</v>
      </c>
      <c r="D89" s="23" t="s">
        <v>81</v>
      </c>
      <c r="E89" s="25" t="s">
        <v>82</v>
      </c>
      <c r="F89" s="16" t="str">
        <f>'Source Table'!$E$6</f>
        <v>Private Sector</v>
      </c>
      <c r="G89" s="16" t="str">
        <f>'Source Table'!$E$5</f>
        <v>القطاع الخاص</v>
      </c>
      <c r="H89" t="str">
        <f>'Source Table'!$G$8</f>
        <v>Female</v>
      </c>
      <c r="I89" s="16" t="str">
        <f>'Source Table'!$G$7</f>
        <v>أنثى</v>
      </c>
      <c r="J89" s="25" t="str">
        <f>'Source Table'!$B$19</f>
        <v>Plastic Surgeon</v>
      </c>
      <c r="K89" s="25" t="str">
        <f>'Source Table'!$I$19</f>
        <v>التجميل</v>
      </c>
      <c r="L89" s="39">
        <v>4</v>
      </c>
      <c r="M89">
        <v>2023</v>
      </c>
    </row>
    <row r="90" spans="1:13" ht="15">
      <c r="A90" t="s">
        <v>153</v>
      </c>
      <c r="B90" t="s">
        <v>154</v>
      </c>
      <c r="C90" s="15" t="s">
        <v>30</v>
      </c>
      <c r="D90" s="23" t="s">
        <v>81</v>
      </c>
      <c r="E90" s="25" t="s">
        <v>82</v>
      </c>
      <c r="F90" s="16" t="str">
        <f>'Source Table'!$E$6</f>
        <v>Private Sector</v>
      </c>
      <c r="G90" s="16" t="str">
        <f>'Source Table'!$E$5</f>
        <v>القطاع الخاص</v>
      </c>
      <c r="H90" t="str">
        <f>'Source Table'!$G$8</f>
        <v>Female</v>
      </c>
      <c r="I90" s="16" t="str">
        <f>'Source Table'!$G$7</f>
        <v>أنثى</v>
      </c>
      <c r="J90" s="25" t="str">
        <f>'Source Table'!$B$20</f>
        <v>Psychiatry</v>
      </c>
      <c r="K90" s="25" t="str">
        <f>'Source Table'!$I$20</f>
        <v>النفسية</v>
      </c>
      <c r="L90" s="39">
        <v>9</v>
      </c>
      <c r="M90">
        <v>2023</v>
      </c>
    </row>
    <row r="91" spans="1:13" ht="15">
      <c r="A91" t="s">
        <v>153</v>
      </c>
      <c r="B91" t="s">
        <v>154</v>
      </c>
      <c r="C91" s="15" t="s">
        <v>30</v>
      </c>
      <c r="D91" s="23" t="s">
        <v>81</v>
      </c>
      <c r="E91" s="25" t="s">
        <v>82</v>
      </c>
      <c r="F91" s="16" t="str">
        <f>'Source Table'!$E$6</f>
        <v>Private Sector</v>
      </c>
      <c r="G91" s="16" t="str">
        <f>'Source Table'!$E$5</f>
        <v>القطاع الخاص</v>
      </c>
      <c r="H91" t="str">
        <f>'Source Table'!$G$8</f>
        <v>Female</v>
      </c>
      <c r="I91" s="16" t="str">
        <f>'Source Table'!$G$7</f>
        <v>أنثى</v>
      </c>
      <c r="J91" s="25" t="str">
        <f>'Source Table'!$B$21</f>
        <v>Dermatologist Venereal</v>
      </c>
      <c r="K91" s="25" t="str">
        <f>'Source Table'!$I$21</f>
        <v>جلدية وتناسلية</v>
      </c>
      <c r="L91" s="39">
        <v>86</v>
      </c>
      <c r="M91">
        <v>2023</v>
      </c>
    </row>
    <row r="92" spans="1:13" ht="15">
      <c r="A92" t="s">
        <v>153</v>
      </c>
      <c r="B92" t="s">
        <v>154</v>
      </c>
      <c r="C92" s="15" t="s">
        <v>30</v>
      </c>
      <c r="D92" s="23" t="s">
        <v>81</v>
      </c>
      <c r="E92" s="25" t="s">
        <v>82</v>
      </c>
      <c r="F92" s="16" t="str">
        <f>'Source Table'!$E$6</f>
        <v>Private Sector</v>
      </c>
      <c r="G92" s="16" t="str">
        <f>'Source Table'!$E$5</f>
        <v>القطاع الخاص</v>
      </c>
      <c r="H92" t="str">
        <f>'Source Table'!$G$8</f>
        <v>Female</v>
      </c>
      <c r="I92" s="16" t="str">
        <f>'Source Table'!$G$7</f>
        <v>أنثى</v>
      </c>
      <c r="J92" s="25" t="str">
        <f>'Source Table'!$B$22</f>
        <v>Neurology/ Nervous</v>
      </c>
      <c r="K92" s="25" t="str">
        <f>'Source Table'!$I$22</f>
        <v>مرض الأعصاب</v>
      </c>
      <c r="L92" s="39">
        <v>4</v>
      </c>
      <c r="M92">
        <v>2023</v>
      </c>
    </row>
    <row r="93" spans="1:13" ht="15">
      <c r="A93" t="s">
        <v>153</v>
      </c>
      <c r="B93" t="s">
        <v>154</v>
      </c>
      <c r="C93" s="15" t="s">
        <v>30</v>
      </c>
      <c r="D93" s="23" t="s">
        <v>81</v>
      </c>
      <c r="E93" s="25" t="s">
        <v>82</v>
      </c>
      <c r="F93" s="16" t="str">
        <f>'Source Table'!$E$6</f>
        <v>Private Sector</v>
      </c>
      <c r="G93" s="16" t="str">
        <f>'Source Table'!$E$5</f>
        <v>القطاع الخاص</v>
      </c>
      <c r="H93" t="str">
        <f>'Source Table'!$G$8</f>
        <v>Female</v>
      </c>
      <c r="I93" s="16" t="str">
        <f>'Source Table'!$G$7</f>
        <v>أنثى</v>
      </c>
      <c r="J93" s="25" t="str">
        <f>'Source Table'!$B$23</f>
        <v>Pumologist</v>
      </c>
      <c r="K93" s="25" t="str">
        <f>'Source Table'!$I$23</f>
        <v>صدرية</v>
      </c>
      <c r="L93" s="39">
        <v>0</v>
      </c>
      <c r="M93">
        <v>2023</v>
      </c>
    </row>
    <row r="94" spans="1:13" ht="15">
      <c r="A94" t="s">
        <v>153</v>
      </c>
      <c r="B94" t="s">
        <v>154</v>
      </c>
      <c r="C94" s="15" t="s">
        <v>30</v>
      </c>
      <c r="D94" s="23" t="s">
        <v>81</v>
      </c>
      <c r="E94" s="25" t="s">
        <v>82</v>
      </c>
      <c r="F94" s="16" t="str">
        <f>'Source Table'!$E$6</f>
        <v>Private Sector</v>
      </c>
      <c r="G94" s="16" t="str">
        <f>'Source Table'!$E$5</f>
        <v>القطاع الخاص</v>
      </c>
      <c r="H94" t="str">
        <f>'Source Table'!$G$8</f>
        <v>Female</v>
      </c>
      <c r="I94" s="16" t="str">
        <f>'Source Table'!$G$7</f>
        <v>أنثى</v>
      </c>
      <c r="J94" s="25" t="str">
        <f>'Source Table'!$B$24</f>
        <v>G.I.T. Specialist</v>
      </c>
      <c r="K94" s="25" t="str">
        <f>'Source Table'!$I$24</f>
        <v>جهاز هضمي</v>
      </c>
      <c r="L94" s="39">
        <v>9</v>
      </c>
      <c r="M94">
        <v>2023</v>
      </c>
    </row>
    <row r="95" spans="1:13" ht="15">
      <c r="A95" t="s">
        <v>153</v>
      </c>
      <c r="B95" t="s">
        <v>154</v>
      </c>
      <c r="C95" s="15" t="s">
        <v>30</v>
      </c>
      <c r="D95" s="23" t="s">
        <v>81</v>
      </c>
      <c r="E95" s="25" t="s">
        <v>82</v>
      </c>
      <c r="F95" s="16" t="str">
        <f>'Source Table'!$E$6</f>
        <v>Private Sector</v>
      </c>
      <c r="G95" s="16" t="str">
        <f>'Source Table'!$E$5</f>
        <v>القطاع الخاص</v>
      </c>
      <c r="H95" t="str">
        <f>'Source Table'!$G$8</f>
        <v>Female</v>
      </c>
      <c r="I95" s="16" t="str">
        <f>'Source Table'!$G$7</f>
        <v>أنثى</v>
      </c>
      <c r="J95" s="25" t="str">
        <f>'Source Table'!$B$25</f>
        <v>Diagnostic Radiology</v>
      </c>
      <c r="K95" s="25" t="str">
        <f>'Source Table'!$I$25</f>
        <v>أشعة تشخيصية</v>
      </c>
      <c r="L95" s="39">
        <v>47</v>
      </c>
      <c r="M95">
        <v>2023</v>
      </c>
    </row>
    <row r="96" spans="1:13" ht="15">
      <c r="A96" t="s">
        <v>153</v>
      </c>
      <c r="B96" t="s">
        <v>154</v>
      </c>
      <c r="C96" s="15" t="s">
        <v>30</v>
      </c>
      <c r="D96" s="23" t="s">
        <v>81</v>
      </c>
      <c r="E96" s="25" t="s">
        <v>82</v>
      </c>
      <c r="F96" s="16" t="str">
        <f>'Source Table'!$E$6</f>
        <v>Private Sector</v>
      </c>
      <c r="G96" s="16" t="str">
        <f>'Source Table'!$E$5</f>
        <v>القطاع الخاص</v>
      </c>
      <c r="H96" t="str">
        <f>'Source Table'!$G$8</f>
        <v>Female</v>
      </c>
      <c r="I96" s="16" t="str">
        <f>'Source Table'!$G$7</f>
        <v>أنثى</v>
      </c>
      <c r="J96" s="25" t="str">
        <f>'Source Table'!$B$26</f>
        <v>Anesthetic</v>
      </c>
      <c r="K96" s="25" t="str">
        <f>'Source Table'!$I$26</f>
        <v>تخدير وإنعاش</v>
      </c>
      <c r="L96" s="39">
        <v>29</v>
      </c>
      <c r="M96">
        <v>2023</v>
      </c>
    </row>
    <row r="97" spans="1:13" ht="15">
      <c r="A97" t="s">
        <v>153</v>
      </c>
      <c r="B97" t="s">
        <v>154</v>
      </c>
      <c r="C97" s="15" t="s">
        <v>30</v>
      </c>
      <c r="D97" s="23" t="s">
        <v>81</v>
      </c>
      <c r="E97" s="25" t="s">
        <v>82</v>
      </c>
      <c r="F97" s="16" t="str">
        <f>'Source Table'!$E$6</f>
        <v>Private Sector</v>
      </c>
      <c r="G97" s="16" t="str">
        <f>'Source Table'!$E$5</f>
        <v>القطاع الخاص</v>
      </c>
      <c r="H97" t="str">
        <f>'Source Table'!$G$8</f>
        <v>Female</v>
      </c>
      <c r="I97" s="16" t="str">
        <f>'Source Table'!$G$7</f>
        <v>أنثى</v>
      </c>
      <c r="J97" s="25" t="str">
        <f>'Source Table'!$B$27</f>
        <v>Physiotherapist</v>
      </c>
      <c r="K97" s="25" t="str">
        <f>'Source Table'!$I$27</f>
        <v>طب طبيعي</v>
      </c>
      <c r="L97" s="39">
        <v>3</v>
      </c>
      <c r="M97">
        <v>2023</v>
      </c>
    </row>
    <row r="98" spans="1:13" ht="15">
      <c r="A98" t="s">
        <v>153</v>
      </c>
      <c r="B98" t="s">
        <v>154</v>
      </c>
      <c r="C98" s="15" t="s">
        <v>30</v>
      </c>
      <c r="D98" s="23" t="s">
        <v>81</v>
      </c>
      <c r="E98" s="25" t="s">
        <v>82</v>
      </c>
      <c r="F98" s="16" t="str">
        <f>'Source Table'!$E$6</f>
        <v>Private Sector</v>
      </c>
      <c r="G98" s="16" t="str">
        <f>'Source Table'!$E$5</f>
        <v>القطاع الخاص</v>
      </c>
      <c r="H98" t="str">
        <f>'Source Table'!$G$8</f>
        <v>Female</v>
      </c>
      <c r="I98" s="16" t="str">
        <f>'Source Table'!$G$7</f>
        <v>أنثى</v>
      </c>
      <c r="J98" s="25" t="str">
        <f>'Source Table'!$B$28</f>
        <v>Forensic</v>
      </c>
      <c r="K98" s="25" t="str">
        <f>'Source Table'!$I$28</f>
        <v>طب شرعي</v>
      </c>
      <c r="L98" s="39">
        <v>0</v>
      </c>
      <c r="M98">
        <v>2023</v>
      </c>
    </row>
    <row r="99" spans="1:13" ht="15">
      <c r="A99" t="s">
        <v>153</v>
      </c>
      <c r="B99" t="s">
        <v>154</v>
      </c>
      <c r="C99" s="15" t="s">
        <v>30</v>
      </c>
      <c r="D99" s="23" t="s">
        <v>81</v>
      </c>
      <c r="E99" s="25" t="s">
        <v>82</v>
      </c>
      <c r="F99" s="16" t="str">
        <f>'Source Table'!$E$6</f>
        <v>Private Sector</v>
      </c>
      <c r="G99" s="16" t="str">
        <f>'Source Table'!$E$5</f>
        <v>القطاع الخاص</v>
      </c>
      <c r="H99" t="str">
        <f>'Source Table'!$G$8</f>
        <v>Female</v>
      </c>
      <c r="I99" s="16" t="str">
        <f>'Source Table'!$G$7</f>
        <v>أنثى</v>
      </c>
      <c r="J99" s="25" t="str">
        <f>'Source Table'!$B$29</f>
        <v xml:space="preserve">Family </v>
      </c>
      <c r="K99" s="25" t="str">
        <f>'Source Table'!$I$29</f>
        <v>طب أسرة</v>
      </c>
      <c r="L99" s="39">
        <v>26</v>
      </c>
      <c r="M99">
        <v>2023</v>
      </c>
    </row>
    <row r="100" spans="1:13" ht="15">
      <c r="A100" t="s">
        <v>153</v>
      </c>
      <c r="B100" t="s">
        <v>154</v>
      </c>
      <c r="C100" s="15" t="s">
        <v>30</v>
      </c>
      <c r="D100" s="23" t="s">
        <v>81</v>
      </c>
      <c r="E100" s="25" t="s">
        <v>82</v>
      </c>
      <c r="F100" s="16" t="str">
        <f>'Source Table'!$E$6</f>
        <v>Private Sector</v>
      </c>
      <c r="G100" s="16" t="str">
        <f>'Source Table'!$E$5</f>
        <v>القطاع الخاص</v>
      </c>
      <c r="H100" t="str">
        <f>'Source Table'!$G$8</f>
        <v>Female</v>
      </c>
      <c r="I100" s="16" t="str">
        <f>'Source Table'!$G$7</f>
        <v>أنثى</v>
      </c>
      <c r="J100" s="25" t="str">
        <f>'Source Table'!$B$30</f>
        <v>Urologist</v>
      </c>
      <c r="K100" s="25" t="str">
        <f>'Source Table'!$I$30</f>
        <v xml:space="preserve">المسالك البولية </v>
      </c>
      <c r="L100" s="39">
        <v>2</v>
      </c>
      <c r="M100">
        <v>2023</v>
      </c>
    </row>
    <row r="101" spans="1:13" ht="15">
      <c r="A101" t="s">
        <v>153</v>
      </c>
      <c r="B101" t="s">
        <v>154</v>
      </c>
      <c r="C101" s="15" t="s">
        <v>30</v>
      </c>
      <c r="D101" s="23" t="s">
        <v>81</v>
      </c>
      <c r="E101" s="25" t="s">
        <v>82</v>
      </c>
      <c r="F101" s="16" t="str">
        <f>'Source Table'!$E$6</f>
        <v>Private Sector</v>
      </c>
      <c r="G101" s="16" t="str">
        <f>'Source Table'!$E$5</f>
        <v>القطاع الخاص</v>
      </c>
      <c r="H101" t="str">
        <f>'Source Table'!$G$8</f>
        <v>Female</v>
      </c>
      <c r="I101" s="16" t="str">
        <f>'Source Table'!$G$7</f>
        <v>أنثى</v>
      </c>
      <c r="J101" s="25" t="str">
        <f>'Source Table'!$B$31</f>
        <v>Cardiology</v>
      </c>
      <c r="K101" s="25" t="str">
        <f>'Source Table'!$I$31</f>
        <v>أمراض القلب</v>
      </c>
      <c r="L101" s="39">
        <v>6</v>
      </c>
      <c r="M101">
        <v>2023</v>
      </c>
    </row>
    <row r="102" spans="1:13" ht="15">
      <c r="A102" t="s">
        <v>153</v>
      </c>
      <c r="B102" t="s">
        <v>154</v>
      </c>
      <c r="C102" s="15" t="s">
        <v>30</v>
      </c>
      <c r="D102" s="23" t="s">
        <v>81</v>
      </c>
      <c r="E102" s="25" t="s">
        <v>82</v>
      </c>
      <c r="F102" s="16" t="str">
        <f>'Source Table'!$E$6</f>
        <v>Private Sector</v>
      </c>
      <c r="G102" s="16" t="str">
        <f>'Source Table'!$E$5</f>
        <v>القطاع الخاص</v>
      </c>
      <c r="H102" t="str">
        <f>'Source Table'!$G$8</f>
        <v>Female</v>
      </c>
      <c r="I102" s="16" t="str">
        <f>'Source Table'!$G$7</f>
        <v>أنثى</v>
      </c>
      <c r="J102" s="25" t="str">
        <f>'Source Table'!$B$32</f>
        <v>Laboratory</v>
      </c>
      <c r="K102" s="25" t="str">
        <f>'Source Table'!$I$32</f>
        <v>مختبرات</v>
      </c>
      <c r="L102" s="39">
        <v>3</v>
      </c>
      <c r="M102">
        <v>2023</v>
      </c>
    </row>
    <row r="103" spans="1:13" ht="15">
      <c r="A103" t="s">
        <v>153</v>
      </c>
      <c r="B103" t="s">
        <v>154</v>
      </c>
      <c r="C103" s="15" t="s">
        <v>30</v>
      </c>
      <c r="D103" s="23" t="s">
        <v>81</v>
      </c>
      <c r="E103" s="25" t="s">
        <v>82</v>
      </c>
      <c r="F103" s="16" t="str">
        <f>'Source Table'!$E$6</f>
        <v>Private Sector</v>
      </c>
      <c r="G103" s="16" t="str">
        <f>'Source Table'!$E$5</f>
        <v>القطاع الخاص</v>
      </c>
      <c r="H103" t="str">
        <f>'Source Table'!$G$8</f>
        <v>Female</v>
      </c>
      <c r="I103" s="16" t="str">
        <f>'Source Table'!$G$7</f>
        <v>أنثى</v>
      </c>
      <c r="J103" s="25" t="str">
        <f>'Source Table'!$B$33</f>
        <v>Others</v>
      </c>
      <c r="K103" s="25" t="str">
        <f>'Source Table'!$I$33</f>
        <v>أخرى</v>
      </c>
      <c r="L103" s="39">
        <v>107</v>
      </c>
      <c r="M103">
        <v>2023</v>
      </c>
    </row>
    <row r="104" spans="1:13" ht="15">
      <c r="A104" t="s">
        <v>153</v>
      </c>
      <c r="B104" t="s">
        <v>154</v>
      </c>
      <c r="C104" s="15" t="s">
        <v>30</v>
      </c>
      <c r="D104" s="23" t="s">
        <v>81</v>
      </c>
      <c r="E104" s="25" t="s">
        <v>82</v>
      </c>
      <c r="F104" t="str">
        <f>'Source Table'!$C$6</f>
        <v>Others</v>
      </c>
      <c r="G104" t="str">
        <f>'Source Table'!$C$5</f>
        <v>آخرون</v>
      </c>
      <c r="H104" t="str">
        <f>'Source Table'!$H$8</f>
        <v>Male</v>
      </c>
      <c r="I104" s="25" t="str">
        <f>'Source Table'!$H$7</f>
        <v>ذكر</v>
      </c>
      <c r="J104" s="25" t="str">
        <f>'Source Table'!$B$9</f>
        <v>General Practitioner</v>
      </c>
      <c r="K104" s="25" t="str">
        <f>'Source Table'!$I$9</f>
        <v>طبيب عام</v>
      </c>
      <c r="L104" s="38">
        <v>12070</v>
      </c>
      <c r="M104">
        <v>2023</v>
      </c>
    </row>
    <row r="105" spans="1:13" ht="15">
      <c r="A105" t="s">
        <v>153</v>
      </c>
      <c r="B105" t="s">
        <v>154</v>
      </c>
      <c r="C105" s="15" t="s">
        <v>30</v>
      </c>
      <c r="D105" s="23" t="s">
        <v>81</v>
      </c>
      <c r="E105" s="25" t="s">
        <v>82</v>
      </c>
      <c r="F105" t="str">
        <f>'Source Table'!$C$6</f>
        <v>Others</v>
      </c>
      <c r="G105" t="str">
        <f>'Source Table'!$C$5</f>
        <v>آخرون</v>
      </c>
      <c r="H105" t="str">
        <f>'Source Table'!$H$8</f>
        <v>Male</v>
      </c>
      <c r="I105" s="25" t="str">
        <f>'Source Table'!$H$7</f>
        <v>ذكر</v>
      </c>
      <c r="J105" s="25" t="str">
        <f>'Source Table'!$B$10</f>
        <v>Surgeon</v>
      </c>
      <c r="K105" s="25" t="str">
        <f>'Source Table'!$I$10</f>
        <v>جراحة عامة</v>
      </c>
      <c r="L105" s="39">
        <v>301</v>
      </c>
      <c r="M105">
        <v>2023</v>
      </c>
    </row>
    <row r="106" spans="1:13" ht="15">
      <c r="A106" t="s">
        <v>153</v>
      </c>
      <c r="B106" t="s">
        <v>154</v>
      </c>
      <c r="C106" s="15" t="s">
        <v>30</v>
      </c>
      <c r="D106" s="23" t="s">
        <v>81</v>
      </c>
      <c r="E106" s="25" t="s">
        <v>82</v>
      </c>
      <c r="F106" t="str">
        <f>'Source Table'!$C$6</f>
        <v>Others</v>
      </c>
      <c r="G106" t="str">
        <f>'Source Table'!$C$5</f>
        <v>آخرون</v>
      </c>
      <c r="H106" t="str">
        <f>'Source Table'!$H$8</f>
        <v>Male</v>
      </c>
      <c r="I106" s="25" t="str">
        <f>'Source Table'!$H$7</f>
        <v>ذكر</v>
      </c>
      <c r="J106" s="25" t="str">
        <f>'Source Table'!$B$11</f>
        <v>Internist</v>
      </c>
      <c r="K106" s="25" t="str">
        <f>'Source Table'!$I$11</f>
        <v>باطنية</v>
      </c>
      <c r="L106" s="39">
        <v>306</v>
      </c>
      <c r="M106">
        <v>2023</v>
      </c>
    </row>
    <row r="107" spans="1:13" ht="15">
      <c r="A107" t="s">
        <v>153</v>
      </c>
      <c r="B107" t="s">
        <v>154</v>
      </c>
      <c r="C107" s="15" t="s">
        <v>30</v>
      </c>
      <c r="D107" s="23" t="s">
        <v>81</v>
      </c>
      <c r="E107" s="25" t="s">
        <v>82</v>
      </c>
      <c r="F107" t="str">
        <f>'Source Table'!$C$6</f>
        <v>Others</v>
      </c>
      <c r="G107" t="str">
        <f>'Source Table'!$C$5</f>
        <v>آخرون</v>
      </c>
      <c r="H107" t="str">
        <f>'Source Table'!$H$8</f>
        <v>Male</v>
      </c>
      <c r="I107" s="25" t="str">
        <f>'Source Table'!$H$7</f>
        <v>ذكر</v>
      </c>
      <c r="J107" s="25" t="str">
        <f>'Source Table'!$B$12</f>
        <v>Gynecologist and Obst.</v>
      </c>
      <c r="K107" s="25" t="str">
        <f>'Source Table'!$I$12</f>
        <v>نسائية وتوليد</v>
      </c>
      <c r="L107" s="39">
        <v>226</v>
      </c>
      <c r="M107">
        <v>2023</v>
      </c>
    </row>
    <row r="108" spans="1:13" ht="15">
      <c r="A108" t="s">
        <v>153</v>
      </c>
      <c r="B108" t="s">
        <v>154</v>
      </c>
      <c r="C108" s="15" t="s">
        <v>30</v>
      </c>
      <c r="D108" s="23" t="s">
        <v>81</v>
      </c>
      <c r="E108" s="25" t="s">
        <v>82</v>
      </c>
      <c r="F108" t="str">
        <f>'Source Table'!$C$6</f>
        <v>Others</v>
      </c>
      <c r="G108" t="str">
        <f>'Source Table'!$C$5</f>
        <v>آخرون</v>
      </c>
      <c r="H108" t="str">
        <f>'Source Table'!$H$8</f>
        <v>Male</v>
      </c>
      <c r="I108" s="25" t="str">
        <f>'Source Table'!$H$7</f>
        <v>ذكر</v>
      </c>
      <c r="J108" s="25" t="str">
        <f>'Source Table'!$B$13</f>
        <v>Pediatrics</v>
      </c>
      <c r="K108" s="25" t="str">
        <f>'Source Table'!$I$13</f>
        <v>أطفال</v>
      </c>
      <c r="L108" s="39">
        <v>273</v>
      </c>
      <c r="M108">
        <v>2023</v>
      </c>
    </row>
    <row r="109" spans="1:13" ht="15">
      <c r="A109" t="s">
        <v>153</v>
      </c>
      <c r="B109" t="s">
        <v>154</v>
      </c>
      <c r="C109" s="15" t="s">
        <v>30</v>
      </c>
      <c r="D109" s="23" t="s">
        <v>81</v>
      </c>
      <c r="E109" s="25" t="s">
        <v>82</v>
      </c>
      <c r="F109" t="str">
        <f>'Source Table'!$C$6</f>
        <v>Others</v>
      </c>
      <c r="G109" t="str">
        <f>'Source Table'!$C$5</f>
        <v>آخرون</v>
      </c>
      <c r="H109" t="str">
        <f>'Source Table'!$H$8</f>
        <v>Male</v>
      </c>
      <c r="I109" s="25" t="str">
        <f>'Source Table'!$H$7</f>
        <v>ذكر</v>
      </c>
      <c r="J109" s="25" t="str">
        <f>'Source Table'!$B$14</f>
        <v>Ophthalmologist</v>
      </c>
      <c r="K109" s="25" t="str">
        <f>'Source Table'!$I$14</f>
        <v>العيون</v>
      </c>
      <c r="L109" s="39">
        <v>123</v>
      </c>
      <c r="M109">
        <v>2023</v>
      </c>
    </row>
    <row r="110" spans="1:13" ht="15">
      <c r="A110" t="s">
        <v>153</v>
      </c>
      <c r="B110" t="s">
        <v>154</v>
      </c>
      <c r="C110" s="15" t="s">
        <v>30</v>
      </c>
      <c r="D110" s="23" t="s">
        <v>81</v>
      </c>
      <c r="E110" s="25" t="s">
        <v>82</v>
      </c>
      <c r="F110" t="str">
        <f>'Source Table'!$C$6</f>
        <v>Others</v>
      </c>
      <c r="G110" t="str">
        <f>'Source Table'!$C$5</f>
        <v>آخرون</v>
      </c>
      <c r="H110" t="str">
        <f>'Source Table'!$H$8</f>
        <v>Male</v>
      </c>
      <c r="I110" s="25" t="str">
        <f>'Source Table'!$H$7</f>
        <v>ذكر</v>
      </c>
      <c r="J110" s="25" t="str">
        <f>'Source Table'!$B$15</f>
        <v>Orthopedic Surg.</v>
      </c>
      <c r="K110" s="25" t="str">
        <f>'Source Table'!$I$15</f>
        <v>العظام</v>
      </c>
      <c r="L110" s="39">
        <v>183</v>
      </c>
      <c r="M110">
        <v>2023</v>
      </c>
    </row>
    <row r="111" spans="1:13" ht="15">
      <c r="A111" t="s">
        <v>153</v>
      </c>
      <c r="B111" t="s">
        <v>154</v>
      </c>
      <c r="C111" s="15" t="s">
        <v>30</v>
      </c>
      <c r="D111" s="23" t="s">
        <v>81</v>
      </c>
      <c r="E111" s="25" t="s">
        <v>82</v>
      </c>
      <c r="F111" t="str">
        <f>'Source Table'!$C$6</f>
        <v>Others</v>
      </c>
      <c r="G111" t="str">
        <f>'Source Table'!$C$5</f>
        <v>آخرون</v>
      </c>
      <c r="H111" t="str">
        <f>'Source Table'!$H$8</f>
        <v>Male</v>
      </c>
      <c r="I111" s="25" t="str">
        <f>'Source Table'!$H$7</f>
        <v>ذكر</v>
      </c>
      <c r="J111" s="25" t="str">
        <f>'Source Table'!$B$16</f>
        <v>E.N.T.Surg.</v>
      </c>
      <c r="K111" s="25" t="str">
        <f>'Source Table'!$I$16</f>
        <v>أذن وأنف وحنجرة</v>
      </c>
      <c r="L111" s="39">
        <v>92</v>
      </c>
      <c r="M111">
        <v>2023</v>
      </c>
    </row>
    <row r="112" spans="1:13" ht="15">
      <c r="A112" t="s">
        <v>153</v>
      </c>
      <c r="B112" t="s">
        <v>154</v>
      </c>
      <c r="C112" s="15" t="s">
        <v>30</v>
      </c>
      <c r="D112" s="23" t="s">
        <v>81</v>
      </c>
      <c r="E112" s="25" t="s">
        <v>82</v>
      </c>
      <c r="F112" t="str">
        <f>'Source Table'!$C$6</f>
        <v>Others</v>
      </c>
      <c r="G112" t="str">
        <f>'Source Table'!$C$5</f>
        <v>آخرون</v>
      </c>
      <c r="H112" t="str">
        <f>'Source Table'!$H$8</f>
        <v>Male</v>
      </c>
      <c r="I112" s="25" t="str">
        <f>'Source Table'!$H$7</f>
        <v>ذكر</v>
      </c>
      <c r="J112" s="25" t="str">
        <f>'Source Table'!$B$17</f>
        <v>Neurosurgery</v>
      </c>
      <c r="K112" s="25" t="str">
        <f>'Source Table'!$I$17</f>
        <v>جراحةأعصاب</v>
      </c>
      <c r="L112" s="39">
        <v>21</v>
      </c>
      <c r="M112">
        <v>2023</v>
      </c>
    </row>
    <row r="113" spans="1:13" ht="15">
      <c r="A113" t="s">
        <v>153</v>
      </c>
      <c r="B113" t="s">
        <v>154</v>
      </c>
      <c r="C113" s="15" t="s">
        <v>30</v>
      </c>
      <c r="D113" s="23" t="s">
        <v>81</v>
      </c>
      <c r="E113" s="25" t="s">
        <v>82</v>
      </c>
      <c r="F113" t="str">
        <f>'Source Table'!$C$6</f>
        <v>Others</v>
      </c>
      <c r="G113" t="str">
        <f>'Source Table'!$C$5</f>
        <v>آخرون</v>
      </c>
      <c r="H113" t="str">
        <f>'Source Table'!$H$8</f>
        <v>Male</v>
      </c>
      <c r="I113" s="25" t="str">
        <f>'Source Table'!$H$7</f>
        <v>ذكر</v>
      </c>
      <c r="J113" s="25" t="str">
        <f>'Source Table'!$B$18</f>
        <v>Cardiothoracic</v>
      </c>
      <c r="K113" s="25" t="str">
        <f>'Source Table'!$I$18</f>
        <v>جراحة قلب</v>
      </c>
      <c r="L113" s="39">
        <v>11</v>
      </c>
      <c r="M113">
        <v>2023</v>
      </c>
    </row>
    <row r="114" spans="1:13" ht="15">
      <c r="A114" t="s">
        <v>153</v>
      </c>
      <c r="B114" t="s">
        <v>154</v>
      </c>
      <c r="C114" s="15" t="s">
        <v>30</v>
      </c>
      <c r="D114" s="23" t="s">
        <v>81</v>
      </c>
      <c r="E114" s="25" t="s">
        <v>82</v>
      </c>
      <c r="F114" t="str">
        <f>'Source Table'!$C$6</f>
        <v>Others</v>
      </c>
      <c r="G114" t="str">
        <f>'Source Table'!$C$5</f>
        <v>آخرون</v>
      </c>
      <c r="H114" t="str">
        <f>'Source Table'!$H$8</f>
        <v>Male</v>
      </c>
      <c r="I114" s="25" t="str">
        <f>'Source Table'!$H$7</f>
        <v>ذكر</v>
      </c>
      <c r="J114" s="25" t="str">
        <f>'Source Table'!$B$19</f>
        <v>Plastic Surgeon</v>
      </c>
      <c r="K114" s="25" t="str">
        <f>'Source Table'!$I$19</f>
        <v>التجميل</v>
      </c>
      <c r="L114" s="39">
        <v>13</v>
      </c>
      <c r="M114">
        <v>2023</v>
      </c>
    </row>
    <row r="115" spans="1:13" ht="15">
      <c r="A115" t="s">
        <v>153</v>
      </c>
      <c r="B115" t="s">
        <v>154</v>
      </c>
      <c r="C115" s="15" t="s">
        <v>30</v>
      </c>
      <c r="D115" s="23" t="s">
        <v>81</v>
      </c>
      <c r="E115" s="25" t="s">
        <v>82</v>
      </c>
      <c r="F115" t="str">
        <f>'Source Table'!$C$6</f>
        <v>Others</v>
      </c>
      <c r="G115" t="str">
        <f>'Source Table'!$C$5</f>
        <v>آخرون</v>
      </c>
      <c r="H115" t="str">
        <f>'Source Table'!$H$8</f>
        <v>Male</v>
      </c>
      <c r="I115" s="25" t="str">
        <f>'Source Table'!$H$7</f>
        <v>ذكر</v>
      </c>
      <c r="J115" s="25" t="str">
        <f>'Source Table'!$B$20</f>
        <v>Psychiatry</v>
      </c>
      <c r="K115" s="25" t="str">
        <f>'Source Table'!$I$20</f>
        <v>النفسية</v>
      </c>
      <c r="L115" s="39">
        <v>43</v>
      </c>
      <c r="M115">
        <v>2023</v>
      </c>
    </row>
    <row r="116" spans="1:13" ht="15">
      <c r="A116" t="s">
        <v>153</v>
      </c>
      <c r="B116" t="s">
        <v>154</v>
      </c>
      <c r="C116" s="15" t="s">
        <v>30</v>
      </c>
      <c r="D116" s="23" t="s">
        <v>81</v>
      </c>
      <c r="E116" s="25" t="s">
        <v>82</v>
      </c>
      <c r="F116" t="str">
        <f>'Source Table'!$C$6</f>
        <v>Others</v>
      </c>
      <c r="G116" t="str">
        <f>'Source Table'!$C$5</f>
        <v>آخرون</v>
      </c>
      <c r="H116" t="str">
        <f>'Source Table'!$H$8</f>
        <v>Male</v>
      </c>
      <c r="I116" s="25" t="str">
        <f>'Source Table'!$H$7</f>
        <v>ذكر</v>
      </c>
      <c r="J116" s="25" t="str">
        <f>'Source Table'!$B$21</f>
        <v>Dermatologist Venereal</v>
      </c>
      <c r="K116" s="25" t="str">
        <f>'Source Table'!$I$21</f>
        <v>جلدية وتناسلية</v>
      </c>
      <c r="L116" s="39">
        <v>60</v>
      </c>
      <c r="M116">
        <v>2023</v>
      </c>
    </row>
    <row r="117" spans="1:13" ht="15">
      <c r="A117" t="s">
        <v>153</v>
      </c>
      <c r="B117" t="s">
        <v>154</v>
      </c>
      <c r="C117" s="15" t="s">
        <v>30</v>
      </c>
      <c r="D117" s="23" t="s">
        <v>81</v>
      </c>
      <c r="E117" s="25" t="s">
        <v>82</v>
      </c>
      <c r="F117" t="str">
        <f>'Source Table'!$C$6</f>
        <v>Others</v>
      </c>
      <c r="G117" t="str">
        <f>'Source Table'!$C$5</f>
        <v>آخرون</v>
      </c>
      <c r="H117" t="str">
        <f>'Source Table'!$H$8</f>
        <v>Male</v>
      </c>
      <c r="I117" s="25" t="str">
        <f>'Source Table'!$H$7</f>
        <v>ذكر</v>
      </c>
      <c r="J117" s="25" t="str">
        <f>'Source Table'!$B$22</f>
        <v>Neurology/ Nervous</v>
      </c>
      <c r="K117" s="25" t="str">
        <f>'Source Table'!$I$22</f>
        <v>مرض الأعصاب</v>
      </c>
      <c r="L117" s="39">
        <v>16</v>
      </c>
      <c r="M117">
        <v>2023</v>
      </c>
    </row>
    <row r="118" spans="1:13" ht="15">
      <c r="A118" t="s">
        <v>153</v>
      </c>
      <c r="B118" t="s">
        <v>154</v>
      </c>
      <c r="C118" s="15" t="s">
        <v>30</v>
      </c>
      <c r="D118" s="23" t="s">
        <v>81</v>
      </c>
      <c r="E118" s="25" t="s">
        <v>82</v>
      </c>
      <c r="F118" t="str">
        <f>'Source Table'!$C$6</f>
        <v>Others</v>
      </c>
      <c r="G118" t="str">
        <f>'Source Table'!$C$5</f>
        <v>آخرون</v>
      </c>
      <c r="H118" t="str">
        <f>'Source Table'!$H$8</f>
        <v>Male</v>
      </c>
      <c r="I118" s="25" t="str">
        <f>'Source Table'!$H$7</f>
        <v>ذكر</v>
      </c>
      <c r="J118" s="25" t="str">
        <f>'Source Table'!$B$23</f>
        <v>Pumologist</v>
      </c>
      <c r="K118" s="25" t="str">
        <f>'Source Table'!$I$23</f>
        <v>صدرية</v>
      </c>
      <c r="L118" s="39">
        <v>22</v>
      </c>
      <c r="M118">
        <v>2023</v>
      </c>
    </row>
    <row r="119" spans="1:13" ht="15">
      <c r="A119" t="s">
        <v>153</v>
      </c>
      <c r="B119" t="s">
        <v>154</v>
      </c>
      <c r="C119" s="15" t="s">
        <v>30</v>
      </c>
      <c r="D119" s="23" t="s">
        <v>81</v>
      </c>
      <c r="E119" s="25" t="s">
        <v>82</v>
      </c>
      <c r="F119" t="str">
        <f>'Source Table'!$C$6</f>
        <v>Others</v>
      </c>
      <c r="G119" t="str">
        <f>'Source Table'!$C$5</f>
        <v>آخرون</v>
      </c>
      <c r="H119" t="str">
        <f>'Source Table'!$H$8</f>
        <v>Male</v>
      </c>
      <c r="I119" s="25" t="str">
        <f>'Source Table'!$H$7</f>
        <v>ذكر</v>
      </c>
      <c r="J119" s="25" t="str">
        <f>'Source Table'!$B$24</f>
        <v>G.I.T. Specialist</v>
      </c>
      <c r="K119" s="25" t="str">
        <f>'Source Table'!$I$24</f>
        <v>جهاز هضمي</v>
      </c>
      <c r="L119" s="39">
        <v>20</v>
      </c>
      <c r="M119">
        <v>2023</v>
      </c>
    </row>
    <row r="120" spans="1:13" ht="15">
      <c r="A120" t="s">
        <v>153</v>
      </c>
      <c r="B120" t="s">
        <v>154</v>
      </c>
      <c r="C120" s="15" t="s">
        <v>30</v>
      </c>
      <c r="D120" s="23" t="s">
        <v>81</v>
      </c>
      <c r="E120" s="25" t="s">
        <v>82</v>
      </c>
      <c r="F120" t="str">
        <f>'Source Table'!$C$6</f>
        <v>Others</v>
      </c>
      <c r="G120" t="str">
        <f>'Source Table'!$C$5</f>
        <v>آخرون</v>
      </c>
      <c r="H120" t="str">
        <f>'Source Table'!$H$8</f>
        <v>Male</v>
      </c>
      <c r="I120" s="25" t="str">
        <f>'Source Table'!$H$7</f>
        <v>ذكر</v>
      </c>
      <c r="J120" s="25" t="str">
        <f>'Source Table'!$B$25</f>
        <v>Diagnostic Radiology</v>
      </c>
      <c r="K120" s="25" t="str">
        <f>'Source Table'!$I$25</f>
        <v>أشعة تشخيصية</v>
      </c>
      <c r="L120" s="39">
        <v>103</v>
      </c>
      <c r="M120">
        <v>2023</v>
      </c>
    </row>
    <row r="121" spans="1:13" ht="15">
      <c r="A121" t="s">
        <v>153</v>
      </c>
      <c r="B121" t="s">
        <v>154</v>
      </c>
      <c r="C121" s="15" t="s">
        <v>30</v>
      </c>
      <c r="D121" s="23" t="s">
        <v>81</v>
      </c>
      <c r="E121" s="25" t="s">
        <v>82</v>
      </c>
      <c r="F121" t="str">
        <f>'Source Table'!$C$6</f>
        <v>Others</v>
      </c>
      <c r="G121" t="str">
        <f>'Source Table'!$C$5</f>
        <v>آخرون</v>
      </c>
      <c r="H121" t="str">
        <f>'Source Table'!$H$8</f>
        <v>Male</v>
      </c>
      <c r="I121" s="25" t="str">
        <f>'Source Table'!$H$7</f>
        <v>ذكر</v>
      </c>
      <c r="J121" s="25" t="str">
        <f>'Source Table'!$B$26</f>
        <v>Anesthetic</v>
      </c>
      <c r="K121" s="25" t="str">
        <f>'Source Table'!$I$26</f>
        <v>تخدير وإنعاش</v>
      </c>
      <c r="L121" s="39">
        <v>237</v>
      </c>
      <c r="M121">
        <v>2023</v>
      </c>
    </row>
    <row r="122" spans="1:13" ht="15">
      <c r="A122" t="s">
        <v>153</v>
      </c>
      <c r="B122" t="s">
        <v>154</v>
      </c>
      <c r="C122" s="15" t="s">
        <v>30</v>
      </c>
      <c r="D122" s="23" t="s">
        <v>81</v>
      </c>
      <c r="E122" s="25" t="s">
        <v>82</v>
      </c>
      <c r="F122" t="str">
        <f>'Source Table'!$C$6</f>
        <v>Others</v>
      </c>
      <c r="G122" t="str">
        <f>'Source Table'!$C$5</f>
        <v>آخرون</v>
      </c>
      <c r="H122" t="str">
        <f>'Source Table'!$H$8</f>
        <v>Male</v>
      </c>
      <c r="I122" s="25" t="str">
        <f>'Source Table'!$H$7</f>
        <v>ذكر</v>
      </c>
      <c r="J122" s="25" t="str">
        <f>'Source Table'!$B$27</f>
        <v>Physiotherapist</v>
      </c>
      <c r="K122" s="25" t="str">
        <f>'Source Table'!$I$27</f>
        <v>طب طبيعي</v>
      </c>
      <c r="L122" s="39">
        <v>24</v>
      </c>
      <c r="M122">
        <v>2023</v>
      </c>
    </row>
    <row r="123" spans="1:13" ht="15">
      <c r="A123" t="s">
        <v>153</v>
      </c>
      <c r="B123" t="s">
        <v>154</v>
      </c>
      <c r="C123" s="15" t="s">
        <v>30</v>
      </c>
      <c r="D123" s="23" t="s">
        <v>81</v>
      </c>
      <c r="E123" s="25" t="s">
        <v>82</v>
      </c>
      <c r="F123" t="str">
        <f>'Source Table'!$C$6</f>
        <v>Others</v>
      </c>
      <c r="G123" t="str">
        <f>'Source Table'!$C$5</f>
        <v>آخرون</v>
      </c>
      <c r="H123" t="str">
        <f>'Source Table'!$H$8</f>
        <v>Male</v>
      </c>
      <c r="I123" s="25" t="str">
        <f>'Source Table'!$H$7</f>
        <v>ذكر</v>
      </c>
      <c r="J123" s="25" t="str">
        <f>'Source Table'!$B$28</f>
        <v>Forensic</v>
      </c>
      <c r="K123" s="25" t="str">
        <f>'Source Table'!$I$28</f>
        <v>طب شرعي</v>
      </c>
      <c r="L123" s="39">
        <v>30</v>
      </c>
      <c r="M123">
        <v>2023</v>
      </c>
    </row>
    <row r="124" spans="1:13" ht="15">
      <c r="A124" t="s">
        <v>153</v>
      </c>
      <c r="B124" t="s">
        <v>154</v>
      </c>
      <c r="C124" s="15" t="s">
        <v>30</v>
      </c>
      <c r="D124" s="23" t="s">
        <v>81</v>
      </c>
      <c r="E124" s="25" t="s">
        <v>82</v>
      </c>
      <c r="F124" t="str">
        <f>'Source Table'!$C$6</f>
        <v>Others</v>
      </c>
      <c r="G124" t="str">
        <f>'Source Table'!$C$5</f>
        <v>آخرون</v>
      </c>
      <c r="H124" t="str">
        <f>'Source Table'!$H$8</f>
        <v>Male</v>
      </c>
      <c r="I124" s="25" t="str">
        <f>'Source Table'!$H$7</f>
        <v>ذكر</v>
      </c>
      <c r="J124" s="25" t="str">
        <f>'Source Table'!$B$29</f>
        <v xml:space="preserve">Family </v>
      </c>
      <c r="K124" s="25" t="str">
        <f>'Source Table'!$I$29</f>
        <v>طب أسرة</v>
      </c>
      <c r="L124" s="39">
        <v>83</v>
      </c>
      <c r="M124">
        <v>2023</v>
      </c>
    </row>
    <row r="125" spans="1:13" ht="15">
      <c r="A125" t="s">
        <v>153</v>
      </c>
      <c r="B125" t="s">
        <v>154</v>
      </c>
      <c r="C125" s="15" t="s">
        <v>30</v>
      </c>
      <c r="D125" s="23" t="s">
        <v>81</v>
      </c>
      <c r="E125" s="25" t="s">
        <v>82</v>
      </c>
      <c r="F125" t="str">
        <f>'Source Table'!$C$6</f>
        <v>Others</v>
      </c>
      <c r="G125" t="str">
        <f>'Source Table'!$C$5</f>
        <v>آخرون</v>
      </c>
      <c r="H125" t="str">
        <f>'Source Table'!$H$8</f>
        <v>Male</v>
      </c>
      <c r="I125" s="25" t="str">
        <f>'Source Table'!$H$7</f>
        <v>ذكر</v>
      </c>
      <c r="J125" s="25" t="str">
        <f>'Source Table'!$B$30</f>
        <v>Urologist</v>
      </c>
      <c r="K125" s="25" t="str">
        <f>'Source Table'!$I$30</f>
        <v xml:space="preserve">المسالك البولية </v>
      </c>
      <c r="L125" s="39">
        <v>112</v>
      </c>
      <c r="M125">
        <v>2023</v>
      </c>
    </row>
    <row r="126" spans="1:13" ht="15">
      <c r="A126" t="s">
        <v>153</v>
      </c>
      <c r="B126" t="s">
        <v>154</v>
      </c>
      <c r="C126" s="15" t="s">
        <v>30</v>
      </c>
      <c r="D126" s="23" t="s">
        <v>81</v>
      </c>
      <c r="E126" s="25" t="s">
        <v>82</v>
      </c>
      <c r="F126" t="str">
        <f>'Source Table'!$C$6</f>
        <v>Others</v>
      </c>
      <c r="G126" t="str">
        <f>'Source Table'!$C$5</f>
        <v>آخرون</v>
      </c>
      <c r="H126" t="str">
        <f>'Source Table'!$H$8</f>
        <v>Male</v>
      </c>
      <c r="I126" s="25" t="str">
        <f>'Source Table'!$H$7</f>
        <v>ذكر</v>
      </c>
      <c r="J126" s="25" t="str">
        <f>'Source Table'!$B$31</f>
        <v>Cardiology</v>
      </c>
      <c r="K126" s="25" t="str">
        <f>'Source Table'!$I$31</f>
        <v>أمراض القلب</v>
      </c>
      <c r="L126" s="39">
        <v>34</v>
      </c>
      <c r="M126">
        <v>2023</v>
      </c>
    </row>
    <row r="127" spans="1:13" ht="15">
      <c r="A127" t="s">
        <v>153</v>
      </c>
      <c r="B127" t="s">
        <v>154</v>
      </c>
      <c r="C127" s="15" t="s">
        <v>30</v>
      </c>
      <c r="D127" s="23" t="s">
        <v>81</v>
      </c>
      <c r="E127" s="25" t="s">
        <v>82</v>
      </c>
      <c r="F127" t="str">
        <f>'Source Table'!$C$6</f>
        <v>Others</v>
      </c>
      <c r="G127" t="str">
        <f>'Source Table'!$C$5</f>
        <v>آخرون</v>
      </c>
      <c r="H127" t="str">
        <f>'Source Table'!$H$8</f>
        <v>Male</v>
      </c>
      <c r="I127" s="25" t="str">
        <f>'Source Table'!$H$7</f>
        <v>ذكر</v>
      </c>
      <c r="J127" s="25" t="str">
        <f>'Source Table'!$B$32</f>
        <v>Laboratory</v>
      </c>
      <c r="K127" s="25" t="str">
        <f>'Source Table'!$I$32</f>
        <v>مختبرات</v>
      </c>
      <c r="L127" s="39">
        <v>13</v>
      </c>
      <c r="M127">
        <v>2023</v>
      </c>
    </row>
    <row r="128" spans="1:13" ht="15">
      <c r="A128" t="s">
        <v>153</v>
      </c>
      <c r="B128" t="s">
        <v>154</v>
      </c>
      <c r="C128" s="15" t="s">
        <v>30</v>
      </c>
      <c r="D128" s="23" t="s">
        <v>81</v>
      </c>
      <c r="E128" s="25" t="s">
        <v>82</v>
      </c>
      <c r="F128" t="str">
        <f>'Source Table'!$C$6</f>
        <v>Others</v>
      </c>
      <c r="G128" t="str">
        <f>'Source Table'!$C$5</f>
        <v>آخرون</v>
      </c>
      <c r="H128" t="str">
        <f>'Source Table'!$H$8</f>
        <v>Male</v>
      </c>
      <c r="I128" s="25" t="str">
        <f>'Source Table'!$H$7</f>
        <v>ذكر</v>
      </c>
      <c r="J128" s="25" t="str">
        <f>'Source Table'!$B$33</f>
        <v>Others</v>
      </c>
      <c r="K128" s="25" t="str">
        <f>'Source Table'!$I$33</f>
        <v>أخرى</v>
      </c>
      <c r="L128" s="39">
        <v>272</v>
      </c>
      <c r="M128">
        <v>2023</v>
      </c>
    </row>
    <row r="129" spans="1:13" ht="15">
      <c r="A129" t="s">
        <v>153</v>
      </c>
      <c r="B129" t="s">
        <v>154</v>
      </c>
      <c r="C129" s="15" t="s">
        <v>30</v>
      </c>
      <c r="D129" s="23" t="s">
        <v>81</v>
      </c>
      <c r="E129" s="25" t="s">
        <v>82</v>
      </c>
      <c r="F129" t="str">
        <f>'Source Table'!$C$6</f>
        <v>Others</v>
      </c>
      <c r="G129" t="str">
        <f>'Source Table'!$C$5</f>
        <v>آخرون</v>
      </c>
      <c r="H129" t="str">
        <f>'Source Table'!$G$8</f>
        <v>Female</v>
      </c>
      <c r="I129" s="16" t="str">
        <f>'Source Table'!$G$7</f>
        <v>أنثى</v>
      </c>
      <c r="J129" s="25" t="str">
        <f>'Source Table'!$B$9</f>
        <v>General Practitioner</v>
      </c>
      <c r="K129" s="25" t="str">
        <f>'Source Table'!$I$9</f>
        <v>طبيب عام</v>
      </c>
      <c r="L129" s="38">
        <v>5125</v>
      </c>
      <c r="M129">
        <v>2023</v>
      </c>
    </row>
    <row r="130" spans="1:13" ht="15">
      <c r="A130" t="s">
        <v>153</v>
      </c>
      <c r="B130" t="s">
        <v>154</v>
      </c>
      <c r="C130" s="15" t="s">
        <v>30</v>
      </c>
      <c r="D130" s="23" t="s">
        <v>81</v>
      </c>
      <c r="E130" s="25" t="s">
        <v>82</v>
      </c>
      <c r="F130" t="str">
        <f>'Source Table'!$C$6</f>
        <v>Others</v>
      </c>
      <c r="G130" t="str">
        <f>'Source Table'!$C$5</f>
        <v>آخرون</v>
      </c>
      <c r="H130" t="str">
        <f>'Source Table'!$G$8</f>
        <v>Female</v>
      </c>
      <c r="I130" s="16" t="str">
        <f>'Source Table'!$G$7</f>
        <v>أنثى</v>
      </c>
      <c r="J130" s="25" t="str">
        <f>'Source Table'!$B$10</f>
        <v>Surgeon</v>
      </c>
      <c r="K130" s="25" t="str">
        <f>'Source Table'!$I$10</f>
        <v>جراحة عامة</v>
      </c>
      <c r="L130" s="40">
        <v>19</v>
      </c>
      <c r="M130">
        <v>2023</v>
      </c>
    </row>
    <row r="131" spans="1:13" ht="15">
      <c r="A131" t="s">
        <v>153</v>
      </c>
      <c r="B131" t="s">
        <v>154</v>
      </c>
      <c r="C131" s="15" t="s">
        <v>30</v>
      </c>
      <c r="D131" s="23" t="s">
        <v>81</v>
      </c>
      <c r="E131" s="25" t="s">
        <v>82</v>
      </c>
      <c r="F131" t="str">
        <f>'Source Table'!$C$6</f>
        <v>Others</v>
      </c>
      <c r="G131" t="str">
        <f>'Source Table'!$C$5</f>
        <v>آخرون</v>
      </c>
      <c r="H131" t="str">
        <f>'Source Table'!$G$8</f>
        <v>Female</v>
      </c>
      <c r="I131" s="16" t="str">
        <f>'Source Table'!$G$7</f>
        <v>أنثى</v>
      </c>
      <c r="J131" s="25" t="str">
        <f>'Source Table'!$B$11</f>
        <v>Internist</v>
      </c>
      <c r="K131" s="25" t="str">
        <f>'Source Table'!$I$11</f>
        <v>باطنية</v>
      </c>
      <c r="L131" s="40">
        <v>84</v>
      </c>
      <c r="M131">
        <v>2023</v>
      </c>
    </row>
    <row r="132" spans="1:13" ht="15">
      <c r="A132" t="s">
        <v>153</v>
      </c>
      <c r="B132" t="s">
        <v>154</v>
      </c>
      <c r="C132" s="15" t="s">
        <v>30</v>
      </c>
      <c r="D132" s="23" t="s">
        <v>81</v>
      </c>
      <c r="E132" s="25" t="s">
        <v>82</v>
      </c>
      <c r="F132" t="str">
        <f>'Source Table'!$C$6</f>
        <v>Others</v>
      </c>
      <c r="G132" t="str">
        <f>'Source Table'!$C$5</f>
        <v>آخرون</v>
      </c>
      <c r="H132" t="str">
        <f>'Source Table'!$G$8</f>
        <v>Female</v>
      </c>
      <c r="I132" s="16" t="str">
        <f>'Source Table'!$G$7</f>
        <v>أنثى</v>
      </c>
      <c r="J132" s="25" t="str">
        <f>'Source Table'!$B$12</f>
        <v>Gynecologist and Obst.</v>
      </c>
      <c r="K132" s="25" t="str">
        <f>'Source Table'!$I$12</f>
        <v>نسائية وتوليد</v>
      </c>
      <c r="L132" s="40">
        <v>191</v>
      </c>
      <c r="M132">
        <v>2023</v>
      </c>
    </row>
    <row r="133" spans="1:13" ht="15">
      <c r="A133" t="s">
        <v>153</v>
      </c>
      <c r="B133" t="s">
        <v>154</v>
      </c>
      <c r="C133" s="15" t="s">
        <v>30</v>
      </c>
      <c r="D133" s="23" t="s">
        <v>81</v>
      </c>
      <c r="E133" s="25" t="s">
        <v>82</v>
      </c>
      <c r="F133" t="str">
        <f>'Source Table'!$C$6</f>
        <v>Others</v>
      </c>
      <c r="G133" t="str">
        <f>'Source Table'!$C$5</f>
        <v>آخرون</v>
      </c>
      <c r="H133" t="str">
        <f>'Source Table'!$G$8</f>
        <v>Female</v>
      </c>
      <c r="I133" s="16" t="str">
        <f>'Source Table'!$G$7</f>
        <v>أنثى</v>
      </c>
      <c r="J133" s="25" t="str">
        <f>'Source Table'!$B$13</f>
        <v>Pediatrics</v>
      </c>
      <c r="K133" s="25" t="str">
        <f>'Source Table'!$I$13</f>
        <v>أطفال</v>
      </c>
      <c r="L133" s="40">
        <v>142</v>
      </c>
      <c r="M133">
        <v>2023</v>
      </c>
    </row>
    <row r="134" spans="1:13" ht="15">
      <c r="A134" t="s">
        <v>153</v>
      </c>
      <c r="B134" t="s">
        <v>154</v>
      </c>
      <c r="C134" s="15" t="s">
        <v>30</v>
      </c>
      <c r="D134" s="23" t="s">
        <v>81</v>
      </c>
      <c r="E134" s="25" t="s">
        <v>82</v>
      </c>
      <c r="F134" t="str">
        <f>'Source Table'!$C$6</f>
        <v>Others</v>
      </c>
      <c r="G134" t="str">
        <f>'Source Table'!$C$5</f>
        <v>آخرون</v>
      </c>
      <c r="H134" t="str">
        <f>'Source Table'!$G$8</f>
        <v>Female</v>
      </c>
      <c r="I134" s="16" t="str">
        <f>'Source Table'!$G$7</f>
        <v>أنثى</v>
      </c>
      <c r="J134" s="25" t="str">
        <f>'Source Table'!$B$14</f>
        <v>Ophthalmologist</v>
      </c>
      <c r="K134" s="25" t="str">
        <f>'Source Table'!$I$14</f>
        <v>العيون</v>
      </c>
      <c r="L134" s="40">
        <v>36</v>
      </c>
      <c r="M134">
        <v>2023</v>
      </c>
    </row>
    <row r="135" spans="1:13" ht="15">
      <c r="A135" t="s">
        <v>153</v>
      </c>
      <c r="B135" t="s">
        <v>154</v>
      </c>
      <c r="C135" s="15" t="s">
        <v>30</v>
      </c>
      <c r="D135" s="23" t="s">
        <v>81</v>
      </c>
      <c r="E135" s="25" t="s">
        <v>82</v>
      </c>
      <c r="F135" t="str">
        <f>'Source Table'!$C$6</f>
        <v>Others</v>
      </c>
      <c r="G135" t="str">
        <f>'Source Table'!$C$5</f>
        <v>آخرون</v>
      </c>
      <c r="H135" t="str">
        <f>'Source Table'!$G$8</f>
        <v>Female</v>
      </c>
      <c r="I135" s="16" t="str">
        <f>'Source Table'!$G$7</f>
        <v>أنثى</v>
      </c>
      <c r="J135" s="25" t="str">
        <f>'Source Table'!$B$15</f>
        <v>Orthopedic Surg.</v>
      </c>
      <c r="K135" s="25" t="str">
        <f>'Source Table'!$I$15</f>
        <v>العظام</v>
      </c>
      <c r="L135" s="40">
        <v>1</v>
      </c>
      <c r="M135">
        <v>2023</v>
      </c>
    </row>
    <row r="136" spans="1:13" ht="15">
      <c r="A136" t="s">
        <v>153</v>
      </c>
      <c r="B136" t="s">
        <v>154</v>
      </c>
      <c r="C136" s="15" t="s">
        <v>30</v>
      </c>
      <c r="D136" s="23" t="s">
        <v>81</v>
      </c>
      <c r="E136" s="25" t="s">
        <v>82</v>
      </c>
      <c r="F136" t="str">
        <f>'Source Table'!$C$6</f>
        <v>Others</v>
      </c>
      <c r="G136" t="str">
        <f>'Source Table'!$C$5</f>
        <v>آخرون</v>
      </c>
      <c r="H136" t="str">
        <f>'Source Table'!$G$8</f>
        <v>Female</v>
      </c>
      <c r="I136" s="16" t="str">
        <f>'Source Table'!$G$7</f>
        <v>أنثى</v>
      </c>
      <c r="J136" s="25" t="str">
        <f>'Source Table'!$B$16</f>
        <v>E.N.T.Surg.</v>
      </c>
      <c r="K136" s="25" t="str">
        <f>'Source Table'!$I$16</f>
        <v>أذن وأنف وحنجرة</v>
      </c>
      <c r="L136" s="40">
        <v>19</v>
      </c>
      <c r="M136">
        <v>2023</v>
      </c>
    </row>
    <row r="137" spans="1:13" ht="15">
      <c r="A137" t="s">
        <v>153</v>
      </c>
      <c r="B137" t="s">
        <v>154</v>
      </c>
      <c r="C137" s="15" t="s">
        <v>30</v>
      </c>
      <c r="D137" s="23" t="s">
        <v>81</v>
      </c>
      <c r="E137" s="25" t="s">
        <v>82</v>
      </c>
      <c r="F137" t="str">
        <f>'Source Table'!$C$6</f>
        <v>Others</v>
      </c>
      <c r="G137" t="str">
        <f>'Source Table'!$C$5</f>
        <v>آخرون</v>
      </c>
      <c r="H137" t="str">
        <f>'Source Table'!$G$8</f>
        <v>Female</v>
      </c>
      <c r="I137" s="16" t="str">
        <f>'Source Table'!$G$7</f>
        <v>أنثى</v>
      </c>
      <c r="J137" s="25" t="str">
        <f>'Source Table'!$B$17</f>
        <v>Neurosurgery</v>
      </c>
      <c r="K137" s="25" t="str">
        <f>'Source Table'!$I$17</f>
        <v>جراحةأعصاب</v>
      </c>
      <c r="L137" s="39">
        <v>0</v>
      </c>
      <c r="M137">
        <v>2023</v>
      </c>
    </row>
    <row r="138" spans="1:13" ht="15">
      <c r="A138" t="s">
        <v>153</v>
      </c>
      <c r="B138" t="s">
        <v>154</v>
      </c>
      <c r="C138" s="15" t="s">
        <v>30</v>
      </c>
      <c r="D138" s="23" t="s">
        <v>81</v>
      </c>
      <c r="E138" s="25" t="s">
        <v>82</v>
      </c>
      <c r="F138" t="str">
        <f>'Source Table'!$C$6</f>
        <v>Others</v>
      </c>
      <c r="G138" t="str">
        <f>'Source Table'!$C$5</f>
        <v>آخرون</v>
      </c>
      <c r="H138" t="str">
        <f>'Source Table'!$G$8</f>
        <v>Female</v>
      </c>
      <c r="I138" s="16" t="str">
        <f>'Source Table'!$G$7</f>
        <v>أنثى</v>
      </c>
      <c r="J138" s="25" t="str">
        <f>'Source Table'!$B$18</f>
        <v>Cardiothoracic</v>
      </c>
      <c r="K138" s="25" t="str">
        <f>'Source Table'!$I$18</f>
        <v>جراحة قلب</v>
      </c>
      <c r="L138" s="39">
        <v>0</v>
      </c>
      <c r="M138">
        <v>2023</v>
      </c>
    </row>
    <row r="139" spans="1:13" ht="15">
      <c r="A139" t="s">
        <v>153</v>
      </c>
      <c r="B139" t="s">
        <v>154</v>
      </c>
      <c r="C139" s="15" t="s">
        <v>30</v>
      </c>
      <c r="D139" s="23" t="s">
        <v>81</v>
      </c>
      <c r="E139" s="25" t="s">
        <v>82</v>
      </c>
      <c r="F139" t="str">
        <f>'Source Table'!$C$6</f>
        <v>Others</v>
      </c>
      <c r="G139" t="str">
        <f>'Source Table'!$C$5</f>
        <v>آخرون</v>
      </c>
      <c r="H139" t="str">
        <f>'Source Table'!$G$8</f>
        <v>Female</v>
      </c>
      <c r="I139" s="16" t="str">
        <f>'Source Table'!$G$7</f>
        <v>أنثى</v>
      </c>
      <c r="J139" s="25" t="str">
        <f>'Source Table'!$B$19</f>
        <v>Plastic Surgeon</v>
      </c>
      <c r="K139" s="25" t="str">
        <f>'Source Table'!$I$19</f>
        <v>التجميل</v>
      </c>
      <c r="L139" s="39">
        <v>1</v>
      </c>
      <c r="M139">
        <v>2023</v>
      </c>
    </row>
    <row r="140" spans="1:13" ht="15">
      <c r="A140" t="s">
        <v>153</v>
      </c>
      <c r="B140" t="s">
        <v>154</v>
      </c>
      <c r="C140" s="15" t="s">
        <v>30</v>
      </c>
      <c r="D140" s="23" t="s">
        <v>81</v>
      </c>
      <c r="E140" s="25" t="s">
        <v>82</v>
      </c>
      <c r="F140" t="str">
        <f>'Source Table'!$C$6</f>
        <v>Others</v>
      </c>
      <c r="G140" t="str">
        <f>'Source Table'!$C$5</f>
        <v>آخرون</v>
      </c>
      <c r="H140" t="str">
        <f>'Source Table'!$G$8</f>
        <v>Female</v>
      </c>
      <c r="I140" s="16" t="str">
        <f>'Source Table'!$G$7</f>
        <v>أنثى</v>
      </c>
      <c r="J140" s="25" t="str">
        <f>'Source Table'!$B$20</f>
        <v>Psychiatry</v>
      </c>
      <c r="K140" s="25" t="str">
        <f>'Source Table'!$I$20</f>
        <v>النفسية</v>
      </c>
      <c r="L140" s="39">
        <v>4</v>
      </c>
      <c r="M140">
        <v>2023</v>
      </c>
    </row>
    <row r="141" spans="1:13" ht="15">
      <c r="A141" t="s">
        <v>153</v>
      </c>
      <c r="B141" t="s">
        <v>154</v>
      </c>
      <c r="C141" s="15" t="s">
        <v>30</v>
      </c>
      <c r="D141" s="23" t="s">
        <v>81</v>
      </c>
      <c r="E141" s="25" t="s">
        <v>82</v>
      </c>
      <c r="F141" t="str">
        <f>'Source Table'!$C$6</f>
        <v>Others</v>
      </c>
      <c r="G141" t="str">
        <f>'Source Table'!$C$5</f>
        <v>آخرون</v>
      </c>
      <c r="H141" t="str">
        <f>'Source Table'!$G$8</f>
        <v>Female</v>
      </c>
      <c r="I141" s="16" t="str">
        <f>'Source Table'!$G$7</f>
        <v>أنثى</v>
      </c>
      <c r="J141" s="25" t="str">
        <f>'Source Table'!$B$21</f>
        <v>Dermatologist Venereal</v>
      </c>
      <c r="K141" s="25" t="str">
        <f>'Source Table'!$I$21</f>
        <v>جلدية وتناسلية</v>
      </c>
      <c r="L141" s="40">
        <v>47</v>
      </c>
      <c r="M141">
        <v>2023</v>
      </c>
    </row>
    <row r="142" spans="1:13" ht="15">
      <c r="A142" t="s">
        <v>153</v>
      </c>
      <c r="B142" t="s">
        <v>154</v>
      </c>
      <c r="C142" s="15" t="s">
        <v>30</v>
      </c>
      <c r="D142" s="23" t="s">
        <v>81</v>
      </c>
      <c r="E142" s="25" t="s">
        <v>82</v>
      </c>
      <c r="F142" t="str">
        <f>'Source Table'!$C$6</f>
        <v>Others</v>
      </c>
      <c r="G142" t="str">
        <f>'Source Table'!$C$5</f>
        <v>آخرون</v>
      </c>
      <c r="H142" t="str">
        <f>'Source Table'!$G$8</f>
        <v>Female</v>
      </c>
      <c r="I142" s="16" t="str">
        <f>'Source Table'!$G$7</f>
        <v>أنثى</v>
      </c>
      <c r="J142" s="25" t="str">
        <f>'Source Table'!$B$22</f>
        <v>Neurology/ Nervous</v>
      </c>
      <c r="K142" s="25" t="str">
        <f>'Source Table'!$I$22</f>
        <v>مرض الأعصاب</v>
      </c>
      <c r="L142" s="40">
        <v>15</v>
      </c>
      <c r="M142">
        <v>2023</v>
      </c>
    </row>
    <row r="143" spans="1:13" ht="15">
      <c r="A143" t="s">
        <v>153</v>
      </c>
      <c r="B143" t="s">
        <v>154</v>
      </c>
      <c r="C143" s="15" t="s">
        <v>30</v>
      </c>
      <c r="D143" s="23" t="s">
        <v>81</v>
      </c>
      <c r="E143" s="25" t="s">
        <v>82</v>
      </c>
      <c r="F143" t="str">
        <f>'Source Table'!$C$6</f>
        <v>Others</v>
      </c>
      <c r="G143" t="str">
        <f>'Source Table'!$C$5</f>
        <v>آخرون</v>
      </c>
      <c r="H143" t="str">
        <f>'Source Table'!$G$8</f>
        <v>Female</v>
      </c>
      <c r="I143" s="16" t="str">
        <f>'Source Table'!$G$7</f>
        <v>أنثى</v>
      </c>
      <c r="J143" s="25" t="str">
        <f>'Source Table'!$B$23</f>
        <v>Pumologist</v>
      </c>
      <c r="K143" s="25" t="str">
        <f>'Source Table'!$I$23</f>
        <v>صدرية</v>
      </c>
      <c r="L143" s="40">
        <v>2</v>
      </c>
      <c r="M143">
        <v>2023</v>
      </c>
    </row>
    <row r="144" spans="1:13" ht="15">
      <c r="A144" t="s">
        <v>153</v>
      </c>
      <c r="B144" t="s">
        <v>154</v>
      </c>
      <c r="C144" s="15" t="s">
        <v>30</v>
      </c>
      <c r="D144" s="23" t="s">
        <v>81</v>
      </c>
      <c r="E144" s="25" t="s">
        <v>82</v>
      </c>
      <c r="F144" t="str">
        <f>'Source Table'!$C$6</f>
        <v>Others</v>
      </c>
      <c r="G144" t="str">
        <f>'Source Table'!$C$5</f>
        <v>آخرون</v>
      </c>
      <c r="H144" t="str">
        <f>'Source Table'!$G$8</f>
        <v>Female</v>
      </c>
      <c r="I144" s="16" t="str">
        <f>'Source Table'!$G$7</f>
        <v>أنثى</v>
      </c>
      <c r="J144" s="25" t="str">
        <f>'Source Table'!$B$24</f>
        <v>G.I.T. Specialist</v>
      </c>
      <c r="K144" s="25" t="str">
        <f>'Source Table'!$I$24</f>
        <v>جهاز هضمي</v>
      </c>
      <c r="L144" s="40">
        <v>3</v>
      </c>
      <c r="M144">
        <v>2023</v>
      </c>
    </row>
    <row r="145" spans="1:13" ht="15">
      <c r="A145" t="s">
        <v>153</v>
      </c>
      <c r="B145" t="s">
        <v>154</v>
      </c>
      <c r="C145" s="15" t="s">
        <v>30</v>
      </c>
      <c r="D145" s="23" t="s">
        <v>81</v>
      </c>
      <c r="E145" s="25" t="s">
        <v>82</v>
      </c>
      <c r="F145" t="str">
        <f>'Source Table'!$C$6</f>
        <v>Others</v>
      </c>
      <c r="G145" t="str">
        <f>'Source Table'!$C$5</f>
        <v>آخرون</v>
      </c>
      <c r="H145" t="str">
        <f>'Source Table'!$G$8</f>
        <v>Female</v>
      </c>
      <c r="I145" s="16" t="str">
        <f>'Source Table'!$G$7</f>
        <v>أنثى</v>
      </c>
      <c r="J145" s="25" t="str">
        <f>'Source Table'!$B$25</f>
        <v>Diagnostic Radiology</v>
      </c>
      <c r="K145" s="25" t="str">
        <f>'Source Table'!$I$25</f>
        <v>أشعة تشخيصية</v>
      </c>
      <c r="L145" s="40">
        <v>58</v>
      </c>
      <c r="M145">
        <v>2023</v>
      </c>
    </row>
    <row r="146" spans="1:13" ht="15">
      <c r="A146" t="s">
        <v>153</v>
      </c>
      <c r="B146" t="s">
        <v>154</v>
      </c>
      <c r="C146" s="15" t="s">
        <v>30</v>
      </c>
      <c r="D146" s="23" t="s">
        <v>81</v>
      </c>
      <c r="E146" s="25" t="s">
        <v>82</v>
      </c>
      <c r="F146" t="str">
        <f>'Source Table'!$C$6</f>
        <v>Others</v>
      </c>
      <c r="G146" t="str">
        <f>'Source Table'!$C$5</f>
        <v>آخرون</v>
      </c>
      <c r="H146" t="str">
        <f>'Source Table'!$G$8</f>
        <v>Female</v>
      </c>
      <c r="I146" s="16" t="str">
        <f>'Source Table'!$G$7</f>
        <v>أنثى</v>
      </c>
      <c r="J146" s="25" t="str">
        <f>'Source Table'!$B$26</f>
        <v>Anesthetic</v>
      </c>
      <c r="K146" s="25" t="str">
        <f>'Source Table'!$I$26</f>
        <v>تخدير وإنعاش</v>
      </c>
      <c r="L146" s="40">
        <v>43</v>
      </c>
      <c r="M146">
        <v>2023</v>
      </c>
    </row>
    <row r="147" spans="1:13" ht="15">
      <c r="A147" t="s">
        <v>153</v>
      </c>
      <c r="B147" t="s">
        <v>154</v>
      </c>
      <c r="C147" s="15" t="s">
        <v>30</v>
      </c>
      <c r="D147" s="23" t="s">
        <v>81</v>
      </c>
      <c r="E147" s="25" t="s">
        <v>82</v>
      </c>
      <c r="F147" t="str">
        <f>'Source Table'!$C$6</f>
        <v>Others</v>
      </c>
      <c r="G147" t="str">
        <f>'Source Table'!$C$5</f>
        <v>آخرون</v>
      </c>
      <c r="H147" t="str">
        <f>'Source Table'!$G$8</f>
        <v>Female</v>
      </c>
      <c r="I147" s="16" t="str">
        <f>'Source Table'!$G$7</f>
        <v>أنثى</v>
      </c>
      <c r="J147" s="25" t="str">
        <f>'Source Table'!$B$27</f>
        <v>Physiotherapist</v>
      </c>
      <c r="K147" s="25" t="str">
        <f>'Source Table'!$I$27</f>
        <v>طب طبيعي</v>
      </c>
      <c r="L147" s="39">
        <v>5</v>
      </c>
      <c r="M147">
        <v>2023</v>
      </c>
    </row>
    <row r="148" spans="1:13" ht="15">
      <c r="A148" t="s">
        <v>153</v>
      </c>
      <c r="B148" t="s">
        <v>154</v>
      </c>
      <c r="C148" s="15" t="s">
        <v>30</v>
      </c>
      <c r="D148" s="23" t="s">
        <v>81</v>
      </c>
      <c r="E148" s="25" t="s">
        <v>82</v>
      </c>
      <c r="F148" t="str">
        <f>'Source Table'!$C$6</f>
        <v>Others</v>
      </c>
      <c r="G148" t="str">
        <f>'Source Table'!$C$5</f>
        <v>آخرون</v>
      </c>
      <c r="H148" t="str">
        <f>'Source Table'!$G$8</f>
        <v>Female</v>
      </c>
      <c r="I148" s="16" t="str">
        <f>'Source Table'!$G$7</f>
        <v>أنثى</v>
      </c>
      <c r="J148" s="25" t="str">
        <f>'Source Table'!$B$28</f>
        <v>Forensic</v>
      </c>
      <c r="K148" s="25" t="str">
        <f>'Source Table'!$I$28</f>
        <v>طب شرعي</v>
      </c>
      <c r="L148" s="39">
        <v>4</v>
      </c>
      <c r="M148">
        <v>2023</v>
      </c>
    </row>
    <row r="149" spans="1:13" ht="15">
      <c r="A149" t="s">
        <v>153</v>
      </c>
      <c r="B149" t="s">
        <v>154</v>
      </c>
      <c r="C149" s="15" t="s">
        <v>30</v>
      </c>
      <c r="D149" s="23" t="s">
        <v>81</v>
      </c>
      <c r="E149" s="25" t="s">
        <v>82</v>
      </c>
      <c r="F149" t="str">
        <f>'Source Table'!$C$6</f>
        <v>Others</v>
      </c>
      <c r="G149" t="str">
        <f>'Source Table'!$C$5</f>
        <v>آخرون</v>
      </c>
      <c r="H149" t="str">
        <f>'Source Table'!$G$8</f>
        <v>Female</v>
      </c>
      <c r="I149" s="16" t="str">
        <f>'Source Table'!$G$7</f>
        <v>أنثى</v>
      </c>
      <c r="J149" s="25" t="str">
        <f>'Source Table'!$B$29</f>
        <v xml:space="preserve">Family </v>
      </c>
      <c r="K149" s="25" t="str">
        <f>'Source Table'!$I$29</f>
        <v>طب أسرة</v>
      </c>
      <c r="L149" s="40">
        <v>95</v>
      </c>
      <c r="M149">
        <v>2023</v>
      </c>
    </row>
    <row r="150" spans="1:13" ht="15">
      <c r="A150" t="s">
        <v>153</v>
      </c>
      <c r="B150" t="s">
        <v>154</v>
      </c>
      <c r="C150" s="15" t="s">
        <v>30</v>
      </c>
      <c r="D150" s="23" t="s">
        <v>81</v>
      </c>
      <c r="E150" s="25" t="s">
        <v>82</v>
      </c>
      <c r="F150" t="str">
        <f>'Source Table'!$C$6</f>
        <v>Others</v>
      </c>
      <c r="G150" t="str">
        <f>'Source Table'!$C$5</f>
        <v>آخرون</v>
      </c>
      <c r="H150" t="str">
        <f>'Source Table'!$G$8</f>
        <v>Female</v>
      </c>
      <c r="I150" s="16" t="str">
        <f>'Source Table'!$G$7</f>
        <v>أنثى</v>
      </c>
      <c r="J150" s="25" t="str">
        <f>'Source Table'!$B$30</f>
        <v>Urologist</v>
      </c>
      <c r="K150" s="25" t="str">
        <f>'Source Table'!$I$30</f>
        <v xml:space="preserve">المسالك البولية </v>
      </c>
      <c r="L150" s="40">
        <v>0</v>
      </c>
      <c r="M150">
        <v>2023</v>
      </c>
    </row>
    <row r="151" spans="1:13" ht="15">
      <c r="A151" t="s">
        <v>153</v>
      </c>
      <c r="B151" t="s">
        <v>154</v>
      </c>
      <c r="C151" s="15" t="s">
        <v>30</v>
      </c>
      <c r="D151" s="23" t="s">
        <v>81</v>
      </c>
      <c r="E151" s="25" t="s">
        <v>82</v>
      </c>
      <c r="F151" t="str">
        <f>'Source Table'!$C$6</f>
        <v>Others</v>
      </c>
      <c r="G151" t="str">
        <f>'Source Table'!$C$5</f>
        <v>آخرون</v>
      </c>
      <c r="H151" t="str">
        <f>'Source Table'!$G$8</f>
        <v>Female</v>
      </c>
      <c r="I151" s="16" t="str">
        <f>'Source Table'!$G$7</f>
        <v>أنثى</v>
      </c>
      <c r="J151" s="25" t="str">
        <f>'Source Table'!$B$31</f>
        <v>Cardiology</v>
      </c>
      <c r="K151" s="25" t="str">
        <f>'Source Table'!$I$31</f>
        <v>أمراض القلب</v>
      </c>
      <c r="L151" s="40">
        <v>2</v>
      </c>
      <c r="M151">
        <v>2023</v>
      </c>
    </row>
    <row r="152" spans="1:13" ht="15">
      <c r="A152" t="s">
        <v>153</v>
      </c>
      <c r="B152" t="s">
        <v>154</v>
      </c>
      <c r="C152" s="15" t="s">
        <v>30</v>
      </c>
      <c r="D152" s="23" t="s">
        <v>81</v>
      </c>
      <c r="E152" s="25" t="s">
        <v>82</v>
      </c>
      <c r="F152" t="str">
        <f>'Source Table'!$C$6</f>
        <v>Others</v>
      </c>
      <c r="G152" t="str">
        <f>'Source Table'!$C$5</f>
        <v>آخرون</v>
      </c>
      <c r="H152" t="str">
        <f>'Source Table'!$G$8</f>
        <v>Female</v>
      </c>
      <c r="I152" s="16" t="str">
        <f>'Source Table'!$G$7</f>
        <v>أنثى</v>
      </c>
      <c r="J152" s="25" t="str">
        <f>'Source Table'!$B$32</f>
        <v>Laboratory</v>
      </c>
      <c r="K152" s="25" t="str">
        <f>'Source Table'!$I$32</f>
        <v>مختبرات</v>
      </c>
      <c r="L152" s="40">
        <v>5</v>
      </c>
      <c r="M152">
        <v>2023</v>
      </c>
    </row>
    <row r="153" spans="1:13" ht="15">
      <c r="A153" t="s">
        <v>153</v>
      </c>
      <c r="B153" t="s">
        <v>154</v>
      </c>
      <c r="C153" s="15" t="s">
        <v>30</v>
      </c>
      <c r="D153" s="23" t="s">
        <v>81</v>
      </c>
      <c r="E153" s="25" t="s">
        <v>82</v>
      </c>
      <c r="F153" t="str">
        <f>'Source Table'!$C$6</f>
        <v>Others</v>
      </c>
      <c r="G153" t="str">
        <f>'Source Table'!$C$5</f>
        <v>آخرون</v>
      </c>
      <c r="H153" t="str">
        <f>'Source Table'!$G$8</f>
        <v>Female</v>
      </c>
      <c r="I153" s="16" t="str">
        <f>'Source Table'!$G$7</f>
        <v>أنثى</v>
      </c>
      <c r="J153" s="25" t="str">
        <f>'Source Table'!$B$33</f>
        <v>Others</v>
      </c>
      <c r="K153" s="25" t="str">
        <f>'Source Table'!$I$33</f>
        <v>أخرى</v>
      </c>
      <c r="L153" s="39">
        <v>85</v>
      </c>
      <c r="M153">
        <v>2023</v>
      </c>
    </row>
    <row r="154" spans="1:13" ht="15">
      <c r="A154" t="s">
        <v>153</v>
      </c>
      <c r="B154" t="s">
        <v>154</v>
      </c>
      <c r="C154" s="15" t="s">
        <v>30</v>
      </c>
      <c r="D154" s="23" t="s">
        <v>81</v>
      </c>
      <c r="E154" s="25" t="s">
        <v>82</v>
      </c>
      <c r="F154" s="25" t="str">
        <f>'Source Table'!$G$6</f>
        <v>Public Sector</v>
      </c>
      <c r="G154" s="25" t="str">
        <f>'Source Table'!$G$5</f>
        <v>القطاع العام</v>
      </c>
      <c r="H154" t="str">
        <f>'Source Table'!$H$8</f>
        <v>Male</v>
      </c>
      <c r="I154" s="25" t="str">
        <f>'Source Table'!$H$7</f>
        <v>ذكر</v>
      </c>
      <c r="J154" s="25" t="str">
        <f>'Source Table'!$B$9</f>
        <v>General Practitioner</v>
      </c>
      <c r="K154" s="25" t="str">
        <f>'Source Table'!$I$9</f>
        <v>طبيب عام</v>
      </c>
      <c r="L154" s="38">
        <v>3957</v>
      </c>
      <c r="M154">
        <v>2022</v>
      </c>
    </row>
    <row r="155" spans="1:13" ht="15">
      <c r="A155" t="s">
        <v>153</v>
      </c>
      <c r="B155" t="s">
        <v>154</v>
      </c>
      <c r="C155" s="15" t="s">
        <v>30</v>
      </c>
      <c r="D155" s="23" t="s">
        <v>81</v>
      </c>
      <c r="E155" s="25" t="s">
        <v>82</v>
      </c>
      <c r="F155" s="25" t="str">
        <f>'Source Table'!$G$6</f>
        <v>Public Sector</v>
      </c>
      <c r="G155" s="25" t="str">
        <f>'Source Table'!$G$5</f>
        <v>القطاع العام</v>
      </c>
      <c r="H155" t="str">
        <f>'Source Table'!$H$8</f>
        <v>Male</v>
      </c>
      <c r="I155" s="25" t="str">
        <f>'Source Table'!$H$7</f>
        <v>ذكر</v>
      </c>
      <c r="J155" s="25" t="str">
        <f>'Source Table'!$B$10</f>
        <v>Surgeon</v>
      </c>
      <c r="K155" s="25" t="str">
        <f>'Source Table'!$I$10</f>
        <v>جراحة عامة</v>
      </c>
      <c r="L155" s="39">
        <v>495</v>
      </c>
      <c r="M155">
        <v>2022</v>
      </c>
    </row>
    <row r="156" spans="1:13" ht="15">
      <c r="A156" t="s">
        <v>153</v>
      </c>
      <c r="B156" t="s">
        <v>154</v>
      </c>
      <c r="C156" s="15" t="s">
        <v>30</v>
      </c>
      <c r="D156" s="23" t="s">
        <v>81</v>
      </c>
      <c r="E156" s="25" t="s">
        <v>82</v>
      </c>
      <c r="F156" s="25" t="str">
        <f>'Source Table'!$G$6</f>
        <v>Public Sector</v>
      </c>
      <c r="G156" s="25" t="str">
        <f>'Source Table'!$G$5</f>
        <v>القطاع العام</v>
      </c>
      <c r="H156" t="str">
        <f>'Source Table'!$H$8</f>
        <v>Male</v>
      </c>
      <c r="I156" s="25" t="str">
        <f>'Source Table'!$H$7</f>
        <v>ذكر</v>
      </c>
      <c r="J156" s="25" t="str">
        <f>'Source Table'!$B$11</f>
        <v>Internist</v>
      </c>
      <c r="K156" s="25" t="str">
        <f>'Source Table'!$I$11</f>
        <v>باطنية</v>
      </c>
      <c r="L156" s="39">
        <v>399</v>
      </c>
      <c r="M156">
        <v>2022</v>
      </c>
    </row>
    <row r="157" spans="1:13" ht="15">
      <c r="A157" t="s">
        <v>153</v>
      </c>
      <c r="B157" t="s">
        <v>154</v>
      </c>
      <c r="C157" s="15" t="s">
        <v>30</v>
      </c>
      <c r="D157" s="23" t="s">
        <v>81</v>
      </c>
      <c r="E157" s="25" t="s">
        <v>82</v>
      </c>
      <c r="F157" s="25" t="str">
        <f>'Source Table'!$G$6</f>
        <v>Public Sector</v>
      </c>
      <c r="G157" s="25" t="str">
        <f>'Source Table'!$G$5</f>
        <v>القطاع العام</v>
      </c>
      <c r="H157" t="str">
        <f>'Source Table'!$H$8</f>
        <v>Male</v>
      </c>
      <c r="I157" s="25" t="str">
        <f>'Source Table'!$H$7</f>
        <v>ذكر</v>
      </c>
      <c r="J157" s="25" t="str">
        <f>'Source Table'!$B$12</f>
        <v>Gynecologist and Obst.</v>
      </c>
      <c r="K157" s="25" t="str">
        <f>'Source Table'!$I$12</f>
        <v>نسائية وتوليد</v>
      </c>
      <c r="L157" s="39">
        <v>186</v>
      </c>
      <c r="M157">
        <v>2022</v>
      </c>
    </row>
    <row r="158" spans="1:13" ht="15">
      <c r="A158" t="s">
        <v>153</v>
      </c>
      <c r="B158" t="s">
        <v>154</v>
      </c>
      <c r="C158" s="15" t="s">
        <v>30</v>
      </c>
      <c r="D158" s="23" t="s">
        <v>81</v>
      </c>
      <c r="E158" s="25" t="s">
        <v>82</v>
      </c>
      <c r="F158" s="25" t="str">
        <f>'Source Table'!$G$6</f>
        <v>Public Sector</v>
      </c>
      <c r="G158" s="25" t="str">
        <f>'Source Table'!$G$5</f>
        <v>القطاع العام</v>
      </c>
      <c r="H158" t="str">
        <f>'Source Table'!$H$8</f>
        <v>Male</v>
      </c>
      <c r="I158" s="25" t="str">
        <f>'Source Table'!$H$7</f>
        <v>ذكر</v>
      </c>
      <c r="J158" s="25" t="str">
        <f>'Source Table'!$B$13</f>
        <v>Pediatrics</v>
      </c>
      <c r="K158" s="25" t="str">
        <f>'Source Table'!$I$13</f>
        <v>أطفال</v>
      </c>
      <c r="L158" s="39">
        <v>247</v>
      </c>
      <c r="M158">
        <v>2022</v>
      </c>
    </row>
    <row r="159" spans="1:13" ht="15">
      <c r="A159" t="s">
        <v>153</v>
      </c>
      <c r="B159" t="s">
        <v>154</v>
      </c>
      <c r="C159" s="15" t="s">
        <v>30</v>
      </c>
      <c r="D159" s="23" t="s">
        <v>81</v>
      </c>
      <c r="E159" s="25" t="s">
        <v>82</v>
      </c>
      <c r="F159" s="25" t="str">
        <f>'Source Table'!$G$6</f>
        <v>Public Sector</v>
      </c>
      <c r="G159" s="25" t="str">
        <f>'Source Table'!$G$5</f>
        <v>القطاع العام</v>
      </c>
      <c r="H159" t="str">
        <f>'Source Table'!$H$8</f>
        <v>Male</v>
      </c>
      <c r="I159" s="25" t="str">
        <f>'Source Table'!$H$7</f>
        <v>ذكر</v>
      </c>
      <c r="J159" s="25" t="str">
        <f>'Source Table'!$B$14</f>
        <v>Ophthalmologist</v>
      </c>
      <c r="K159" s="25" t="str">
        <f>'Source Table'!$I$14</f>
        <v>العيون</v>
      </c>
      <c r="L159" s="39">
        <v>169</v>
      </c>
      <c r="M159">
        <v>2022</v>
      </c>
    </row>
    <row r="160" spans="1:13" ht="15">
      <c r="A160" t="s">
        <v>153</v>
      </c>
      <c r="B160" t="s">
        <v>154</v>
      </c>
      <c r="C160" s="15" t="s">
        <v>30</v>
      </c>
      <c r="D160" s="23" t="s">
        <v>81</v>
      </c>
      <c r="E160" s="25" t="s">
        <v>82</v>
      </c>
      <c r="F160" s="25" t="str">
        <f>'Source Table'!$G$6</f>
        <v>Public Sector</v>
      </c>
      <c r="G160" s="25" t="str">
        <f>'Source Table'!$G$5</f>
        <v>القطاع العام</v>
      </c>
      <c r="H160" t="str">
        <f>'Source Table'!$H$8</f>
        <v>Male</v>
      </c>
      <c r="I160" s="25" t="str">
        <f>'Source Table'!$H$7</f>
        <v>ذكر</v>
      </c>
      <c r="J160" s="25" t="str">
        <f>'Source Table'!$B$15</f>
        <v>Orthopedic Surg.</v>
      </c>
      <c r="K160" s="25" t="str">
        <f>'Source Table'!$I$15</f>
        <v>العظام</v>
      </c>
      <c r="L160" s="39">
        <v>250</v>
      </c>
      <c r="M160">
        <v>2022</v>
      </c>
    </row>
    <row r="161" spans="1:13" ht="15">
      <c r="A161" t="s">
        <v>153</v>
      </c>
      <c r="B161" t="s">
        <v>154</v>
      </c>
      <c r="C161" s="15" t="s">
        <v>30</v>
      </c>
      <c r="D161" s="23" t="s">
        <v>81</v>
      </c>
      <c r="E161" s="25" t="s">
        <v>82</v>
      </c>
      <c r="F161" s="25" t="str">
        <f>'Source Table'!$G$6</f>
        <v>Public Sector</v>
      </c>
      <c r="G161" s="25" t="str">
        <f>'Source Table'!$G$5</f>
        <v>القطاع العام</v>
      </c>
      <c r="H161" t="str">
        <f>'Source Table'!$H$8</f>
        <v>Male</v>
      </c>
      <c r="I161" s="25" t="str">
        <f>'Source Table'!$H$7</f>
        <v>ذكر</v>
      </c>
      <c r="J161" s="25" t="str">
        <f>'Source Table'!$B$16</f>
        <v>E.N.T.Surg.</v>
      </c>
      <c r="K161" s="25" t="str">
        <f>'Source Table'!$I$16</f>
        <v>أذن وأنف وحنجرة</v>
      </c>
      <c r="L161" s="39">
        <v>154</v>
      </c>
      <c r="M161">
        <v>2022</v>
      </c>
    </row>
    <row r="162" spans="1:13" ht="15">
      <c r="A162" t="s">
        <v>153</v>
      </c>
      <c r="B162" t="s">
        <v>154</v>
      </c>
      <c r="C162" s="15" t="s">
        <v>30</v>
      </c>
      <c r="D162" s="23" t="s">
        <v>81</v>
      </c>
      <c r="E162" s="25" t="s">
        <v>82</v>
      </c>
      <c r="F162" s="25" t="str">
        <f>'Source Table'!$G$6</f>
        <v>Public Sector</v>
      </c>
      <c r="G162" s="25" t="str">
        <f>'Source Table'!$G$5</f>
        <v>القطاع العام</v>
      </c>
      <c r="H162" t="str">
        <f>'Source Table'!$H$8</f>
        <v>Male</v>
      </c>
      <c r="I162" s="25" t="str">
        <f>'Source Table'!$H$7</f>
        <v>ذكر</v>
      </c>
      <c r="J162" s="25" t="str">
        <f>'Source Table'!$B$17</f>
        <v>Neurosurgery</v>
      </c>
      <c r="K162" s="25" t="str">
        <f>'Source Table'!$I$17</f>
        <v>جراحةأعصاب</v>
      </c>
      <c r="L162" s="39">
        <v>54</v>
      </c>
      <c r="M162">
        <v>2022</v>
      </c>
    </row>
    <row r="163" spans="1:13" ht="15">
      <c r="A163" t="s">
        <v>153</v>
      </c>
      <c r="B163" t="s">
        <v>154</v>
      </c>
      <c r="C163" s="15" t="s">
        <v>30</v>
      </c>
      <c r="D163" s="23" t="s">
        <v>81</v>
      </c>
      <c r="E163" s="25" t="s">
        <v>82</v>
      </c>
      <c r="F163" s="25" t="str">
        <f>'Source Table'!$G$6</f>
        <v>Public Sector</v>
      </c>
      <c r="G163" s="25" t="str">
        <f>'Source Table'!$G$5</f>
        <v>القطاع العام</v>
      </c>
      <c r="H163" t="str">
        <f>'Source Table'!$H$8</f>
        <v>Male</v>
      </c>
      <c r="I163" s="25" t="str">
        <f>'Source Table'!$H$7</f>
        <v>ذكر</v>
      </c>
      <c r="J163" s="25" t="str">
        <f>'Source Table'!$B$18</f>
        <v>Cardiothoracic</v>
      </c>
      <c r="K163" s="25" t="str">
        <f>'Source Table'!$I$18</f>
        <v>جراحة قلب</v>
      </c>
      <c r="L163" s="39">
        <v>23</v>
      </c>
      <c r="M163">
        <v>2022</v>
      </c>
    </row>
    <row r="164" spans="1:13" ht="15">
      <c r="A164" t="s">
        <v>153</v>
      </c>
      <c r="B164" t="s">
        <v>154</v>
      </c>
      <c r="C164" s="15" t="s">
        <v>30</v>
      </c>
      <c r="D164" s="23" t="s">
        <v>81</v>
      </c>
      <c r="E164" s="25" t="s">
        <v>82</v>
      </c>
      <c r="F164" s="25" t="str">
        <f>'Source Table'!$G$6</f>
        <v>Public Sector</v>
      </c>
      <c r="G164" s="25" t="str">
        <f>'Source Table'!$G$5</f>
        <v>القطاع العام</v>
      </c>
      <c r="H164" t="str">
        <f>'Source Table'!$H$8</f>
        <v>Male</v>
      </c>
      <c r="I164" s="25" t="str">
        <f>'Source Table'!$H$7</f>
        <v>ذكر</v>
      </c>
      <c r="J164" s="25" t="str">
        <f>'Source Table'!$B$19</f>
        <v>Plastic Surgeon</v>
      </c>
      <c r="K164" s="25" t="str">
        <f>'Source Table'!$I$19</f>
        <v>التجميل</v>
      </c>
      <c r="L164" s="39">
        <v>17</v>
      </c>
      <c r="M164">
        <v>2022</v>
      </c>
    </row>
    <row r="165" spans="1:13" ht="15">
      <c r="A165" t="s">
        <v>153</v>
      </c>
      <c r="B165" t="s">
        <v>154</v>
      </c>
      <c r="C165" s="15" t="s">
        <v>30</v>
      </c>
      <c r="D165" s="23" t="s">
        <v>81</v>
      </c>
      <c r="E165" s="25" t="s">
        <v>82</v>
      </c>
      <c r="F165" s="25" t="str">
        <f>'Source Table'!$G$6</f>
        <v>Public Sector</v>
      </c>
      <c r="G165" s="25" t="str">
        <f>'Source Table'!$G$5</f>
        <v>القطاع العام</v>
      </c>
      <c r="H165" t="str">
        <f>'Source Table'!$H$8</f>
        <v>Male</v>
      </c>
      <c r="I165" s="25" t="str">
        <f>'Source Table'!$H$7</f>
        <v>ذكر</v>
      </c>
      <c r="J165" s="25" t="str">
        <f>'Source Table'!$B$20</f>
        <v>Psychiatry</v>
      </c>
      <c r="K165" s="25" t="str">
        <f>'Source Table'!$I$20</f>
        <v>النفسية</v>
      </c>
      <c r="L165" s="39">
        <v>50</v>
      </c>
      <c r="M165">
        <v>2022</v>
      </c>
    </row>
    <row r="166" spans="1:13" ht="15">
      <c r="A166" t="s">
        <v>153</v>
      </c>
      <c r="B166" t="s">
        <v>154</v>
      </c>
      <c r="C166" s="15" t="s">
        <v>30</v>
      </c>
      <c r="D166" s="23" t="s">
        <v>81</v>
      </c>
      <c r="E166" s="25" t="s">
        <v>82</v>
      </c>
      <c r="F166" s="25" t="str">
        <f>'Source Table'!$G$6</f>
        <v>Public Sector</v>
      </c>
      <c r="G166" s="25" t="str">
        <f>'Source Table'!$G$5</f>
        <v>القطاع العام</v>
      </c>
      <c r="H166" t="str">
        <f>'Source Table'!$H$8</f>
        <v>Male</v>
      </c>
      <c r="I166" s="25" t="str">
        <f>'Source Table'!$H$7</f>
        <v>ذكر</v>
      </c>
      <c r="J166" s="25" t="str">
        <f>'Source Table'!$B$21</f>
        <v>Dermatologist Venereal</v>
      </c>
      <c r="K166" s="25" t="str">
        <f>'Source Table'!$I$21</f>
        <v>جلدية وتناسلية</v>
      </c>
      <c r="L166" s="39">
        <v>65</v>
      </c>
      <c r="M166">
        <v>2022</v>
      </c>
    </row>
    <row r="167" spans="1:13" ht="15">
      <c r="A167" t="s">
        <v>153</v>
      </c>
      <c r="B167" t="s">
        <v>154</v>
      </c>
      <c r="C167" s="15" t="s">
        <v>30</v>
      </c>
      <c r="D167" s="23" t="s">
        <v>81</v>
      </c>
      <c r="E167" s="25" t="s">
        <v>82</v>
      </c>
      <c r="F167" s="25" t="str">
        <f>'Source Table'!$G$6</f>
        <v>Public Sector</v>
      </c>
      <c r="G167" s="25" t="str">
        <f>'Source Table'!$G$5</f>
        <v>القطاع العام</v>
      </c>
      <c r="H167" t="str">
        <f>'Source Table'!$H$8</f>
        <v>Male</v>
      </c>
      <c r="I167" s="25" t="str">
        <f>'Source Table'!$H$7</f>
        <v>ذكر</v>
      </c>
      <c r="J167" s="25" t="str">
        <f>'Source Table'!$B$22</f>
        <v>Neurology/ Nervous</v>
      </c>
      <c r="K167" s="25" t="str">
        <f>'Source Table'!$I$22</f>
        <v>مرض الأعصاب</v>
      </c>
      <c r="L167" s="39">
        <v>14</v>
      </c>
      <c r="M167">
        <v>2022</v>
      </c>
    </row>
    <row r="168" spans="1:13" ht="15">
      <c r="A168" t="s">
        <v>153</v>
      </c>
      <c r="B168" t="s">
        <v>154</v>
      </c>
      <c r="C168" s="15" t="s">
        <v>30</v>
      </c>
      <c r="D168" s="23" t="s">
        <v>81</v>
      </c>
      <c r="E168" s="25" t="s">
        <v>82</v>
      </c>
      <c r="F168" s="25" t="str">
        <f>'Source Table'!$G$6</f>
        <v>Public Sector</v>
      </c>
      <c r="G168" s="25" t="str">
        <f>'Source Table'!$G$5</f>
        <v>القطاع العام</v>
      </c>
      <c r="H168" t="str">
        <f>'Source Table'!$H$8</f>
        <v>Male</v>
      </c>
      <c r="I168" s="25" t="str">
        <f>'Source Table'!$H$7</f>
        <v>ذكر</v>
      </c>
      <c r="J168" s="25" t="str">
        <f>'Source Table'!$B$23</f>
        <v>Pumologist</v>
      </c>
      <c r="K168" s="25" t="str">
        <f>'Source Table'!$I$23</f>
        <v>صدرية</v>
      </c>
      <c r="L168" s="39">
        <v>18</v>
      </c>
      <c r="M168">
        <v>2022</v>
      </c>
    </row>
    <row r="169" spans="1:13" ht="15">
      <c r="A169" t="s">
        <v>153</v>
      </c>
      <c r="B169" t="s">
        <v>154</v>
      </c>
      <c r="C169" s="15" t="s">
        <v>30</v>
      </c>
      <c r="D169" s="23" t="s">
        <v>81</v>
      </c>
      <c r="E169" s="25" t="s">
        <v>82</v>
      </c>
      <c r="F169" s="25" t="str">
        <f>'Source Table'!$G$6</f>
        <v>Public Sector</v>
      </c>
      <c r="G169" s="25" t="str">
        <f>'Source Table'!$G$5</f>
        <v>القطاع العام</v>
      </c>
      <c r="H169" t="str">
        <f>'Source Table'!$H$8</f>
        <v>Male</v>
      </c>
      <c r="I169" s="25" t="str">
        <f>'Source Table'!$H$7</f>
        <v>ذكر</v>
      </c>
      <c r="J169" s="25" t="str">
        <f>'Source Table'!$B$24</f>
        <v>G.I.T. Specialist</v>
      </c>
      <c r="K169" s="25" t="str">
        <f>'Source Table'!$I$24</f>
        <v>جهاز هضمي</v>
      </c>
      <c r="L169" s="39">
        <v>25</v>
      </c>
      <c r="M169">
        <v>2022</v>
      </c>
    </row>
    <row r="170" spans="1:13" ht="15">
      <c r="A170" t="s">
        <v>153</v>
      </c>
      <c r="B170" t="s">
        <v>154</v>
      </c>
      <c r="C170" s="15" t="s">
        <v>30</v>
      </c>
      <c r="D170" s="23" t="s">
        <v>81</v>
      </c>
      <c r="E170" s="25" t="s">
        <v>82</v>
      </c>
      <c r="F170" s="25" t="str">
        <f>'Source Table'!$G$6</f>
        <v>Public Sector</v>
      </c>
      <c r="G170" s="25" t="str">
        <f>'Source Table'!$G$5</f>
        <v>القطاع العام</v>
      </c>
      <c r="H170" t="str">
        <f>'Source Table'!$H$8</f>
        <v>Male</v>
      </c>
      <c r="I170" s="25" t="str">
        <f>'Source Table'!$H$7</f>
        <v>ذكر</v>
      </c>
      <c r="J170" s="25" t="str">
        <f>'Source Table'!$B$25</f>
        <v>Diagnostic Radiology</v>
      </c>
      <c r="K170" s="25" t="str">
        <f>'Source Table'!$I$25</f>
        <v>أشعة تشخيصية</v>
      </c>
      <c r="L170" s="39">
        <v>156</v>
      </c>
      <c r="M170">
        <v>2022</v>
      </c>
    </row>
    <row r="171" spans="1:13" ht="15">
      <c r="A171" t="s">
        <v>153</v>
      </c>
      <c r="B171" t="s">
        <v>154</v>
      </c>
      <c r="C171" s="15" t="s">
        <v>30</v>
      </c>
      <c r="D171" s="23" t="s">
        <v>81</v>
      </c>
      <c r="E171" s="25" t="s">
        <v>82</v>
      </c>
      <c r="F171" s="25" t="str">
        <f>'Source Table'!$G$6</f>
        <v>Public Sector</v>
      </c>
      <c r="G171" s="25" t="str">
        <f>'Source Table'!$G$5</f>
        <v>القطاع العام</v>
      </c>
      <c r="H171" t="str">
        <f>'Source Table'!$H$8</f>
        <v>Male</v>
      </c>
      <c r="I171" s="25" t="str">
        <f>'Source Table'!$H$7</f>
        <v>ذكر</v>
      </c>
      <c r="J171" s="25" t="str">
        <f>'Source Table'!$B$26</f>
        <v>Anesthetic</v>
      </c>
      <c r="K171" s="25" t="str">
        <f>'Source Table'!$I$26</f>
        <v>تخدير وإنعاش</v>
      </c>
      <c r="L171" s="39">
        <v>218</v>
      </c>
      <c r="M171">
        <v>2022</v>
      </c>
    </row>
    <row r="172" spans="1:13" ht="15">
      <c r="A172" t="s">
        <v>153</v>
      </c>
      <c r="B172" t="s">
        <v>154</v>
      </c>
      <c r="C172" s="15" t="s">
        <v>30</v>
      </c>
      <c r="D172" s="23" t="s">
        <v>81</v>
      </c>
      <c r="E172" s="25" t="s">
        <v>82</v>
      </c>
      <c r="F172" s="25" t="str">
        <f>'Source Table'!$G$6</f>
        <v>Public Sector</v>
      </c>
      <c r="G172" s="25" t="str">
        <f>'Source Table'!$G$5</f>
        <v>القطاع العام</v>
      </c>
      <c r="H172" t="str">
        <f>'Source Table'!$H$8</f>
        <v>Male</v>
      </c>
      <c r="I172" s="25" t="str">
        <f>'Source Table'!$H$7</f>
        <v>ذكر</v>
      </c>
      <c r="J172" s="25" t="str">
        <f>'Source Table'!$B$27</f>
        <v>Physiotherapist</v>
      </c>
      <c r="K172" s="25" t="str">
        <f>'Source Table'!$I$27</f>
        <v>طب طبيعي</v>
      </c>
      <c r="L172" s="39">
        <v>44</v>
      </c>
      <c r="M172">
        <v>2022</v>
      </c>
    </row>
    <row r="173" spans="1:13" ht="15">
      <c r="A173" t="s">
        <v>153</v>
      </c>
      <c r="B173" t="s">
        <v>154</v>
      </c>
      <c r="C173" s="15" t="s">
        <v>30</v>
      </c>
      <c r="D173" s="23" t="s">
        <v>81</v>
      </c>
      <c r="E173" s="25" t="s">
        <v>82</v>
      </c>
      <c r="F173" s="25" t="str">
        <f>'Source Table'!$G$6</f>
        <v>Public Sector</v>
      </c>
      <c r="G173" s="25" t="str">
        <f>'Source Table'!$G$5</f>
        <v>القطاع العام</v>
      </c>
      <c r="H173" t="str">
        <f>'Source Table'!$H$8</f>
        <v>Male</v>
      </c>
      <c r="I173" s="25" t="str">
        <f>'Source Table'!$H$7</f>
        <v>ذكر</v>
      </c>
      <c r="J173" s="25" t="str">
        <f>'Source Table'!$B$28</f>
        <v>Forensic</v>
      </c>
      <c r="K173" s="25" t="str">
        <f>'Source Table'!$I$28</f>
        <v>طب شرعي</v>
      </c>
      <c r="L173" s="39">
        <v>26</v>
      </c>
      <c r="M173">
        <v>2022</v>
      </c>
    </row>
    <row r="174" spans="1:13" ht="15">
      <c r="A174" t="s">
        <v>153</v>
      </c>
      <c r="B174" t="s">
        <v>154</v>
      </c>
      <c r="C174" s="15" t="s">
        <v>30</v>
      </c>
      <c r="D174" s="23" t="s">
        <v>81</v>
      </c>
      <c r="E174" s="25" t="s">
        <v>82</v>
      </c>
      <c r="F174" s="25" t="str">
        <f>'Source Table'!$G$6</f>
        <v>Public Sector</v>
      </c>
      <c r="G174" s="25" t="str">
        <f>'Source Table'!$G$5</f>
        <v>القطاع العام</v>
      </c>
      <c r="H174" t="str">
        <f>'Source Table'!$H$8</f>
        <v>Male</v>
      </c>
      <c r="I174" s="25" t="str">
        <f>'Source Table'!$H$7</f>
        <v>ذكر</v>
      </c>
      <c r="J174" s="25" t="str">
        <f>'Source Table'!$B$29</f>
        <v xml:space="preserve">Family </v>
      </c>
      <c r="K174" s="25" t="str">
        <f>'Source Table'!$I$29</f>
        <v>طب أسرة</v>
      </c>
      <c r="L174" s="39">
        <v>78</v>
      </c>
      <c r="M174">
        <v>2022</v>
      </c>
    </row>
    <row r="175" spans="1:13" ht="15">
      <c r="A175" t="s">
        <v>153</v>
      </c>
      <c r="B175" t="s">
        <v>154</v>
      </c>
      <c r="C175" s="15" t="s">
        <v>30</v>
      </c>
      <c r="D175" s="23" t="s">
        <v>81</v>
      </c>
      <c r="E175" s="25" t="s">
        <v>82</v>
      </c>
      <c r="F175" s="25" t="str">
        <f>'Source Table'!$G$6</f>
        <v>Public Sector</v>
      </c>
      <c r="G175" s="25" t="str">
        <f>'Source Table'!$G$5</f>
        <v>القطاع العام</v>
      </c>
      <c r="H175" t="str">
        <f>'Source Table'!$H$8</f>
        <v>Male</v>
      </c>
      <c r="I175" s="25" t="str">
        <f>'Source Table'!$H$7</f>
        <v>ذكر</v>
      </c>
      <c r="J175" s="25" t="str">
        <f>'Source Table'!$B$30</f>
        <v>Urologist</v>
      </c>
      <c r="K175" s="25" t="str">
        <f>'Source Table'!$I$30</f>
        <v xml:space="preserve">المسالك البولية </v>
      </c>
      <c r="L175" s="39">
        <v>96</v>
      </c>
      <c r="M175">
        <v>2022</v>
      </c>
    </row>
    <row r="176" spans="1:13" ht="15">
      <c r="A176" t="s">
        <v>153</v>
      </c>
      <c r="B176" t="s">
        <v>154</v>
      </c>
      <c r="C176" s="15" t="s">
        <v>30</v>
      </c>
      <c r="D176" s="23" t="s">
        <v>81</v>
      </c>
      <c r="E176" s="25" t="s">
        <v>82</v>
      </c>
      <c r="F176" s="25" t="str">
        <f>'Source Table'!$G$6</f>
        <v>Public Sector</v>
      </c>
      <c r="G176" s="25" t="str">
        <f>'Source Table'!$G$5</f>
        <v>القطاع العام</v>
      </c>
      <c r="H176" t="str">
        <f>'Source Table'!$H$8</f>
        <v>Male</v>
      </c>
      <c r="I176" s="25" t="str">
        <f>'Source Table'!$H$7</f>
        <v>ذكر</v>
      </c>
      <c r="J176" s="25" t="str">
        <f>'Source Table'!$B$31</f>
        <v>Cardiology</v>
      </c>
      <c r="K176" s="25" t="str">
        <f>'Source Table'!$I$31</f>
        <v>أمراض القلب</v>
      </c>
      <c r="L176" s="39">
        <v>32</v>
      </c>
      <c r="M176">
        <v>2022</v>
      </c>
    </row>
    <row r="177" spans="1:13" ht="15">
      <c r="A177" t="s">
        <v>153</v>
      </c>
      <c r="B177" t="s">
        <v>154</v>
      </c>
      <c r="C177" s="15" t="s">
        <v>30</v>
      </c>
      <c r="D177" s="23" t="s">
        <v>81</v>
      </c>
      <c r="E177" s="25" t="s">
        <v>82</v>
      </c>
      <c r="F177" s="25" t="str">
        <f>'Source Table'!$G$6</f>
        <v>Public Sector</v>
      </c>
      <c r="G177" s="25" t="str">
        <f>'Source Table'!$G$5</f>
        <v>القطاع العام</v>
      </c>
      <c r="H177" t="str">
        <f>'Source Table'!$H$8</f>
        <v>Male</v>
      </c>
      <c r="I177" s="25" t="str">
        <f>'Source Table'!$H$7</f>
        <v>ذكر</v>
      </c>
      <c r="J177" s="25" t="str">
        <f>'Source Table'!$B$32</f>
        <v>Laboratory</v>
      </c>
      <c r="K177" s="25" t="str">
        <f>'Source Table'!$I$32</f>
        <v>مختبرات</v>
      </c>
      <c r="L177" s="39">
        <v>7</v>
      </c>
      <c r="M177">
        <v>2022</v>
      </c>
    </row>
    <row r="178" spans="1:13" ht="15">
      <c r="A178" t="s">
        <v>153</v>
      </c>
      <c r="B178" t="s">
        <v>154</v>
      </c>
      <c r="C178" s="15" t="s">
        <v>30</v>
      </c>
      <c r="D178" s="23" t="s">
        <v>81</v>
      </c>
      <c r="E178" s="25" t="s">
        <v>82</v>
      </c>
      <c r="F178" s="25" t="str">
        <f>'Source Table'!$G$6</f>
        <v>Public Sector</v>
      </c>
      <c r="G178" s="25" t="str">
        <f>'Source Table'!$G$5</f>
        <v>القطاع العام</v>
      </c>
      <c r="H178" t="str">
        <f>'Source Table'!$H$8</f>
        <v>Male</v>
      </c>
      <c r="I178" s="25" t="str">
        <f>'Source Table'!$H$7</f>
        <v>ذكر</v>
      </c>
      <c r="J178" s="25" t="str">
        <f>'Source Table'!$B$33</f>
        <v>Others</v>
      </c>
      <c r="K178" s="25" t="str">
        <f>'Source Table'!$I$33</f>
        <v>أخرى</v>
      </c>
      <c r="L178" s="39">
        <v>472</v>
      </c>
      <c r="M178">
        <v>2022</v>
      </c>
    </row>
    <row r="179" spans="1:13" ht="15">
      <c r="A179" t="s">
        <v>153</v>
      </c>
      <c r="B179" t="s">
        <v>154</v>
      </c>
      <c r="C179" s="15" t="s">
        <v>30</v>
      </c>
      <c r="D179" s="23" t="s">
        <v>81</v>
      </c>
      <c r="E179" s="25" t="s">
        <v>82</v>
      </c>
      <c r="F179" s="25" t="str">
        <f>'Source Table'!$G$6</f>
        <v>Public Sector</v>
      </c>
      <c r="G179" s="25" t="str">
        <f>'Source Table'!$G$5</f>
        <v>القطاع العام</v>
      </c>
      <c r="H179" t="str">
        <f>'Source Table'!$G$8</f>
        <v>Female</v>
      </c>
      <c r="I179" s="16" t="str">
        <f>'Source Table'!$G$7</f>
        <v>أنثى</v>
      </c>
      <c r="J179" s="25" t="str">
        <f>'Source Table'!$B$9</f>
        <v>General Practitioner</v>
      </c>
      <c r="K179" s="25" t="str">
        <f>'Source Table'!$I$9</f>
        <v>طبيب عام</v>
      </c>
      <c r="L179" s="38">
        <v>1119</v>
      </c>
      <c r="M179">
        <v>2022</v>
      </c>
    </row>
    <row r="180" spans="1:13" ht="15">
      <c r="A180" t="s">
        <v>153</v>
      </c>
      <c r="B180" t="s">
        <v>154</v>
      </c>
      <c r="C180" s="15" t="s">
        <v>30</v>
      </c>
      <c r="D180" s="23" t="s">
        <v>81</v>
      </c>
      <c r="E180" s="25" t="s">
        <v>82</v>
      </c>
      <c r="F180" s="25" t="str">
        <f>'Source Table'!$G$6</f>
        <v>Public Sector</v>
      </c>
      <c r="G180" s="25" t="str">
        <f>'Source Table'!$G$5</f>
        <v>القطاع العام</v>
      </c>
      <c r="H180" t="str">
        <f>'Source Table'!$G$8</f>
        <v>Female</v>
      </c>
      <c r="I180" s="16" t="str">
        <f>'Source Table'!$G$7</f>
        <v>أنثى</v>
      </c>
      <c r="J180" s="25" t="str">
        <f>'Source Table'!$B$10</f>
        <v>Surgeon</v>
      </c>
      <c r="K180" s="25" t="str">
        <f>'Source Table'!$I$10</f>
        <v>جراحة عامة</v>
      </c>
      <c r="L180" s="39">
        <v>21</v>
      </c>
      <c r="M180">
        <v>2022</v>
      </c>
    </row>
    <row r="181" spans="1:13" ht="15">
      <c r="A181" t="s">
        <v>153</v>
      </c>
      <c r="B181" t="s">
        <v>154</v>
      </c>
      <c r="C181" s="15" t="s">
        <v>30</v>
      </c>
      <c r="D181" s="23" t="s">
        <v>81</v>
      </c>
      <c r="E181" s="25" t="s">
        <v>82</v>
      </c>
      <c r="F181" s="25" t="str">
        <f>'Source Table'!$G$6</f>
        <v>Public Sector</v>
      </c>
      <c r="G181" s="25" t="str">
        <f>'Source Table'!$G$5</f>
        <v>القطاع العام</v>
      </c>
      <c r="H181" t="str">
        <f>'Source Table'!$G$8</f>
        <v>Female</v>
      </c>
      <c r="I181" s="16" t="str">
        <f>'Source Table'!$G$7</f>
        <v>أنثى</v>
      </c>
      <c r="J181" s="25" t="str">
        <f>'Source Table'!$B$11</f>
        <v>Internist</v>
      </c>
      <c r="K181" s="25" t="str">
        <f>'Source Table'!$I$11</f>
        <v>باطنية</v>
      </c>
      <c r="L181" s="39">
        <v>71</v>
      </c>
      <c r="M181">
        <v>2022</v>
      </c>
    </row>
    <row r="182" spans="1:13" ht="15">
      <c r="A182" t="s">
        <v>153</v>
      </c>
      <c r="B182" t="s">
        <v>154</v>
      </c>
      <c r="C182" s="15" t="s">
        <v>30</v>
      </c>
      <c r="D182" s="23" t="s">
        <v>81</v>
      </c>
      <c r="E182" s="25" t="s">
        <v>82</v>
      </c>
      <c r="F182" s="25" t="str">
        <f>'Source Table'!$G$6</f>
        <v>Public Sector</v>
      </c>
      <c r="G182" s="25" t="str">
        <f>'Source Table'!$G$5</f>
        <v>القطاع العام</v>
      </c>
      <c r="H182" t="str">
        <f>'Source Table'!$G$8</f>
        <v>Female</v>
      </c>
      <c r="I182" s="16" t="str">
        <f>'Source Table'!$G$7</f>
        <v>أنثى</v>
      </c>
      <c r="J182" s="25" t="str">
        <f>'Source Table'!$B$12</f>
        <v>Gynecologist and Obst.</v>
      </c>
      <c r="K182" s="25" t="str">
        <f>'Source Table'!$I$12</f>
        <v>نسائية وتوليد</v>
      </c>
      <c r="L182" s="39">
        <v>96</v>
      </c>
      <c r="M182">
        <v>2022</v>
      </c>
    </row>
    <row r="183" spans="1:13" ht="15">
      <c r="A183" t="s">
        <v>153</v>
      </c>
      <c r="B183" t="s">
        <v>154</v>
      </c>
      <c r="C183" s="15" t="s">
        <v>30</v>
      </c>
      <c r="D183" s="23" t="s">
        <v>81</v>
      </c>
      <c r="E183" s="25" t="s">
        <v>82</v>
      </c>
      <c r="F183" s="25" t="str">
        <f>'Source Table'!$G$6</f>
        <v>Public Sector</v>
      </c>
      <c r="G183" s="25" t="str">
        <f>'Source Table'!$G$5</f>
        <v>القطاع العام</v>
      </c>
      <c r="H183" t="str">
        <f>'Source Table'!$G$8</f>
        <v>Female</v>
      </c>
      <c r="I183" s="16" t="str">
        <f>'Source Table'!$G$7</f>
        <v>أنثى</v>
      </c>
      <c r="J183" s="25" t="str">
        <f>'Source Table'!$B$13</f>
        <v>Pediatrics</v>
      </c>
      <c r="K183" s="25" t="str">
        <f>'Source Table'!$I$13</f>
        <v>أطفال</v>
      </c>
      <c r="L183" s="39">
        <v>172</v>
      </c>
      <c r="M183">
        <v>2022</v>
      </c>
    </row>
    <row r="184" spans="1:13" ht="15">
      <c r="A184" t="s">
        <v>153</v>
      </c>
      <c r="B184" t="s">
        <v>154</v>
      </c>
      <c r="C184" s="15" t="s">
        <v>30</v>
      </c>
      <c r="D184" s="23" t="s">
        <v>81</v>
      </c>
      <c r="E184" s="25" t="s">
        <v>82</v>
      </c>
      <c r="F184" s="25" t="str">
        <f>'Source Table'!$G$6</f>
        <v>Public Sector</v>
      </c>
      <c r="G184" s="25" t="str">
        <f>'Source Table'!$G$5</f>
        <v>القطاع العام</v>
      </c>
      <c r="H184" t="str">
        <f>'Source Table'!$G$8</f>
        <v>Female</v>
      </c>
      <c r="I184" s="16" t="str">
        <f>'Source Table'!$G$7</f>
        <v>أنثى</v>
      </c>
      <c r="J184" s="25" t="str">
        <f>'Source Table'!$B$14</f>
        <v>Ophthalmologist</v>
      </c>
      <c r="K184" s="25" t="str">
        <f>'Source Table'!$I$14</f>
        <v>العيون</v>
      </c>
      <c r="L184" s="39">
        <v>73</v>
      </c>
      <c r="M184">
        <v>2022</v>
      </c>
    </row>
    <row r="185" spans="1:13" ht="15">
      <c r="A185" t="s">
        <v>153</v>
      </c>
      <c r="B185" t="s">
        <v>154</v>
      </c>
      <c r="C185" s="15" t="s">
        <v>30</v>
      </c>
      <c r="D185" s="23" t="s">
        <v>81</v>
      </c>
      <c r="E185" s="25" t="s">
        <v>82</v>
      </c>
      <c r="F185" s="25" t="str">
        <f>'Source Table'!$G$6</f>
        <v>Public Sector</v>
      </c>
      <c r="G185" s="25" t="str">
        <f>'Source Table'!$G$5</f>
        <v>القطاع العام</v>
      </c>
      <c r="H185" t="str">
        <f>'Source Table'!$G$8</f>
        <v>Female</v>
      </c>
      <c r="I185" s="16" t="str">
        <f>'Source Table'!$G$7</f>
        <v>أنثى</v>
      </c>
      <c r="J185" s="25" t="str">
        <f>'Source Table'!$B$15</f>
        <v>Orthopedic Surg.</v>
      </c>
      <c r="K185" s="25" t="str">
        <f>'Source Table'!$I$15</f>
        <v>العظام</v>
      </c>
      <c r="L185" s="39">
        <v>0</v>
      </c>
      <c r="M185">
        <v>2022</v>
      </c>
    </row>
    <row r="186" spans="1:13" ht="15">
      <c r="A186" t="s">
        <v>153</v>
      </c>
      <c r="B186" t="s">
        <v>154</v>
      </c>
      <c r="C186" s="15" t="s">
        <v>30</v>
      </c>
      <c r="D186" s="23" t="s">
        <v>81</v>
      </c>
      <c r="E186" s="25" t="s">
        <v>82</v>
      </c>
      <c r="F186" s="25" t="str">
        <f>'Source Table'!$G$6</f>
        <v>Public Sector</v>
      </c>
      <c r="G186" s="25" t="str">
        <f>'Source Table'!$G$5</f>
        <v>القطاع العام</v>
      </c>
      <c r="H186" t="str">
        <f>'Source Table'!$G$8</f>
        <v>Female</v>
      </c>
      <c r="I186" s="16" t="str">
        <f>'Source Table'!$G$7</f>
        <v>أنثى</v>
      </c>
      <c r="J186" s="25" t="str">
        <f>'Source Table'!$B$16</f>
        <v>E.N.T.Surg.</v>
      </c>
      <c r="K186" s="25" t="str">
        <f>'Source Table'!$I$16</f>
        <v>أذن وأنف وحنجرة</v>
      </c>
      <c r="L186" s="39">
        <v>28</v>
      </c>
      <c r="M186">
        <v>2022</v>
      </c>
    </row>
    <row r="187" spans="1:13" ht="15">
      <c r="A187" t="s">
        <v>153</v>
      </c>
      <c r="B187" t="s">
        <v>154</v>
      </c>
      <c r="C187" s="15" t="s">
        <v>30</v>
      </c>
      <c r="D187" s="23" t="s">
        <v>81</v>
      </c>
      <c r="E187" s="25" t="s">
        <v>82</v>
      </c>
      <c r="F187" s="25" t="str">
        <f>'Source Table'!$G$6</f>
        <v>Public Sector</v>
      </c>
      <c r="G187" s="25" t="str">
        <f>'Source Table'!$G$5</f>
        <v>القطاع العام</v>
      </c>
      <c r="H187" t="str">
        <f>'Source Table'!$G$8</f>
        <v>Female</v>
      </c>
      <c r="I187" s="16" t="str">
        <f>'Source Table'!$G$7</f>
        <v>أنثى</v>
      </c>
      <c r="J187" s="25" t="str">
        <f>'Source Table'!$B$17</f>
        <v>Neurosurgery</v>
      </c>
      <c r="K187" s="25" t="str">
        <f>'Source Table'!$I$17</f>
        <v>جراحةأعصاب</v>
      </c>
      <c r="L187" s="39">
        <v>0</v>
      </c>
      <c r="M187">
        <v>2022</v>
      </c>
    </row>
    <row r="188" spans="1:13" ht="15">
      <c r="A188" t="s">
        <v>153</v>
      </c>
      <c r="B188" t="s">
        <v>154</v>
      </c>
      <c r="C188" s="15" t="s">
        <v>30</v>
      </c>
      <c r="D188" s="23" t="s">
        <v>81</v>
      </c>
      <c r="E188" s="25" t="s">
        <v>82</v>
      </c>
      <c r="F188" s="25" t="str">
        <f>'Source Table'!$G$6</f>
        <v>Public Sector</v>
      </c>
      <c r="G188" s="25" t="str">
        <f>'Source Table'!$G$5</f>
        <v>القطاع العام</v>
      </c>
      <c r="H188" t="str">
        <f>'Source Table'!$G$8</f>
        <v>Female</v>
      </c>
      <c r="I188" s="16" t="str">
        <f>'Source Table'!$G$7</f>
        <v>أنثى</v>
      </c>
      <c r="J188" s="25" t="str">
        <f>'Source Table'!$B$18</f>
        <v>Cardiothoracic</v>
      </c>
      <c r="K188" s="25" t="str">
        <f>'Source Table'!$I$18</f>
        <v>جراحة قلب</v>
      </c>
      <c r="L188" s="39">
        <v>0</v>
      </c>
      <c r="M188">
        <v>2022</v>
      </c>
    </row>
    <row r="189" spans="1:13" ht="15">
      <c r="A189" t="s">
        <v>153</v>
      </c>
      <c r="B189" t="s">
        <v>154</v>
      </c>
      <c r="C189" s="15" t="s">
        <v>30</v>
      </c>
      <c r="D189" s="23" t="s">
        <v>81</v>
      </c>
      <c r="E189" s="25" t="s">
        <v>82</v>
      </c>
      <c r="F189" s="25" t="str">
        <f>'Source Table'!$G$6</f>
        <v>Public Sector</v>
      </c>
      <c r="G189" s="25" t="str">
        <f>'Source Table'!$G$5</f>
        <v>القطاع العام</v>
      </c>
      <c r="H189" t="str">
        <f>'Source Table'!$G$8</f>
        <v>Female</v>
      </c>
      <c r="I189" s="16" t="str">
        <f>'Source Table'!$G$7</f>
        <v>أنثى</v>
      </c>
      <c r="J189" s="25" t="str">
        <f>'Source Table'!$B$19</f>
        <v>Plastic Surgeon</v>
      </c>
      <c r="K189" s="25" t="str">
        <f>'Source Table'!$I$19</f>
        <v>التجميل</v>
      </c>
      <c r="L189" s="39">
        <v>0</v>
      </c>
      <c r="M189">
        <v>2022</v>
      </c>
    </row>
    <row r="190" spans="1:13" ht="15">
      <c r="A190" t="s">
        <v>153</v>
      </c>
      <c r="B190" t="s">
        <v>154</v>
      </c>
      <c r="C190" s="15" t="s">
        <v>30</v>
      </c>
      <c r="D190" s="23" t="s">
        <v>81</v>
      </c>
      <c r="E190" s="25" t="s">
        <v>82</v>
      </c>
      <c r="F190" s="25" t="str">
        <f>'Source Table'!$G$6</f>
        <v>Public Sector</v>
      </c>
      <c r="G190" s="25" t="str">
        <f>'Source Table'!$G$5</f>
        <v>القطاع العام</v>
      </c>
      <c r="H190" t="str">
        <f>'Source Table'!$G$8</f>
        <v>Female</v>
      </c>
      <c r="I190" s="16" t="str">
        <f>'Source Table'!$G$7</f>
        <v>أنثى</v>
      </c>
      <c r="J190" s="25" t="str">
        <f>'Source Table'!$B$20</f>
        <v>Psychiatry</v>
      </c>
      <c r="K190" s="25" t="str">
        <f>'Source Table'!$I$20</f>
        <v>النفسية</v>
      </c>
      <c r="L190" s="39">
        <v>9</v>
      </c>
      <c r="M190">
        <v>2022</v>
      </c>
    </row>
    <row r="191" spans="1:13" ht="15">
      <c r="A191" t="s">
        <v>153</v>
      </c>
      <c r="B191" t="s">
        <v>154</v>
      </c>
      <c r="C191" s="15" t="s">
        <v>30</v>
      </c>
      <c r="D191" s="23" t="s">
        <v>81</v>
      </c>
      <c r="E191" s="25" t="s">
        <v>82</v>
      </c>
      <c r="F191" s="25" t="str">
        <f>'Source Table'!$G$6</f>
        <v>Public Sector</v>
      </c>
      <c r="G191" s="25" t="str">
        <f>'Source Table'!$G$5</f>
        <v>القطاع العام</v>
      </c>
      <c r="H191" t="str">
        <f>'Source Table'!$G$8</f>
        <v>Female</v>
      </c>
      <c r="I191" s="16" t="str">
        <f>'Source Table'!$G$7</f>
        <v>أنثى</v>
      </c>
      <c r="J191" s="25" t="str">
        <f>'Source Table'!$B$21</f>
        <v>Dermatologist Venereal</v>
      </c>
      <c r="K191" s="25" t="str">
        <f>'Source Table'!$I$21</f>
        <v>جلدية وتناسلية</v>
      </c>
      <c r="L191" s="39">
        <v>36</v>
      </c>
      <c r="M191">
        <v>2022</v>
      </c>
    </row>
    <row r="192" spans="1:13" ht="15">
      <c r="A192" t="s">
        <v>153</v>
      </c>
      <c r="B192" t="s">
        <v>154</v>
      </c>
      <c r="C192" s="15" t="s">
        <v>30</v>
      </c>
      <c r="D192" s="23" t="s">
        <v>81</v>
      </c>
      <c r="E192" s="25" t="s">
        <v>82</v>
      </c>
      <c r="F192" s="25" t="str">
        <f>'Source Table'!$G$6</f>
        <v>Public Sector</v>
      </c>
      <c r="G192" s="25" t="str">
        <f>'Source Table'!$G$5</f>
        <v>القطاع العام</v>
      </c>
      <c r="H192" t="str">
        <f>'Source Table'!$G$8</f>
        <v>Female</v>
      </c>
      <c r="I192" s="16" t="str">
        <f>'Source Table'!$G$7</f>
        <v>أنثى</v>
      </c>
      <c r="J192" s="25" t="str">
        <f>'Source Table'!$B$22</f>
        <v>Neurology/ Nervous</v>
      </c>
      <c r="K192" s="25" t="str">
        <f>'Source Table'!$I$22</f>
        <v>مرض الأعصاب</v>
      </c>
      <c r="L192" s="39">
        <v>4</v>
      </c>
      <c r="M192">
        <v>2022</v>
      </c>
    </row>
    <row r="193" spans="1:13" ht="15">
      <c r="A193" t="s">
        <v>153</v>
      </c>
      <c r="B193" t="s">
        <v>154</v>
      </c>
      <c r="C193" s="15" t="s">
        <v>30</v>
      </c>
      <c r="D193" s="23" t="s">
        <v>81</v>
      </c>
      <c r="E193" s="25" t="s">
        <v>82</v>
      </c>
      <c r="F193" s="25" t="str">
        <f>'Source Table'!$G$6</f>
        <v>Public Sector</v>
      </c>
      <c r="G193" s="25" t="str">
        <f>'Source Table'!$G$5</f>
        <v>القطاع العام</v>
      </c>
      <c r="H193" t="str">
        <f>'Source Table'!$G$8</f>
        <v>Female</v>
      </c>
      <c r="I193" s="16" t="str">
        <f>'Source Table'!$G$7</f>
        <v>أنثى</v>
      </c>
      <c r="J193" s="25" t="str">
        <f>'Source Table'!$B$23</f>
        <v>Pumologist</v>
      </c>
      <c r="K193" s="25" t="str">
        <f>'Source Table'!$I$23</f>
        <v>صدرية</v>
      </c>
      <c r="L193" s="39">
        <v>2</v>
      </c>
      <c r="M193">
        <v>2022</v>
      </c>
    </row>
    <row r="194" spans="1:13" ht="15">
      <c r="A194" t="s">
        <v>153</v>
      </c>
      <c r="B194" t="s">
        <v>154</v>
      </c>
      <c r="C194" s="15" t="s">
        <v>30</v>
      </c>
      <c r="D194" s="23" t="s">
        <v>81</v>
      </c>
      <c r="E194" s="25" t="s">
        <v>82</v>
      </c>
      <c r="F194" s="25" t="str">
        <f>'Source Table'!$G$6</f>
        <v>Public Sector</v>
      </c>
      <c r="G194" s="25" t="str">
        <f>'Source Table'!$G$5</f>
        <v>القطاع العام</v>
      </c>
      <c r="H194" t="str">
        <f>'Source Table'!$G$8</f>
        <v>Female</v>
      </c>
      <c r="I194" s="16" t="str">
        <f>'Source Table'!$G$7</f>
        <v>أنثى</v>
      </c>
      <c r="J194" s="25" t="str">
        <f>'Source Table'!$B$24</f>
        <v>G.I.T. Specialist</v>
      </c>
      <c r="K194" s="25" t="str">
        <f>'Source Table'!$I$24</f>
        <v>جهاز هضمي</v>
      </c>
      <c r="L194" s="39">
        <v>3</v>
      </c>
      <c r="M194">
        <v>2022</v>
      </c>
    </row>
    <row r="195" spans="1:13" ht="15">
      <c r="A195" t="s">
        <v>153</v>
      </c>
      <c r="B195" t="s">
        <v>154</v>
      </c>
      <c r="C195" s="15" t="s">
        <v>30</v>
      </c>
      <c r="D195" s="23" t="s">
        <v>81</v>
      </c>
      <c r="E195" s="25" t="s">
        <v>82</v>
      </c>
      <c r="F195" s="25" t="str">
        <f>'Source Table'!$G$6</f>
        <v>Public Sector</v>
      </c>
      <c r="G195" s="25" t="str">
        <f>'Source Table'!$G$5</f>
        <v>القطاع العام</v>
      </c>
      <c r="H195" t="str">
        <f>'Source Table'!$G$8</f>
        <v>Female</v>
      </c>
      <c r="I195" s="16" t="str">
        <f>'Source Table'!$G$7</f>
        <v>أنثى</v>
      </c>
      <c r="J195" s="25" t="str">
        <f>'Source Table'!$B$25</f>
        <v>Diagnostic Radiology</v>
      </c>
      <c r="K195" s="25" t="str">
        <f>'Source Table'!$I$25</f>
        <v>أشعة تشخيصية</v>
      </c>
      <c r="L195" s="39">
        <v>54</v>
      </c>
      <c r="M195">
        <v>2022</v>
      </c>
    </row>
    <row r="196" spans="1:13" ht="15">
      <c r="A196" t="s">
        <v>153</v>
      </c>
      <c r="B196" t="s">
        <v>154</v>
      </c>
      <c r="C196" s="15" t="s">
        <v>30</v>
      </c>
      <c r="D196" s="23" t="s">
        <v>81</v>
      </c>
      <c r="E196" s="25" t="s">
        <v>82</v>
      </c>
      <c r="F196" s="25" t="str">
        <f>'Source Table'!$G$6</f>
        <v>Public Sector</v>
      </c>
      <c r="G196" s="25" t="str">
        <f>'Source Table'!$G$5</f>
        <v>القطاع العام</v>
      </c>
      <c r="H196" t="str">
        <f>'Source Table'!$G$8</f>
        <v>Female</v>
      </c>
      <c r="I196" s="16" t="str">
        <f>'Source Table'!$G$7</f>
        <v>أنثى</v>
      </c>
      <c r="J196" s="25" t="str">
        <f>'Source Table'!$B$26</f>
        <v>Anesthetic</v>
      </c>
      <c r="K196" s="25" t="str">
        <f>'Source Table'!$I$26</f>
        <v>تخدير وإنعاش</v>
      </c>
      <c r="L196" s="39">
        <v>14</v>
      </c>
      <c r="M196">
        <v>2022</v>
      </c>
    </row>
    <row r="197" spans="1:13" ht="15">
      <c r="A197" t="s">
        <v>153</v>
      </c>
      <c r="B197" t="s">
        <v>154</v>
      </c>
      <c r="C197" s="15" t="s">
        <v>30</v>
      </c>
      <c r="D197" s="23" t="s">
        <v>81</v>
      </c>
      <c r="E197" s="25" t="s">
        <v>82</v>
      </c>
      <c r="F197" s="25" t="str">
        <f>'Source Table'!$G$6</f>
        <v>Public Sector</v>
      </c>
      <c r="G197" s="25" t="str">
        <f>'Source Table'!$G$5</f>
        <v>القطاع العام</v>
      </c>
      <c r="H197" t="str">
        <f>'Source Table'!$G$8</f>
        <v>Female</v>
      </c>
      <c r="I197" s="16" t="str">
        <f>'Source Table'!$G$7</f>
        <v>أنثى</v>
      </c>
      <c r="J197" s="25" t="str">
        <f>'Source Table'!$B$27</f>
        <v>Physiotherapist</v>
      </c>
      <c r="K197" s="25" t="str">
        <f>'Source Table'!$I$27</f>
        <v>طب طبيعي</v>
      </c>
      <c r="L197" s="39">
        <v>12</v>
      </c>
      <c r="M197">
        <v>2022</v>
      </c>
    </row>
    <row r="198" spans="1:13" ht="15">
      <c r="A198" t="s">
        <v>153</v>
      </c>
      <c r="B198" t="s">
        <v>154</v>
      </c>
      <c r="C198" s="15" t="s">
        <v>30</v>
      </c>
      <c r="D198" s="23" t="s">
        <v>81</v>
      </c>
      <c r="E198" s="25" t="s">
        <v>82</v>
      </c>
      <c r="F198" s="25" t="str">
        <f>'Source Table'!$G$6</f>
        <v>Public Sector</v>
      </c>
      <c r="G198" s="25" t="str">
        <f>'Source Table'!$G$5</f>
        <v>القطاع العام</v>
      </c>
      <c r="H198" t="str">
        <f>'Source Table'!$G$8</f>
        <v>Female</v>
      </c>
      <c r="I198" s="16" t="str">
        <f>'Source Table'!$G$7</f>
        <v>أنثى</v>
      </c>
      <c r="J198" s="25" t="str">
        <f>'Source Table'!$B$28</f>
        <v>Forensic</v>
      </c>
      <c r="K198" s="25" t="str">
        <f>'Source Table'!$I$28</f>
        <v>طب شرعي</v>
      </c>
      <c r="L198" s="39">
        <v>4</v>
      </c>
      <c r="M198">
        <v>2022</v>
      </c>
    </row>
    <row r="199" spans="1:13" ht="15">
      <c r="A199" t="s">
        <v>153</v>
      </c>
      <c r="B199" t="s">
        <v>154</v>
      </c>
      <c r="C199" s="15" t="s">
        <v>30</v>
      </c>
      <c r="D199" s="23" t="s">
        <v>81</v>
      </c>
      <c r="E199" s="25" t="s">
        <v>82</v>
      </c>
      <c r="F199" s="25" t="str">
        <f>'Source Table'!$G$6</f>
        <v>Public Sector</v>
      </c>
      <c r="G199" s="25" t="str">
        <f>'Source Table'!$G$5</f>
        <v>القطاع العام</v>
      </c>
      <c r="H199" t="str">
        <f>'Source Table'!$G$8</f>
        <v>Female</v>
      </c>
      <c r="I199" s="16" t="str">
        <f>'Source Table'!$G$7</f>
        <v>أنثى</v>
      </c>
      <c r="J199" s="25" t="str">
        <f>'Source Table'!$B$29</f>
        <v xml:space="preserve">Family </v>
      </c>
      <c r="K199" s="25" t="str">
        <f>'Source Table'!$I$29</f>
        <v>طب أسرة</v>
      </c>
      <c r="L199" s="39">
        <v>110</v>
      </c>
      <c r="M199">
        <v>2022</v>
      </c>
    </row>
    <row r="200" spans="1:13" ht="15">
      <c r="A200" t="s">
        <v>153</v>
      </c>
      <c r="B200" t="s">
        <v>154</v>
      </c>
      <c r="C200" s="15" t="s">
        <v>30</v>
      </c>
      <c r="D200" s="23" t="s">
        <v>81</v>
      </c>
      <c r="E200" s="25" t="s">
        <v>82</v>
      </c>
      <c r="F200" s="25" t="str">
        <f>'Source Table'!$G$6</f>
        <v>Public Sector</v>
      </c>
      <c r="G200" s="25" t="str">
        <f>'Source Table'!$G$5</f>
        <v>القطاع العام</v>
      </c>
      <c r="H200" t="str">
        <f>'Source Table'!$G$8</f>
        <v>Female</v>
      </c>
      <c r="I200" s="16" t="str">
        <f>'Source Table'!$G$7</f>
        <v>أنثى</v>
      </c>
      <c r="J200" s="25" t="str">
        <f>'Source Table'!$B$30</f>
        <v>Urologist</v>
      </c>
      <c r="K200" s="25" t="str">
        <f>'Source Table'!$I$30</f>
        <v xml:space="preserve">المسالك البولية </v>
      </c>
      <c r="L200" s="39">
        <v>1</v>
      </c>
      <c r="M200">
        <v>2022</v>
      </c>
    </row>
    <row r="201" spans="1:13" ht="15">
      <c r="A201" t="s">
        <v>153</v>
      </c>
      <c r="B201" t="s">
        <v>154</v>
      </c>
      <c r="C201" s="15" t="s">
        <v>30</v>
      </c>
      <c r="D201" s="23" t="s">
        <v>81</v>
      </c>
      <c r="E201" s="25" t="s">
        <v>82</v>
      </c>
      <c r="F201" s="25" t="str">
        <f>'Source Table'!$G$6</f>
        <v>Public Sector</v>
      </c>
      <c r="G201" s="25" t="str">
        <f>'Source Table'!$G$5</f>
        <v>القطاع العام</v>
      </c>
      <c r="H201" t="str">
        <f>'Source Table'!$G$8</f>
        <v>Female</v>
      </c>
      <c r="I201" s="16" t="str">
        <f>'Source Table'!$G$7</f>
        <v>أنثى</v>
      </c>
      <c r="J201" s="25" t="str">
        <f>'Source Table'!$B$31</f>
        <v>Cardiology</v>
      </c>
      <c r="K201" s="25" t="str">
        <f>'Source Table'!$I$31</f>
        <v>أمراض القلب</v>
      </c>
      <c r="L201" s="39">
        <v>3</v>
      </c>
      <c r="M201">
        <v>2022</v>
      </c>
    </row>
    <row r="202" spans="1:13" ht="15">
      <c r="A202" t="s">
        <v>153</v>
      </c>
      <c r="B202" t="s">
        <v>154</v>
      </c>
      <c r="C202" s="15" t="s">
        <v>30</v>
      </c>
      <c r="D202" s="23" t="s">
        <v>81</v>
      </c>
      <c r="E202" s="25" t="s">
        <v>82</v>
      </c>
      <c r="F202" s="25" t="str">
        <f>'Source Table'!$G$6</f>
        <v>Public Sector</v>
      </c>
      <c r="G202" s="25" t="str">
        <f>'Source Table'!$G$5</f>
        <v>القطاع العام</v>
      </c>
      <c r="H202" t="str">
        <f>'Source Table'!$G$8</f>
        <v>Female</v>
      </c>
      <c r="I202" s="16" t="str">
        <f>'Source Table'!$G$7</f>
        <v>أنثى</v>
      </c>
      <c r="J202" s="25" t="str">
        <f>'Source Table'!$B$32</f>
        <v>Laboratory</v>
      </c>
      <c r="K202" s="25" t="str">
        <f>'Source Table'!$I$32</f>
        <v>مختبرات</v>
      </c>
      <c r="L202" s="39">
        <v>13</v>
      </c>
      <c r="M202">
        <v>2022</v>
      </c>
    </row>
    <row r="203" spans="1:13" ht="15">
      <c r="A203" t="s">
        <v>153</v>
      </c>
      <c r="B203" t="s">
        <v>154</v>
      </c>
      <c r="C203" s="15" t="s">
        <v>30</v>
      </c>
      <c r="D203" s="23" t="s">
        <v>81</v>
      </c>
      <c r="E203" s="25" t="s">
        <v>82</v>
      </c>
      <c r="F203" s="25" t="str">
        <f>'Source Table'!$G$6</f>
        <v>Public Sector</v>
      </c>
      <c r="G203" s="25" t="str">
        <f>'Source Table'!$G$5</f>
        <v>القطاع العام</v>
      </c>
      <c r="H203" t="str">
        <f>'Source Table'!$G$8</f>
        <v>Female</v>
      </c>
      <c r="I203" s="16" t="str">
        <f>'Source Table'!$G$7</f>
        <v>أنثى</v>
      </c>
      <c r="J203" s="25" t="str">
        <f>'Source Table'!$B$33</f>
        <v>Others</v>
      </c>
      <c r="K203" s="25" t="str">
        <f>'Source Table'!$I$33</f>
        <v>أخرى</v>
      </c>
      <c r="L203" s="39">
        <v>136</v>
      </c>
      <c r="M203">
        <v>2022</v>
      </c>
    </row>
    <row r="204" spans="1:13" ht="15">
      <c r="A204" t="s">
        <v>153</v>
      </c>
      <c r="B204" t="s">
        <v>154</v>
      </c>
      <c r="C204" s="15" t="s">
        <v>30</v>
      </c>
      <c r="D204" s="23" t="s">
        <v>81</v>
      </c>
      <c r="E204" s="25" t="s">
        <v>82</v>
      </c>
      <c r="F204" s="16" t="str">
        <f>'Source Table'!$E$6</f>
        <v>Private Sector</v>
      </c>
      <c r="G204" s="16" t="str">
        <f>'Source Table'!$E$5</f>
        <v>القطاع الخاص</v>
      </c>
      <c r="H204" t="str">
        <f>'Source Table'!$H$8</f>
        <v>Male</v>
      </c>
      <c r="I204" s="25" t="str">
        <f>'Source Table'!$H$7</f>
        <v>ذكر</v>
      </c>
      <c r="J204" s="25" t="str">
        <f>'Source Table'!$B$9</f>
        <v>General Practitioner</v>
      </c>
      <c r="K204" s="25" t="str">
        <f>'Source Table'!$I$9</f>
        <v>طبيب عام</v>
      </c>
      <c r="L204" s="39">
        <v>599</v>
      </c>
      <c r="M204">
        <v>2022</v>
      </c>
    </row>
    <row r="205" spans="1:13" ht="15">
      <c r="A205" t="s">
        <v>153</v>
      </c>
      <c r="B205" t="s">
        <v>154</v>
      </c>
      <c r="C205" s="15" t="s">
        <v>30</v>
      </c>
      <c r="D205" s="23" t="s">
        <v>81</v>
      </c>
      <c r="E205" s="25" t="s">
        <v>82</v>
      </c>
      <c r="F205" s="16" t="str">
        <f>'Source Table'!$E$6</f>
        <v>Private Sector</v>
      </c>
      <c r="G205" s="16" t="str">
        <f>'Source Table'!$E$5</f>
        <v>القطاع الخاص</v>
      </c>
      <c r="H205" t="str">
        <f>'Source Table'!$H$8</f>
        <v>Male</v>
      </c>
      <c r="I205" s="25" t="str">
        <f>'Source Table'!$H$7</f>
        <v>ذكر</v>
      </c>
      <c r="J205" s="25" t="str">
        <f>'Source Table'!$B$10</f>
        <v>Surgeon</v>
      </c>
      <c r="K205" s="25" t="str">
        <f>'Source Table'!$I$10</f>
        <v>جراحة عامة</v>
      </c>
      <c r="L205" s="39">
        <v>232</v>
      </c>
      <c r="M205">
        <v>2022</v>
      </c>
    </row>
    <row r="206" spans="1:13" ht="15">
      <c r="A206" t="s">
        <v>153</v>
      </c>
      <c r="B206" t="s">
        <v>154</v>
      </c>
      <c r="C206" s="15" t="s">
        <v>30</v>
      </c>
      <c r="D206" s="23" t="s">
        <v>81</v>
      </c>
      <c r="E206" s="25" t="s">
        <v>82</v>
      </c>
      <c r="F206" s="16" t="str">
        <f>'Source Table'!$E$6</f>
        <v>Private Sector</v>
      </c>
      <c r="G206" s="16" t="str">
        <f>'Source Table'!$E$5</f>
        <v>القطاع الخاص</v>
      </c>
      <c r="H206" t="str">
        <f>'Source Table'!$H$8</f>
        <v>Male</v>
      </c>
      <c r="I206" s="25" t="str">
        <f>'Source Table'!$H$7</f>
        <v>ذكر</v>
      </c>
      <c r="J206" s="25" t="str">
        <f>'Source Table'!$B$11</f>
        <v>Internist</v>
      </c>
      <c r="K206" s="25" t="str">
        <f>'Source Table'!$I$11</f>
        <v>باطنية</v>
      </c>
      <c r="L206" s="39">
        <v>232</v>
      </c>
      <c r="M206">
        <v>2022</v>
      </c>
    </row>
    <row r="207" spans="1:13" ht="15">
      <c r="A207" t="s">
        <v>153</v>
      </c>
      <c r="B207" t="s">
        <v>154</v>
      </c>
      <c r="C207" s="15" t="s">
        <v>30</v>
      </c>
      <c r="D207" s="23" t="s">
        <v>81</v>
      </c>
      <c r="E207" s="25" t="s">
        <v>82</v>
      </c>
      <c r="F207" s="16" t="str">
        <f>'Source Table'!$E$6</f>
        <v>Private Sector</v>
      </c>
      <c r="G207" s="16" t="str">
        <f>'Source Table'!$E$5</f>
        <v>القطاع الخاص</v>
      </c>
      <c r="H207" t="str">
        <f>'Source Table'!$H$8</f>
        <v>Male</v>
      </c>
      <c r="I207" s="25" t="str">
        <f>'Source Table'!$H$7</f>
        <v>ذكر</v>
      </c>
      <c r="J207" s="25" t="str">
        <f>'Source Table'!$B$12</f>
        <v>Gynecologist and Obst.</v>
      </c>
      <c r="K207" s="25" t="str">
        <f>'Source Table'!$I$12</f>
        <v>نسائية وتوليد</v>
      </c>
      <c r="L207" s="39">
        <v>166</v>
      </c>
      <c r="M207">
        <v>2022</v>
      </c>
    </row>
    <row r="208" spans="1:13" ht="15">
      <c r="A208" t="s">
        <v>153</v>
      </c>
      <c r="B208" t="s">
        <v>154</v>
      </c>
      <c r="C208" s="15" t="s">
        <v>30</v>
      </c>
      <c r="D208" s="23" t="s">
        <v>81</v>
      </c>
      <c r="E208" s="25" t="s">
        <v>82</v>
      </c>
      <c r="F208" s="16" t="str">
        <f>'Source Table'!$E$6</f>
        <v>Private Sector</v>
      </c>
      <c r="G208" s="16" t="str">
        <f>'Source Table'!$E$5</f>
        <v>القطاع الخاص</v>
      </c>
      <c r="H208" t="str">
        <f>'Source Table'!$H$8</f>
        <v>Male</v>
      </c>
      <c r="I208" s="25" t="str">
        <f>'Source Table'!$H$7</f>
        <v>ذكر</v>
      </c>
      <c r="J208" s="25" t="str">
        <f>'Source Table'!$B$13</f>
        <v>Pediatrics</v>
      </c>
      <c r="K208" s="25" t="str">
        <f>'Source Table'!$I$13</f>
        <v>أطفال</v>
      </c>
      <c r="L208" s="39">
        <v>145</v>
      </c>
      <c r="M208">
        <v>2022</v>
      </c>
    </row>
    <row r="209" spans="1:13" ht="15">
      <c r="A209" t="s">
        <v>153</v>
      </c>
      <c r="B209" t="s">
        <v>154</v>
      </c>
      <c r="C209" s="15" t="s">
        <v>30</v>
      </c>
      <c r="D209" s="23" t="s">
        <v>81</v>
      </c>
      <c r="E209" s="25" t="s">
        <v>82</v>
      </c>
      <c r="F209" s="16" t="str">
        <f>'Source Table'!$E$6</f>
        <v>Private Sector</v>
      </c>
      <c r="G209" s="16" t="str">
        <f>'Source Table'!$E$5</f>
        <v>القطاع الخاص</v>
      </c>
      <c r="H209" t="str">
        <f>'Source Table'!$H$8</f>
        <v>Male</v>
      </c>
      <c r="I209" s="25" t="str">
        <f>'Source Table'!$H$7</f>
        <v>ذكر</v>
      </c>
      <c r="J209" s="25" t="str">
        <f>'Source Table'!$B$14</f>
        <v>Ophthalmologist</v>
      </c>
      <c r="K209" s="25" t="str">
        <f>'Source Table'!$I$14</f>
        <v>العيون</v>
      </c>
      <c r="L209" s="39">
        <v>120</v>
      </c>
      <c r="M209">
        <v>2022</v>
      </c>
    </row>
    <row r="210" spans="1:13" ht="15">
      <c r="A210" t="s">
        <v>153</v>
      </c>
      <c r="B210" t="s">
        <v>154</v>
      </c>
      <c r="C210" s="15" t="s">
        <v>30</v>
      </c>
      <c r="D210" s="23" t="s">
        <v>81</v>
      </c>
      <c r="E210" s="25" t="s">
        <v>82</v>
      </c>
      <c r="F210" s="16" t="str">
        <f>'Source Table'!$E$6</f>
        <v>Private Sector</v>
      </c>
      <c r="G210" s="16" t="str">
        <f>'Source Table'!$E$5</f>
        <v>القطاع الخاص</v>
      </c>
      <c r="H210" t="str">
        <f>'Source Table'!$H$8</f>
        <v>Male</v>
      </c>
      <c r="I210" s="25" t="str">
        <f>'Source Table'!$H$7</f>
        <v>ذكر</v>
      </c>
      <c r="J210" s="25" t="str">
        <f>'Source Table'!$B$15</f>
        <v>Orthopedic Surg.</v>
      </c>
      <c r="K210" s="25" t="str">
        <f>'Source Table'!$I$15</f>
        <v>العظام</v>
      </c>
      <c r="L210" s="39">
        <v>184</v>
      </c>
      <c r="M210">
        <v>2022</v>
      </c>
    </row>
    <row r="211" spans="1:13" ht="15">
      <c r="A211" t="s">
        <v>153</v>
      </c>
      <c r="B211" t="s">
        <v>154</v>
      </c>
      <c r="C211" s="15" t="s">
        <v>30</v>
      </c>
      <c r="D211" s="23" t="s">
        <v>81</v>
      </c>
      <c r="E211" s="25" t="s">
        <v>82</v>
      </c>
      <c r="F211" s="16" t="str">
        <f>'Source Table'!$E$6</f>
        <v>Private Sector</v>
      </c>
      <c r="G211" s="16" t="str">
        <f>'Source Table'!$E$5</f>
        <v>القطاع الخاص</v>
      </c>
      <c r="H211" t="str">
        <f>'Source Table'!$H$8</f>
        <v>Male</v>
      </c>
      <c r="I211" s="25" t="str">
        <f>'Source Table'!$H$7</f>
        <v>ذكر</v>
      </c>
      <c r="J211" s="25" t="str">
        <f>'Source Table'!$B$16</f>
        <v>E.N.T.Surg.</v>
      </c>
      <c r="K211" s="25" t="str">
        <f>'Source Table'!$I$16</f>
        <v>أذن وأنف وحنجرة</v>
      </c>
      <c r="L211" s="39">
        <v>57</v>
      </c>
      <c r="M211">
        <v>2022</v>
      </c>
    </row>
    <row r="212" spans="1:13" ht="15">
      <c r="A212" t="s">
        <v>153</v>
      </c>
      <c r="B212" t="s">
        <v>154</v>
      </c>
      <c r="C212" s="15" t="s">
        <v>30</v>
      </c>
      <c r="D212" s="23" t="s">
        <v>81</v>
      </c>
      <c r="E212" s="25" t="s">
        <v>82</v>
      </c>
      <c r="F212" s="16" t="str">
        <f>'Source Table'!$E$6</f>
        <v>Private Sector</v>
      </c>
      <c r="G212" s="16" t="str">
        <f>'Source Table'!$E$5</f>
        <v>القطاع الخاص</v>
      </c>
      <c r="H212" t="str">
        <f>'Source Table'!$H$8</f>
        <v>Male</v>
      </c>
      <c r="I212" s="25" t="str">
        <f>'Source Table'!$H$7</f>
        <v>ذكر</v>
      </c>
      <c r="J212" s="25" t="str">
        <f>'Source Table'!$B$17</f>
        <v>Neurosurgery</v>
      </c>
      <c r="K212" s="25" t="str">
        <f>'Source Table'!$I$17</f>
        <v>جراحةأعصاب</v>
      </c>
      <c r="L212" s="39">
        <v>39</v>
      </c>
      <c r="M212">
        <v>2022</v>
      </c>
    </row>
    <row r="213" spans="1:13" ht="15">
      <c r="A213" t="s">
        <v>153</v>
      </c>
      <c r="B213" t="s">
        <v>154</v>
      </c>
      <c r="C213" s="15" t="s">
        <v>30</v>
      </c>
      <c r="D213" s="23" t="s">
        <v>81</v>
      </c>
      <c r="E213" s="25" t="s">
        <v>82</v>
      </c>
      <c r="F213" s="16" t="str">
        <f>'Source Table'!$E$6</f>
        <v>Private Sector</v>
      </c>
      <c r="G213" s="16" t="str">
        <f>'Source Table'!$E$5</f>
        <v>القطاع الخاص</v>
      </c>
      <c r="H213" t="str">
        <f>'Source Table'!$H$8</f>
        <v>Male</v>
      </c>
      <c r="I213" s="25" t="str">
        <f>'Source Table'!$H$7</f>
        <v>ذكر</v>
      </c>
      <c r="J213" s="25" t="str">
        <f>'Source Table'!$B$18</f>
        <v>Cardiothoracic</v>
      </c>
      <c r="K213" s="25" t="str">
        <f>'Source Table'!$I$18</f>
        <v>جراحة قلب</v>
      </c>
      <c r="L213" s="39">
        <v>10</v>
      </c>
      <c r="M213">
        <v>2022</v>
      </c>
    </row>
    <row r="214" spans="1:13" ht="15">
      <c r="A214" t="s">
        <v>153</v>
      </c>
      <c r="B214" t="s">
        <v>154</v>
      </c>
      <c r="C214" s="15" t="s">
        <v>30</v>
      </c>
      <c r="D214" s="23" t="s">
        <v>81</v>
      </c>
      <c r="E214" s="25" t="s">
        <v>82</v>
      </c>
      <c r="F214" s="16" t="str">
        <f>'Source Table'!$E$6</f>
        <v>Private Sector</v>
      </c>
      <c r="G214" s="16" t="str">
        <f>'Source Table'!$E$5</f>
        <v>القطاع الخاص</v>
      </c>
      <c r="H214" t="str">
        <f>'Source Table'!$H$8</f>
        <v>Male</v>
      </c>
      <c r="I214" s="25" t="str">
        <f>'Source Table'!$H$7</f>
        <v>ذكر</v>
      </c>
      <c r="J214" s="25" t="str">
        <f>'Source Table'!$B$19</f>
        <v>Plastic Surgeon</v>
      </c>
      <c r="K214" s="25" t="str">
        <f>'Source Table'!$I$19</f>
        <v>التجميل</v>
      </c>
      <c r="L214" s="39">
        <v>23</v>
      </c>
      <c r="M214">
        <v>2022</v>
      </c>
    </row>
    <row r="215" spans="1:13" ht="15">
      <c r="A215" t="s">
        <v>153</v>
      </c>
      <c r="B215" t="s">
        <v>154</v>
      </c>
      <c r="C215" s="15" t="s">
        <v>30</v>
      </c>
      <c r="D215" s="23" t="s">
        <v>81</v>
      </c>
      <c r="E215" s="25" t="s">
        <v>82</v>
      </c>
      <c r="F215" s="16" t="str">
        <f>'Source Table'!$E$6</f>
        <v>Private Sector</v>
      </c>
      <c r="G215" s="16" t="str">
        <f>'Source Table'!$E$5</f>
        <v>القطاع الخاص</v>
      </c>
      <c r="H215" t="str">
        <f>'Source Table'!$H$8</f>
        <v>Male</v>
      </c>
      <c r="I215" s="25" t="str">
        <f>'Source Table'!$H$7</f>
        <v>ذكر</v>
      </c>
      <c r="J215" s="25" t="str">
        <f>'Source Table'!$B$20</f>
        <v>Psychiatry</v>
      </c>
      <c r="K215" s="25" t="str">
        <f>'Source Table'!$I$20</f>
        <v>النفسية</v>
      </c>
      <c r="L215" s="39">
        <v>47</v>
      </c>
      <c r="M215">
        <v>2022</v>
      </c>
    </row>
    <row r="216" spans="1:13" ht="15">
      <c r="A216" t="s">
        <v>153</v>
      </c>
      <c r="B216" t="s">
        <v>154</v>
      </c>
      <c r="C216" s="15" t="s">
        <v>30</v>
      </c>
      <c r="D216" s="23" t="s">
        <v>81</v>
      </c>
      <c r="E216" s="25" t="s">
        <v>82</v>
      </c>
      <c r="F216" s="16" t="str">
        <f>'Source Table'!$E$6</f>
        <v>Private Sector</v>
      </c>
      <c r="G216" s="16" t="str">
        <f>'Source Table'!$E$5</f>
        <v>القطاع الخاص</v>
      </c>
      <c r="H216" t="str">
        <f>'Source Table'!$H$8</f>
        <v>Male</v>
      </c>
      <c r="I216" s="25" t="str">
        <f>'Source Table'!$H$7</f>
        <v>ذكر</v>
      </c>
      <c r="J216" s="25" t="str">
        <f>'Source Table'!$B$21</f>
        <v>Dermatologist Venereal</v>
      </c>
      <c r="K216" s="25" t="str">
        <f>'Source Table'!$I$21</f>
        <v>جلدية وتناسلية</v>
      </c>
      <c r="L216" s="39">
        <v>74</v>
      </c>
      <c r="M216">
        <v>2022</v>
      </c>
    </row>
    <row r="217" spans="1:13" ht="15">
      <c r="A217" t="s">
        <v>153</v>
      </c>
      <c r="B217" t="s">
        <v>154</v>
      </c>
      <c r="C217" s="15" t="s">
        <v>30</v>
      </c>
      <c r="D217" s="23" t="s">
        <v>81</v>
      </c>
      <c r="E217" s="25" t="s">
        <v>82</v>
      </c>
      <c r="F217" s="16" t="str">
        <f>'Source Table'!$E$6</f>
        <v>Private Sector</v>
      </c>
      <c r="G217" s="16" t="str">
        <f>'Source Table'!$E$5</f>
        <v>القطاع الخاص</v>
      </c>
      <c r="H217" t="str">
        <f>'Source Table'!$H$8</f>
        <v>Male</v>
      </c>
      <c r="I217" s="25" t="str">
        <f>'Source Table'!$H$7</f>
        <v>ذكر</v>
      </c>
      <c r="J217" s="25" t="str">
        <f>'Source Table'!$B$22</f>
        <v>Neurology/ Nervous</v>
      </c>
      <c r="K217" s="25" t="str">
        <f>'Source Table'!$I$22</f>
        <v>مرض الأعصاب</v>
      </c>
      <c r="L217" s="39">
        <v>21</v>
      </c>
      <c r="M217">
        <v>2022</v>
      </c>
    </row>
    <row r="218" spans="1:13" ht="15">
      <c r="A218" t="s">
        <v>153</v>
      </c>
      <c r="B218" t="s">
        <v>154</v>
      </c>
      <c r="C218" s="15" t="s">
        <v>30</v>
      </c>
      <c r="D218" s="23" t="s">
        <v>81</v>
      </c>
      <c r="E218" s="25" t="s">
        <v>82</v>
      </c>
      <c r="F218" s="16" t="str">
        <f>'Source Table'!$E$6</f>
        <v>Private Sector</v>
      </c>
      <c r="G218" s="16" t="str">
        <f>'Source Table'!$E$5</f>
        <v>القطاع الخاص</v>
      </c>
      <c r="H218" t="str">
        <f>'Source Table'!$H$8</f>
        <v>Male</v>
      </c>
      <c r="I218" s="25" t="str">
        <f>'Source Table'!$H$7</f>
        <v>ذكر</v>
      </c>
      <c r="J218" s="25" t="str">
        <f>'Source Table'!$B$23</f>
        <v>Pumologist</v>
      </c>
      <c r="K218" s="25" t="str">
        <f>'Source Table'!$I$23</f>
        <v>صدرية</v>
      </c>
      <c r="L218" s="39">
        <v>17</v>
      </c>
      <c r="M218">
        <v>2022</v>
      </c>
    </row>
    <row r="219" spans="1:13" ht="15">
      <c r="A219" t="s">
        <v>153</v>
      </c>
      <c r="B219" t="s">
        <v>154</v>
      </c>
      <c r="C219" s="15" t="s">
        <v>30</v>
      </c>
      <c r="D219" s="23" t="s">
        <v>81</v>
      </c>
      <c r="E219" s="25" t="s">
        <v>82</v>
      </c>
      <c r="F219" s="16" t="str">
        <f>'Source Table'!$E$6</f>
        <v>Private Sector</v>
      </c>
      <c r="G219" s="16" t="str">
        <f>'Source Table'!$E$5</f>
        <v>القطاع الخاص</v>
      </c>
      <c r="H219" t="str">
        <f>'Source Table'!$H$8</f>
        <v>Male</v>
      </c>
      <c r="I219" s="25" t="str">
        <f>'Source Table'!$H$7</f>
        <v>ذكر</v>
      </c>
      <c r="J219" s="25" t="str">
        <f>'Source Table'!$B$24</f>
        <v>G.I.T. Specialist</v>
      </c>
      <c r="K219" s="25" t="str">
        <f>'Source Table'!$I$24</f>
        <v>جهاز هضمي</v>
      </c>
      <c r="L219" s="39">
        <v>43</v>
      </c>
      <c r="M219">
        <v>2022</v>
      </c>
    </row>
    <row r="220" spans="1:13" ht="15">
      <c r="A220" t="s">
        <v>153</v>
      </c>
      <c r="B220" t="s">
        <v>154</v>
      </c>
      <c r="C220" s="15" t="s">
        <v>30</v>
      </c>
      <c r="D220" s="23" t="s">
        <v>81</v>
      </c>
      <c r="E220" s="25" t="s">
        <v>82</v>
      </c>
      <c r="F220" s="16" t="str">
        <f>'Source Table'!$E$6</f>
        <v>Private Sector</v>
      </c>
      <c r="G220" s="16" t="str">
        <f>'Source Table'!$E$5</f>
        <v>القطاع الخاص</v>
      </c>
      <c r="H220" t="str">
        <f>'Source Table'!$H$8</f>
        <v>Male</v>
      </c>
      <c r="I220" s="25" t="str">
        <f>'Source Table'!$H$7</f>
        <v>ذكر</v>
      </c>
      <c r="J220" s="25" t="str">
        <f>'Source Table'!$B$25</f>
        <v>Diagnostic Radiology</v>
      </c>
      <c r="K220" s="25" t="str">
        <f>'Source Table'!$I$25</f>
        <v>أشعة تشخيصية</v>
      </c>
      <c r="L220" s="39">
        <v>85</v>
      </c>
      <c r="M220">
        <v>2022</v>
      </c>
    </row>
    <row r="221" spans="1:13" ht="15">
      <c r="A221" t="s">
        <v>153</v>
      </c>
      <c r="B221" t="s">
        <v>154</v>
      </c>
      <c r="C221" s="15" t="s">
        <v>30</v>
      </c>
      <c r="D221" s="23" t="s">
        <v>81</v>
      </c>
      <c r="E221" s="25" t="s">
        <v>82</v>
      </c>
      <c r="F221" s="16" t="str">
        <f>'Source Table'!$E$6</f>
        <v>Private Sector</v>
      </c>
      <c r="G221" s="16" t="str">
        <f>'Source Table'!$E$5</f>
        <v>القطاع الخاص</v>
      </c>
      <c r="H221" t="str">
        <f>'Source Table'!$H$8</f>
        <v>Male</v>
      </c>
      <c r="I221" s="25" t="str">
        <f>'Source Table'!$H$7</f>
        <v>ذكر</v>
      </c>
      <c r="J221" s="25" t="str">
        <f>'Source Table'!$B$26</f>
        <v>Anesthetic</v>
      </c>
      <c r="K221" s="25" t="str">
        <f>'Source Table'!$I$26</f>
        <v>تخدير وإنعاش</v>
      </c>
      <c r="L221" s="39">
        <v>160</v>
      </c>
      <c r="M221">
        <v>2022</v>
      </c>
    </row>
    <row r="222" spans="1:13" ht="15">
      <c r="A222" t="s">
        <v>153</v>
      </c>
      <c r="B222" t="s">
        <v>154</v>
      </c>
      <c r="C222" s="15" t="s">
        <v>30</v>
      </c>
      <c r="D222" s="23" t="s">
        <v>81</v>
      </c>
      <c r="E222" s="25" t="s">
        <v>82</v>
      </c>
      <c r="F222" s="16" t="str">
        <f>'Source Table'!$E$6</f>
        <v>Private Sector</v>
      </c>
      <c r="G222" s="16" t="str">
        <f>'Source Table'!$E$5</f>
        <v>القطاع الخاص</v>
      </c>
      <c r="H222" t="str">
        <f>'Source Table'!$H$8</f>
        <v>Male</v>
      </c>
      <c r="I222" s="25" t="str">
        <f>'Source Table'!$H$7</f>
        <v>ذكر</v>
      </c>
      <c r="J222" s="25" t="str">
        <f>'Source Table'!$B$27</f>
        <v>Physiotherapist</v>
      </c>
      <c r="K222" s="25" t="str">
        <f>'Source Table'!$I$27</f>
        <v>طب طبيعي</v>
      </c>
      <c r="L222" s="39">
        <v>9</v>
      </c>
      <c r="M222">
        <v>2022</v>
      </c>
    </row>
    <row r="223" spans="1:13" ht="15">
      <c r="A223" t="s">
        <v>153</v>
      </c>
      <c r="B223" t="s">
        <v>154</v>
      </c>
      <c r="C223" s="15" t="s">
        <v>30</v>
      </c>
      <c r="D223" s="23" t="s">
        <v>81</v>
      </c>
      <c r="E223" s="25" t="s">
        <v>82</v>
      </c>
      <c r="F223" s="16" t="str">
        <f>'Source Table'!$E$6</f>
        <v>Private Sector</v>
      </c>
      <c r="G223" s="16" t="str">
        <f>'Source Table'!$E$5</f>
        <v>القطاع الخاص</v>
      </c>
      <c r="H223" t="str">
        <f>'Source Table'!$H$8</f>
        <v>Male</v>
      </c>
      <c r="I223" s="25" t="str">
        <f>'Source Table'!$H$7</f>
        <v>ذكر</v>
      </c>
      <c r="J223" s="25" t="str">
        <f>'Source Table'!$B$28</f>
        <v>Forensic</v>
      </c>
      <c r="K223" s="25" t="str">
        <f>'Source Table'!$I$28</f>
        <v>طب شرعي</v>
      </c>
      <c r="L223" s="39">
        <v>1</v>
      </c>
      <c r="M223">
        <v>2022</v>
      </c>
    </row>
    <row r="224" spans="1:13" ht="15">
      <c r="A224" t="s">
        <v>153</v>
      </c>
      <c r="B224" t="s">
        <v>154</v>
      </c>
      <c r="C224" s="15" t="s">
        <v>30</v>
      </c>
      <c r="D224" s="23" t="s">
        <v>81</v>
      </c>
      <c r="E224" s="25" t="s">
        <v>82</v>
      </c>
      <c r="F224" s="16" t="str">
        <f>'Source Table'!$E$6</f>
        <v>Private Sector</v>
      </c>
      <c r="G224" s="16" t="str">
        <f>'Source Table'!$E$5</f>
        <v>القطاع الخاص</v>
      </c>
      <c r="H224" t="str">
        <f>'Source Table'!$H$8</f>
        <v>Male</v>
      </c>
      <c r="I224" s="25" t="str">
        <f>'Source Table'!$H$7</f>
        <v>ذكر</v>
      </c>
      <c r="J224" s="25" t="str">
        <f>'Source Table'!$B$29</f>
        <v xml:space="preserve">Family </v>
      </c>
      <c r="K224" s="25" t="str">
        <f>'Source Table'!$I$29</f>
        <v>طب أسرة</v>
      </c>
      <c r="L224" s="39">
        <v>20</v>
      </c>
      <c r="M224">
        <v>2022</v>
      </c>
    </row>
    <row r="225" spans="1:13" ht="15">
      <c r="A225" t="s">
        <v>153</v>
      </c>
      <c r="B225" t="s">
        <v>154</v>
      </c>
      <c r="C225" s="15" t="s">
        <v>30</v>
      </c>
      <c r="D225" s="23" t="s">
        <v>81</v>
      </c>
      <c r="E225" s="25" t="s">
        <v>82</v>
      </c>
      <c r="F225" s="16" t="str">
        <f>'Source Table'!$E$6</f>
        <v>Private Sector</v>
      </c>
      <c r="G225" s="16" t="str">
        <f>'Source Table'!$E$5</f>
        <v>القطاع الخاص</v>
      </c>
      <c r="H225" t="str">
        <f>'Source Table'!$H$8</f>
        <v>Male</v>
      </c>
      <c r="I225" s="25" t="str">
        <f>'Source Table'!$H$7</f>
        <v>ذكر</v>
      </c>
      <c r="J225" s="25" t="str">
        <f>'Source Table'!$B$30</f>
        <v>Urologist</v>
      </c>
      <c r="K225" s="25" t="str">
        <f>'Source Table'!$I$30</f>
        <v xml:space="preserve">المسالك البولية </v>
      </c>
      <c r="L225" s="39">
        <v>63</v>
      </c>
      <c r="M225">
        <v>2022</v>
      </c>
    </row>
    <row r="226" spans="1:13" ht="15">
      <c r="A226" t="s">
        <v>153</v>
      </c>
      <c r="B226" t="s">
        <v>154</v>
      </c>
      <c r="C226" s="15" t="s">
        <v>30</v>
      </c>
      <c r="D226" s="23" t="s">
        <v>81</v>
      </c>
      <c r="E226" s="25" t="s">
        <v>82</v>
      </c>
      <c r="F226" s="16" t="str">
        <f>'Source Table'!$E$6</f>
        <v>Private Sector</v>
      </c>
      <c r="G226" s="16" t="str">
        <f>'Source Table'!$E$5</f>
        <v>القطاع الخاص</v>
      </c>
      <c r="H226" t="str">
        <f>'Source Table'!$H$8</f>
        <v>Male</v>
      </c>
      <c r="I226" s="25" t="str">
        <f>'Source Table'!$H$7</f>
        <v>ذكر</v>
      </c>
      <c r="J226" s="25" t="str">
        <f>'Source Table'!$B$31</f>
        <v>Cardiology</v>
      </c>
      <c r="K226" s="25" t="str">
        <f>'Source Table'!$I$31</f>
        <v>أمراض القلب</v>
      </c>
      <c r="L226" s="39">
        <v>56</v>
      </c>
      <c r="M226">
        <v>2022</v>
      </c>
    </row>
    <row r="227" spans="1:13" ht="15">
      <c r="A227" t="s">
        <v>153</v>
      </c>
      <c r="B227" t="s">
        <v>154</v>
      </c>
      <c r="C227" s="15" t="s">
        <v>30</v>
      </c>
      <c r="D227" s="23" t="s">
        <v>81</v>
      </c>
      <c r="E227" s="25" t="s">
        <v>82</v>
      </c>
      <c r="F227" s="16" t="str">
        <f>'Source Table'!$E$6</f>
        <v>Private Sector</v>
      </c>
      <c r="G227" s="16" t="str">
        <f>'Source Table'!$E$5</f>
        <v>القطاع الخاص</v>
      </c>
      <c r="H227" t="str">
        <f>'Source Table'!$H$8</f>
        <v>Male</v>
      </c>
      <c r="I227" s="25" t="str">
        <f>'Source Table'!$H$7</f>
        <v>ذكر</v>
      </c>
      <c r="J227" s="25" t="str">
        <f>'Source Table'!$B$32</f>
        <v>Laboratory</v>
      </c>
      <c r="K227" s="25" t="str">
        <f>'Source Table'!$I$32</f>
        <v>مختبرات</v>
      </c>
      <c r="L227" s="39">
        <v>2</v>
      </c>
      <c r="M227">
        <v>2022</v>
      </c>
    </row>
    <row r="228" spans="1:13" ht="15">
      <c r="A228" t="s">
        <v>153</v>
      </c>
      <c r="B228" t="s">
        <v>154</v>
      </c>
      <c r="C228" s="15" t="s">
        <v>30</v>
      </c>
      <c r="D228" s="23" t="s">
        <v>81</v>
      </c>
      <c r="E228" s="25" t="s">
        <v>82</v>
      </c>
      <c r="F228" s="16" t="str">
        <f>'Source Table'!$E$6</f>
        <v>Private Sector</v>
      </c>
      <c r="G228" s="16" t="str">
        <f>'Source Table'!$E$5</f>
        <v>القطاع الخاص</v>
      </c>
      <c r="H228" t="str">
        <f>'Source Table'!$H$8</f>
        <v>Male</v>
      </c>
      <c r="I228" s="25" t="str">
        <f>'Source Table'!$H$7</f>
        <v>ذكر</v>
      </c>
      <c r="J228" s="25" t="str">
        <f>'Source Table'!$B$33</f>
        <v>Others</v>
      </c>
      <c r="K228" s="25" t="str">
        <f>'Source Table'!$I$33</f>
        <v>أخرى</v>
      </c>
      <c r="L228" s="39">
        <v>218</v>
      </c>
      <c r="M228">
        <v>2022</v>
      </c>
    </row>
    <row r="229" spans="1:13" ht="15">
      <c r="A229" t="s">
        <v>153</v>
      </c>
      <c r="B229" t="s">
        <v>154</v>
      </c>
      <c r="C229" s="15" t="s">
        <v>30</v>
      </c>
      <c r="D229" s="23" t="s">
        <v>81</v>
      </c>
      <c r="E229" s="25" t="s">
        <v>82</v>
      </c>
      <c r="F229" s="16" t="str">
        <f>'Source Table'!$E$6</f>
        <v>Private Sector</v>
      </c>
      <c r="G229" s="16" t="str">
        <f>'Source Table'!$E$5</f>
        <v>القطاع الخاص</v>
      </c>
      <c r="H229" t="str">
        <f>'Source Table'!$G$8</f>
        <v>Female</v>
      </c>
      <c r="I229" s="16" t="str">
        <f>'Source Table'!$G$7</f>
        <v>أنثى</v>
      </c>
      <c r="J229" s="25" t="str">
        <f>'Source Table'!$B$9</f>
        <v>General Practitioner</v>
      </c>
      <c r="K229" s="25" t="str">
        <f>'Source Table'!$I$9</f>
        <v>طبيب عام</v>
      </c>
      <c r="L229" s="39">
        <v>269</v>
      </c>
      <c r="M229">
        <v>2022</v>
      </c>
    </row>
    <row r="230" spans="1:13" ht="15">
      <c r="A230" t="s">
        <v>153</v>
      </c>
      <c r="B230" t="s">
        <v>154</v>
      </c>
      <c r="C230" s="15" t="s">
        <v>30</v>
      </c>
      <c r="D230" s="23" t="s">
        <v>81</v>
      </c>
      <c r="E230" s="25" t="s">
        <v>82</v>
      </c>
      <c r="F230" s="16" t="str">
        <f>'Source Table'!$E$6</f>
        <v>Private Sector</v>
      </c>
      <c r="G230" s="16" t="str">
        <f>'Source Table'!$E$5</f>
        <v>القطاع الخاص</v>
      </c>
      <c r="H230" t="str">
        <f>'Source Table'!$G$8</f>
        <v>Female</v>
      </c>
      <c r="I230" s="16" t="str">
        <f>'Source Table'!$G$7</f>
        <v>أنثى</v>
      </c>
      <c r="J230" s="25" t="str">
        <f>'Source Table'!$B$10</f>
        <v>Surgeon</v>
      </c>
      <c r="K230" s="25" t="str">
        <f>'Source Table'!$I$10</f>
        <v>جراحة عامة</v>
      </c>
      <c r="L230" s="39">
        <v>9</v>
      </c>
      <c r="M230">
        <v>2022</v>
      </c>
    </row>
    <row r="231" spans="1:13" ht="15">
      <c r="A231" t="s">
        <v>153</v>
      </c>
      <c r="B231" t="s">
        <v>154</v>
      </c>
      <c r="C231" s="15" t="s">
        <v>30</v>
      </c>
      <c r="D231" s="23" t="s">
        <v>81</v>
      </c>
      <c r="E231" s="25" t="s">
        <v>82</v>
      </c>
      <c r="F231" s="16" t="str">
        <f>'Source Table'!$E$6</f>
        <v>Private Sector</v>
      </c>
      <c r="G231" s="16" t="str">
        <f>'Source Table'!$E$5</f>
        <v>القطاع الخاص</v>
      </c>
      <c r="H231" t="str">
        <f>'Source Table'!$G$8</f>
        <v>Female</v>
      </c>
      <c r="I231" s="16" t="str">
        <f>'Source Table'!$G$7</f>
        <v>أنثى</v>
      </c>
      <c r="J231" s="25" t="str">
        <f>'Source Table'!$B$11</f>
        <v>Internist</v>
      </c>
      <c r="K231" s="25" t="str">
        <f>'Source Table'!$I$11</f>
        <v>باطنية</v>
      </c>
      <c r="L231" s="39">
        <v>48</v>
      </c>
      <c r="M231">
        <v>2022</v>
      </c>
    </row>
    <row r="232" spans="1:13" ht="15">
      <c r="A232" t="s">
        <v>153</v>
      </c>
      <c r="B232" t="s">
        <v>154</v>
      </c>
      <c r="C232" s="15" t="s">
        <v>30</v>
      </c>
      <c r="D232" s="23" t="s">
        <v>81</v>
      </c>
      <c r="E232" s="25" t="s">
        <v>82</v>
      </c>
      <c r="F232" s="16" t="str">
        <f>'Source Table'!$E$6</f>
        <v>Private Sector</v>
      </c>
      <c r="G232" s="16" t="str">
        <f>'Source Table'!$E$5</f>
        <v>القطاع الخاص</v>
      </c>
      <c r="H232" t="str">
        <f>'Source Table'!$G$8</f>
        <v>Female</v>
      </c>
      <c r="I232" s="16" t="str">
        <f>'Source Table'!$G$7</f>
        <v>أنثى</v>
      </c>
      <c r="J232" s="25" t="str">
        <f>'Source Table'!$B$12</f>
        <v>Gynecologist and Obst.</v>
      </c>
      <c r="K232" s="25" t="str">
        <f>'Source Table'!$I$12</f>
        <v>نسائية وتوليد</v>
      </c>
      <c r="L232" s="39">
        <v>249</v>
      </c>
      <c r="M232">
        <v>2022</v>
      </c>
    </row>
    <row r="233" spans="1:13" ht="15">
      <c r="A233" t="s">
        <v>153</v>
      </c>
      <c r="B233" t="s">
        <v>154</v>
      </c>
      <c r="C233" s="15" t="s">
        <v>30</v>
      </c>
      <c r="D233" s="23" t="s">
        <v>81</v>
      </c>
      <c r="E233" s="25" t="s">
        <v>82</v>
      </c>
      <c r="F233" s="16" t="str">
        <f>'Source Table'!$E$6</f>
        <v>Private Sector</v>
      </c>
      <c r="G233" s="16" t="str">
        <f>'Source Table'!$E$5</f>
        <v>القطاع الخاص</v>
      </c>
      <c r="H233" t="str">
        <f>'Source Table'!$G$8</f>
        <v>Female</v>
      </c>
      <c r="I233" s="16" t="str">
        <f>'Source Table'!$G$7</f>
        <v>أنثى</v>
      </c>
      <c r="J233" s="25" t="str">
        <f>'Source Table'!$B$13</f>
        <v>Pediatrics</v>
      </c>
      <c r="K233" s="25" t="str">
        <f>'Source Table'!$I$13</f>
        <v>أطفال</v>
      </c>
      <c r="L233" s="39">
        <v>85</v>
      </c>
      <c r="M233">
        <v>2022</v>
      </c>
    </row>
    <row r="234" spans="1:13" ht="15">
      <c r="A234" t="s">
        <v>153</v>
      </c>
      <c r="B234" t="s">
        <v>154</v>
      </c>
      <c r="C234" s="15" t="s">
        <v>30</v>
      </c>
      <c r="D234" s="23" t="s">
        <v>81</v>
      </c>
      <c r="E234" s="25" t="s">
        <v>82</v>
      </c>
      <c r="F234" s="16" t="str">
        <f>'Source Table'!$E$6</f>
        <v>Private Sector</v>
      </c>
      <c r="G234" s="16" t="str">
        <f>'Source Table'!$E$5</f>
        <v>القطاع الخاص</v>
      </c>
      <c r="H234" t="str">
        <f>'Source Table'!$G$8</f>
        <v>Female</v>
      </c>
      <c r="I234" s="16" t="str">
        <f>'Source Table'!$G$7</f>
        <v>أنثى</v>
      </c>
      <c r="J234" s="25" t="str">
        <f>'Source Table'!$B$14</f>
        <v>Ophthalmologist</v>
      </c>
      <c r="K234" s="25" t="str">
        <f>'Source Table'!$I$14</f>
        <v>العيون</v>
      </c>
      <c r="L234" s="39">
        <v>36</v>
      </c>
      <c r="M234">
        <v>2022</v>
      </c>
    </row>
    <row r="235" spans="1:13" ht="15">
      <c r="A235" t="s">
        <v>153</v>
      </c>
      <c r="B235" t="s">
        <v>154</v>
      </c>
      <c r="C235" s="15" t="s">
        <v>30</v>
      </c>
      <c r="D235" s="23" t="s">
        <v>81</v>
      </c>
      <c r="E235" s="25" t="s">
        <v>82</v>
      </c>
      <c r="F235" s="16" t="str">
        <f>'Source Table'!$E$6</f>
        <v>Private Sector</v>
      </c>
      <c r="G235" s="16" t="str">
        <f>'Source Table'!$E$5</f>
        <v>القطاع الخاص</v>
      </c>
      <c r="H235" t="str">
        <f>'Source Table'!$G$8</f>
        <v>Female</v>
      </c>
      <c r="I235" s="16" t="str">
        <f>'Source Table'!$G$7</f>
        <v>أنثى</v>
      </c>
      <c r="J235" s="25" t="str">
        <f>'Source Table'!$B$15</f>
        <v>Orthopedic Surg.</v>
      </c>
      <c r="K235" s="25" t="str">
        <f>'Source Table'!$I$15</f>
        <v>العظام</v>
      </c>
      <c r="L235" s="39">
        <v>1</v>
      </c>
      <c r="M235">
        <v>2022</v>
      </c>
    </row>
    <row r="236" spans="1:13" ht="15">
      <c r="A236" t="s">
        <v>153</v>
      </c>
      <c r="B236" t="s">
        <v>154</v>
      </c>
      <c r="C236" s="15" t="s">
        <v>30</v>
      </c>
      <c r="D236" s="23" t="s">
        <v>81</v>
      </c>
      <c r="E236" s="25" t="s">
        <v>82</v>
      </c>
      <c r="F236" s="16" t="str">
        <f>'Source Table'!$E$6</f>
        <v>Private Sector</v>
      </c>
      <c r="G236" s="16" t="str">
        <f>'Source Table'!$E$5</f>
        <v>القطاع الخاص</v>
      </c>
      <c r="H236" t="str">
        <f>'Source Table'!$G$8</f>
        <v>Female</v>
      </c>
      <c r="I236" s="16" t="str">
        <f>'Source Table'!$G$7</f>
        <v>أنثى</v>
      </c>
      <c r="J236" s="25" t="str">
        <f>'Source Table'!$B$16</f>
        <v>E.N.T.Surg.</v>
      </c>
      <c r="K236" s="25" t="str">
        <f>'Source Table'!$I$16</f>
        <v>أذن وأنف وحنجرة</v>
      </c>
      <c r="L236" s="39">
        <v>8</v>
      </c>
      <c r="M236">
        <v>2022</v>
      </c>
    </row>
    <row r="237" spans="1:13" ht="15">
      <c r="A237" t="s">
        <v>153</v>
      </c>
      <c r="B237" t="s">
        <v>154</v>
      </c>
      <c r="C237" s="15" t="s">
        <v>30</v>
      </c>
      <c r="D237" s="23" t="s">
        <v>81</v>
      </c>
      <c r="E237" s="25" t="s">
        <v>82</v>
      </c>
      <c r="F237" s="16" t="str">
        <f>'Source Table'!$E$6</f>
        <v>Private Sector</v>
      </c>
      <c r="G237" s="16" t="str">
        <f>'Source Table'!$E$5</f>
        <v>القطاع الخاص</v>
      </c>
      <c r="H237" t="str">
        <f>'Source Table'!$G$8</f>
        <v>Female</v>
      </c>
      <c r="I237" s="16" t="str">
        <f>'Source Table'!$G$7</f>
        <v>أنثى</v>
      </c>
      <c r="J237" s="25" t="str">
        <f>'Source Table'!$B$17</f>
        <v>Neurosurgery</v>
      </c>
      <c r="K237" s="25" t="str">
        <f>'Source Table'!$I$17</f>
        <v>جراحةأعصاب</v>
      </c>
      <c r="L237" s="39">
        <v>3</v>
      </c>
      <c r="M237">
        <v>2022</v>
      </c>
    </row>
    <row r="238" spans="1:13" ht="15">
      <c r="A238" t="s">
        <v>153</v>
      </c>
      <c r="B238" t="s">
        <v>154</v>
      </c>
      <c r="C238" s="15" t="s">
        <v>30</v>
      </c>
      <c r="D238" s="23" t="s">
        <v>81</v>
      </c>
      <c r="E238" s="25" t="s">
        <v>82</v>
      </c>
      <c r="F238" s="16" t="str">
        <f>'Source Table'!$E$6</f>
        <v>Private Sector</v>
      </c>
      <c r="G238" s="16" t="str">
        <f>'Source Table'!$E$5</f>
        <v>القطاع الخاص</v>
      </c>
      <c r="H238" t="str">
        <f>'Source Table'!$G$8</f>
        <v>Female</v>
      </c>
      <c r="I238" s="16" t="str">
        <f>'Source Table'!$G$7</f>
        <v>أنثى</v>
      </c>
      <c r="J238" s="25" t="str">
        <f>'Source Table'!$B$18</f>
        <v>Cardiothoracic</v>
      </c>
      <c r="K238" s="25" t="str">
        <f>'Source Table'!$I$18</f>
        <v>جراحة قلب</v>
      </c>
      <c r="L238" s="39">
        <v>0</v>
      </c>
      <c r="M238">
        <v>2022</v>
      </c>
    </row>
    <row r="239" spans="1:13" ht="15">
      <c r="A239" t="s">
        <v>153</v>
      </c>
      <c r="B239" t="s">
        <v>154</v>
      </c>
      <c r="C239" s="15" t="s">
        <v>30</v>
      </c>
      <c r="D239" s="23" t="s">
        <v>81</v>
      </c>
      <c r="E239" s="25" t="s">
        <v>82</v>
      </c>
      <c r="F239" s="16" t="str">
        <f>'Source Table'!$E$6</f>
        <v>Private Sector</v>
      </c>
      <c r="G239" s="16" t="str">
        <f>'Source Table'!$E$5</f>
        <v>القطاع الخاص</v>
      </c>
      <c r="H239" t="str">
        <f>'Source Table'!$G$8</f>
        <v>Female</v>
      </c>
      <c r="I239" s="16" t="str">
        <f>'Source Table'!$G$7</f>
        <v>أنثى</v>
      </c>
      <c r="J239" s="25" t="str">
        <f>'Source Table'!$B$19</f>
        <v>Plastic Surgeon</v>
      </c>
      <c r="K239" s="25" t="str">
        <f>'Source Table'!$I$19</f>
        <v>التجميل</v>
      </c>
      <c r="L239" s="39">
        <v>4</v>
      </c>
      <c r="M239">
        <v>2022</v>
      </c>
    </row>
    <row r="240" spans="1:13" ht="15">
      <c r="A240" t="s">
        <v>153</v>
      </c>
      <c r="B240" t="s">
        <v>154</v>
      </c>
      <c r="C240" s="15" t="s">
        <v>30</v>
      </c>
      <c r="D240" s="23" t="s">
        <v>81</v>
      </c>
      <c r="E240" s="25" t="s">
        <v>82</v>
      </c>
      <c r="F240" s="16" t="str">
        <f>'Source Table'!$E$6</f>
        <v>Private Sector</v>
      </c>
      <c r="G240" s="16" t="str">
        <f>'Source Table'!$E$5</f>
        <v>القطاع الخاص</v>
      </c>
      <c r="H240" t="str">
        <f>'Source Table'!$G$8</f>
        <v>Female</v>
      </c>
      <c r="I240" s="16" t="str">
        <f>'Source Table'!$G$7</f>
        <v>أنثى</v>
      </c>
      <c r="J240" s="25" t="str">
        <f>'Source Table'!$B$20</f>
        <v>Psychiatry</v>
      </c>
      <c r="K240" s="25" t="str">
        <f>'Source Table'!$I$20</f>
        <v>النفسية</v>
      </c>
      <c r="L240" s="39">
        <v>7</v>
      </c>
      <c r="M240">
        <v>2022</v>
      </c>
    </row>
    <row r="241" spans="1:13" ht="15">
      <c r="A241" t="s">
        <v>153</v>
      </c>
      <c r="B241" t="s">
        <v>154</v>
      </c>
      <c r="C241" s="15" t="s">
        <v>30</v>
      </c>
      <c r="D241" s="23" t="s">
        <v>81</v>
      </c>
      <c r="E241" s="25" t="s">
        <v>82</v>
      </c>
      <c r="F241" s="16" t="str">
        <f>'Source Table'!$E$6</f>
        <v>Private Sector</v>
      </c>
      <c r="G241" s="16" t="str">
        <f>'Source Table'!$E$5</f>
        <v>القطاع الخاص</v>
      </c>
      <c r="H241" t="str">
        <f>'Source Table'!$G$8</f>
        <v>Female</v>
      </c>
      <c r="I241" s="16" t="str">
        <f>'Source Table'!$G$7</f>
        <v>أنثى</v>
      </c>
      <c r="J241" s="25" t="str">
        <f>'Source Table'!$B$21</f>
        <v>Dermatologist Venereal</v>
      </c>
      <c r="K241" s="25" t="str">
        <f>'Source Table'!$I$21</f>
        <v>جلدية وتناسلية</v>
      </c>
      <c r="L241" s="39">
        <v>75</v>
      </c>
      <c r="M241">
        <v>2022</v>
      </c>
    </row>
    <row r="242" spans="1:13" ht="15">
      <c r="A242" t="s">
        <v>153</v>
      </c>
      <c r="B242" t="s">
        <v>154</v>
      </c>
      <c r="C242" s="15" t="s">
        <v>30</v>
      </c>
      <c r="D242" s="23" t="s">
        <v>81</v>
      </c>
      <c r="E242" s="25" t="s">
        <v>82</v>
      </c>
      <c r="F242" s="16" t="str">
        <f>'Source Table'!$E$6</f>
        <v>Private Sector</v>
      </c>
      <c r="G242" s="16" t="str">
        <f>'Source Table'!$E$5</f>
        <v>القطاع الخاص</v>
      </c>
      <c r="H242" t="str">
        <f>'Source Table'!$G$8</f>
        <v>Female</v>
      </c>
      <c r="I242" s="16" t="str">
        <f>'Source Table'!$G$7</f>
        <v>أنثى</v>
      </c>
      <c r="J242" s="25" t="str">
        <f>'Source Table'!$B$22</f>
        <v>Neurology/ Nervous</v>
      </c>
      <c r="K242" s="25" t="str">
        <f>'Source Table'!$I$22</f>
        <v>مرض الأعصاب</v>
      </c>
      <c r="L242" s="39">
        <v>4</v>
      </c>
      <c r="M242">
        <v>2022</v>
      </c>
    </row>
    <row r="243" spans="1:13" ht="15">
      <c r="A243" t="s">
        <v>153</v>
      </c>
      <c r="B243" t="s">
        <v>154</v>
      </c>
      <c r="C243" s="15" t="s">
        <v>30</v>
      </c>
      <c r="D243" s="23" t="s">
        <v>81</v>
      </c>
      <c r="E243" s="25" t="s">
        <v>82</v>
      </c>
      <c r="F243" s="16" t="str">
        <f>'Source Table'!$E$6</f>
        <v>Private Sector</v>
      </c>
      <c r="G243" s="16" t="str">
        <f>'Source Table'!$E$5</f>
        <v>القطاع الخاص</v>
      </c>
      <c r="H243" t="str">
        <f>'Source Table'!$G$8</f>
        <v>Female</v>
      </c>
      <c r="I243" s="16" t="str">
        <f>'Source Table'!$G$7</f>
        <v>أنثى</v>
      </c>
      <c r="J243" s="25" t="str">
        <f>'Source Table'!$B$23</f>
        <v>Pumologist</v>
      </c>
      <c r="K243" s="25" t="str">
        <f>'Source Table'!$I$23</f>
        <v>صدرية</v>
      </c>
      <c r="L243" s="39">
        <v>0</v>
      </c>
      <c r="M243">
        <v>2022</v>
      </c>
    </row>
    <row r="244" spans="1:13" ht="15">
      <c r="A244" t="s">
        <v>153</v>
      </c>
      <c r="B244" t="s">
        <v>154</v>
      </c>
      <c r="C244" s="15" t="s">
        <v>30</v>
      </c>
      <c r="D244" s="23" t="s">
        <v>81</v>
      </c>
      <c r="E244" s="25" t="s">
        <v>82</v>
      </c>
      <c r="F244" s="16" t="str">
        <f>'Source Table'!$E$6</f>
        <v>Private Sector</v>
      </c>
      <c r="G244" s="16" t="str">
        <f>'Source Table'!$E$5</f>
        <v>القطاع الخاص</v>
      </c>
      <c r="H244" t="str">
        <f>'Source Table'!$G$8</f>
        <v>Female</v>
      </c>
      <c r="I244" s="16" t="str">
        <f>'Source Table'!$G$7</f>
        <v>أنثى</v>
      </c>
      <c r="J244" s="25" t="str">
        <f>'Source Table'!$B$24</f>
        <v>G.I.T. Specialist</v>
      </c>
      <c r="K244" s="25" t="str">
        <f>'Source Table'!$I$24</f>
        <v>جهاز هضمي</v>
      </c>
      <c r="L244" s="39">
        <v>8</v>
      </c>
      <c r="M244">
        <v>2022</v>
      </c>
    </row>
    <row r="245" spans="1:13" ht="15">
      <c r="A245" t="s">
        <v>153</v>
      </c>
      <c r="B245" t="s">
        <v>154</v>
      </c>
      <c r="C245" s="15" t="s">
        <v>30</v>
      </c>
      <c r="D245" s="23" t="s">
        <v>81</v>
      </c>
      <c r="E245" s="25" t="s">
        <v>82</v>
      </c>
      <c r="F245" s="16" t="str">
        <f>'Source Table'!$E$6</f>
        <v>Private Sector</v>
      </c>
      <c r="G245" s="16" t="str">
        <f>'Source Table'!$E$5</f>
        <v>القطاع الخاص</v>
      </c>
      <c r="H245" t="str">
        <f>'Source Table'!$G$8</f>
        <v>Female</v>
      </c>
      <c r="I245" s="16" t="str">
        <f>'Source Table'!$G$7</f>
        <v>أنثى</v>
      </c>
      <c r="J245" s="25" t="str">
        <f>'Source Table'!$B$25</f>
        <v>Diagnostic Radiology</v>
      </c>
      <c r="K245" s="25" t="str">
        <f>'Source Table'!$I$25</f>
        <v>أشعة تشخيصية</v>
      </c>
      <c r="L245" s="39">
        <v>32</v>
      </c>
      <c r="M245">
        <v>2022</v>
      </c>
    </row>
    <row r="246" spans="1:13" ht="15">
      <c r="A246" t="s">
        <v>153</v>
      </c>
      <c r="B246" t="s">
        <v>154</v>
      </c>
      <c r="C246" s="15" t="s">
        <v>30</v>
      </c>
      <c r="D246" s="23" t="s">
        <v>81</v>
      </c>
      <c r="E246" s="25" t="s">
        <v>82</v>
      </c>
      <c r="F246" s="16" t="str">
        <f>'Source Table'!$E$6</f>
        <v>Private Sector</v>
      </c>
      <c r="G246" s="16" t="str">
        <f>'Source Table'!$E$5</f>
        <v>القطاع الخاص</v>
      </c>
      <c r="H246" t="str">
        <f>'Source Table'!$G$8</f>
        <v>Female</v>
      </c>
      <c r="I246" s="16" t="str">
        <f>'Source Table'!$G$7</f>
        <v>أنثى</v>
      </c>
      <c r="J246" s="25" t="str">
        <f>'Source Table'!$B$26</f>
        <v>Anesthetic</v>
      </c>
      <c r="K246" s="25" t="str">
        <f>'Source Table'!$I$26</f>
        <v>تخدير وإنعاش</v>
      </c>
      <c r="L246" s="39">
        <v>21</v>
      </c>
      <c r="M246">
        <v>2022</v>
      </c>
    </row>
    <row r="247" spans="1:13" ht="15">
      <c r="A247" t="s">
        <v>153</v>
      </c>
      <c r="B247" t="s">
        <v>154</v>
      </c>
      <c r="C247" s="15" t="s">
        <v>30</v>
      </c>
      <c r="D247" s="23" t="s">
        <v>81</v>
      </c>
      <c r="E247" s="25" t="s">
        <v>82</v>
      </c>
      <c r="F247" s="16" t="str">
        <f>'Source Table'!$E$6</f>
        <v>Private Sector</v>
      </c>
      <c r="G247" s="16" t="str">
        <f>'Source Table'!$E$5</f>
        <v>القطاع الخاص</v>
      </c>
      <c r="H247" t="str">
        <f>'Source Table'!$G$8</f>
        <v>Female</v>
      </c>
      <c r="I247" s="16" t="str">
        <f>'Source Table'!$G$7</f>
        <v>أنثى</v>
      </c>
      <c r="J247" s="25" t="str">
        <f>'Source Table'!$B$27</f>
        <v>Physiotherapist</v>
      </c>
      <c r="K247" s="25" t="str">
        <f>'Source Table'!$I$27</f>
        <v>طب طبيعي</v>
      </c>
      <c r="L247" s="39">
        <v>3</v>
      </c>
      <c r="M247">
        <v>2022</v>
      </c>
    </row>
    <row r="248" spans="1:13" ht="15">
      <c r="A248" t="s">
        <v>153</v>
      </c>
      <c r="B248" t="s">
        <v>154</v>
      </c>
      <c r="C248" s="15" t="s">
        <v>30</v>
      </c>
      <c r="D248" s="23" t="s">
        <v>81</v>
      </c>
      <c r="E248" s="25" t="s">
        <v>82</v>
      </c>
      <c r="F248" s="16" t="str">
        <f>'Source Table'!$E$6</f>
        <v>Private Sector</v>
      </c>
      <c r="G248" s="16" t="str">
        <f>'Source Table'!$E$5</f>
        <v>القطاع الخاص</v>
      </c>
      <c r="H248" t="str">
        <f>'Source Table'!$G$8</f>
        <v>Female</v>
      </c>
      <c r="I248" s="16" t="str">
        <f>'Source Table'!$G$7</f>
        <v>أنثى</v>
      </c>
      <c r="J248" s="25" t="str">
        <f>'Source Table'!$B$28</f>
        <v>Forensic</v>
      </c>
      <c r="K248" s="25" t="str">
        <f>'Source Table'!$I$28</f>
        <v>طب شرعي</v>
      </c>
      <c r="L248" s="39">
        <v>0</v>
      </c>
      <c r="M248">
        <v>2022</v>
      </c>
    </row>
    <row r="249" spans="1:13" ht="15">
      <c r="A249" t="s">
        <v>153</v>
      </c>
      <c r="B249" t="s">
        <v>154</v>
      </c>
      <c r="C249" s="15" t="s">
        <v>30</v>
      </c>
      <c r="D249" s="23" t="s">
        <v>81</v>
      </c>
      <c r="E249" s="25" t="s">
        <v>82</v>
      </c>
      <c r="F249" s="16" t="str">
        <f>'Source Table'!$E$6</f>
        <v>Private Sector</v>
      </c>
      <c r="G249" s="16" t="str">
        <f>'Source Table'!$E$5</f>
        <v>القطاع الخاص</v>
      </c>
      <c r="H249" t="str">
        <f>'Source Table'!$G$8</f>
        <v>Female</v>
      </c>
      <c r="I249" s="16" t="str">
        <f>'Source Table'!$G$7</f>
        <v>أنثى</v>
      </c>
      <c r="J249" s="25" t="str">
        <f>'Source Table'!$B$29</f>
        <v xml:space="preserve">Family </v>
      </c>
      <c r="K249" s="25" t="str">
        <f>'Source Table'!$I$29</f>
        <v>طب أسرة</v>
      </c>
      <c r="L249" s="39">
        <v>16</v>
      </c>
      <c r="M249">
        <v>2022</v>
      </c>
    </row>
    <row r="250" spans="1:13" ht="15">
      <c r="A250" t="s">
        <v>153</v>
      </c>
      <c r="B250" t="s">
        <v>154</v>
      </c>
      <c r="C250" s="15" t="s">
        <v>30</v>
      </c>
      <c r="D250" s="23" t="s">
        <v>81</v>
      </c>
      <c r="E250" s="25" t="s">
        <v>82</v>
      </c>
      <c r="F250" s="16" t="str">
        <f>'Source Table'!$E$6</f>
        <v>Private Sector</v>
      </c>
      <c r="G250" s="16" t="str">
        <f>'Source Table'!$E$5</f>
        <v>القطاع الخاص</v>
      </c>
      <c r="H250" t="str">
        <f>'Source Table'!$G$8</f>
        <v>Female</v>
      </c>
      <c r="I250" s="16" t="str">
        <f>'Source Table'!$G$7</f>
        <v>أنثى</v>
      </c>
      <c r="J250" s="25" t="str">
        <f>'Source Table'!$B$30</f>
        <v>Urologist</v>
      </c>
      <c r="K250" s="25" t="str">
        <f>'Source Table'!$I$30</f>
        <v xml:space="preserve">المسالك البولية </v>
      </c>
      <c r="L250" s="39">
        <v>2</v>
      </c>
      <c r="M250">
        <v>2022</v>
      </c>
    </row>
    <row r="251" spans="1:13" ht="15">
      <c r="A251" t="s">
        <v>153</v>
      </c>
      <c r="B251" t="s">
        <v>154</v>
      </c>
      <c r="C251" s="15" t="s">
        <v>30</v>
      </c>
      <c r="D251" s="23" t="s">
        <v>81</v>
      </c>
      <c r="E251" s="25" t="s">
        <v>82</v>
      </c>
      <c r="F251" s="16" t="str">
        <f>'Source Table'!$E$6</f>
        <v>Private Sector</v>
      </c>
      <c r="G251" s="16" t="str">
        <f>'Source Table'!$E$5</f>
        <v>القطاع الخاص</v>
      </c>
      <c r="H251" t="str">
        <f>'Source Table'!$G$8</f>
        <v>Female</v>
      </c>
      <c r="I251" s="16" t="str">
        <f>'Source Table'!$G$7</f>
        <v>أنثى</v>
      </c>
      <c r="J251" s="25" t="str">
        <f>'Source Table'!$B$31</f>
        <v>Cardiology</v>
      </c>
      <c r="K251" s="25" t="str">
        <f>'Source Table'!$I$31</f>
        <v>أمراض القلب</v>
      </c>
      <c r="L251" s="39">
        <v>3</v>
      </c>
      <c r="M251">
        <v>2022</v>
      </c>
    </row>
    <row r="252" spans="1:13" ht="15">
      <c r="A252" t="s">
        <v>153</v>
      </c>
      <c r="B252" t="s">
        <v>154</v>
      </c>
      <c r="C252" s="15" t="s">
        <v>30</v>
      </c>
      <c r="D252" s="23" t="s">
        <v>81</v>
      </c>
      <c r="E252" s="25" t="s">
        <v>82</v>
      </c>
      <c r="F252" s="16" t="str">
        <f>'Source Table'!$E$6</f>
        <v>Private Sector</v>
      </c>
      <c r="G252" s="16" t="str">
        <f>'Source Table'!$E$5</f>
        <v>القطاع الخاص</v>
      </c>
      <c r="H252" t="str">
        <f>'Source Table'!$G$8</f>
        <v>Female</v>
      </c>
      <c r="I252" s="16" t="str">
        <f>'Source Table'!$G$7</f>
        <v>أنثى</v>
      </c>
      <c r="J252" s="25" t="str">
        <f>'Source Table'!$B$32</f>
        <v>Laboratory</v>
      </c>
      <c r="K252" s="25" t="str">
        <f>'Source Table'!$I$32</f>
        <v>مختبرات</v>
      </c>
      <c r="L252" s="39">
        <v>2</v>
      </c>
      <c r="M252">
        <v>2022</v>
      </c>
    </row>
    <row r="253" spans="1:13" ht="15">
      <c r="A253" t="s">
        <v>153</v>
      </c>
      <c r="B253" t="s">
        <v>154</v>
      </c>
      <c r="C253" s="15" t="s">
        <v>30</v>
      </c>
      <c r="D253" s="23" t="s">
        <v>81</v>
      </c>
      <c r="E253" s="25" t="s">
        <v>82</v>
      </c>
      <c r="F253" s="16" t="str">
        <f>'Source Table'!$E$6</f>
        <v>Private Sector</v>
      </c>
      <c r="G253" s="16" t="str">
        <f>'Source Table'!$E$5</f>
        <v>القطاع الخاص</v>
      </c>
      <c r="H253" t="str">
        <f>'Source Table'!$G$8</f>
        <v>Female</v>
      </c>
      <c r="I253" s="16" t="str">
        <f>'Source Table'!$G$7</f>
        <v>أنثى</v>
      </c>
      <c r="J253" s="25" t="str">
        <f>'Source Table'!$B$33</f>
        <v>Others</v>
      </c>
      <c r="K253" s="25" t="str">
        <f>'Source Table'!$I$33</f>
        <v>أخرى</v>
      </c>
      <c r="L253" s="39">
        <v>35</v>
      </c>
      <c r="M253">
        <v>2022</v>
      </c>
    </row>
    <row r="254" spans="1:13" ht="15">
      <c r="A254" t="s">
        <v>153</v>
      </c>
      <c r="B254" t="s">
        <v>154</v>
      </c>
      <c r="C254" s="15" t="s">
        <v>30</v>
      </c>
      <c r="D254" s="23" t="s">
        <v>81</v>
      </c>
      <c r="E254" s="25" t="s">
        <v>82</v>
      </c>
      <c r="F254" t="str">
        <f>'Source Table'!$C$6</f>
        <v>Others</v>
      </c>
      <c r="G254" t="str">
        <f>'Source Table'!$C$5</f>
        <v>آخرون</v>
      </c>
      <c r="H254" t="str">
        <f>'Source Table'!$H$8</f>
        <v>Male</v>
      </c>
      <c r="I254" s="25" t="str">
        <f>'Source Table'!$H$7</f>
        <v>ذكر</v>
      </c>
      <c r="J254" s="25" t="str">
        <f>'Source Table'!$B$9</f>
        <v>General Practitioner</v>
      </c>
      <c r="K254" s="25" t="str">
        <f>'Source Table'!$I$9</f>
        <v>طبيب عام</v>
      </c>
      <c r="L254" s="38">
        <v>7098</v>
      </c>
      <c r="M254">
        <v>2022</v>
      </c>
    </row>
    <row r="255" spans="1:13" ht="15">
      <c r="A255" t="s">
        <v>153</v>
      </c>
      <c r="B255" t="s">
        <v>154</v>
      </c>
      <c r="C255" s="15" t="s">
        <v>30</v>
      </c>
      <c r="D255" s="23" t="s">
        <v>81</v>
      </c>
      <c r="E255" s="25" t="s">
        <v>82</v>
      </c>
      <c r="F255" t="str">
        <f>'Source Table'!$C$6</f>
        <v>Others</v>
      </c>
      <c r="G255" t="str">
        <f>'Source Table'!$C$5</f>
        <v>آخرون</v>
      </c>
      <c r="H255" t="str">
        <f>'Source Table'!$H$8</f>
        <v>Male</v>
      </c>
      <c r="I255" s="25" t="str">
        <f>'Source Table'!$H$7</f>
        <v>ذكر</v>
      </c>
      <c r="J255" s="25" t="str">
        <f>'Source Table'!$B$10</f>
        <v>Surgeon</v>
      </c>
      <c r="K255" s="25" t="str">
        <f>'Source Table'!$I$10</f>
        <v>جراحة عامة</v>
      </c>
      <c r="L255" s="39">
        <v>210</v>
      </c>
      <c r="M255">
        <v>2022</v>
      </c>
    </row>
    <row r="256" spans="1:13" ht="15">
      <c r="A256" t="s">
        <v>153</v>
      </c>
      <c r="B256" t="s">
        <v>154</v>
      </c>
      <c r="C256" s="15" t="s">
        <v>30</v>
      </c>
      <c r="D256" s="23" t="s">
        <v>81</v>
      </c>
      <c r="E256" s="25" t="s">
        <v>82</v>
      </c>
      <c r="F256" t="str">
        <f>'Source Table'!$C$6</f>
        <v>Others</v>
      </c>
      <c r="G256" t="str">
        <f>'Source Table'!$C$5</f>
        <v>آخرون</v>
      </c>
      <c r="H256" t="str">
        <f>'Source Table'!$H$8</f>
        <v>Male</v>
      </c>
      <c r="I256" s="25" t="str">
        <f>'Source Table'!$H$7</f>
        <v>ذكر</v>
      </c>
      <c r="J256" s="25" t="str">
        <f>'Source Table'!$B$11</f>
        <v>Internist</v>
      </c>
      <c r="K256" s="25" t="str">
        <f>'Source Table'!$I$11</f>
        <v>باطنية</v>
      </c>
      <c r="L256" s="39">
        <v>220</v>
      </c>
      <c r="M256">
        <v>2022</v>
      </c>
    </row>
    <row r="257" spans="1:13" ht="15">
      <c r="A257" t="s">
        <v>153</v>
      </c>
      <c r="B257" t="s">
        <v>154</v>
      </c>
      <c r="C257" s="15" t="s">
        <v>30</v>
      </c>
      <c r="D257" s="23" t="s">
        <v>81</v>
      </c>
      <c r="E257" s="25" t="s">
        <v>82</v>
      </c>
      <c r="F257" t="str">
        <f>'Source Table'!$C$6</f>
        <v>Others</v>
      </c>
      <c r="G257" t="str">
        <f>'Source Table'!$C$5</f>
        <v>آخرون</v>
      </c>
      <c r="H257" t="str">
        <f>'Source Table'!$H$8</f>
        <v>Male</v>
      </c>
      <c r="I257" s="25" t="str">
        <f>'Source Table'!$H$7</f>
        <v>ذكر</v>
      </c>
      <c r="J257" s="25" t="str">
        <f>'Source Table'!$B$12</f>
        <v>Gynecologist and Obst.</v>
      </c>
      <c r="K257" s="25" t="str">
        <f>'Source Table'!$I$12</f>
        <v>نسائية وتوليد</v>
      </c>
      <c r="L257" s="39">
        <v>123</v>
      </c>
      <c r="M257">
        <v>2022</v>
      </c>
    </row>
    <row r="258" spans="1:13" ht="15">
      <c r="A258" t="s">
        <v>153</v>
      </c>
      <c r="B258" t="s">
        <v>154</v>
      </c>
      <c r="C258" s="15" t="s">
        <v>30</v>
      </c>
      <c r="D258" s="23" t="s">
        <v>81</v>
      </c>
      <c r="E258" s="25" t="s">
        <v>82</v>
      </c>
      <c r="F258" t="str">
        <f>'Source Table'!$C$6</f>
        <v>Others</v>
      </c>
      <c r="G258" t="str">
        <f>'Source Table'!$C$5</f>
        <v>آخرون</v>
      </c>
      <c r="H258" t="str">
        <f>'Source Table'!$H$8</f>
        <v>Male</v>
      </c>
      <c r="I258" s="25" t="str">
        <f>'Source Table'!$H$7</f>
        <v>ذكر</v>
      </c>
      <c r="J258" s="25" t="str">
        <f>'Source Table'!$B$13</f>
        <v>Pediatrics</v>
      </c>
      <c r="K258" s="25" t="str">
        <f>'Source Table'!$I$13</f>
        <v>أطفال</v>
      </c>
      <c r="L258" s="39">
        <v>183</v>
      </c>
      <c r="M258">
        <v>2022</v>
      </c>
    </row>
    <row r="259" spans="1:13" ht="15">
      <c r="A259" t="s">
        <v>153</v>
      </c>
      <c r="B259" t="s">
        <v>154</v>
      </c>
      <c r="C259" s="15" t="s">
        <v>30</v>
      </c>
      <c r="D259" s="23" t="s">
        <v>81</v>
      </c>
      <c r="E259" s="25" t="s">
        <v>82</v>
      </c>
      <c r="F259" t="str">
        <f>'Source Table'!$C$6</f>
        <v>Others</v>
      </c>
      <c r="G259" t="str">
        <f>'Source Table'!$C$5</f>
        <v>آخرون</v>
      </c>
      <c r="H259" t="str">
        <f>'Source Table'!$H$8</f>
        <v>Male</v>
      </c>
      <c r="I259" s="25" t="str">
        <f>'Source Table'!$H$7</f>
        <v>ذكر</v>
      </c>
      <c r="J259" s="25" t="str">
        <f>'Source Table'!$B$14</f>
        <v>Ophthalmologist</v>
      </c>
      <c r="K259" s="25" t="str">
        <f>'Source Table'!$I$14</f>
        <v>العيون</v>
      </c>
      <c r="L259" s="39">
        <v>91</v>
      </c>
      <c r="M259">
        <v>2022</v>
      </c>
    </row>
    <row r="260" spans="1:13" ht="15">
      <c r="A260" t="s">
        <v>153</v>
      </c>
      <c r="B260" t="s">
        <v>154</v>
      </c>
      <c r="C260" s="15" t="s">
        <v>30</v>
      </c>
      <c r="D260" s="23" t="s">
        <v>81</v>
      </c>
      <c r="E260" s="25" t="s">
        <v>82</v>
      </c>
      <c r="F260" t="str">
        <f>'Source Table'!$C$6</f>
        <v>Others</v>
      </c>
      <c r="G260" t="str">
        <f>'Source Table'!$C$5</f>
        <v>آخرون</v>
      </c>
      <c r="H260" t="str">
        <f>'Source Table'!$H$8</f>
        <v>Male</v>
      </c>
      <c r="I260" s="25" t="str">
        <f>'Source Table'!$H$7</f>
        <v>ذكر</v>
      </c>
      <c r="J260" s="25" t="str">
        <f>'Source Table'!$B$15</f>
        <v>Orthopedic Surg.</v>
      </c>
      <c r="K260" s="25" t="str">
        <f>'Source Table'!$I$15</f>
        <v>العظام</v>
      </c>
      <c r="L260" s="39">
        <v>149</v>
      </c>
      <c r="M260">
        <v>2022</v>
      </c>
    </row>
    <row r="261" spans="1:13" ht="15">
      <c r="A261" t="s">
        <v>153</v>
      </c>
      <c r="B261" t="s">
        <v>154</v>
      </c>
      <c r="C261" s="15" t="s">
        <v>30</v>
      </c>
      <c r="D261" s="23" t="s">
        <v>81</v>
      </c>
      <c r="E261" s="25" t="s">
        <v>82</v>
      </c>
      <c r="F261" t="str">
        <f>'Source Table'!$C$6</f>
        <v>Others</v>
      </c>
      <c r="G261" t="str">
        <f>'Source Table'!$C$5</f>
        <v>آخرون</v>
      </c>
      <c r="H261" t="str">
        <f>'Source Table'!$H$8</f>
        <v>Male</v>
      </c>
      <c r="I261" s="25" t="str">
        <f>'Source Table'!$H$7</f>
        <v>ذكر</v>
      </c>
      <c r="J261" s="25" t="str">
        <f>'Source Table'!$B$16</f>
        <v>E.N.T.Surg.</v>
      </c>
      <c r="K261" s="25" t="str">
        <f>'Source Table'!$I$16</f>
        <v>أذن وأنف وحنجرة</v>
      </c>
      <c r="L261" s="39">
        <v>73</v>
      </c>
      <c r="M261">
        <v>2022</v>
      </c>
    </row>
    <row r="262" spans="1:13" ht="15">
      <c r="A262" t="s">
        <v>153</v>
      </c>
      <c r="B262" t="s">
        <v>154</v>
      </c>
      <c r="C262" s="15" t="s">
        <v>30</v>
      </c>
      <c r="D262" s="23" t="s">
        <v>81</v>
      </c>
      <c r="E262" s="25" t="s">
        <v>82</v>
      </c>
      <c r="F262" t="str">
        <f>'Source Table'!$C$6</f>
        <v>Others</v>
      </c>
      <c r="G262" t="str">
        <f>'Source Table'!$C$5</f>
        <v>آخرون</v>
      </c>
      <c r="H262" t="str">
        <f>'Source Table'!$H$8</f>
        <v>Male</v>
      </c>
      <c r="I262" s="25" t="str">
        <f>'Source Table'!$H$7</f>
        <v>ذكر</v>
      </c>
      <c r="J262" s="25" t="str">
        <f>'Source Table'!$B$17</f>
        <v>Neurosurgery</v>
      </c>
      <c r="K262" s="25" t="str">
        <f>'Source Table'!$I$17</f>
        <v>جراحةأعصاب</v>
      </c>
      <c r="L262" s="39">
        <v>22</v>
      </c>
      <c r="M262">
        <v>2022</v>
      </c>
    </row>
    <row r="263" spans="1:13" ht="15">
      <c r="A263" t="s">
        <v>153</v>
      </c>
      <c r="B263" t="s">
        <v>154</v>
      </c>
      <c r="C263" s="15" t="s">
        <v>30</v>
      </c>
      <c r="D263" s="23" t="s">
        <v>81</v>
      </c>
      <c r="E263" s="25" t="s">
        <v>82</v>
      </c>
      <c r="F263" t="str">
        <f>'Source Table'!$C$6</f>
        <v>Others</v>
      </c>
      <c r="G263" t="str">
        <f>'Source Table'!$C$5</f>
        <v>آخرون</v>
      </c>
      <c r="H263" t="str">
        <f>'Source Table'!$H$8</f>
        <v>Male</v>
      </c>
      <c r="I263" s="25" t="str">
        <f>'Source Table'!$H$7</f>
        <v>ذكر</v>
      </c>
      <c r="J263" s="25" t="str">
        <f>'Source Table'!$B$18</f>
        <v>Cardiothoracic</v>
      </c>
      <c r="K263" s="25" t="str">
        <f>'Source Table'!$I$18</f>
        <v>جراحة قلب</v>
      </c>
      <c r="L263" s="39">
        <v>7</v>
      </c>
      <c r="M263">
        <v>2022</v>
      </c>
    </row>
    <row r="264" spans="1:13" ht="15">
      <c r="A264" t="s">
        <v>153</v>
      </c>
      <c r="B264" t="s">
        <v>154</v>
      </c>
      <c r="C264" s="15" t="s">
        <v>30</v>
      </c>
      <c r="D264" s="23" t="s">
        <v>81</v>
      </c>
      <c r="E264" s="25" t="s">
        <v>82</v>
      </c>
      <c r="F264" t="str">
        <f>'Source Table'!$C$6</f>
        <v>Others</v>
      </c>
      <c r="G264" t="str">
        <f>'Source Table'!$C$5</f>
        <v>آخرون</v>
      </c>
      <c r="H264" t="str">
        <f>'Source Table'!$H$8</f>
        <v>Male</v>
      </c>
      <c r="I264" s="25" t="str">
        <f>'Source Table'!$H$7</f>
        <v>ذكر</v>
      </c>
      <c r="J264" s="25" t="str">
        <f>'Source Table'!$B$19</f>
        <v>Plastic Surgeon</v>
      </c>
      <c r="K264" s="25" t="str">
        <f>'Source Table'!$I$19</f>
        <v>التجميل</v>
      </c>
      <c r="L264" s="39">
        <v>9</v>
      </c>
      <c r="M264">
        <v>2022</v>
      </c>
    </row>
    <row r="265" spans="1:13" ht="15">
      <c r="A265" t="s">
        <v>153</v>
      </c>
      <c r="B265" t="s">
        <v>154</v>
      </c>
      <c r="C265" s="15" t="s">
        <v>30</v>
      </c>
      <c r="D265" s="23" t="s">
        <v>81</v>
      </c>
      <c r="E265" s="25" t="s">
        <v>82</v>
      </c>
      <c r="F265" t="str">
        <f>'Source Table'!$C$6</f>
        <v>Others</v>
      </c>
      <c r="G265" t="str">
        <f>'Source Table'!$C$5</f>
        <v>آخرون</v>
      </c>
      <c r="H265" t="str">
        <f>'Source Table'!$H$8</f>
        <v>Male</v>
      </c>
      <c r="I265" s="25" t="str">
        <f>'Source Table'!$H$7</f>
        <v>ذكر</v>
      </c>
      <c r="J265" s="25" t="str">
        <f>'Source Table'!$B$20</f>
        <v>Psychiatry</v>
      </c>
      <c r="K265" s="25" t="str">
        <f>'Source Table'!$I$20</f>
        <v>النفسية</v>
      </c>
      <c r="L265" s="39">
        <v>35</v>
      </c>
      <c r="M265">
        <v>2022</v>
      </c>
    </row>
    <row r="266" spans="1:13" ht="15">
      <c r="A266" t="s">
        <v>153</v>
      </c>
      <c r="B266" t="s">
        <v>154</v>
      </c>
      <c r="C266" s="15" t="s">
        <v>30</v>
      </c>
      <c r="D266" s="23" t="s">
        <v>81</v>
      </c>
      <c r="E266" s="25" t="s">
        <v>82</v>
      </c>
      <c r="F266" t="str">
        <f>'Source Table'!$C$6</f>
        <v>Others</v>
      </c>
      <c r="G266" t="str">
        <f>'Source Table'!$C$5</f>
        <v>آخرون</v>
      </c>
      <c r="H266" t="str">
        <f>'Source Table'!$H$8</f>
        <v>Male</v>
      </c>
      <c r="I266" s="25" t="str">
        <f>'Source Table'!$H$7</f>
        <v>ذكر</v>
      </c>
      <c r="J266" s="25" t="str">
        <f>'Source Table'!$B$21</f>
        <v>Dermatologist Venereal</v>
      </c>
      <c r="K266" s="25" t="str">
        <f>'Source Table'!$I$21</f>
        <v>جلدية وتناسلية</v>
      </c>
      <c r="L266" s="39">
        <v>33</v>
      </c>
      <c r="M266">
        <v>2022</v>
      </c>
    </row>
    <row r="267" spans="1:13" ht="15">
      <c r="A267" t="s">
        <v>153</v>
      </c>
      <c r="B267" t="s">
        <v>154</v>
      </c>
      <c r="C267" s="15" t="s">
        <v>30</v>
      </c>
      <c r="D267" s="23" t="s">
        <v>81</v>
      </c>
      <c r="E267" s="25" t="s">
        <v>82</v>
      </c>
      <c r="F267" t="str">
        <f>'Source Table'!$C$6</f>
        <v>Others</v>
      </c>
      <c r="G267" t="str">
        <f>'Source Table'!$C$5</f>
        <v>آخرون</v>
      </c>
      <c r="H267" t="str">
        <f>'Source Table'!$H$8</f>
        <v>Male</v>
      </c>
      <c r="I267" s="25" t="str">
        <f>'Source Table'!$H$7</f>
        <v>ذكر</v>
      </c>
      <c r="J267" s="25" t="str">
        <f>'Source Table'!$B$22</f>
        <v>Neurology/ Nervous</v>
      </c>
      <c r="K267" s="25" t="str">
        <f>'Source Table'!$I$22</f>
        <v>مرض الأعصاب</v>
      </c>
      <c r="L267" s="39">
        <v>13</v>
      </c>
      <c r="M267">
        <v>2022</v>
      </c>
    </row>
    <row r="268" spans="1:13" ht="15">
      <c r="A268" t="s">
        <v>153</v>
      </c>
      <c r="B268" t="s">
        <v>154</v>
      </c>
      <c r="C268" s="15" t="s">
        <v>30</v>
      </c>
      <c r="D268" s="23" t="s">
        <v>81</v>
      </c>
      <c r="E268" s="25" t="s">
        <v>82</v>
      </c>
      <c r="F268" t="str">
        <f>'Source Table'!$C$6</f>
        <v>Others</v>
      </c>
      <c r="G268" t="str">
        <f>'Source Table'!$C$5</f>
        <v>آخرون</v>
      </c>
      <c r="H268" t="str">
        <f>'Source Table'!$H$8</f>
        <v>Male</v>
      </c>
      <c r="I268" s="25" t="str">
        <f>'Source Table'!$H$7</f>
        <v>ذكر</v>
      </c>
      <c r="J268" s="25" t="str">
        <f>'Source Table'!$B$23</f>
        <v>Pumologist</v>
      </c>
      <c r="K268" s="25" t="str">
        <f>'Source Table'!$I$23</f>
        <v>صدرية</v>
      </c>
      <c r="L268" s="39">
        <v>12</v>
      </c>
      <c r="M268">
        <v>2022</v>
      </c>
    </row>
    <row r="269" spans="1:13" ht="15">
      <c r="A269" t="s">
        <v>153</v>
      </c>
      <c r="B269" t="s">
        <v>154</v>
      </c>
      <c r="C269" s="15" t="s">
        <v>30</v>
      </c>
      <c r="D269" s="23" t="s">
        <v>81</v>
      </c>
      <c r="E269" s="25" t="s">
        <v>82</v>
      </c>
      <c r="F269" t="str">
        <f>'Source Table'!$C$6</f>
        <v>Others</v>
      </c>
      <c r="G269" t="str">
        <f>'Source Table'!$C$5</f>
        <v>آخرون</v>
      </c>
      <c r="H269" t="str">
        <f>'Source Table'!$H$8</f>
        <v>Male</v>
      </c>
      <c r="I269" s="25" t="str">
        <f>'Source Table'!$H$7</f>
        <v>ذكر</v>
      </c>
      <c r="J269" s="25" t="str">
        <f>'Source Table'!$B$24</f>
        <v>G.I.T. Specialist</v>
      </c>
      <c r="K269" s="25" t="str">
        <f>'Source Table'!$I$24</f>
        <v>جهاز هضمي</v>
      </c>
      <c r="L269" s="39">
        <v>24</v>
      </c>
      <c r="M269">
        <v>2022</v>
      </c>
    </row>
    <row r="270" spans="1:13" ht="15">
      <c r="A270" t="s">
        <v>153</v>
      </c>
      <c r="B270" t="s">
        <v>154</v>
      </c>
      <c r="C270" s="15" t="s">
        <v>30</v>
      </c>
      <c r="D270" s="23" t="s">
        <v>81</v>
      </c>
      <c r="E270" s="25" t="s">
        <v>82</v>
      </c>
      <c r="F270" t="str">
        <f>'Source Table'!$C$6</f>
        <v>Others</v>
      </c>
      <c r="G270" t="str">
        <f>'Source Table'!$C$5</f>
        <v>آخرون</v>
      </c>
      <c r="H270" t="str">
        <f>'Source Table'!$H$8</f>
        <v>Male</v>
      </c>
      <c r="I270" s="25" t="str">
        <f>'Source Table'!$H$7</f>
        <v>ذكر</v>
      </c>
      <c r="J270" s="25" t="str">
        <f>'Source Table'!$B$25</f>
        <v>Diagnostic Radiology</v>
      </c>
      <c r="K270" s="25" t="str">
        <f>'Source Table'!$I$25</f>
        <v>أشعة تشخيصية</v>
      </c>
      <c r="L270" s="39">
        <v>90</v>
      </c>
      <c r="M270">
        <v>2022</v>
      </c>
    </row>
    <row r="271" spans="1:13" ht="15">
      <c r="A271" t="s">
        <v>153</v>
      </c>
      <c r="B271" t="s">
        <v>154</v>
      </c>
      <c r="C271" s="15" t="s">
        <v>30</v>
      </c>
      <c r="D271" s="23" t="s">
        <v>81</v>
      </c>
      <c r="E271" s="25" t="s">
        <v>82</v>
      </c>
      <c r="F271" t="str">
        <f>'Source Table'!$C$6</f>
        <v>Others</v>
      </c>
      <c r="G271" t="str">
        <f>'Source Table'!$C$5</f>
        <v>آخرون</v>
      </c>
      <c r="H271" t="str">
        <f>'Source Table'!$H$8</f>
        <v>Male</v>
      </c>
      <c r="I271" s="25" t="str">
        <f>'Source Table'!$H$7</f>
        <v>ذكر</v>
      </c>
      <c r="J271" s="25" t="str">
        <f>'Source Table'!$B$26</f>
        <v>Anesthetic</v>
      </c>
      <c r="K271" s="25" t="str">
        <f>'Source Table'!$I$26</f>
        <v>تخدير وإنعاش</v>
      </c>
      <c r="L271" s="39">
        <v>177</v>
      </c>
      <c r="M271">
        <v>2022</v>
      </c>
    </row>
    <row r="272" spans="1:13" ht="15">
      <c r="A272" t="s">
        <v>153</v>
      </c>
      <c r="B272" t="s">
        <v>154</v>
      </c>
      <c r="C272" s="15" t="s">
        <v>30</v>
      </c>
      <c r="D272" s="23" t="s">
        <v>81</v>
      </c>
      <c r="E272" s="25" t="s">
        <v>82</v>
      </c>
      <c r="F272" t="str">
        <f>'Source Table'!$C$6</f>
        <v>Others</v>
      </c>
      <c r="G272" t="str">
        <f>'Source Table'!$C$5</f>
        <v>آخرون</v>
      </c>
      <c r="H272" t="str">
        <f>'Source Table'!$H$8</f>
        <v>Male</v>
      </c>
      <c r="I272" s="25" t="str">
        <f>'Source Table'!$H$7</f>
        <v>ذكر</v>
      </c>
      <c r="J272" s="25" t="str">
        <f>'Source Table'!$B$27</f>
        <v>Physiotherapist</v>
      </c>
      <c r="K272" s="25" t="str">
        <f>'Source Table'!$I$27</f>
        <v>طب طبيعي</v>
      </c>
      <c r="L272" s="39">
        <v>15</v>
      </c>
      <c r="M272">
        <v>2022</v>
      </c>
    </row>
    <row r="273" spans="1:13" ht="15">
      <c r="A273" t="s">
        <v>153</v>
      </c>
      <c r="B273" t="s">
        <v>154</v>
      </c>
      <c r="C273" s="15" t="s">
        <v>30</v>
      </c>
      <c r="D273" s="23" t="s">
        <v>81</v>
      </c>
      <c r="E273" s="25" t="s">
        <v>82</v>
      </c>
      <c r="F273" t="str">
        <f>'Source Table'!$C$6</f>
        <v>Others</v>
      </c>
      <c r="G273" t="str">
        <f>'Source Table'!$C$5</f>
        <v>آخرون</v>
      </c>
      <c r="H273" t="str">
        <f>'Source Table'!$H$8</f>
        <v>Male</v>
      </c>
      <c r="I273" s="25" t="str">
        <f>'Source Table'!$H$7</f>
        <v>ذكر</v>
      </c>
      <c r="J273" s="25" t="str">
        <f>'Source Table'!$B$28</f>
        <v>Forensic</v>
      </c>
      <c r="K273" s="25" t="str">
        <f>'Source Table'!$I$28</f>
        <v>طب شرعي</v>
      </c>
      <c r="L273" s="39">
        <v>10</v>
      </c>
      <c r="M273">
        <v>2022</v>
      </c>
    </row>
    <row r="274" spans="1:13" ht="15">
      <c r="A274" t="s">
        <v>153</v>
      </c>
      <c r="B274" t="s">
        <v>154</v>
      </c>
      <c r="C274" s="15" t="s">
        <v>30</v>
      </c>
      <c r="D274" s="23" t="s">
        <v>81</v>
      </c>
      <c r="E274" s="25" t="s">
        <v>82</v>
      </c>
      <c r="F274" t="str">
        <f>'Source Table'!$C$6</f>
        <v>Others</v>
      </c>
      <c r="G274" t="str">
        <f>'Source Table'!$C$5</f>
        <v>آخرون</v>
      </c>
      <c r="H274" t="str">
        <f>'Source Table'!$H$8</f>
        <v>Male</v>
      </c>
      <c r="I274" s="25" t="str">
        <f>'Source Table'!$H$7</f>
        <v>ذكر</v>
      </c>
      <c r="J274" s="25" t="str">
        <f>'Source Table'!$B$29</f>
        <v xml:space="preserve">Family </v>
      </c>
      <c r="K274" s="25" t="str">
        <f>'Source Table'!$I$29</f>
        <v>طب أسرة</v>
      </c>
      <c r="L274" s="39">
        <v>74</v>
      </c>
      <c r="M274">
        <v>2022</v>
      </c>
    </row>
    <row r="275" spans="1:13" ht="15">
      <c r="A275" t="s">
        <v>153</v>
      </c>
      <c r="B275" t="s">
        <v>154</v>
      </c>
      <c r="C275" s="15" t="s">
        <v>30</v>
      </c>
      <c r="D275" s="23" t="s">
        <v>81</v>
      </c>
      <c r="E275" s="25" t="s">
        <v>82</v>
      </c>
      <c r="F275" t="str">
        <f>'Source Table'!$C$6</f>
        <v>Others</v>
      </c>
      <c r="G275" t="str">
        <f>'Source Table'!$C$5</f>
        <v>آخرون</v>
      </c>
      <c r="H275" t="str">
        <f>'Source Table'!$H$8</f>
        <v>Male</v>
      </c>
      <c r="I275" s="25" t="str">
        <f>'Source Table'!$H$7</f>
        <v>ذكر</v>
      </c>
      <c r="J275" s="25" t="str">
        <f>'Source Table'!$B$30</f>
        <v>Urologist</v>
      </c>
      <c r="K275" s="25" t="str">
        <f>'Source Table'!$I$30</f>
        <v xml:space="preserve">المسالك البولية </v>
      </c>
      <c r="L275" s="39">
        <v>80</v>
      </c>
      <c r="M275">
        <v>2022</v>
      </c>
    </row>
    <row r="276" spans="1:13" ht="15">
      <c r="A276" t="s">
        <v>153</v>
      </c>
      <c r="B276" t="s">
        <v>154</v>
      </c>
      <c r="C276" s="15" t="s">
        <v>30</v>
      </c>
      <c r="D276" s="23" t="s">
        <v>81</v>
      </c>
      <c r="E276" s="25" t="s">
        <v>82</v>
      </c>
      <c r="F276" t="str">
        <f>'Source Table'!$C$6</f>
        <v>Others</v>
      </c>
      <c r="G276" t="str">
        <f>'Source Table'!$C$5</f>
        <v>آخرون</v>
      </c>
      <c r="H276" t="str">
        <f>'Source Table'!$H$8</f>
        <v>Male</v>
      </c>
      <c r="I276" s="25" t="str">
        <f>'Source Table'!$H$7</f>
        <v>ذكر</v>
      </c>
      <c r="J276" s="25" t="str">
        <f>'Source Table'!$B$31</f>
        <v>Cardiology</v>
      </c>
      <c r="K276" s="25" t="str">
        <f>'Source Table'!$I$31</f>
        <v>أمراض القلب</v>
      </c>
      <c r="L276" s="39">
        <v>46</v>
      </c>
      <c r="M276">
        <v>2022</v>
      </c>
    </row>
    <row r="277" spans="1:13" ht="15">
      <c r="A277" t="s">
        <v>153</v>
      </c>
      <c r="B277" t="s">
        <v>154</v>
      </c>
      <c r="C277" s="15" t="s">
        <v>30</v>
      </c>
      <c r="D277" s="23" t="s">
        <v>81</v>
      </c>
      <c r="E277" s="25" t="s">
        <v>82</v>
      </c>
      <c r="F277" t="str">
        <f>'Source Table'!$C$6</f>
        <v>Others</v>
      </c>
      <c r="G277" t="str">
        <f>'Source Table'!$C$5</f>
        <v>آخرون</v>
      </c>
      <c r="H277" t="str">
        <f>'Source Table'!$H$8</f>
        <v>Male</v>
      </c>
      <c r="I277" s="25" t="str">
        <f>'Source Table'!$H$7</f>
        <v>ذكر</v>
      </c>
      <c r="J277" s="25" t="str">
        <f>'Source Table'!$B$32</f>
        <v>Laboratory</v>
      </c>
      <c r="K277" s="25" t="str">
        <f>'Source Table'!$I$32</f>
        <v>مختبرات</v>
      </c>
      <c r="L277" s="39">
        <v>6</v>
      </c>
      <c r="M277">
        <v>2022</v>
      </c>
    </row>
    <row r="278" spans="1:13" ht="15">
      <c r="A278" t="s">
        <v>153</v>
      </c>
      <c r="B278" t="s">
        <v>154</v>
      </c>
      <c r="C278" s="15" t="s">
        <v>30</v>
      </c>
      <c r="D278" s="23" t="s">
        <v>81</v>
      </c>
      <c r="E278" s="25" t="s">
        <v>82</v>
      </c>
      <c r="F278" t="str">
        <f>'Source Table'!$C$6</f>
        <v>Others</v>
      </c>
      <c r="G278" t="str">
        <f>'Source Table'!$C$5</f>
        <v>آخرون</v>
      </c>
      <c r="H278" t="str">
        <f>'Source Table'!$H$8</f>
        <v>Male</v>
      </c>
      <c r="I278" s="25" t="str">
        <f>'Source Table'!$H$7</f>
        <v>ذكر</v>
      </c>
      <c r="J278" s="25" t="str">
        <f>'Source Table'!$B$33</f>
        <v>Others</v>
      </c>
      <c r="K278" s="25" t="str">
        <f>'Source Table'!$I$33</f>
        <v>أخرى</v>
      </c>
      <c r="L278" s="39">
        <v>171</v>
      </c>
      <c r="M278">
        <v>2022</v>
      </c>
    </row>
    <row r="279" spans="1:13" ht="15">
      <c r="A279" t="s">
        <v>153</v>
      </c>
      <c r="B279" t="s">
        <v>154</v>
      </c>
      <c r="C279" s="15" t="s">
        <v>30</v>
      </c>
      <c r="D279" s="23" t="s">
        <v>81</v>
      </c>
      <c r="E279" s="25" t="s">
        <v>82</v>
      </c>
      <c r="F279" t="str">
        <f>'Source Table'!$C$6</f>
        <v>Others</v>
      </c>
      <c r="G279" t="str">
        <f>'Source Table'!$C$5</f>
        <v>آخرون</v>
      </c>
      <c r="H279" t="str">
        <f>'Source Table'!$G$8</f>
        <v>Female</v>
      </c>
      <c r="I279" s="16" t="str">
        <f>'Source Table'!$G$7</f>
        <v>أنثى</v>
      </c>
      <c r="J279" s="25" t="str">
        <f>'Source Table'!$B$9</f>
        <v>General Practitioner</v>
      </c>
      <c r="K279" s="25" t="str">
        <f>'Source Table'!$I$9</f>
        <v>طبيب عام</v>
      </c>
      <c r="L279" s="38">
        <v>3383</v>
      </c>
      <c r="M279">
        <v>2022</v>
      </c>
    </row>
    <row r="280" spans="1:13" ht="15">
      <c r="A280" t="s">
        <v>153</v>
      </c>
      <c r="B280" t="s">
        <v>154</v>
      </c>
      <c r="C280" s="15" t="s">
        <v>30</v>
      </c>
      <c r="D280" s="23" t="s">
        <v>81</v>
      </c>
      <c r="E280" s="25" t="s">
        <v>82</v>
      </c>
      <c r="F280" t="str">
        <f>'Source Table'!$C$6</f>
        <v>Others</v>
      </c>
      <c r="G280" t="str">
        <f>'Source Table'!$C$5</f>
        <v>آخرون</v>
      </c>
      <c r="H280" t="str">
        <f>'Source Table'!$G$8</f>
        <v>Female</v>
      </c>
      <c r="I280" s="16" t="str">
        <f>'Source Table'!$G$7</f>
        <v>أنثى</v>
      </c>
      <c r="J280" s="25" t="str">
        <f>'Source Table'!$B$10</f>
        <v>Surgeon</v>
      </c>
      <c r="K280" s="25" t="str">
        <f>'Source Table'!$I$10</f>
        <v>جراحة عامة</v>
      </c>
      <c r="L280" s="40">
        <v>9</v>
      </c>
      <c r="M280">
        <v>2022</v>
      </c>
    </row>
    <row r="281" spans="1:13" ht="15">
      <c r="A281" t="s">
        <v>153</v>
      </c>
      <c r="B281" t="s">
        <v>154</v>
      </c>
      <c r="C281" s="15" t="s">
        <v>30</v>
      </c>
      <c r="D281" s="23" t="s">
        <v>81</v>
      </c>
      <c r="E281" s="25" t="s">
        <v>82</v>
      </c>
      <c r="F281" t="str">
        <f>'Source Table'!$C$6</f>
        <v>Others</v>
      </c>
      <c r="G281" t="str">
        <f>'Source Table'!$C$5</f>
        <v>آخرون</v>
      </c>
      <c r="H281" t="str">
        <f>'Source Table'!$G$8</f>
        <v>Female</v>
      </c>
      <c r="I281" s="16" t="str">
        <f>'Source Table'!$G$7</f>
        <v>أنثى</v>
      </c>
      <c r="J281" s="25" t="str">
        <f>'Source Table'!$B$11</f>
        <v>Internist</v>
      </c>
      <c r="K281" s="25" t="str">
        <f>'Source Table'!$I$11</f>
        <v>باطنية</v>
      </c>
      <c r="L281" s="40">
        <v>59</v>
      </c>
      <c r="M281">
        <v>2022</v>
      </c>
    </row>
    <row r="282" spans="1:13" ht="15">
      <c r="A282" t="s">
        <v>153</v>
      </c>
      <c r="B282" t="s">
        <v>154</v>
      </c>
      <c r="C282" s="15" t="s">
        <v>30</v>
      </c>
      <c r="D282" s="23" t="s">
        <v>81</v>
      </c>
      <c r="E282" s="25" t="s">
        <v>82</v>
      </c>
      <c r="F282" t="str">
        <f>'Source Table'!$C$6</f>
        <v>Others</v>
      </c>
      <c r="G282" t="str">
        <f>'Source Table'!$C$5</f>
        <v>آخرون</v>
      </c>
      <c r="H282" t="str">
        <f>'Source Table'!$G$8</f>
        <v>Female</v>
      </c>
      <c r="I282" s="16" t="str">
        <f>'Source Table'!$G$7</f>
        <v>أنثى</v>
      </c>
      <c r="J282" s="25" t="str">
        <f>'Source Table'!$B$12</f>
        <v>Gynecologist and Obst.</v>
      </c>
      <c r="K282" s="25" t="str">
        <f>'Source Table'!$I$12</f>
        <v>نسائية وتوليد</v>
      </c>
      <c r="L282" s="40">
        <v>152</v>
      </c>
      <c r="M282">
        <v>2022</v>
      </c>
    </row>
    <row r="283" spans="1:13" ht="15">
      <c r="A283" t="s">
        <v>153</v>
      </c>
      <c r="B283" t="s">
        <v>154</v>
      </c>
      <c r="C283" s="15" t="s">
        <v>30</v>
      </c>
      <c r="D283" s="23" t="s">
        <v>81</v>
      </c>
      <c r="E283" s="25" t="s">
        <v>82</v>
      </c>
      <c r="F283" t="str">
        <f>'Source Table'!$C$6</f>
        <v>Others</v>
      </c>
      <c r="G283" t="str">
        <f>'Source Table'!$C$5</f>
        <v>آخرون</v>
      </c>
      <c r="H283" t="str">
        <f>'Source Table'!$G$8</f>
        <v>Female</v>
      </c>
      <c r="I283" s="16" t="str">
        <f>'Source Table'!$G$7</f>
        <v>أنثى</v>
      </c>
      <c r="J283" s="25" t="str">
        <f>'Source Table'!$B$13</f>
        <v>Pediatrics</v>
      </c>
      <c r="K283" s="25" t="str">
        <f>'Source Table'!$I$13</f>
        <v>أطفال</v>
      </c>
      <c r="L283" s="40">
        <v>107</v>
      </c>
      <c r="M283">
        <v>2022</v>
      </c>
    </row>
    <row r="284" spans="1:13" ht="15">
      <c r="A284" t="s">
        <v>153</v>
      </c>
      <c r="B284" t="s">
        <v>154</v>
      </c>
      <c r="C284" s="15" t="s">
        <v>30</v>
      </c>
      <c r="D284" s="23" t="s">
        <v>81</v>
      </c>
      <c r="E284" s="25" t="s">
        <v>82</v>
      </c>
      <c r="F284" t="str">
        <f>'Source Table'!$C$6</f>
        <v>Others</v>
      </c>
      <c r="G284" t="str">
        <f>'Source Table'!$C$5</f>
        <v>آخرون</v>
      </c>
      <c r="H284" t="str">
        <f>'Source Table'!$G$8</f>
        <v>Female</v>
      </c>
      <c r="I284" s="16" t="str">
        <f>'Source Table'!$G$7</f>
        <v>أنثى</v>
      </c>
      <c r="J284" s="25" t="str">
        <f>'Source Table'!$B$14</f>
        <v>Ophthalmologist</v>
      </c>
      <c r="K284" s="25" t="str">
        <f>'Source Table'!$I$14</f>
        <v>العيون</v>
      </c>
      <c r="L284" s="40">
        <v>31</v>
      </c>
      <c r="M284">
        <v>2022</v>
      </c>
    </row>
    <row r="285" spans="1:13" ht="15">
      <c r="A285" t="s">
        <v>153</v>
      </c>
      <c r="B285" t="s">
        <v>154</v>
      </c>
      <c r="C285" s="15" t="s">
        <v>30</v>
      </c>
      <c r="D285" s="23" t="s">
        <v>81</v>
      </c>
      <c r="E285" s="25" t="s">
        <v>82</v>
      </c>
      <c r="F285" t="str">
        <f>'Source Table'!$C$6</f>
        <v>Others</v>
      </c>
      <c r="G285" t="str">
        <f>'Source Table'!$C$5</f>
        <v>آخرون</v>
      </c>
      <c r="H285" t="str">
        <f>'Source Table'!$G$8</f>
        <v>Female</v>
      </c>
      <c r="I285" s="16" t="str">
        <f>'Source Table'!$G$7</f>
        <v>أنثى</v>
      </c>
      <c r="J285" s="25" t="str">
        <f>'Source Table'!$B$15</f>
        <v>Orthopedic Surg.</v>
      </c>
      <c r="K285" s="25" t="str">
        <f>'Source Table'!$I$15</f>
        <v>العظام</v>
      </c>
      <c r="L285" s="40">
        <v>1</v>
      </c>
      <c r="M285">
        <v>2022</v>
      </c>
    </row>
    <row r="286" spans="1:13" ht="15">
      <c r="A286" t="s">
        <v>153</v>
      </c>
      <c r="B286" t="s">
        <v>154</v>
      </c>
      <c r="C286" s="15" t="s">
        <v>30</v>
      </c>
      <c r="D286" s="23" t="s">
        <v>81</v>
      </c>
      <c r="E286" s="25" t="s">
        <v>82</v>
      </c>
      <c r="F286" t="str">
        <f>'Source Table'!$C$6</f>
        <v>Others</v>
      </c>
      <c r="G286" t="str">
        <f>'Source Table'!$C$5</f>
        <v>آخرون</v>
      </c>
      <c r="H286" t="str">
        <f>'Source Table'!$G$8</f>
        <v>Female</v>
      </c>
      <c r="I286" s="16" t="str">
        <f>'Source Table'!$G$7</f>
        <v>أنثى</v>
      </c>
      <c r="J286" s="25" t="str">
        <f>'Source Table'!$B$16</f>
        <v>E.N.T.Surg.</v>
      </c>
      <c r="K286" s="25" t="str">
        <f>'Source Table'!$I$16</f>
        <v>أذن وأنف وحنجرة</v>
      </c>
      <c r="L286" s="40">
        <v>13</v>
      </c>
      <c r="M286">
        <v>2022</v>
      </c>
    </row>
    <row r="287" spans="1:13" ht="15">
      <c r="A287" t="s">
        <v>153</v>
      </c>
      <c r="B287" t="s">
        <v>154</v>
      </c>
      <c r="C287" s="15" t="s">
        <v>30</v>
      </c>
      <c r="D287" s="23" t="s">
        <v>81</v>
      </c>
      <c r="E287" s="25" t="s">
        <v>82</v>
      </c>
      <c r="F287" t="str">
        <f>'Source Table'!$C$6</f>
        <v>Others</v>
      </c>
      <c r="G287" t="str">
        <f>'Source Table'!$C$5</f>
        <v>آخرون</v>
      </c>
      <c r="H287" t="str">
        <f>'Source Table'!$G$8</f>
        <v>Female</v>
      </c>
      <c r="I287" s="16" t="str">
        <f>'Source Table'!$G$7</f>
        <v>أنثى</v>
      </c>
      <c r="J287" s="25" t="str">
        <f>'Source Table'!$B$17</f>
        <v>Neurosurgery</v>
      </c>
      <c r="K287" s="25" t="str">
        <f>'Source Table'!$I$17</f>
        <v>جراحةأعصاب</v>
      </c>
      <c r="L287" s="39">
        <v>0</v>
      </c>
      <c r="M287">
        <v>2022</v>
      </c>
    </row>
    <row r="288" spans="1:13" ht="15">
      <c r="A288" t="s">
        <v>153</v>
      </c>
      <c r="B288" t="s">
        <v>154</v>
      </c>
      <c r="C288" s="15" t="s">
        <v>30</v>
      </c>
      <c r="D288" s="23" t="s">
        <v>81</v>
      </c>
      <c r="E288" s="25" t="s">
        <v>82</v>
      </c>
      <c r="F288" t="str">
        <f>'Source Table'!$C$6</f>
        <v>Others</v>
      </c>
      <c r="G288" t="str">
        <f>'Source Table'!$C$5</f>
        <v>آخرون</v>
      </c>
      <c r="H288" t="str">
        <f>'Source Table'!$G$8</f>
        <v>Female</v>
      </c>
      <c r="I288" s="16" t="str">
        <f>'Source Table'!$G$7</f>
        <v>أنثى</v>
      </c>
      <c r="J288" s="25" t="str">
        <f>'Source Table'!$B$18</f>
        <v>Cardiothoracic</v>
      </c>
      <c r="K288" s="25" t="str">
        <f>'Source Table'!$I$18</f>
        <v>جراحة قلب</v>
      </c>
      <c r="L288" s="39">
        <v>0</v>
      </c>
      <c r="M288">
        <v>2022</v>
      </c>
    </row>
    <row r="289" spans="1:13" ht="15">
      <c r="A289" t="s">
        <v>153</v>
      </c>
      <c r="B289" t="s">
        <v>154</v>
      </c>
      <c r="C289" s="15" t="s">
        <v>30</v>
      </c>
      <c r="D289" s="23" t="s">
        <v>81</v>
      </c>
      <c r="E289" s="25" t="s">
        <v>82</v>
      </c>
      <c r="F289" t="str">
        <f>'Source Table'!$C$6</f>
        <v>Others</v>
      </c>
      <c r="G289" t="str">
        <f>'Source Table'!$C$5</f>
        <v>آخرون</v>
      </c>
      <c r="H289" t="str">
        <f>'Source Table'!$G$8</f>
        <v>Female</v>
      </c>
      <c r="I289" s="16" t="str">
        <f>'Source Table'!$G$7</f>
        <v>أنثى</v>
      </c>
      <c r="J289" s="25" t="str">
        <f>'Source Table'!$B$19</f>
        <v>Plastic Surgeon</v>
      </c>
      <c r="K289" s="25" t="str">
        <f>'Source Table'!$I$19</f>
        <v>التجميل</v>
      </c>
      <c r="L289" s="39">
        <v>0</v>
      </c>
      <c r="M289">
        <v>2022</v>
      </c>
    </row>
    <row r="290" spans="1:13" ht="15">
      <c r="A290" t="s">
        <v>153</v>
      </c>
      <c r="B290" t="s">
        <v>154</v>
      </c>
      <c r="C290" s="15" t="s">
        <v>30</v>
      </c>
      <c r="D290" s="23" t="s">
        <v>81</v>
      </c>
      <c r="E290" s="25" t="s">
        <v>82</v>
      </c>
      <c r="F290" t="str">
        <f>'Source Table'!$C$6</f>
        <v>Others</v>
      </c>
      <c r="G290" t="str">
        <f>'Source Table'!$C$5</f>
        <v>آخرون</v>
      </c>
      <c r="H290" t="str">
        <f>'Source Table'!$G$8</f>
        <v>Female</v>
      </c>
      <c r="I290" s="16" t="str">
        <f>'Source Table'!$G$7</f>
        <v>أنثى</v>
      </c>
      <c r="J290" s="25" t="str">
        <f>'Source Table'!$B$20</f>
        <v>Psychiatry</v>
      </c>
      <c r="K290" s="25" t="str">
        <f>'Source Table'!$I$20</f>
        <v>النفسية</v>
      </c>
      <c r="L290" s="39">
        <v>2</v>
      </c>
      <c r="M290">
        <v>2022</v>
      </c>
    </row>
    <row r="291" spans="1:13" ht="15">
      <c r="A291" t="s">
        <v>153</v>
      </c>
      <c r="B291" t="s">
        <v>154</v>
      </c>
      <c r="C291" s="15" t="s">
        <v>30</v>
      </c>
      <c r="D291" s="23" t="s">
        <v>81</v>
      </c>
      <c r="E291" s="25" t="s">
        <v>82</v>
      </c>
      <c r="F291" t="str">
        <f>'Source Table'!$C$6</f>
        <v>Others</v>
      </c>
      <c r="G291" t="str">
        <f>'Source Table'!$C$5</f>
        <v>آخرون</v>
      </c>
      <c r="H291" t="str">
        <f>'Source Table'!$G$8</f>
        <v>Female</v>
      </c>
      <c r="I291" s="16" t="str">
        <f>'Source Table'!$G$7</f>
        <v>أنثى</v>
      </c>
      <c r="J291" s="25" t="str">
        <f>'Source Table'!$B$21</f>
        <v>Dermatologist Venereal</v>
      </c>
      <c r="K291" s="25" t="str">
        <f>'Source Table'!$I$21</f>
        <v>جلدية وتناسلية</v>
      </c>
      <c r="L291" s="40">
        <v>50</v>
      </c>
      <c r="M291">
        <v>2022</v>
      </c>
    </row>
    <row r="292" spans="1:13" ht="15">
      <c r="A292" t="s">
        <v>153</v>
      </c>
      <c r="B292" t="s">
        <v>154</v>
      </c>
      <c r="C292" s="15" t="s">
        <v>30</v>
      </c>
      <c r="D292" s="23" t="s">
        <v>81</v>
      </c>
      <c r="E292" s="25" t="s">
        <v>82</v>
      </c>
      <c r="F292" t="str">
        <f>'Source Table'!$C$6</f>
        <v>Others</v>
      </c>
      <c r="G292" t="str">
        <f>'Source Table'!$C$5</f>
        <v>آخرون</v>
      </c>
      <c r="H292" t="str">
        <f>'Source Table'!$G$8</f>
        <v>Female</v>
      </c>
      <c r="I292" s="16" t="str">
        <f>'Source Table'!$G$7</f>
        <v>أنثى</v>
      </c>
      <c r="J292" s="25" t="str">
        <f>'Source Table'!$B$22</f>
        <v>Neurology/ Nervous</v>
      </c>
      <c r="K292" s="25" t="str">
        <f>'Source Table'!$I$22</f>
        <v>مرض الأعصاب</v>
      </c>
      <c r="L292" s="40">
        <v>11</v>
      </c>
      <c r="M292">
        <v>2022</v>
      </c>
    </row>
    <row r="293" spans="1:13" ht="15">
      <c r="A293" t="s">
        <v>153</v>
      </c>
      <c r="B293" t="s">
        <v>154</v>
      </c>
      <c r="C293" s="15" t="s">
        <v>30</v>
      </c>
      <c r="D293" s="23" t="s">
        <v>81</v>
      </c>
      <c r="E293" s="25" t="s">
        <v>82</v>
      </c>
      <c r="F293" t="str">
        <f>'Source Table'!$C$6</f>
        <v>Others</v>
      </c>
      <c r="G293" t="str">
        <f>'Source Table'!$C$5</f>
        <v>آخرون</v>
      </c>
      <c r="H293" t="str">
        <f>'Source Table'!$G$8</f>
        <v>Female</v>
      </c>
      <c r="I293" s="16" t="str">
        <f>'Source Table'!$G$7</f>
        <v>أنثى</v>
      </c>
      <c r="J293" s="25" t="str">
        <f>'Source Table'!$B$23</f>
        <v>Pumologist</v>
      </c>
      <c r="K293" s="25" t="str">
        <f>'Source Table'!$I$23</f>
        <v>صدرية</v>
      </c>
      <c r="L293" s="40">
        <v>1</v>
      </c>
      <c r="M293">
        <v>2022</v>
      </c>
    </row>
    <row r="294" spans="1:13" ht="15">
      <c r="A294" t="s">
        <v>153</v>
      </c>
      <c r="B294" t="s">
        <v>154</v>
      </c>
      <c r="C294" s="15" t="s">
        <v>30</v>
      </c>
      <c r="D294" s="23" t="s">
        <v>81</v>
      </c>
      <c r="E294" s="25" t="s">
        <v>82</v>
      </c>
      <c r="F294" t="str">
        <f>'Source Table'!$C$6</f>
        <v>Others</v>
      </c>
      <c r="G294" t="str">
        <f>'Source Table'!$C$5</f>
        <v>آخرون</v>
      </c>
      <c r="H294" t="str">
        <f>'Source Table'!$G$8</f>
        <v>Female</v>
      </c>
      <c r="I294" s="16" t="str">
        <f>'Source Table'!$G$7</f>
        <v>أنثى</v>
      </c>
      <c r="J294" s="25" t="str">
        <f>'Source Table'!$B$24</f>
        <v>G.I.T. Specialist</v>
      </c>
      <c r="K294" s="25" t="str">
        <f>'Source Table'!$I$24</f>
        <v>جهاز هضمي</v>
      </c>
      <c r="L294" s="40">
        <v>1</v>
      </c>
      <c r="M294">
        <v>2022</v>
      </c>
    </row>
    <row r="295" spans="1:13" ht="15">
      <c r="A295" t="s">
        <v>153</v>
      </c>
      <c r="B295" t="s">
        <v>154</v>
      </c>
      <c r="C295" s="15" t="s">
        <v>30</v>
      </c>
      <c r="D295" s="23" t="s">
        <v>81</v>
      </c>
      <c r="E295" s="25" t="s">
        <v>82</v>
      </c>
      <c r="F295" t="str">
        <f>'Source Table'!$C$6</f>
        <v>Others</v>
      </c>
      <c r="G295" t="str">
        <f>'Source Table'!$C$5</f>
        <v>آخرون</v>
      </c>
      <c r="H295" t="str">
        <f>'Source Table'!$G$8</f>
        <v>Female</v>
      </c>
      <c r="I295" s="16" t="str">
        <f>'Source Table'!$G$7</f>
        <v>أنثى</v>
      </c>
      <c r="J295" s="25" t="str">
        <f>'Source Table'!$B$25</f>
        <v>Diagnostic Radiology</v>
      </c>
      <c r="K295" s="25" t="str">
        <f>'Source Table'!$I$25</f>
        <v>أشعة تشخيصية</v>
      </c>
      <c r="L295" s="40">
        <v>40</v>
      </c>
      <c r="M295">
        <v>2022</v>
      </c>
    </row>
    <row r="296" spans="1:13" ht="15">
      <c r="A296" t="s">
        <v>153</v>
      </c>
      <c r="B296" t="s">
        <v>154</v>
      </c>
      <c r="C296" s="15" t="s">
        <v>30</v>
      </c>
      <c r="D296" s="23" t="s">
        <v>81</v>
      </c>
      <c r="E296" s="25" t="s">
        <v>82</v>
      </c>
      <c r="F296" t="str">
        <f>'Source Table'!$C$6</f>
        <v>Others</v>
      </c>
      <c r="G296" t="str">
        <f>'Source Table'!$C$5</f>
        <v>آخرون</v>
      </c>
      <c r="H296" t="str">
        <f>'Source Table'!$G$8</f>
        <v>Female</v>
      </c>
      <c r="I296" s="16" t="str">
        <f>'Source Table'!$G$7</f>
        <v>أنثى</v>
      </c>
      <c r="J296" s="25" t="str">
        <f>'Source Table'!$B$26</f>
        <v>Anesthetic</v>
      </c>
      <c r="K296" s="25" t="str">
        <f>'Source Table'!$I$26</f>
        <v>تخدير وإنعاش</v>
      </c>
      <c r="L296" s="40">
        <v>24</v>
      </c>
      <c r="M296">
        <v>2022</v>
      </c>
    </row>
    <row r="297" spans="1:13" ht="15">
      <c r="A297" t="s">
        <v>153</v>
      </c>
      <c r="B297" t="s">
        <v>154</v>
      </c>
      <c r="C297" s="15" t="s">
        <v>30</v>
      </c>
      <c r="D297" s="23" t="s">
        <v>81</v>
      </c>
      <c r="E297" s="25" t="s">
        <v>82</v>
      </c>
      <c r="F297" t="str">
        <f>'Source Table'!$C$6</f>
        <v>Others</v>
      </c>
      <c r="G297" t="str">
        <f>'Source Table'!$C$5</f>
        <v>آخرون</v>
      </c>
      <c r="H297" t="str">
        <f>'Source Table'!$G$8</f>
        <v>Female</v>
      </c>
      <c r="I297" s="16" t="str">
        <f>'Source Table'!$G$7</f>
        <v>أنثى</v>
      </c>
      <c r="J297" s="25" t="str">
        <f>'Source Table'!$B$27</f>
        <v>Physiotherapist</v>
      </c>
      <c r="K297" s="25" t="str">
        <f>'Source Table'!$I$27</f>
        <v>طب طبيعي</v>
      </c>
      <c r="L297" s="39">
        <v>3</v>
      </c>
      <c r="M297">
        <v>2022</v>
      </c>
    </row>
    <row r="298" spans="1:13" ht="15">
      <c r="A298" t="s">
        <v>153</v>
      </c>
      <c r="B298" t="s">
        <v>154</v>
      </c>
      <c r="C298" s="15" t="s">
        <v>30</v>
      </c>
      <c r="D298" s="23" t="s">
        <v>81</v>
      </c>
      <c r="E298" s="25" t="s">
        <v>82</v>
      </c>
      <c r="F298" t="str">
        <f>'Source Table'!$C$6</f>
        <v>Others</v>
      </c>
      <c r="G298" t="str">
        <f>'Source Table'!$C$5</f>
        <v>آخرون</v>
      </c>
      <c r="H298" t="str">
        <f>'Source Table'!$G$8</f>
        <v>Female</v>
      </c>
      <c r="I298" s="16" t="str">
        <f>'Source Table'!$G$7</f>
        <v>أنثى</v>
      </c>
      <c r="J298" s="25" t="str">
        <f>'Source Table'!$B$28</f>
        <v>Forensic</v>
      </c>
      <c r="K298" s="25" t="str">
        <f>'Source Table'!$I$28</f>
        <v>طب شرعي</v>
      </c>
      <c r="L298" s="39">
        <v>1</v>
      </c>
      <c r="M298">
        <v>2022</v>
      </c>
    </row>
    <row r="299" spans="1:13" ht="15">
      <c r="A299" t="s">
        <v>153</v>
      </c>
      <c r="B299" t="s">
        <v>154</v>
      </c>
      <c r="C299" s="15" t="s">
        <v>30</v>
      </c>
      <c r="D299" s="23" t="s">
        <v>81</v>
      </c>
      <c r="E299" s="25" t="s">
        <v>82</v>
      </c>
      <c r="F299" t="str">
        <f>'Source Table'!$C$6</f>
        <v>Others</v>
      </c>
      <c r="G299" t="str">
        <f>'Source Table'!$C$5</f>
        <v>آخرون</v>
      </c>
      <c r="H299" t="str">
        <f>'Source Table'!$G$8</f>
        <v>Female</v>
      </c>
      <c r="I299" s="16" t="str">
        <f>'Source Table'!$G$7</f>
        <v>أنثى</v>
      </c>
      <c r="J299" s="25" t="str">
        <f>'Source Table'!$B$29</f>
        <v xml:space="preserve">Family </v>
      </c>
      <c r="K299" s="25" t="str">
        <f>'Source Table'!$I$29</f>
        <v>طب أسرة</v>
      </c>
      <c r="L299" s="40">
        <v>71</v>
      </c>
      <c r="M299">
        <v>2022</v>
      </c>
    </row>
    <row r="300" spans="1:13" ht="15">
      <c r="A300" t="s">
        <v>153</v>
      </c>
      <c r="B300" t="s">
        <v>154</v>
      </c>
      <c r="C300" s="15" t="s">
        <v>30</v>
      </c>
      <c r="D300" s="23" t="s">
        <v>81</v>
      </c>
      <c r="E300" s="25" t="s">
        <v>82</v>
      </c>
      <c r="F300" t="str">
        <f>'Source Table'!$C$6</f>
        <v>Others</v>
      </c>
      <c r="G300" t="str">
        <f>'Source Table'!$C$5</f>
        <v>آخرون</v>
      </c>
      <c r="H300" t="str">
        <f>'Source Table'!$G$8</f>
        <v>Female</v>
      </c>
      <c r="I300" s="16" t="str">
        <f>'Source Table'!$G$7</f>
        <v>أنثى</v>
      </c>
      <c r="J300" s="25" t="str">
        <f>'Source Table'!$B$30</f>
        <v>Urologist</v>
      </c>
      <c r="K300" s="25" t="str">
        <f>'Source Table'!$I$30</f>
        <v xml:space="preserve">المسالك البولية </v>
      </c>
      <c r="L300" s="40">
        <v>0</v>
      </c>
      <c r="M300">
        <v>2022</v>
      </c>
    </row>
    <row r="301" spans="1:13" ht="15">
      <c r="A301" t="s">
        <v>153</v>
      </c>
      <c r="B301" t="s">
        <v>154</v>
      </c>
      <c r="C301" s="15" t="s">
        <v>30</v>
      </c>
      <c r="D301" s="23" t="s">
        <v>81</v>
      </c>
      <c r="E301" s="25" t="s">
        <v>82</v>
      </c>
      <c r="F301" t="str">
        <f>'Source Table'!$C$6</f>
        <v>Others</v>
      </c>
      <c r="G301" t="str">
        <f>'Source Table'!$C$5</f>
        <v>آخرون</v>
      </c>
      <c r="H301" t="str">
        <f>'Source Table'!$G$8</f>
        <v>Female</v>
      </c>
      <c r="I301" s="16" t="str">
        <f>'Source Table'!$G$7</f>
        <v>أنثى</v>
      </c>
      <c r="J301" s="25" t="str">
        <f>'Source Table'!$B$31</f>
        <v>Cardiology</v>
      </c>
      <c r="K301" s="25" t="str">
        <f>'Source Table'!$I$31</f>
        <v>أمراض القلب</v>
      </c>
      <c r="L301" s="40">
        <v>0</v>
      </c>
      <c r="M301">
        <v>2022</v>
      </c>
    </row>
    <row r="302" spans="1:13" ht="15">
      <c r="A302" t="s">
        <v>153</v>
      </c>
      <c r="B302" t="s">
        <v>154</v>
      </c>
      <c r="C302" s="15" t="s">
        <v>30</v>
      </c>
      <c r="D302" s="23" t="s">
        <v>81</v>
      </c>
      <c r="E302" s="25" t="s">
        <v>82</v>
      </c>
      <c r="F302" t="str">
        <f>'Source Table'!$C$6</f>
        <v>Others</v>
      </c>
      <c r="G302" t="str">
        <f>'Source Table'!$C$5</f>
        <v>آخرون</v>
      </c>
      <c r="H302" t="str">
        <f>'Source Table'!$G$8</f>
        <v>Female</v>
      </c>
      <c r="I302" s="16" t="str">
        <f>'Source Table'!$G$7</f>
        <v>أنثى</v>
      </c>
      <c r="J302" s="25" t="str">
        <f>'Source Table'!$B$32</f>
        <v>Laboratory</v>
      </c>
      <c r="K302" s="25" t="str">
        <f>'Source Table'!$I$32</f>
        <v>مختبرات</v>
      </c>
      <c r="L302" s="40">
        <v>3</v>
      </c>
      <c r="M302">
        <v>2022</v>
      </c>
    </row>
    <row r="303" spans="1:13" ht="15">
      <c r="A303" t="s">
        <v>153</v>
      </c>
      <c r="B303" t="s">
        <v>154</v>
      </c>
      <c r="C303" s="15" t="s">
        <v>30</v>
      </c>
      <c r="D303" s="23" t="s">
        <v>81</v>
      </c>
      <c r="E303" s="25" t="s">
        <v>82</v>
      </c>
      <c r="F303" t="str">
        <f>'Source Table'!$C$6</f>
        <v>Others</v>
      </c>
      <c r="G303" t="str">
        <f>'Source Table'!$C$5</f>
        <v>آخرون</v>
      </c>
      <c r="H303" t="str">
        <f>'Source Table'!$G$8</f>
        <v>Female</v>
      </c>
      <c r="I303" s="16" t="str">
        <f>'Source Table'!$G$7</f>
        <v>أنثى</v>
      </c>
      <c r="J303" s="25" t="str">
        <f>'Source Table'!$B$33</f>
        <v>Others</v>
      </c>
      <c r="K303" s="25" t="str">
        <f>'Source Table'!$I$33</f>
        <v>أخرى</v>
      </c>
      <c r="L303" s="39">
        <v>55</v>
      </c>
      <c r="M303">
        <v>2022</v>
      </c>
    </row>
    <row r="304" spans="1:13" ht="15">
      <c r="A304" t="s">
        <v>153</v>
      </c>
      <c r="B304" t="s">
        <v>154</v>
      </c>
      <c r="C304" s="15" t="s">
        <v>30</v>
      </c>
      <c r="D304" s="23" t="s">
        <v>81</v>
      </c>
      <c r="E304" s="25" t="s">
        <v>82</v>
      </c>
      <c r="F304" s="25" t="str">
        <f>'Source Table'!$G$6</f>
        <v>Public Sector</v>
      </c>
      <c r="G304" s="25" t="str">
        <f>'Source Table'!$G$5</f>
        <v>القطاع العام</v>
      </c>
      <c r="H304" t="str">
        <f>'Source Table'!$H$8</f>
        <v>Male</v>
      </c>
      <c r="I304" s="25" t="str">
        <f>'Source Table'!$H$7</f>
        <v>ذكر</v>
      </c>
      <c r="J304" s="25" t="str">
        <f>'Source Table'!$B$9</f>
        <v>General Practitioner</v>
      </c>
      <c r="K304" s="25" t="str">
        <f>'Source Table'!$I$9</f>
        <v>طبيب عام</v>
      </c>
      <c r="L304" s="39">
        <v>1937</v>
      </c>
      <c r="M304">
        <v>2020</v>
      </c>
    </row>
    <row r="305" spans="1:13" ht="15">
      <c r="A305" t="s">
        <v>153</v>
      </c>
      <c r="B305" t="s">
        <v>154</v>
      </c>
      <c r="C305" s="15" t="s">
        <v>30</v>
      </c>
      <c r="D305" s="23" t="s">
        <v>81</v>
      </c>
      <c r="E305" s="25" t="s">
        <v>82</v>
      </c>
      <c r="F305" s="25" t="str">
        <f>'Source Table'!$G$6</f>
        <v>Public Sector</v>
      </c>
      <c r="G305" s="25" t="str">
        <f>'Source Table'!$G$5</f>
        <v>القطاع العام</v>
      </c>
      <c r="H305" t="str">
        <f>'Source Table'!$H$8</f>
        <v>Male</v>
      </c>
      <c r="I305" s="25" t="str">
        <f>'Source Table'!$H$7</f>
        <v>ذكر</v>
      </c>
      <c r="J305" s="25" t="str">
        <f>'Source Table'!$B$10</f>
        <v>Surgeon</v>
      </c>
      <c r="K305" s="25" t="str">
        <f>'Source Table'!$I$10</f>
        <v>جراحة عامة</v>
      </c>
      <c r="L305" s="39">
        <v>561</v>
      </c>
      <c r="M305">
        <v>2020</v>
      </c>
    </row>
    <row r="306" spans="1:13" ht="15">
      <c r="A306" t="s">
        <v>153</v>
      </c>
      <c r="B306" t="s">
        <v>154</v>
      </c>
      <c r="C306" s="15" t="s">
        <v>30</v>
      </c>
      <c r="D306" s="23" t="s">
        <v>81</v>
      </c>
      <c r="E306" s="25" t="s">
        <v>82</v>
      </c>
      <c r="F306" s="25" t="str">
        <f>'Source Table'!$G$6</f>
        <v>Public Sector</v>
      </c>
      <c r="G306" s="25" t="str">
        <f>'Source Table'!$G$5</f>
        <v>القطاع العام</v>
      </c>
      <c r="H306" t="str">
        <f>'Source Table'!$H$8</f>
        <v>Male</v>
      </c>
      <c r="I306" s="25" t="str">
        <f>'Source Table'!$H$7</f>
        <v>ذكر</v>
      </c>
      <c r="J306" s="25" t="str">
        <f>'Source Table'!$B$11</f>
        <v>Internist</v>
      </c>
      <c r="K306" s="25" t="str">
        <f>'Source Table'!$I$11</f>
        <v>باطنية</v>
      </c>
      <c r="L306" s="39">
        <v>547</v>
      </c>
      <c r="M306">
        <v>2020</v>
      </c>
    </row>
    <row r="307" spans="1:13" ht="15">
      <c r="A307" t="s">
        <v>153</v>
      </c>
      <c r="B307" t="s">
        <v>154</v>
      </c>
      <c r="C307" s="15" t="s">
        <v>30</v>
      </c>
      <c r="D307" s="23" t="s">
        <v>81</v>
      </c>
      <c r="E307" s="25" t="s">
        <v>82</v>
      </c>
      <c r="F307" s="25" t="str">
        <f>'Source Table'!$G$6</f>
        <v>Public Sector</v>
      </c>
      <c r="G307" s="25" t="str">
        <f>'Source Table'!$G$5</f>
        <v>القطاع العام</v>
      </c>
      <c r="H307" t="str">
        <f>'Source Table'!$H$8</f>
        <v>Male</v>
      </c>
      <c r="I307" s="25" t="str">
        <f>'Source Table'!$H$7</f>
        <v>ذكر</v>
      </c>
      <c r="J307" s="25" t="str">
        <f>'Source Table'!$B$12</f>
        <v>Gynecologist and Obst.</v>
      </c>
      <c r="K307" s="25" t="str">
        <f>'Source Table'!$I$12</f>
        <v>نسائية وتوليد</v>
      </c>
      <c r="L307" s="39">
        <v>308</v>
      </c>
      <c r="M307">
        <v>2020</v>
      </c>
    </row>
    <row r="308" spans="1:13" ht="15">
      <c r="A308" t="s">
        <v>153</v>
      </c>
      <c r="B308" t="s">
        <v>154</v>
      </c>
      <c r="C308" s="15" t="s">
        <v>30</v>
      </c>
      <c r="D308" s="23" t="s">
        <v>81</v>
      </c>
      <c r="E308" s="25" t="s">
        <v>82</v>
      </c>
      <c r="F308" s="25" t="str">
        <f>'Source Table'!$G$6</f>
        <v>Public Sector</v>
      </c>
      <c r="G308" s="25" t="str">
        <f>'Source Table'!$G$5</f>
        <v>القطاع العام</v>
      </c>
      <c r="H308" t="str">
        <f>'Source Table'!$H$8</f>
        <v>Male</v>
      </c>
      <c r="I308" s="25" t="str">
        <f>'Source Table'!$H$7</f>
        <v>ذكر</v>
      </c>
      <c r="J308" s="25" t="str">
        <f>'Source Table'!$B$13</f>
        <v>Pediatrics</v>
      </c>
      <c r="K308" s="25" t="str">
        <f>'Source Table'!$I$13</f>
        <v>أطفال</v>
      </c>
      <c r="L308" s="39">
        <v>385</v>
      </c>
      <c r="M308">
        <v>2020</v>
      </c>
    </row>
    <row r="309" spans="1:13" ht="15">
      <c r="A309" t="s">
        <v>153</v>
      </c>
      <c r="B309" t="s">
        <v>154</v>
      </c>
      <c r="C309" s="15" t="s">
        <v>30</v>
      </c>
      <c r="D309" s="23" t="s">
        <v>81</v>
      </c>
      <c r="E309" s="25" t="s">
        <v>82</v>
      </c>
      <c r="F309" s="25" t="str">
        <f>'Source Table'!$G$6</f>
        <v>Public Sector</v>
      </c>
      <c r="G309" s="25" t="str">
        <f>'Source Table'!$G$5</f>
        <v>القطاع العام</v>
      </c>
      <c r="H309" t="str">
        <f>'Source Table'!$H$8</f>
        <v>Male</v>
      </c>
      <c r="I309" s="25" t="str">
        <f>'Source Table'!$H$7</f>
        <v>ذكر</v>
      </c>
      <c r="J309" s="25" t="str">
        <f>'Source Table'!$B$14</f>
        <v>Ophthalmologist</v>
      </c>
      <c r="K309" s="25" t="str">
        <f>'Source Table'!$I$14</f>
        <v>العيون</v>
      </c>
      <c r="L309" s="39">
        <v>183</v>
      </c>
      <c r="M309">
        <v>2020</v>
      </c>
    </row>
    <row r="310" spans="1:13" ht="15">
      <c r="A310" t="s">
        <v>153</v>
      </c>
      <c r="B310" t="s">
        <v>154</v>
      </c>
      <c r="C310" s="15" t="s">
        <v>30</v>
      </c>
      <c r="D310" s="23" t="s">
        <v>81</v>
      </c>
      <c r="E310" s="25" t="s">
        <v>82</v>
      </c>
      <c r="F310" s="25" t="str">
        <f>'Source Table'!$G$6</f>
        <v>Public Sector</v>
      </c>
      <c r="G310" s="25" t="str">
        <f>'Source Table'!$G$5</f>
        <v>القطاع العام</v>
      </c>
      <c r="H310" t="str">
        <f>'Source Table'!$H$8</f>
        <v>Male</v>
      </c>
      <c r="I310" s="25" t="str">
        <f>'Source Table'!$H$7</f>
        <v>ذكر</v>
      </c>
      <c r="J310" s="25" t="str">
        <f>'Source Table'!$B$15</f>
        <v>Orthopedic Surg.</v>
      </c>
      <c r="K310" s="25" t="str">
        <f>'Source Table'!$I$15</f>
        <v>العظام</v>
      </c>
      <c r="L310" s="39">
        <v>280</v>
      </c>
      <c r="M310">
        <v>2020</v>
      </c>
    </row>
    <row r="311" spans="1:13" ht="15">
      <c r="A311" t="s">
        <v>153</v>
      </c>
      <c r="B311" t="s">
        <v>154</v>
      </c>
      <c r="C311" s="15" t="s">
        <v>30</v>
      </c>
      <c r="D311" s="23" t="s">
        <v>81</v>
      </c>
      <c r="E311" s="25" t="s">
        <v>82</v>
      </c>
      <c r="F311" s="25" t="str">
        <f>'Source Table'!$G$6</f>
        <v>Public Sector</v>
      </c>
      <c r="G311" s="25" t="str">
        <f>'Source Table'!$G$5</f>
        <v>القطاع العام</v>
      </c>
      <c r="H311" t="str">
        <f>'Source Table'!$H$8</f>
        <v>Male</v>
      </c>
      <c r="I311" s="25" t="str">
        <f>'Source Table'!$H$7</f>
        <v>ذكر</v>
      </c>
      <c r="J311" s="25" t="str">
        <f>'Source Table'!$B$16</f>
        <v>E.N.T.Surg.</v>
      </c>
      <c r="K311" s="25" t="str">
        <f>'Source Table'!$I$16</f>
        <v>أذن وأنف وحنجرة</v>
      </c>
      <c r="L311" s="39">
        <v>180</v>
      </c>
      <c r="M311">
        <v>2020</v>
      </c>
    </row>
    <row r="312" spans="1:13" ht="15">
      <c r="A312" t="s">
        <v>153</v>
      </c>
      <c r="B312" t="s">
        <v>154</v>
      </c>
      <c r="C312" s="15" t="s">
        <v>30</v>
      </c>
      <c r="D312" s="23" t="s">
        <v>81</v>
      </c>
      <c r="E312" s="25" t="s">
        <v>82</v>
      </c>
      <c r="F312" s="25" t="str">
        <f>'Source Table'!$G$6</f>
        <v>Public Sector</v>
      </c>
      <c r="G312" s="25" t="str">
        <f>'Source Table'!$G$5</f>
        <v>القطاع العام</v>
      </c>
      <c r="H312" t="str">
        <f>'Source Table'!$H$8</f>
        <v>Male</v>
      </c>
      <c r="I312" s="25" t="str">
        <f>'Source Table'!$H$7</f>
        <v>ذكر</v>
      </c>
      <c r="J312" s="25" t="str">
        <f>'Source Table'!$B$17</f>
        <v>Neurosurgery</v>
      </c>
      <c r="K312" s="25" t="str">
        <f>'Source Table'!$I$17</f>
        <v>جراحةأعصاب</v>
      </c>
      <c r="L312" s="39">
        <v>48</v>
      </c>
      <c r="M312">
        <v>2020</v>
      </c>
    </row>
    <row r="313" spans="1:13" ht="15">
      <c r="A313" t="s">
        <v>153</v>
      </c>
      <c r="B313" t="s">
        <v>154</v>
      </c>
      <c r="C313" s="15" t="s">
        <v>30</v>
      </c>
      <c r="D313" s="23" t="s">
        <v>81</v>
      </c>
      <c r="E313" s="25" t="s">
        <v>82</v>
      </c>
      <c r="F313" s="25" t="str">
        <f>'Source Table'!$G$6</f>
        <v>Public Sector</v>
      </c>
      <c r="G313" s="25" t="str">
        <f>'Source Table'!$G$5</f>
        <v>القطاع العام</v>
      </c>
      <c r="H313" t="str">
        <f>'Source Table'!$H$8</f>
        <v>Male</v>
      </c>
      <c r="I313" s="25" t="str">
        <f>'Source Table'!$H$7</f>
        <v>ذكر</v>
      </c>
      <c r="J313" s="25" t="str">
        <f>'Source Table'!$B$18</f>
        <v>Cardiothoracic</v>
      </c>
      <c r="K313" s="25" t="str">
        <f>'Source Table'!$I$18</f>
        <v>جراحة قلب</v>
      </c>
      <c r="L313" s="39">
        <v>24</v>
      </c>
      <c r="M313">
        <v>2020</v>
      </c>
    </row>
    <row r="314" spans="1:13" ht="15">
      <c r="A314" t="s">
        <v>153</v>
      </c>
      <c r="B314" t="s">
        <v>154</v>
      </c>
      <c r="C314" s="15" t="s">
        <v>30</v>
      </c>
      <c r="D314" s="23" t="s">
        <v>81</v>
      </c>
      <c r="E314" s="25" t="s">
        <v>82</v>
      </c>
      <c r="F314" s="25" t="str">
        <f>'Source Table'!$G$6</f>
        <v>Public Sector</v>
      </c>
      <c r="G314" s="25" t="str">
        <f>'Source Table'!$G$5</f>
        <v>القطاع العام</v>
      </c>
      <c r="H314" t="str">
        <f>'Source Table'!$H$8</f>
        <v>Male</v>
      </c>
      <c r="I314" s="25" t="str">
        <f>'Source Table'!$H$7</f>
        <v>ذكر</v>
      </c>
      <c r="J314" s="25" t="str">
        <f>'Source Table'!$B$19</f>
        <v>Plastic Surgeon</v>
      </c>
      <c r="K314" s="25" t="str">
        <f>'Source Table'!$I$19</f>
        <v>التجميل</v>
      </c>
      <c r="L314" s="39">
        <v>25</v>
      </c>
      <c r="M314">
        <v>2020</v>
      </c>
    </row>
    <row r="315" spans="1:13" ht="15">
      <c r="A315" t="s">
        <v>153</v>
      </c>
      <c r="B315" t="s">
        <v>154</v>
      </c>
      <c r="C315" s="15" t="s">
        <v>30</v>
      </c>
      <c r="D315" s="23" t="s">
        <v>81</v>
      </c>
      <c r="E315" s="25" t="s">
        <v>82</v>
      </c>
      <c r="F315" s="25" t="str">
        <f>'Source Table'!$G$6</f>
        <v>Public Sector</v>
      </c>
      <c r="G315" s="25" t="str">
        <f>'Source Table'!$G$5</f>
        <v>القطاع العام</v>
      </c>
      <c r="H315" t="str">
        <f>'Source Table'!$H$8</f>
        <v>Male</v>
      </c>
      <c r="I315" s="25" t="str">
        <f>'Source Table'!$H$7</f>
        <v>ذكر</v>
      </c>
      <c r="J315" s="25" t="str">
        <f>'Source Table'!$B$20</f>
        <v>Psychiatry</v>
      </c>
      <c r="K315" s="25" t="str">
        <f>'Source Table'!$I$20</f>
        <v>النفسية</v>
      </c>
      <c r="L315" s="39">
        <v>61</v>
      </c>
      <c r="M315">
        <v>2020</v>
      </c>
    </row>
    <row r="316" spans="1:13" ht="15">
      <c r="A316" t="s">
        <v>153</v>
      </c>
      <c r="B316" t="s">
        <v>154</v>
      </c>
      <c r="C316" s="15" t="s">
        <v>30</v>
      </c>
      <c r="D316" s="23" t="s">
        <v>81</v>
      </c>
      <c r="E316" s="25" t="s">
        <v>82</v>
      </c>
      <c r="F316" s="25" t="str">
        <f>'Source Table'!$G$6</f>
        <v>Public Sector</v>
      </c>
      <c r="G316" s="25" t="str">
        <f>'Source Table'!$G$5</f>
        <v>القطاع العام</v>
      </c>
      <c r="H316" t="str">
        <f>'Source Table'!$H$8</f>
        <v>Male</v>
      </c>
      <c r="I316" s="25" t="str">
        <f>'Source Table'!$H$7</f>
        <v>ذكر</v>
      </c>
      <c r="J316" s="25" t="str">
        <f>'Source Table'!$B$21</f>
        <v>Dermatologist Venereal</v>
      </c>
      <c r="K316" s="25" t="str">
        <f>'Source Table'!$I$21</f>
        <v>جلدية وتناسلية</v>
      </c>
      <c r="L316" s="39">
        <v>92</v>
      </c>
      <c r="M316">
        <v>2020</v>
      </c>
    </row>
    <row r="317" spans="1:13" ht="15">
      <c r="A317" t="s">
        <v>153</v>
      </c>
      <c r="B317" t="s">
        <v>154</v>
      </c>
      <c r="C317" s="15" t="s">
        <v>30</v>
      </c>
      <c r="D317" s="23" t="s">
        <v>81</v>
      </c>
      <c r="E317" s="25" t="s">
        <v>82</v>
      </c>
      <c r="F317" s="25" t="str">
        <f>'Source Table'!$G$6</f>
        <v>Public Sector</v>
      </c>
      <c r="G317" s="25" t="str">
        <f>'Source Table'!$G$5</f>
        <v>القطاع العام</v>
      </c>
      <c r="H317" t="str">
        <f>'Source Table'!$H$8</f>
        <v>Male</v>
      </c>
      <c r="I317" s="25" t="str">
        <f>'Source Table'!$H$7</f>
        <v>ذكر</v>
      </c>
      <c r="J317" s="25" t="str">
        <f>'Source Table'!$B$22</f>
        <v>Neurology/ Nervous</v>
      </c>
      <c r="K317" s="25" t="str">
        <f>'Source Table'!$I$22</f>
        <v>مرض الأعصاب</v>
      </c>
      <c r="L317" s="39">
        <v>27</v>
      </c>
      <c r="M317">
        <v>2020</v>
      </c>
    </row>
    <row r="318" spans="1:13" ht="15">
      <c r="A318" t="s">
        <v>153</v>
      </c>
      <c r="B318" t="s">
        <v>154</v>
      </c>
      <c r="C318" s="15" t="s">
        <v>30</v>
      </c>
      <c r="D318" s="23" t="s">
        <v>81</v>
      </c>
      <c r="E318" s="25" t="s">
        <v>82</v>
      </c>
      <c r="F318" s="25" t="str">
        <f>'Source Table'!$G$6</f>
        <v>Public Sector</v>
      </c>
      <c r="G318" s="25" t="str">
        <f>'Source Table'!$G$5</f>
        <v>القطاع العام</v>
      </c>
      <c r="H318" t="str">
        <f>'Source Table'!$H$8</f>
        <v>Male</v>
      </c>
      <c r="I318" s="25" t="str">
        <f>'Source Table'!$H$7</f>
        <v>ذكر</v>
      </c>
      <c r="J318" s="25" t="str">
        <f>'Source Table'!$B$23</f>
        <v>Pumologist</v>
      </c>
      <c r="K318" s="25" t="str">
        <f>'Source Table'!$I$23</f>
        <v>صدرية</v>
      </c>
      <c r="L318" s="39">
        <v>29</v>
      </c>
      <c r="M318">
        <v>2020</v>
      </c>
    </row>
    <row r="319" spans="1:13" ht="15">
      <c r="A319" t="s">
        <v>153</v>
      </c>
      <c r="B319" t="s">
        <v>154</v>
      </c>
      <c r="C319" s="15" t="s">
        <v>30</v>
      </c>
      <c r="D319" s="23" t="s">
        <v>81</v>
      </c>
      <c r="E319" s="25" t="s">
        <v>82</v>
      </c>
      <c r="F319" s="25" t="str">
        <f>'Source Table'!$G$6</f>
        <v>Public Sector</v>
      </c>
      <c r="G319" s="25" t="str">
        <f>'Source Table'!$G$5</f>
        <v>القطاع العام</v>
      </c>
      <c r="H319" t="str">
        <f>'Source Table'!$H$8</f>
        <v>Male</v>
      </c>
      <c r="I319" s="25" t="str">
        <f>'Source Table'!$H$7</f>
        <v>ذكر</v>
      </c>
      <c r="J319" s="25" t="str">
        <f>'Source Table'!$B$24</f>
        <v>G.I.T. Specialist</v>
      </c>
      <c r="K319" s="25" t="str">
        <f>'Source Table'!$I$24</f>
        <v>جهاز هضمي</v>
      </c>
      <c r="L319" s="39">
        <v>30</v>
      </c>
      <c r="M319">
        <v>2020</v>
      </c>
    </row>
    <row r="320" spans="1:13" ht="15">
      <c r="A320" t="s">
        <v>153</v>
      </c>
      <c r="B320" t="s">
        <v>154</v>
      </c>
      <c r="C320" s="15" t="s">
        <v>30</v>
      </c>
      <c r="D320" s="23" t="s">
        <v>81</v>
      </c>
      <c r="E320" s="25" t="s">
        <v>82</v>
      </c>
      <c r="F320" s="25" t="str">
        <f>'Source Table'!$G$6</f>
        <v>Public Sector</v>
      </c>
      <c r="G320" s="25" t="str">
        <f>'Source Table'!$G$5</f>
        <v>القطاع العام</v>
      </c>
      <c r="H320" t="str">
        <f>'Source Table'!$H$8</f>
        <v>Male</v>
      </c>
      <c r="I320" s="25" t="str">
        <f>'Source Table'!$H$7</f>
        <v>ذكر</v>
      </c>
      <c r="J320" s="25" t="str">
        <f>'Source Table'!$B$25</f>
        <v>Diagnostic Radiology</v>
      </c>
      <c r="K320" s="25" t="str">
        <f>'Source Table'!$I$25</f>
        <v>أشعة تشخيصية</v>
      </c>
      <c r="L320" s="39">
        <v>151</v>
      </c>
      <c r="M320">
        <v>2020</v>
      </c>
    </row>
    <row r="321" spans="1:13" ht="15">
      <c r="A321" t="s">
        <v>153</v>
      </c>
      <c r="B321" t="s">
        <v>154</v>
      </c>
      <c r="C321" s="15" t="s">
        <v>30</v>
      </c>
      <c r="D321" s="23" t="s">
        <v>81</v>
      </c>
      <c r="E321" s="25" t="s">
        <v>82</v>
      </c>
      <c r="F321" s="25" t="str">
        <f>'Source Table'!$G$6</f>
        <v>Public Sector</v>
      </c>
      <c r="G321" s="25" t="str">
        <f>'Source Table'!$G$5</f>
        <v>القطاع العام</v>
      </c>
      <c r="H321" t="str">
        <f>'Source Table'!$H$8</f>
        <v>Male</v>
      </c>
      <c r="I321" s="25" t="str">
        <f>'Source Table'!$H$7</f>
        <v>ذكر</v>
      </c>
      <c r="J321" s="25" t="str">
        <f>'Source Table'!$B$26</f>
        <v>Anesthetic</v>
      </c>
      <c r="K321" s="25" t="str">
        <f>'Source Table'!$I$26</f>
        <v>تخدير وإنعاش</v>
      </c>
      <c r="L321" s="39">
        <v>292</v>
      </c>
      <c r="M321">
        <v>2020</v>
      </c>
    </row>
    <row r="322" spans="1:13" ht="15">
      <c r="A322" t="s">
        <v>153</v>
      </c>
      <c r="B322" t="s">
        <v>154</v>
      </c>
      <c r="C322" s="15" t="s">
        <v>30</v>
      </c>
      <c r="D322" s="23" t="s">
        <v>81</v>
      </c>
      <c r="E322" s="25" t="s">
        <v>82</v>
      </c>
      <c r="F322" s="25" t="str">
        <f>'Source Table'!$G$6</f>
        <v>Public Sector</v>
      </c>
      <c r="G322" s="25" t="str">
        <f>'Source Table'!$G$5</f>
        <v>القطاع العام</v>
      </c>
      <c r="H322" t="str">
        <f>'Source Table'!$H$8</f>
        <v>Male</v>
      </c>
      <c r="I322" s="25" t="str">
        <f>'Source Table'!$H$7</f>
        <v>ذكر</v>
      </c>
      <c r="J322" s="25" t="str">
        <f>'Source Table'!$B$27</f>
        <v>Physiotherapist</v>
      </c>
      <c r="K322" s="25" t="str">
        <f>'Source Table'!$I$27</f>
        <v>طب طبيعي</v>
      </c>
      <c r="L322" s="39">
        <v>56</v>
      </c>
      <c r="M322">
        <v>2020</v>
      </c>
    </row>
    <row r="323" spans="1:13" ht="15">
      <c r="A323" t="s">
        <v>153</v>
      </c>
      <c r="B323" t="s">
        <v>154</v>
      </c>
      <c r="C323" s="15" t="s">
        <v>30</v>
      </c>
      <c r="D323" s="23" t="s">
        <v>81</v>
      </c>
      <c r="E323" s="25" t="s">
        <v>82</v>
      </c>
      <c r="F323" s="25" t="str">
        <f>'Source Table'!$G$6</f>
        <v>Public Sector</v>
      </c>
      <c r="G323" s="25" t="str">
        <f>'Source Table'!$G$5</f>
        <v>القطاع العام</v>
      </c>
      <c r="H323" t="str">
        <f>'Source Table'!$H$8</f>
        <v>Male</v>
      </c>
      <c r="I323" s="25" t="str">
        <f>'Source Table'!$H$7</f>
        <v>ذكر</v>
      </c>
      <c r="J323" s="25" t="str">
        <f>'Source Table'!$B$28</f>
        <v>Forensic</v>
      </c>
      <c r="K323" s="25" t="str">
        <f>'Source Table'!$I$28</f>
        <v>طب شرعي</v>
      </c>
      <c r="L323" s="39">
        <v>50</v>
      </c>
      <c r="M323">
        <v>2020</v>
      </c>
    </row>
    <row r="324" spans="1:13" ht="15">
      <c r="A324" t="s">
        <v>153</v>
      </c>
      <c r="B324" t="s">
        <v>154</v>
      </c>
      <c r="C324" s="15" t="s">
        <v>30</v>
      </c>
      <c r="D324" s="23" t="s">
        <v>81</v>
      </c>
      <c r="E324" s="25" t="s">
        <v>82</v>
      </c>
      <c r="F324" s="25" t="str">
        <f>'Source Table'!$G$6</f>
        <v>Public Sector</v>
      </c>
      <c r="G324" s="25" t="str">
        <f>'Source Table'!$G$5</f>
        <v>القطاع العام</v>
      </c>
      <c r="H324" t="str">
        <f>'Source Table'!$H$8</f>
        <v>Male</v>
      </c>
      <c r="I324" s="25" t="str">
        <f>'Source Table'!$H$7</f>
        <v>ذكر</v>
      </c>
      <c r="J324" s="25" t="str">
        <f>'Source Table'!$B$29</f>
        <v xml:space="preserve">Family </v>
      </c>
      <c r="K324" s="25" t="str">
        <f>'Source Table'!$I$29</f>
        <v>طب أسرة</v>
      </c>
      <c r="L324" s="39">
        <v>123</v>
      </c>
      <c r="M324">
        <v>2020</v>
      </c>
    </row>
    <row r="325" spans="1:13" ht="15">
      <c r="A325" t="s">
        <v>153</v>
      </c>
      <c r="B325" t="s">
        <v>154</v>
      </c>
      <c r="C325" s="15" t="s">
        <v>30</v>
      </c>
      <c r="D325" s="23" t="s">
        <v>81</v>
      </c>
      <c r="E325" s="25" t="s">
        <v>82</v>
      </c>
      <c r="F325" s="25" t="str">
        <f>'Source Table'!$G$6</f>
        <v>Public Sector</v>
      </c>
      <c r="G325" s="25" t="str">
        <f>'Source Table'!$G$5</f>
        <v>القطاع العام</v>
      </c>
      <c r="H325" t="str">
        <f>'Source Table'!$H$8</f>
        <v>Male</v>
      </c>
      <c r="I325" s="25" t="str">
        <f>'Source Table'!$H$7</f>
        <v>ذكر</v>
      </c>
      <c r="J325" s="25" t="str">
        <f>'Source Table'!$B$30</f>
        <v>Urologist</v>
      </c>
      <c r="K325" s="25" t="str">
        <f>'Source Table'!$I$30</f>
        <v xml:space="preserve">المسالك البولية </v>
      </c>
      <c r="L325" s="39">
        <v>131</v>
      </c>
      <c r="M325">
        <v>2020</v>
      </c>
    </row>
    <row r="326" spans="1:13" ht="15">
      <c r="A326" t="s">
        <v>153</v>
      </c>
      <c r="B326" t="s">
        <v>154</v>
      </c>
      <c r="C326" s="15" t="s">
        <v>30</v>
      </c>
      <c r="D326" s="23" t="s">
        <v>81</v>
      </c>
      <c r="E326" s="25" t="s">
        <v>82</v>
      </c>
      <c r="F326" s="25" t="str">
        <f>'Source Table'!$G$6</f>
        <v>Public Sector</v>
      </c>
      <c r="G326" s="25" t="str">
        <f>'Source Table'!$G$5</f>
        <v>القطاع العام</v>
      </c>
      <c r="H326" t="str">
        <f>'Source Table'!$H$8</f>
        <v>Male</v>
      </c>
      <c r="I326" s="25" t="str">
        <f>'Source Table'!$H$7</f>
        <v>ذكر</v>
      </c>
      <c r="J326" s="25" t="str">
        <f>'Source Table'!$B$31</f>
        <v>Cardiology</v>
      </c>
      <c r="K326" s="25" t="str">
        <f>'Source Table'!$I$31</f>
        <v>أمراض القلب</v>
      </c>
      <c r="L326" s="39">
        <v>48</v>
      </c>
      <c r="M326">
        <v>2020</v>
      </c>
    </row>
    <row r="327" spans="1:13" ht="15">
      <c r="A327" t="s">
        <v>153</v>
      </c>
      <c r="B327" t="s">
        <v>154</v>
      </c>
      <c r="C327" s="15" t="s">
        <v>30</v>
      </c>
      <c r="D327" s="23" t="s">
        <v>81</v>
      </c>
      <c r="E327" s="25" t="s">
        <v>82</v>
      </c>
      <c r="F327" s="25" t="str">
        <f>'Source Table'!$G$6</f>
        <v>Public Sector</v>
      </c>
      <c r="G327" s="25" t="str">
        <f>'Source Table'!$G$5</f>
        <v>القطاع العام</v>
      </c>
      <c r="H327" t="str">
        <f>'Source Table'!$H$8</f>
        <v>Male</v>
      </c>
      <c r="I327" s="25" t="str">
        <f>'Source Table'!$H$7</f>
        <v>ذكر</v>
      </c>
      <c r="J327" s="25" t="str">
        <f>'Source Table'!$B$32</f>
        <v>Laboratory</v>
      </c>
      <c r="K327" s="25" t="str">
        <f>'Source Table'!$I$32</f>
        <v>مختبرات</v>
      </c>
      <c r="L327" s="39">
        <v>19</v>
      </c>
      <c r="M327">
        <v>2020</v>
      </c>
    </row>
    <row r="328" spans="1:13" ht="15">
      <c r="A328" t="s">
        <v>153</v>
      </c>
      <c r="B328" t="s">
        <v>154</v>
      </c>
      <c r="C328" s="15" t="s">
        <v>30</v>
      </c>
      <c r="D328" s="23" t="s">
        <v>81</v>
      </c>
      <c r="E328" s="25" t="s">
        <v>82</v>
      </c>
      <c r="F328" s="25" t="str">
        <f>'Source Table'!$G$6</f>
        <v>Public Sector</v>
      </c>
      <c r="G328" s="25" t="str">
        <f>'Source Table'!$G$5</f>
        <v>القطاع العام</v>
      </c>
      <c r="H328" t="str">
        <f>'Source Table'!$H$8</f>
        <v>Male</v>
      </c>
      <c r="I328" s="25" t="str">
        <f>'Source Table'!$H$7</f>
        <v>ذكر</v>
      </c>
      <c r="J328" s="25" t="str">
        <f>'Source Table'!$B$33</f>
        <v>Others</v>
      </c>
      <c r="K328" s="25" t="str">
        <f>'Source Table'!$I$33</f>
        <v>أخرى</v>
      </c>
      <c r="L328" s="39">
        <v>492</v>
      </c>
      <c r="M328">
        <v>2020</v>
      </c>
    </row>
    <row r="329" spans="1:13" ht="15">
      <c r="A329" t="s">
        <v>153</v>
      </c>
      <c r="B329" t="s">
        <v>154</v>
      </c>
      <c r="C329" s="15" t="s">
        <v>30</v>
      </c>
      <c r="D329" s="23" t="s">
        <v>81</v>
      </c>
      <c r="E329" s="25" t="s">
        <v>82</v>
      </c>
      <c r="F329" s="25" t="str">
        <f>'Source Table'!$G$6</f>
        <v>Public Sector</v>
      </c>
      <c r="G329" s="25" t="str">
        <f>'Source Table'!$G$5</f>
        <v>القطاع العام</v>
      </c>
      <c r="H329" t="str">
        <f>'Source Table'!$G$8</f>
        <v>Female</v>
      </c>
      <c r="I329" s="16" t="str">
        <f>'Source Table'!$G$7</f>
        <v>أنثى</v>
      </c>
      <c r="J329" s="25" t="str">
        <f>'Source Table'!$B$9</f>
        <v>General Practitioner</v>
      </c>
      <c r="K329" s="25" t="str">
        <f>'Source Table'!$I$9</f>
        <v>طبيب عام</v>
      </c>
      <c r="L329" s="39">
        <v>394</v>
      </c>
      <c r="M329">
        <v>2020</v>
      </c>
    </row>
    <row r="330" spans="1:13" ht="15">
      <c r="A330" t="s">
        <v>153</v>
      </c>
      <c r="B330" t="s">
        <v>154</v>
      </c>
      <c r="C330" s="15" t="s">
        <v>30</v>
      </c>
      <c r="D330" s="23" t="s">
        <v>81</v>
      </c>
      <c r="E330" s="25" t="s">
        <v>82</v>
      </c>
      <c r="F330" s="25" t="str">
        <f>'Source Table'!$G$6</f>
        <v>Public Sector</v>
      </c>
      <c r="G330" s="25" t="str">
        <f>'Source Table'!$G$5</f>
        <v>القطاع العام</v>
      </c>
      <c r="H330" t="str">
        <f>'Source Table'!$G$8</f>
        <v>Female</v>
      </c>
      <c r="I330" s="16" t="str">
        <f>'Source Table'!$G$7</f>
        <v>أنثى</v>
      </c>
      <c r="J330" s="25" t="str">
        <f>'Source Table'!$B$10</f>
        <v>Surgeon</v>
      </c>
      <c r="K330" s="25" t="str">
        <f>'Source Table'!$I$10</f>
        <v>جراحة عامة</v>
      </c>
      <c r="L330" s="39">
        <v>16</v>
      </c>
      <c r="M330">
        <v>2020</v>
      </c>
    </row>
    <row r="331" spans="1:13" ht="15">
      <c r="A331" t="s">
        <v>153</v>
      </c>
      <c r="B331" t="s">
        <v>154</v>
      </c>
      <c r="C331" s="15" t="s">
        <v>30</v>
      </c>
      <c r="D331" s="23" t="s">
        <v>81</v>
      </c>
      <c r="E331" s="25" t="s">
        <v>82</v>
      </c>
      <c r="F331" s="25" t="str">
        <f>'Source Table'!$G$6</f>
        <v>Public Sector</v>
      </c>
      <c r="G331" s="25" t="str">
        <f>'Source Table'!$G$5</f>
        <v>القطاع العام</v>
      </c>
      <c r="H331" t="str">
        <f>'Source Table'!$G$8</f>
        <v>Female</v>
      </c>
      <c r="I331" s="16" t="str">
        <f>'Source Table'!$G$7</f>
        <v>أنثى</v>
      </c>
      <c r="J331" s="25" t="str">
        <f>'Source Table'!$B$11</f>
        <v>Internist</v>
      </c>
      <c r="K331" s="25" t="str">
        <f>'Source Table'!$I$11</f>
        <v>باطنية</v>
      </c>
      <c r="L331" s="39">
        <v>63</v>
      </c>
      <c r="M331">
        <v>2020</v>
      </c>
    </row>
    <row r="332" spans="1:13" ht="15">
      <c r="A332" t="s">
        <v>153</v>
      </c>
      <c r="B332" t="s">
        <v>154</v>
      </c>
      <c r="C332" s="15" t="s">
        <v>30</v>
      </c>
      <c r="D332" s="23" t="s">
        <v>81</v>
      </c>
      <c r="E332" s="25" t="s">
        <v>82</v>
      </c>
      <c r="F332" s="25" t="str">
        <f>'Source Table'!$G$6</f>
        <v>Public Sector</v>
      </c>
      <c r="G332" s="25" t="str">
        <f>'Source Table'!$G$5</f>
        <v>القطاع العام</v>
      </c>
      <c r="H332" t="str">
        <f>'Source Table'!$G$8</f>
        <v>Female</v>
      </c>
      <c r="I332" s="16" t="str">
        <f>'Source Table'!$G$7</f>
        <v>أنثى</v>
      </c>
      <c r="J332" s="25" t="str">
        <f>'Source Table'!$B$12</f>
        <v>Gynecologist and Obst.</v>
      </c>
      <c r="K332" s="25" t="str">
        <f>'Source Table'!$I$12</f>
        <v>نسائية وتوليد</v>
      </c>
      <c r="L332" s="39">
        <v>152</v>
      </c>
      <c r="M332">
        <v>2020</v>
      </c>
    </row>
    <row r="333" spans="1:13" ht="15">
      <c r="A333" t="s">
        <v>153</v>
      </c>
      <c r="B333" t="s">
        <v>154</v>
      </c>
      <c r="C333" s="15" t="s">
        <v>30</v>
      </c>
      <c r="D333" s="23" t="s">
        <v>81</v>
      </c>
      <c r="E333" s="25" t="s">
        <v>82</v>
      </c>
      <c r="F333" s="25" t="str">
        <f>'Source Table'!$G$6</f>
        <v>Public Sector</v>
      </c>
      <c r="G333" s="25" t="str">
        <f>'Source Table'!$G$5</f>
        <v>القطاع العام</v>
      </c>
      <c r="H333" t="str">
        <f>'Source Table'!$G$8</f>
        <v>Female</v>
      </c>
      <c r="I333" s="16" t="str">
        <f>'Source Table'!$G$7</f>
        <v>أنثى</v>
      </c>
      <c r="J333" s="25" t="str">
        <f>'Source Table'!$B$13</f>
        <v>Pediatrics</v>
      </c>
      <c r="K333" s="25" t="str">
        <f>'Source Table'!$I$13</f>
        <v>أطفال</v>
      </c>
      <c r="L333" s="39">
        <v>156</v>
      </c>
      <c r="M333">
        <v>2020</v>
      </c>
    </row>
    <row r="334" spans="1:13" ht="15">
      <c r="A334" t="s">
        <v>153</v>
      </c>
      <c r="B334" t="s">
        <v>154</v>
      </c>
      <c r="C334" s="15" t="s">
        <v>30</v>
      </c>
      <c r="D334" s="23" t="s">
        <v>81</v>
      </c>
      <c r="E334" s="25" t="s">
        <v>82</v>
      </c>
      <c r="F334" s="25" t="str">
        <f>'Source Table'!$G$6</f>
        <v>Public Sector</v>
      </c>
      <c r="G334" s="25" t="str">
        <f>'Source Table'!$G$5</f>
        <v>القطاع العام</v>
      </c>
      <c r="H334" t="str">
        <f>'Source Table'!$G$8</f>
        <v>Female</v>
      </c>
      <c r="I334" s="16" t="str">
        <f>'Source Table'!$G$7</f>
        <v>أنثى</v>
      </c>
      <c r="J334" s="25" t="str">
        <f>'Source Table'!$B$14</f>
        <v>Ophthalmologist</v>
      </c>
      <c r="K334" s="25" t="str">
        <f>'Source Table'!$I$14</f>
        <v>العيون</v>
      </c>
      <c r="L334" s="39">
        <v>49</v>
      </c>
      <c r="M334">
        <v>2020</v>
      </c>
    </row>
    <row r="335" spans="1:13" ht="15">
      <c r="A335" t="s">
        <v>153</v>
      </c>
      <c r="B335" t="s">
        <v>154</v>
      </c>
      <c r="C335" s="15" t="s">
        <v>30</v>
      </c>
      <c r="D335" s="23" t="s">
        <v>81</v>
      </c>
      <c r="E335" s="25" t="s">
        <v>82</v>
      </c>
      <c r="F335" s="25" t="str">
        <f>'Source Table'!$G$6</f>
        <v>Public Sector</v>
      </c>
      <c r="G335" s="25" t="str">
        <f>'Source Table'!$G$5</f>
        <v>القطاع العام</v>
      </c>
      <c r="H335" t="str">
        <f>'Source Table'!$G$8</f>
        <v>Female</v>
      </c>
      <c r="I335" s="16" t="str">
        <f>'Source Table'!$G$7</f>
        <v>أنثى</v>
      </c>
      <c r="J335" s="25" t="str">
        <f>'Source Table'!$B$15</f>
        <v>Orthopedic Surg.</v>
      </c>
      <c r="K335" s="25" t="str">
        <f>'Source Table'!$I$15</f>
        <v>العظام</v>
      </c>
      <c r="L335" s="39">
        <v>0</v>
      </c>
      <c r="M335">
        <v>2020</v>
      </c>
    </row>
    <row r="336" spans="1:13" ht="15">
      <c r="A336" t="s">
        <v>153</v>
      </c>
      <c r="B336" t="s">
        <v>154</v>
      </c>
      <c r="C336" s="15" t="s">
        <v>30</v>
      </c>
      <c r="D336" s="23" t="s">
        <v>81</v>
      </c>
      <c r="E336" s="25" t="s">
        <v>82</v>
      </c>
      <c r="F336" s="25" t="str">
        <f>'Source Table'!$G$6</f>
        <v>Public Sector</v>
      </c>
      <c r="G336" s="25" t="str">
        <f>'Source Table'!$G$5</f>
        <v>القطاع العام</v>
      </c>
      <c r="H336" t="str">
        <f>'Source Table'!$G$8</f>
        <v>Female</v>
      </c>
      <c r="I336" s="16" t="str">
        <f>'Source Table'!$G$7</f>
        <v>أنثى</v>
      </c>
      <c r="J336" s="25" t="str">
        <f>'Source Table'!$B$16</f>
        <v>E.N.T.Surg.</v>
      </c>
      <c r="K336" s="25" t="str">
        <f>'Source Table'!$I$16</f>
        <v>أذن وأنف وحنجرة</v>
      </c>
      <c r="L336" s="39">
        <v>25</v>
      </c>
      <c r="M336">
        <v>2020</v>
      </c>
    </row>
    <row r="337" spans="1:13" ht="15">
      <c r="A337" t="s">
        <v>153</v>
      </c>
      <c r="B337" t="s">
        <v>154</v>
      </c>
      <c r="C337" s="15" t="s">
        <v>30</v>
      </c>
      <c r="D337" s="23" t="s">
        <v>81</v>
      </c>
      <c r="E337" s="25" t="s">
        <v>82</v>
      </c>
      <c r="F337" s="25" t="str">
        <f>'Source Table'!$G$6</f>
        <v>Public Sector</v>
      </c>
      <c r="G337" s="25" t="str">
        <f>'Source Table'!$G$5</f>
        <v>القطاع العام</v>
      </c>
      <c r="H337" t="str">
        <f>'Source Table'!$G$8</f>
        <v>Female</v>
      </c>
      <c r="I337" s="16" t="str">
        <f>'Source Table'!$G$7</f>
        <v>أنثى</v>
      </c>
      <c r="J337" s="25" t="str">
        <f>'Source Table'!$B$17</f>
        <v>Neurosurgery</v>
      </c>
      <c r="K337" s="25" t="str">
        <f>'Source Table'!$I$17</f>
        <v>جراحةأعصاب</v>
      </c>
      <c r="L337" s="39">
        <v>1</v>
      </c>
      <c r="M337">
        <v>2020</v>
      </c>
    </row>
    <row r="338" spans="1:13" ht="15">
      <c r="A338" t="s">
        <v>153</v>
      </c>
      <c r="B338" t="s">
        <v>154</v>
      </c>
      <c r="C338" s="15" t="s">
        <v>30</v>
      </c>
      <c r="D338" s="23" t="s">
        <v>81</v>
      </c>
      <c r="E338" s="25" t="s">
        <v>82</v>
      </c>
      <c r="F338" s="25" t="str">
        <f>'Source Table'!$G$6</f>
        <v>Public Sector</v>
      </c>
      <c r="G338" s="25" t="str">
        <f>'Source Table'!$G$5</f>
        <v>القطاع العام</v>
      </c>
      <c r="H338" t="str">
        <f>'Source Table'!$G$8</f>
        <v>Female</v>
      </c>
      <c r="I338" s="16" t="str">
        <f>'Source Table'!$G$7</f>
        <v>أنثى</v>
      </c>
      <c r="J338" s="25" t="str">
        <f>'Source Table'!$B$18</f>
        <v>Cardiothoracic</v>
      </c>
      <c r="K338" s="25" t="str">
        <f>'Source Table'!$I$18</f>
        <v>جراحة قلب</v>
      </c>
      <c r="L338" s="39">
        <v>0</v>
      </c>
      <c r="M338">
        <v>2020</v>
      </c>
    </row>
    <row r="339" spans="1:13" ht="15">
      <c r="A339" t="s">
        <v>153</v>
      </c>
      <c r="B339" t="s">
        <v>154</v>
      </c>
      <c r="C339" s="15" t="s">
        <v>30</v>
      </c>
      <c r="D339" s="23" t="s">
        <v>81</v>
      </c>
      <c r="E339" s="25" t="s">
        <v>82</v>
      </c>
      <c r="F339" s="25" t="str">
        <f>'Source Table'!$G$6</f>
        <v>Public Sector</v>
      </c>
      <c r="G339" s="25" t="str">
        <f>'Source Table'!$G$5</f>
        <v>القطاع العام</v>
      </c>
      <c r="H339" t="str">
        <f>'Source Table'!$G$8</f>
        <v>Female</v>
      </c>
      <c r="I339" s="16" t="str">
        <f>'Source Table'!$G$7</f>
        <v>أنثى</v>
      </c>
      <c r="J339" s="25" t="str">
        <f>'Source Table'!$B$19</f>
        <v>Plastic Surgeon</v>
      </c>
      <c r="K339" s="25" t="str">
        <f>'Source Table'!$I$19</f>
        <v>التجميل</v>
      </c>
      <c r="L339" s="39">
        <v>3</v>
      </c>
      <c r="M339">
        <v>2020</v>
      </c>
    </row>
    <row r="340" spans="1:13" ht="15">
      <c r="A340" t="s">
        <v>153</v>
      </c>
      <c r="B340" t="s">
        <v>154</v>
      </c>
      <c r="C340" s="15" t="s">
        <v>30</v>
      </c>
      <c r="D340" s="23" t="s">
        <v>81</v>
      </c>
      <c r="E340" s="25" t="s">
        <v>82</v>
      </c>
      <c r="F340" s="25" t="str">
        <f>'Source Table'!$G$6</f>
        <v>Public Sector</v>
      </c>
      <c r="G340" s="25" t="str">
        <f>'Source Table'!$G$5</f>
        <v>القطاع العام</v>
      </c>
      <c r="H340" t="str">
        <f>'Source Table'!$G$8</f>
        <v>Female</v>
      </c>
      <c r="I340" s="16" t="str">
        <f>'Source Table'!$G$7</f>
        <v>أنثى</v>
      </c>
      <c r="J340" s="25" t="str">
        <f>'Source Table'!$B$20</f>
        <v>Psychiatry</v>
      </c>
      <c r="K340" s="25" t="str">
        <f>'Source Table'!$I$20</f>
        <v>النفسية</v>
      </c>
      <c r="L340" s="39">
        <v>6</v>
      </c>
      <c r="M340">
        <v>2020</v>
      </c>
    </row>
    <row r="341" spans="1:13" ht="15">
      <c r="A341" t="s">
        <v>153</v>
      </c>
      <c r="B341" t="s">
        <v>154</v>
      </c>
      <c r="C341" s="15" t="s">
        <v>30</v>
      </c>
      <c r="D341" s="23" t="s">
        <v>81</v>
      </c>
      <c r="E341" s="25" t="s">
        <v>82</v>
      </c>
      <c r="F341" s="25" t="str">
        <f>'Source Table'!$G$6</f>
        <v>Public Sector</v>
      </c>
      <c r="G341" s="25" t="str">
        <f>'Source Table'!$G$5</f>
        <v>القطاع العام</v>
      </c>
      <c r="H341" t="str">
        <f>'Source Table'!$G$8</f>
        <v>Female</v>
      </c>
      <c r="I341" s="16" t="str">
        <f>'Source Table'!$G$7</f>
        <v>أنثى</v>
      </c>
      <c r="J341" s="25" t="str">
        <f>'Source Table'!$B$21</f>
        <v>Dermatologist Venereal</v>
      </c>
      <c r="K341" s="25" t="str">
        <f>'Source Table'!$I$21</f>
        <v>جلدية وتناسلية</v>
      </c>
      <c r="L341" s="39">
        <v>37</v>
      </c>
      <c r="M341">
        <v>2020</v>
      </c>
    </row>
    <row r="342" spans="1:13" ht="15">
      <c r="A342" t="s">
        <v>153</v>
      </c>
      <c r="B342" t="s">
        <v>154</v>
      </c>
      <c r="C342" s="15" t="s">
        <v>30</v>
      </c>
      <c r="D342" s="23" t="s">
        <v>81</v>
      </c>
      <c r="E342" s="25" t="s">
        <v>82</v>
      </c>
      <c r="F342" s="25" t="str">
        <f>'Source Table'!$G$6</f>
        <v>Public Sector</v>
      </c>
      <c r="G342" s="25" t="str">
        <f>'Source Table'!$G$5</f>
        <v>القطاع العام</v>
      </c>
      <c r="H342" t="str">
        <f>'Source Table'!$G$8</f>
        <v>Female</v>
      </c>
      <c r="I342" s="16" t="str">
        <f>'Source Table'!$G$7</f>
        <v>أنثى</v>
      </c>
      <c r="J342" s="25" t="str">
        <f>'Source Table'!$B$22</f>
        <v>Neurology/ Nervous</v>
      </c>
      <c r="K342" s="25" t="str">
        <f>'Source Table'!$I$22</f>
        <v>مرض الأعصاب</v>
      </c>
      <c r="L342" s="39">
        <v>4</v>
      </c>
      <c r="M342">
        <v>2020</v>
      </c>
    </row>
    <row r="343" spans="1:13" ht="15">
      <c r="A343" t="s">
        <v>153</v>
      </c>
      <c r="B343" t="s">
        <v>154</v>
      </c>
      <c r="C343" s="15" t="s">
        <v>30</v>
      </c>
      <c r="D343" s="23" t="s">
        <v>81</v>
      </c>
      <c r="E343" s="25" t="s">
        <v>82</v>
      </c>
      <c r="F343" s="25" t="str">
        <f>'Source Table'!$G$6</f>
        <v>Public Sector</v>
      </c>
      <c r="G343" s="25" t="str">
        <f>'Source Table'!$G$5</f>
        <v>القطاع العام</v>
      </c>
      <c r="H343" t="str">
        <f>'Source Table'!$G$8</f>
        <v>Female</v>
      </c>
      <c r="I343" s="16" t="str">
        <f>'Source Table'!$G$7</f>
        <v>أنثى</v>
      </c>
      <c r="J343" s="25" t="str">
        <f>'Source Table'!$B$23</f>
        <v>Pumologist</v>
      </c>
      <c r="K343" s="25" t="str">
        <f>'Source Table'!$I$23</f>
        <v>صدرية</v>
      </c>
      <c r="L343" s="39">
        <v>2</v>
      </c>
      <c r="M343">
        <v>2020</v>
      </c>
    </row>
    <row r="344" spans="1:13" ht="15">
      <c r="A344" t="s">
        <v>153</v>
      </c>
      <c r="B344" t="s">
        <v>154</v>
      </c>
      <c r="C344" s="15" t="s">
        <v>30</v>
      </c>
      <c r="D344" s="23" t="s">
        <v>81</v>
      </c>
      <c r="E344" s="25" t="s">
        <v>82</v>
      </c>
      <c r="F344" s="25" t="str">
        <f>'Source Table'!$G$6</f>
        <v>Public Sector</v>
      </c>
      <c r="G344" s="25" t="str">
        <f>'Source Table'!$G$5</f>
        <v>القطاع العام</v>
      </c>
      <c r="H344" t="str">
        <f>'Source Table'!$G$8</f>
        <v>Female</v>
      </c>
      <c r="I344" s="16" t="str">
        <f>'Source Table'!$G$7</f>
        <v>أنثى</v>
      </c>
      <c r="J344" s="25" t="str">
        <f>'Source Table'!$B$24</f>
        <v>G.I.T. Specialist</v>
      </c>
      <c r="K344" s="25" t="str">
        <f>'Source Table'!$I$24</f>
        <v>جهاز هضمي</v>
      </c>
      <c r="L344" s="39">
        <v>5</v>
      </c>
      <c r="M344">
        <v>2020</v>
      </c>
    </row>
    <row r="345" spans="1:13" ht="15">
      <c r="A345" t="s">
        <v>153</v>
      </c>
      <c r="B345" t="s">
        <v>154</v>
      </c>
      <c r="C345" s="15" t="s">
        <v>30</v>
      </c>
      <c r="D345" s="23" t="s">
        <v>81</v>
      </c>
      <c r="E345" s="25" t="s">
        <v>82</v>
      </c>
      <c r="F345" s="25" t="str">
        <f>'Source Table'!$G$6</f>
        <v>Public Sector</v>
      </c>
      <c r="G345" s="25" t="str">
        <f>'Source Table'!$G$5</f>
        <v>القطاع العام</v>
      </c>
      <c r="H345" t="str">
        <f>'Source Table'!$G$8</f>
        <v>Female</v>
      </c>
      <c r="I345" s="16" t="str">
        <f>'Source Table'!$G$7</f>
        <v>أنثى</v>
      </c>
      <c r="J345" s="25" t="str">
        <f>'Source Table'!$B$25</f>
        <v>Diagnostic Radiology</v>
      </c>
      <c r="K345" s="25" t="str">
        <f>'Source Table'!$I$25</f>
        <v>أشعة تشخيصية</v>
      </c>
      <c r="L345" s="39">
        <v>41</v>
      </c>
      <c r="M345">
        <v>2020</v>
      </c>
    </row>
    <row r="346" spans="1:13" ht="15">
      <c r="A346" t="s">
        <v>153</v>
      </c>
      <c r="B346" t="s">
        <v>154</v>
      </c>
      <c r="C346" s="15" t="s">
        <v>30</v>
      </c>
      <c r="D346" s="23" t="s">
        <v>81</v>
      </c>
      <c r="E346" s="25" t="s">
        <v>82</v>
      </c>
      <c r="F346" s="25" t="str">
        <f>'Source Table'!$G$6</f>
        <v>Public Sector</v>
      </c>
      <c r="G346" s="25" t="str">
        <f>'Source Table'!$G$5</f>
        <v>القطاع العام</v>
      </c>
      <c r="H346" t="str">
        <f>'Source Table'!$G$8</f>
        <v>Female</v>
      </c>
      <c r="I346" s="16" t="str">
        <f>'Source Table'!$G$7</f>
        <v>أنثى</v>
      </c>
      <c r="J346" s="25" t="str">
        <f>'Source Table'!$B$26</f>
        <v>Anesthetic</v>
      </c>
      <c r="K346" s="25" t="str">
        <f>'Source Table'!$I$26</f>
        <v>تخدير وإنعاش</v>
      </c>
      <c r="L346" s="39">
        <v>18</v>
      </c>
      <c r="M346">
        <v>2020</v>
      </c>
    </row>
    <row r="347" spans="1:13" ht="15">
      <c r="A347" t="s">
        <v>153</v>
      </c>
      <c r="B347" t="s">
        <v>154</v>
      </c>
      <c r="C347" s="15" t="s">
        <v>30</v>
      </c>
      <c r="D347" s="23" t="s">
        <v>81</v>
      </c>
      <c r="E347" s="25" t="s">
        <v>82</v>
      </c>
      <c r="F347" s="25" t="str">
        <f>'Source Table'!$G$6</f>
        <v>Public Sector</v>
      </c>
      <c r="G347" s="25" t="str">
        <f>'Source Table'!$G$5</f>
        <v>القطاع العام</v>
      </c>
      <c r="H347" t="str">
        <f>'Source Table'!$G$8</f>
        <v>Female</v>
      </c>
      <c r="I347" s="16" t="str">
        <f>'Source Table'!$G$7</f>
        <v>أنثى</v>
      </c>
      <c r="J347" s="25" t="str">
        <f>'Source Table'!$B$27</f>
        <v>Physiotherapist</v>
      </c>
      <c r="K347" s="25" t="str">
        <f>'Source Table'!$I$27</f>
        <v>طب طبيعي</v>
      </c>
      <c r="L347" s="39">
        <v>10</v>
      </c>
      <c r="M347">
        <v>2020</v>
      </c>
    </row>
    <row r="348" spans="1:13" ht="15">
      <c r="A348" t="s">
        <v>153</v>
      </c>
      <c r="B348" t="s">
        <v>154</v>
      </c>
      <c r="C348" s="15" t="s">
        <v>30</v>
      </c>
      <c r="D348" s="23" t="s">
        <v>81</v>
      </c>
      <c r="E348" s="25" t="s">
        <v>82</v>
      </c>
      <c r="F348" s="25" t="str">
        <f>'Source Table'!$G$6</f>
        <v>Public Sector</v>
      </c>
      <c r="G348" s="25" t="str">
        <f>'Source Table'!$G$5</f>
        <v>القطاع العام</v>
      </c>
      <c r="H348" t="str">
        <f>'Source Table'!$G$8</f>
        <v>Female</v>
      </c>
      <c r="I348" s="16" t="str">
        <f>'Source Table'!$G$7</f>
        <v>أنثى</v>
      </c>
      <c r="J348" s="25" t="str">
        <f>'Source Table'!$B$28</f>
        <v>Forensic</v>
      </c>
      <c r="K348" s="25" t="str">
        <f>'Source Table'!$I$28</f>
        <v>طب شرعي</v>
      </c>
      <c r="L348" s="39">
        <v>4</v>
      </c>
      <c r="M348">
        <v>2020</v>
      </c>
    </row>
    <row r="349" spans="1:13" ht="15">
      <c r="A349" t="s">
        <v>153</v>
      </c>
      <c r="B349" t="s">
        <v>154</v>
      </c>
      <c r="C349" s="15" t="s">
        <v>30</v>
      </c>
      <c r="D349" s="23" t="s">
        <v>81</v>
      </c>
      <c r="E349" s="25" t="s">
        <v>82</v>
      </c>
      <c r="F349" s="25" t="str">
        <f>'Source Table'!$G$6</f>
        <v>Public Sector</v>
      </c>
      <c r="G349" s="25" t="str">
        <f>'Source Table'!$G$5</f>
        <v>القطاع العام</v>
      </c>
      <c r="H349" t="str">
        <f>'Source Table'!$G$8</f>
        <v>Female</v>
      </c>
      <c r="I349" s="16" t="str">
        <f>'Source Table'!$G$7</f>
        <v>أنثى</v>
      </c>
      <c r="J349" s="25" t="str">
        <f>'Source Table'!$B$29</f>
        <v xml:space="preserve">Family </v>
      </c>
      <c r="K349" s="25" t="str">
        <f>'Source Table'!$I$29</f>
        <v>طب أسرة</v>
      </c>
      <c r="L349" s="39">
        <v>96</v>
      </c>
      <c r="M349">
        <v>2020</v>
      </c>
    </row>
    <row r="350" spans="1:13" ht="15">
      <c r="A350" t="s">
        <v>153</v>
      </c>
      <c r="B350" t="s">
        <v>154</v>
      </c>
      <c r="C350" s="15" t="s">
        <v>30</v>
      </c>
      <c r="D350" s="23" t="s">
        <v>81</v>
      </c>
      <c r="E350" s="25" t="s">
        <v>82</v>
      </c>
      <c r="F350" s="25" t="str">
        <f>'Source Table'!$G$6</f>
        <v>Public Sector</v>
      </c>
      <c r="G350" s="25" t="str">
        <f>'Source Table'!$G$5</f>
        <v>القطاع العام</v>
      </c>
      <c r="H350" t="str">
        <f>'Source Table'!$G$8</f>
        <v>Female</v>
      </c>
      <c r="I350" s="16" t="str">
        <f>'Source Table'!$G$7</f>
        <v>أنثى</v>
      </c>
      <c r="J350" s="25" t="str">
        <f>'Source Table'!$B$30</f>
        <v>Urologist</v>
      </c>
      <c r="K350" s="25" t="str">
        <f>'Source Table'!$I$30</f>
        <v xml:space="preserve">المسالك البولية </v>
      </c>
      <c r="L350" s="39">
        <v>1</v>
      </c>
      <c r="M350">
        <v>2020</v>
      </c>
    </row>
    <row r="351" spans="1:13" ht="15">
      <c r="A351" t="s">
        <v>153</v>
      </c>
      <c r="B351" t="s">
        <v>154</v>
      </c>
      <c r="C351" s="15" t="s">
        <v>30</v>
      </c>
      <c r="D351" s="23" t="s">
        <v>81</v>
      </c>
      <c r="E351" s="25" t="s">
        <v>82</v>
      </c>
      <c r="F351" s="25" t="str">
        <f>'Source Table'!$G$6</f>
        <v>Public Sector</v>
      </c>
      <c r="G351" s="25" t="str">
        <f>'Source Table'!$G$5</f>
        <v>القطاع العام</v>
      </c>
      <c r="H351" t="str">
        <f>'Source Table'!$G$8</f>
        <v>Female</v>
      </c>
      <c r="I351" s="16" t="str">
        <f>'Source Table'!$G$7</f>
        <v>أنثى</v>
      </c>
      <c r="J351" s="25" t="str">
        <f>'Source Table'!$B$31</f>
        <v>Cardiology</v>
      </c>
      <c r="K351" s="25" t="str">
        <f>'Source Table'!$I$31</f>
        <v>أمراض القلب</v>
      </c>
      <c r="L351" s="39">
        <v>3</v>
      </c>
      <c r="M351">
        <v>2020</v>
      </c>
    </row>
    <row r="352" spans="1:13" ht="15">
      <c r="A352" t="s">
        <v>153</v>
      </c>
      <c r="B352" t="s">
        <v>154</v>
      </c>
      <c r="C352" s="15" t="s">
        <v>30</v>
      </c>
      <c r="D352" s="23" t="s">
        <v>81</v>
      </c>
      <c r="E352" s="25" t="s">
        <v>82</v>
      </c>
      <c r="F352" s="25" t="str">
        <f>'Source Table'!$G$6</f>
        <v>Public Sector</v>
      </c>
      <c r="G352" s="25" t="str">
        <f>'Source Table'!$G$5</f>
        <v>القطاع العام</v>
      </c>
      <c r="H352" t="str">
        <f>'Source Table'!$G$8</f>
        <v>Female</v>
      </c>
      <c r="I352" s="16" t="str">
        <f>'Source Table'!$G$7</f>
        <v>أنثى</v>
      </c>
      <c r="J352" s="25" t="str">
        <f>'Source Table'!$B$32</f>
        <v>Laboratory</v>
      </c>
      <c r="K352" s="25" t="str">
        <f>'Source Table'!$I$32</f>
        <v>مختبرات</v>
      </c>
      <c r="L352" s="39">
        <v>15</v>
      </c>
      <c r="M352">
        <v>2020</v>
      </c>
    </row>
    <row r="353" spans="1:13" ht="15">
      <c r="A353" t="s">
        <v>153</v>
      </c>
      <c r="B353" t="s">
        <v>154</v>
      </c>
      <c r="C353" s="15" t="s">
        <v>30</v>
      </c>
      <c r="D353" s="23" t="s">
        <v>81</v>
      </c>
      <c r="E353" s="25" t="s">
        <v>82</v>
      </c>
      <c r="F353" s="25" t="str">
        <f>'Source Table'!$G$6</f>
        <v>Public Sector</v>
      </c>
      <c r="G353" s="25" t="str">
        <f>'Source Table'!$G$5</f>
        <v>القطاع العام</v>
      </c>
      <c r="H353" t="str">
        <f>'Source Table'!$G$8</f>
        <v>Female</v>
      </c>
      <c r="I353" s="16" t="str">
        <f>'Source Table'!$G$7</f>
        <v>أنثى</v>
      </c>
      <c r="J353" s="25" t="str">
        <f>'Source Table'!$B$33</f>
        <v>Others</v>
      </c>
      <c r="K353" s="25" t="str">
        <f>'Source Table'!$I$33</f>
        <v>أخرى</v>
      </c>
      <c r="L353" s="39">
        <v>124</v>
      </c>
      <c r="M353">
        <v>2020</v>
      </c>
    </row>
    <row r="354" spans="1:13" ht="15">
      <c r="A354" t="s">
        <v>153</v>
      </c>
      <c r="B354" t="s">
        <v>154</v>
      </c>
      <c r="C354" s="15" t="s">
        <v>30</v>
      </c>
      <c r="D354" s="23" t="s">
        <v>81</v>
      </c>
      <c r="E354" s="25" t="s">
        <v>82</v>
      </c>
      <c r="F354" s="16" t="str">
        <f>'Source Table'!$E$6</f>
        <v>Private Sector</v>
      </c>
      <c r="G354" s="16" t="str">
        <f>'Source Table'!$E$5</f>
        <v>القطاع الخاص</v>
      </c>
      <c r="H354" t="str">
        <f>'Source Table'!$H$8</f>
        <v>Male</v>
      </c>
      <c r="I354" s="25" t="str">
        <f>'Source Table'!$H$7</f>
        <v>ذكر</v>
      </c>
      <c r="J354" s="25" t="str">
        <f>'Source Table'!$B$9</f>
        <v>General Practitioner</v>
      </c>
      <c r="K354" s="25" t="str">
        <f>'Source Table'!$I$9</f>
        <v>طبيب عام</v>
      </c>
      <c r="L354" s="39">
        <v>1406</v>
      </c>
      <c r="M354">
        <v>2020</v>
      </c>
    </row>
    <row r="355" spans="1:13" ht="15">
      <c r="A355" t="s">
        <v>153</v>
      </c>
      <c r="B355" t="s">
        <v>154</v>
      </c>
      <c r="C355" s="15" t="s">
        <v>30</v>
      </c>
      <c r="D355" s="23" t="s">
        <v>81</v>
      </c>
      <c r="E355" s="25" t="s">
        <v>82</v>
      </c>
      <c r="F355" s="16" t="str">
        <f>'Source Table'!$E$6</f>
        <v>Private Sector</v>
      </c>
      <c r="G355" s="16" t="str">
        <f>'Source Table'!$E$5</f>
        <v>القطاع الخاص</v>
      </c>
      <c r="H355" t="str">
        <f>'Source Table'!$H$8</f>
        <v>Male</v>
      </c>
      <c r="I355" s="25" t="str">
        <f>'Source Table'!$H$7</f>
        <v>ذكر</v>
      </c>
      <c r="J355" s="25" t="str">
        <f>'Source Table'!$B$10</f>
        <v>Surgeon</v>
      </c>
      <c r="K355" s="25" t="str">
        <f>'Source Table'!$I$10</f>
        <v>جراحة عامة</v>
      </c>
      <c r="L355" s="39">
        <v>372</v>
      </c>
      <c r="M355">
        <v>2020</v>
      </c>
    </row>
    <row r="356" spans="1:13" ht="15">
      <c r="A356" t="s">
        <v>153</v>
      </c>
      <c r="B356" t="s">
        <v>154</v>
      </c>
      <c r="C356" s="15" t="s">
        <v>30</v>
      </c>
      <c r="D356" s="23" t="s">
        <v>81</v>
      </c>
      <c r="E356" s="25" t="s">
        <v>82</v>
      </c>
      <c r="F356" s="16" t="str">
        <f>'Source Table'!$E$6</f>
        <v>Private Sector</v>
      </c>
      <c r="G356" s="16" t="str">
        <f>'Source Table'!$E$5</f>
        <v>القطاع الخاص</v>
      </c>
      <c r="H356" t="str">
        <f>'Source Table'!$H$8</f>
        <v>Male</v>
      </c>
      <c r="I356" s="25" t="str">
        <f>'Source Table'!$H$7</f>
        <v>ذكر</v>
      </c>
      <c r="J356" s="25" t="str">
        <f>'Source Table'!$B$11</f>
        <v>Internist</v>
      </c>
      <c r="K356" s="25" t="str">
        <f>'Source Table'!$I$11</f>
        <v>باطنية</v>
      </c>
      <c r="L356" s="39">
        <v>390</v>
      </c>
      <c r="M356">
        <v>2020</v>
      </c>
    </row>
    <row r="357" spans="1:13" ht="15">
      <c r="A357" t="s">
        <v>153</v>
      </c>
      <c r="B357" t="s">
        <v>154</v>
      </c>
      <c r="C357" s="15" t="s">
        <v>30</v>
      </c>
      <c r="D357" s="23" t="s">
        <v>81</v>
      </c>
      <c r="E357" s="25" t="s">
        <v>82</v>
      </c>
      <c r="F357" s="16" t="str">
        <f>'Source Table'!$E$6</f>
        <v>Private Sector</v>
      </c>
      <c r="G357" s="16" t="str">
        <f>'Source Table'!$E$5</f>
        <v>القطاع الخاص</v>
      </c>
      <c r="H357" t="str">
        <f>'Source Table'!$H$8</f>
        <v>Male</v>
      </c>
      <c r="I357" s="25" t="str">
        <f>'Source Table'!$H$7</f>
        <v>ذكر</v>
      </c>
      <c r="J357" s="25" t="str">
        <f>'Source Table'!$B$12</f>
        <v>Gynecologist and Obst.</v>
      </c>
      <c r="K357" s="25" t="str">
        <f>'Source Table'!$I$12</f>
        <v>نسائية وتوليد</v>
      </c>
      <c r="L357" s="39">
        <v>333</v>
      </c>
      <c r="M357">
        <v>2020</v>
      </c>
    </row>
    <row r="358" spans="1:13" ht="15">
      <c r="A358" t="s">
        <v>153</v>
      </c>
      <c r="B358" t="s">
        <v>154</v>
      </c>
      <c r="C358" s="15" t="s">
        <v>30</v>
      </c>
      <c r="D358" s="23" t="s">
        <v>81</v>
      </c>
      <c r="E358" s="25" t="s">
        <v>82</v>
      </c>
      <c r="F358" s="16" t="str">
        <f>'Source Table'!$E$6</f>
        <v>Private Sector</v>
      </c>
      <c r="G358" s="16" t="str">
        <f>'Source Table'!$E$5</f>
        <v>القطاع الخاص</v>
      </c>
      <c r="H358" t="str">
        <f>'Source Table'!$H$8</f>
        <v>Male</v>
      </c>
      <c r="I358" s="25" t="str">
        <f>'Source Table'!$H$7</f>
        <v>ذكر</v>
      </c>
      <c r="J358" s="25" t="str">
        <f>'Source Table'!$B$13</f>
        <v>Pediatrics</v>
      </c>
      <c r="K358" s="25" t="str">
        <f>'Source Table'!$I$13</f>
        <v>أطفال</v>
      </c>
      <c r="L358" s="39">
        <v>300</v>
      </c>
      <c r="M358">
        <v>2020</v>
      </c>
    </row>
    <row r="359" spans="1:13" ht="15">
      <c r="A359" t="s">
        <v>153</v>
      </c>
      <c r="B359" t="s">
        <v>154</v>
      </c>
      <c r="C359" s="15" t="s">
        <v>30</v>
      </c>
      <c r="D359" s="23" t="s">
        <v>81</v>
      </c>
      <c r="E359" s="25" t="s">
        <v>82</v>
      </c>
      <c r="F359" s="16" t="str">
        <f>'Source Table'!$E$6</f>
        <v>Private Sector</v>
      </c>
      <c r="G359" s="16" t="str">
        <f>'Source Table'!$E$5</f>
        <v>القطاع الخاص</v>
      </c>
      <c r="H359" t="str">
        <f>'Source Table'!$H$8</f>
        <v>Male</v>
      </c>
      <c r="I359" s="25" t="str">
        <f>'Source Table'!$H$7</f>
        <v>ذكر</v>
      </c>
      <c r="J359" s="25" t="str">
        <f>'Source Table'!$B$14</f>
        <v>Ophthalmologist</v>
      </c>
      <c r="K359" s="25" t="str">
        <f>'Source Table'!$I$14</f>
        <v>العيون</v>
      </c>
      <c r="L359" s="39">
        <v>184</v>
      </c>
      <c r="M359">
        <v>2020</v>
      </c>
    </row>
    <row r="360" spans="1:13" ht="15">
      <c r="A360" t="s">
        <v>153</v>
      </c>
      <c r="B360" t="s">
        <v>154</v>
      </c>
      <c r="C360" s="15" t="s">
        <v>30</v>
      </c>
      <c r="D360" s="23" t="s">
        <v>81</v>
      </c>
      <c r="E360" s="25" t="s">
        <v>82</v>
      </c>
      <c r="F360" s="16" t="str">
        <f>'Source Table'!$E$6</f>
        <v>Private Sector</v>
      </c>
      <c r="G360" s="16" t="str">
        <f>'Source Table'!$E$5</f>
        <v>القطاع الخاص</v>
      </c>
      <c r="H360" t="str">
        <f>'Source Table'!$H$8</f>
        <v>Male</v>
      </c>
      <c r="I360" s="25" t="str">
        <f>'Source Table'!$H$7</f>
        <v>ذكر</v>
      </c>
      <c r="J360" s="25" t="str">
        <f>'Source Table'!$B$15</f>
        <v>Orthopedic Surg.</v>
      </c>
      <c r="K360" s="25" t="str">
        <f>'Source Table'!$I$15</f>
        <v>العظام</v>
      </c>
      <c r="L360" s="39">
        <v>243</v>
      </c>
      <c r="M360">
        <v>2020</v>
      </c>
    </row>
    <row r="361" spans="1:13" ht="15">
      <c r="A361" t="s">
        <v>153</v>
      </c>
      <c r="B361" t="s">
        <v>154</v>
      </c>
      <c r="C361" s="15" t="s">
        <v>30</v>
      </c>
      <c r="D361" s="23" t="s">
        <v>81</v>
      </c>
      <c r="E361" s="25" t="s">
        <v>82</v>
      </c>
      <c r="F361" s="16" t="str">
        <f>'Source Table'!$E$6</f>
        <v>Private Sector</v>
      </c>
      <c r="G361" s="16" t="str">
        <f>'Source Table'!$E$5</f>
        <v>القطاع الخاص</v>
      </c>
      <c r="H361" t="str">
        <f>'Source Table'!$H$8</f>
        <v>Male</v>
      </c>
      <c r="I361" s="25" t="str">
        <f>'Source Table'!$H$7</f>
        <v>ذكر</v>
      </c>
      <c r="J361" s="25" t="str">
        <f>'Source Table'!$B$16</f>
        <v>E.N.T.Surg.</v>
      </c>
      <c r="K361" s="25" t="str">
        <f>'Source Table'!$I$16</f>
        <v>أذن وأنف وحنجرة</v>
      </c>
      <c r="L361" s="39">
        <v>124</v>
      </c>
      <c r="M361">
        <v>2020</v>
      </c>
    </row>
    <row r="362" spans="1:13" ht="15">
      <c r="A362" t="s">
        <v>153</v>
      </c>
      <c r="B362" t="s">
        <v>154</v>
      </c>
      <c r="C362" s="15" t="s">
        <v>30</v>
      </c>
      <c r="D362" s="23" t="s">
        <v>81</v>
      </c>
      <c r="E362" s="25" t="s">
        <v>82</v>
      </c>
      <c r="F362" s="16" t="str">
        <f>'Source Table'!$E$6</f>
        <v>Private Sector</v>
      </c>
      <c r="G362" s="16" t="str">
        <f>'Source Table'!$E$5</f>
        <v>القطاع الخاص</v>
      </c>
      <c r="H362" t="str">
        <f>'Source Table'!$H$8</f>
        <v>Male</v>
      </c>
      <c r="I362" s="25" t="str">
        <f>'Source Table'!$H$7</f>
        <v>ذكر</v>
      </c>
      <c r="J362" s="25" t="str">
        <f>'Source Table'!$B$17</f>
        <v>Neurosurgery</v>
      </c>
      <c r="K362" s="25" t="str">
        <f>'Source Table'!$I$17</f>
        <v>جراحةأعصاب</v>
      </c>
      <c r="L362" s="39">
        <v>52</v>
      </c>
      <c r="M362">
        <v>2020</v>
      </c>
    </row>
    <row r="363" spans="1:13" ht="15">
      <c r="A363" t="s">
        <v>153</v>
      </c>
      <c r="B363" t="s">
        <v>154</v>
      </c>
      <c r="C363" s="15" t="s">
        <v>30</v>
      </c>
      <c r="D363" s="23" t="s">
        <v>81</v>
      </c>
      <c r="E363" s="25" t="s">
        <v>82</v>
      </c>
      <c r="F363" s="16" t="str">
        <f>'Source Table'!$E$6</f>
        <v>Private Sector</v>
      </c>
      <c r="G363" s="16" t="str">
        <f>'Source Table'!$E$5</f>
        <v>القطاع الخاص</v>
      </c>
      <c r="H363" t="str">
        <f>'Source Table'!$H$8</f>
        <v>Male</v>
      </c>
      <c r="I363" s="25" t="str">
        <f>'Source Table'!$H$7</f>
        <v>ذكر</v>
      </c>
      <c r="J363" s="25" t="str">
        <f>'Source Table'!$B$18</f>
        <v>Cardiothoracic</v>
      </c>
      <c r="K363" s="25" t="str">
        <f>'Source Table'!$I$18</f>
        <v>جراحة قلب</v>
      </c>
      <c r="L363" s="39">
        <v>22</v>
      </c>
      <c r="M363">
        <v>2020</v>
      </c>
    </row>
    <row r="364" spans="1:13" ht="15">
      <c r="A364" t="s">
        <v>153</v>
      </c>
      <c r="B364" t="s">
        <v>154</v>
      </c>
      <c r="C364" s="15" t="s">
        <v>30</v>
      </c>
      <c r="D364" s="23" t="s">
        <v>81</v>
      </c>
      <c r="E364" s="25" t="s">
        <v>82</v>
      </c>
      <c r="F364" s="16" t="str">
        <f>'Source Table'!$E$6</f>
        <v>Private Sector</v>
      </c>
      <c r="G364" s="16" t="str">
        <f>'Source Table'!$E$5</f>
        <v>القطاع الخاص</v>
      </c>
      <c r="H364" t="str">
        <f>'Source Table'!$H$8</f>
        <v>Male</v>
      </c>
      <c r="I364" s="25" t="str">
        <f>'Source Table'!$H$7</f>
        <v>ذكر</v>
      </c>
      <c r="J364" s="25" t="str">
        <f>'Source Table'!$B$19</f>
        <v>Plastic Surgeon</v>
      </c>
      <c r="K364" s="25" t="str">
        <f>'Source Table'!$I$19</f>
        <v>التجميل</v>
      </c>
      <c r="L364" s="39">
        <v>34</v>
      </c>
      <c r="M364">
        <v>2020</v>
      </c>
    </row>
    <row r="365" spans="1:13" ht="15">
      <c r="A365" t="s">
        <v>153</v>
      </c>
      <c r="B365" t="s">
        <v>154</v>
      </c>
      <c r="C365" s="15" t="s">
        <v>30</v>
      </c>
      <c r="D365" s="23" t="s">
        <v>81</v>
      </c>
      <c r="E365" s="25" t="s">
        <v>82</v>
      </c>
      <c r="F365" s="16" t="str">
        <f>'Source Table'!$E$6</f>
        <v>Private Sector</v>
      </c>
      <c r="G365" s="16" t="str">
        <f>'Source Table'!$E$5</f>
        <v>القطاع الخاص</v>
      </c>
      <c r="H365" t="str">
        <f>'Source Table'!$H$8</f>
        <v>Male</v>
      </c>
      <c r="I365" s="25" t="str">
        <f>'Source Table'!$H$7</f>
        <v>ذكر</v>
      </c>
      <c r="J365" s="25" t="str">
        <f>'Source Table'!$B$20</f>
        <v>Psychiatry</v>
      </c>
      <c r="K365" s="25" t="str">
        <f>'Source Table'!$I$20</f>
        <v>النفسية</v>
      </c>
      <c r="L365" s="39">
        <v>58</v>
      </c>
      <c r="M365">
        <v>2020</v>
      </c>
    </row>
    <row r="366" spans="1:13" ht="15">
      <c r="A366" t="s">
        <v>153</v>
      </c>
      <c r="B366" t="s">
        <v>154</v>
      </c>
      <c r="C366" s="15" t="s">
        <v>30</v>
      </c>
      <c r="D366" s="23" t="s">
        <v>81</v>
      </c>
      <c r="E366" s="25" t="s">
        <v>82</v>
      </c>
      <c r="F366" s="16" t="str">
        <f>'Source Table'!$E$6</f>
        <v>Private Sector</v>
      </c>
      <c r="G366" s="16" t="str">
        <f>'Source Table'!$E$5</f>
        <v>القطاع الخاص</v>
      </c>
      <c r="H366" t="str">
        <f>'Source Table'!$H$8</f>
        <v>Male</v>
      </c>
      <c r="I366" s="25" t="str">
        <f>'Source Table'!$H$7</f>
        <v>ذكر</v>
      </c>
      <c r="J366" s="25" t="str">
        <f>'Source Table'!$B$21</f>
        <v>Dermatologist Venereal</v>
      </c>
      <c r="K366" s="25" t="str">
        <f>'Source Table'!$I$21</f>
        <v>جلدية وتناسلية</v>
      </c>
      <c r="L366" s="39">
        <v>117</v>
      </c>
      <c r="M366">
        <v>2020</v>
      </c>
    </row>
    <row r="367" spans="1:13" ht="15">
      <c r="A367" t="s">
        <v>153</v>
      </c>
      <c r="B367" t="s">
        <v>154</v>
      </c>
      <c r="C367" s="15" t="s">
        <v>30</v>
      </c>
      <c r="D367" s="23" t="s">
        <v>81</v>
      </c>
      <c r="E367" s="25" t="s">
        <v>82</v>
      </c>
      <c r="F367" s="16" t="str">
        <f>'Source Table'!$E$6</f>
        <v>Private Sector</v>
      </c>
      <c r="G367" s="16" t="str">
        <f>'Source Table'!$E$5</f>
        <v>القطاع الخاص</v>
      </c>
      <c r="H367" t="str">
        <f>'Source Table'!$H$8</f>
        <v>Male</v>
      </c>
      <c r="I367" s="25" t="str">
        <f>'Source Table'!$H$7</f>
        <v>ذكر</v>
      </c>
      <c r="J367" s="25" t="str">
        <f>'Source Table'!$B$22</f>
        <v>Neurology/ Nervous</v>
      </c>
      <c r="K367" s="25" t="str">
        <f>'Source Table'!$I$22</f>
        <v>مرض الأعصاب</v>
      </c>
      <c r="L367" s="39">
        <v>30</v>
      </c>
      <c r="M367">
        <v>2020</v>
      </c>
    </row>
    <row r="368" spans="1:13" ht="15">
      <c r="A368" t="s">
        <v>153</v>
      </c>
      <c r="B368" t="s">
        <v>154</v>
      </c>
      <c r="C368" s="15" t="s">
        <v>30</v>
      </c>
      <c r="D368" s="23" t="s">
        <v>81</v>
      </c>
      <c r="E368" s="25" t="s">
        <v>82</v>
      </c>
      <c r="F368" s="16" t="str">
        <f>'Source Table'!$E$6</f>
        <v>Private Sector</v>
      </c>
      <c r="G368" s="16" t="str">
        <f>'Source Table'!$E$5</f>
        <v>القطاع الخاص</v>
      </c>
      <c r="H368" t="str">
        <f>'Source Table'!$H$8</f>
        <v>Male</v>
      </c>
      <c r="I368" s="25" t="str">
        <f>'Source Table'!$H$7</f>
        <v>ذكر</v>
      </c>
      <c r="J368" s="25" t="str">
        <f>'Source Table'!$B$23</f>
        <v>Pumologist</v>
      </c>
      <c r="K368" s="25" t="str">
        <f>'Source Table'!$I$23</f>
        <v>صدرية</v>
      </c>
      <c r="L368" s="39">
        <v>30</v>
      </c>
      <c r="M368">
        <v>2020</v>
      </c>
    </row>
    <row r="369" spans="1:13" ht="15">
      <c r="A369" t="s">
        <v>153</v>
      </c>
      <c r="B369" t="s">
        <v>154</v>
      </c>
      <c r="C369" s="15" t="s">
        <v>30</v>
      </c>
      <c r="D369" s="23" t="s">
        <v>81</v>
      </c>
      <c r="E369" s="25" t="s">
        <v>82</v>
      </c>
      <c r="F369" s="16" t="str">
        <f>'Source Table'!$E$6</f>
        <v>Private Sector</v>
      </c>
      <c r="G369" s="16" t="str">
        <f>'Source Table'!$E$5</f>
        <v>القطاع الخاص</v>
      </c>
      <c r="H369" t="str">
        <f>'Source Table'!$H$8</f>
        <v>Male</v>
      </c>
      <c r="I369" s="25" t="str">
        <f>'Source Table'!$H$7</f>
        <v>ذكر</v>
      </c>
      <c r="J369" s="25" t="str">
        <f>'Source Table'!$B$24</f>
        <v>G.I.T. Specialist</v>
      </c>
      <c r="K369" s="25" t="str">
        <f>'Source Table'!$I$24</f>
        <v>جهاز هضمي</v>
      </c>
      <c r="L369" s="39">
        <v>50</v>
      </c>
      <c r="M369">
        <v>2020</v>
      </c>
    </row>
    <row r="370" spans="1:13" ht="15">
      <c r="A370" t="s">
        <v>153</v>
      </c>
      <c r="B370" t="s">
        <v>154</v>
      </c>
      <c r="C370" s="15" t="s">
        <v>30</v>
      </c>
      <c r="D370" s="23" t="s">
        <v>81</v>
      </c>
      <c r="E370" s="25" t="s">
        <v>82</v>
      </c>
      <c r="F370" s="16" t="str">
        <f>'Source Table'!$E$6</f>
        <v>Private Sector</v>
      </c>
      <c r="G370" s="16" t="str">
        <f>'Source Table'!$E$5</f>
        <v>القطاع الخاص</v>
      </c>
      <c r="H370" t="str">
        <f>'Source Table'!$H$8</f>
        <v>Male</v>
      </c>
      <c r="I370" s="25" t="str">
        <f>'Source Table'!$H$7</f>
        <v>ذكر</v>
      </c>
      <c r="J370" s="25" t="str">
        <f>'Source Table'!$B$25</f>
        <v>Diagnostic Radiology</v>
      </c>
      <c r="K370" s="25" t="str">
        <f>'Source Table'!$I$25</f>
        <v>أشعة تشخيصية</v>
      </c>
      <c r="L370" s="39">
        <v>137</v>
      </c>
      <c r="M370">
        <v>2020</v>
      </c>
    </row>
    <row r="371" spans="1:13" ht="15">
      <c r="A371" t="s">
        <v>153</v>
      </c>
      <c r="B371" t="s">
        <v>154</v>
      </c>
      <c r="C371" s="15" t="s">
        <v>30</v>
      </c>
      <c r="D371" s="23" t="s">
        <v>81</v>
      </c>
      <c r="E371" s="25" t="s">
        <v>82</v>
      </c>
      <c r="F371" s="16" t="str">
        <f>'Source Table'!$E$6</f>
        <v>Private Sector</v>
      </c>
      <c r="G371" s="16" t="str">
        <f>'Source Table'!$E$5</f>
        <v>القطاع الخاص</v>
      </c>
      <c r="H371" t="str">
        <f>'Source Table'!$H$8</f>
        <v>Male</v>
      </c>
      <c r="I371" s="25" t="str">
        <f>'Source Table'!$H$7</f>
        <v>ذكر</v>
      </c>
      <c r="J371" s="25" t="str">
        <f>'Source Table'!$B$26</f>
        <v>Anesthetic</v>
      </c>
      <c r="K371" s="25" t="str">
        <f>'Source Table'!$I$26</f>
        <v>تخدير وإنعاش</v>
      </c>
      <c r="L371" s="39">
        <v>223</v>
      </c>
      <c r="M371">
        <v>2020</v>
      </c>
    </row>
    <row r="372" spans="1:13" ht="15">
      <c r="A372" t="s">
        <v>153</v>
      </c>
      <c r="B372" t="s">
        <v>154</v>
      </c>
      <c r="C372" s="15" t="s">
        <v>30</v>
      </c>
      <c r="D372" s="23" t="s">
        <v>81</v>
      </c>
      <c r="E372" s="25" t="s">
        <v>82</v>
      </c>
      <c r="F372" s="16" t="str">
        <f>'Source Table'!$E$6</f>
        <v>Private Sector</v>
      </c>
      <c r="G372" s="16" t="str">
        <f>'Source Table'!$E$5</f>
        <v>القطاع الخاص</v>
      </c>
      <c r="H372" t="str">
        <f>'Source Table'!$H$8</f>
        <v>Male</v>
      </c>
      <c r="I372" s="25" t="str">
        <f>'Source Table'!$H$7</f>
        <v>ذكر</v>
      </c>
      <c r="J372" s="25" t="str">
        <f>'Source Table'!$B$27</f>
        <v>Physiotherapist</v>
      </c>
      <c r="K372" s="25" t="str">
        <f>'Source Table'!$I$27</f>
        <v>طب طبيعي</v>
      </c>
      <c r="L372" s="39">
        <v>18</v>
      </c>
      <c r="M372">
        <v>2020</v>
      </c>
    </row>
    <row r="373" spans="1:13" ht="15">
      <c r="A373" t="s">
        <v>153</v>
      </c>
      <c r="B373" t="s">
        <v>154</v>
      </c>
      <c r="C373" s="15" t="s">
        <v>30</v>
      </c>
      <c r="D373" s="23" t="s">
        <v>81</v>
      </c>
      <c r="E373" s="25" t="s">
        <v>82</v>
      </c>
      <c r="F373" s="16" t="str">
        <f>'Source Table'!$E$6</f>
        <v>Private Sector</v>
      </c>
      <c r="G373" s="16" t="str">
        <f>'Source Table'!$E$5</f>
        <v>القطاع الخاص</v>
      </c>
      <c r="H373" t="str">
        <f>'Source Table'!$H$8</f>
        <v>Male</v>
      </c>
      <c r="I373" s="25" t="str">
        <f>'Source Table'!$H$7</f>
        <v>ذكر</v>
      </c>
      <c r="J373" s="25" t="str">
        <f>'Source Table'!$B$28</f>
        <v>Forensic</v>
      </c>
      <c r="K373" s="25" t="str">
        <f>'Source Table'!$I$28</f>
        <v>طب شرعي</v>
      </c>
      <c r="L373" s="39">
        <v>2</v>
      </c>
      <c r="M373">
        <v>2020</v>
      </c>
    </row>
    <row r="374" spans="1:13" ht="15">
      <c r="A374" t="s">
        <v>153</v>
      </c>
      <c r="B374" t="s">
        <v>154</v>
      </c>
      <c r="C374" s="15" t="s">
        <v>30</v>
      </c>
      <c r="D374" s="23" t="s">
        <v>81</v>
      </c>
      <c r="E374" s="25" t="s">
        <v>82</v>
      </c>
      <c r="F374" s="16" t="str">
        <f>'Source Table'!$E$6</f>
        <v>Private Sector</v>
      </c>
      <c r="G374" s="16" t="str">
        <f>'Source Table'!$E$5</f>
        <v>القطاع الخاص</v>
      </c>
      <c r="H374" t="str">
        <f>'Source Table'!$H$8</f>
        <v>Male</v>
      </c>
      <c r="I374" s="25" t="str">
        <f>'Source Table'!$H$7</f>
        <v>ذكر</v>
      </c>
      <c r="J374" s="25" t="str">
        <f>'Source Table'!$B$29</f>
        <v xml:space="preserve">Family </v>
      </c>
      <c r="K374" s="25" t="str">
        <f>'Source Table'!$I$29</f>
        <v>طب أسرة</v>
      </c>
      <c r="L374" s="39">
        <v>28</v>
      </c>
      <c r="M374">
        <v>2020</v>
      </c>
    </row>
    <row r="375" spans="1:13" ht="15">
      <c r="A375" t="s">
        <v>153</v>
      </c>
      <c r="B375" t="s">
        <v>154</v>
      </c>
      <c r="C375" s="15" t="s">
        <v>30</v>
      </c>
      <c r="D375" s="23" t="s">
        <v>81</v>
      </c>
      <c r="E375" s="25" t="s">
        <v>82</v>
      </c>
      <c r="F375" s="16" t="str">
        <f>'Source Table'!$E$6</f>
        <v>Private Sector</v>
      </c>
      <c r="G375" s="16" t="str">
        <f>'Source Table'!$E$5</f>
        <v>القطاع الخاص</v>
      </c>
      <c r="H375" t="str">
        <f>'Source Table'!$H$8</f>
        <v>Male</v>
      </c>
      <c r="I375" s="25" t="str">
        <f>'Source Table'!$H$7</f>
        <v>ذكر</v>
      </c>
      <c r="J375" s="25" t="str">
        <f>'Source Table'!$B$30</f>
        <v>Urologist</v>
      </c>
      <c r="K375" s="25" t="str">
        <f>'Source Table'!$I$30</f>
        <v xml:space="preserve">المسالك البولية </v>
      </c>
      <c r="L375" s="39">
        <v>106</v>
      </c>
      <c r="M375">
        <v>2020</v>
      </c>
    </row>
    <row r="376" spans="1:13" ht="15">
      <c r="A376" t="s">
        <v>153</v>
      </c>
      <c r="B376" t="s">
        <v>154</v>
      </c>
      <c r="C376" s="15" t="s">
        <v>30</v>
      </c>
      <c r="D376" s="23" t="s">
        <v>81</v>
      </c>
      <c r="E376" s="25" t="s">
        <v>82</v>
      </c>
      <c r="F376" s="16" t="str">
        <f>'Source Table'!$E$6</f>
        <v>Private Sector</v>
      </c>
      <c r="G376" s="16" t="str">
        <f>'Source Table'!$E$5</f>
        <v>القطاع الخاص</v>
      </c>
      <c r="H376" t="str">
        <f>'Source Table'!$H$8</f>
        <v>Male</v>
      </c>
      <c r="I376" s="25" t="str">
        <f>'Source Table'!$H$7</f>
        <v>ذكر</v>
      </c>
      <c r="J376" s="25" t="str">
        <f>'Source Table'!$B$31</f>
        <v>Cardiology</v>
      </c>
      <c r="K376" s="25" t="str">
        <f>'Source Table'!$I$31</f>
        <v>أمراض القلب</v>
      </c>
      <c r="L376" s="39">
        <v>74</v>
      </c>
      <c r="M376">
        <v>2020</v>
      </c>
    </row>
    <row r="377" spans="1:13" ht="15">
      <c r="A377" t="s">
        <v>153</v>
      </c>
      <c r="B377" t="s">
        <v>154</v>
      </c>
      <c r="C377" s="15" t="s">
        <v>30</v>
      </c>
      <c r="D377" s="23" t="s">
        <v>81</v>
      </c>
      <c r="E377" s="25" t="s">
        <v>82</v>
      </c>
      <c r="F377" s="16" t="str">
        <f>'Source Table'!$E$6</f>
        <v>Private Sector</v>
      </c>
      <c r="G377" s="16" t="str">
        <f>'Source Table'!$E$5</f>
        <v>القطاع الخاص</v>
      </c>
      <c r="H377" t="str">
        <f>'Source Table'!$H$8</f>
        <v>Male</v>
      </c>
      <c r="I377" s="25" t="str">
        <f>'Source Table'!$H$7</f>
        <v>ذكر</v>
      </c>
      <c r="J377" s="25" t="str">
        <f>'Source Table'!$B$32</f>
        <v>Laboratory</v>
      </c>
      <c r="K377" s="25" t="str">
        <f>'Source Table'!$I$32</f>
        <v>مختبرات</v>
      </c>
      <c r="L377" s="39">
        <v>7</v>
      </c>
      <c r="M377">
        <v>2020</v>
      </c>
    </row>
    <row r="378" spans="1:13" ht="15">
      <c r="A378" t="s">
        <v>153</v>
      </c>
      <c r="B378" t="s">
        <v>154</v>
      </c>
      <c r="C378" s="15" t="s">
        <v>30</v>
      </c>
      <c r="D378" s="23" t="s">
        <v>81</v>
      </c>
      <c r="E378" s="25" t="s">
        <v>82</v>
      </c>
      <c r="F378" s="16" t="str">
        <f>'Source Table'!$E$6</f>
        <v>Private Sector</v>
      </c>
      <c r="G378" s="16" t="str">
        <f>'Source Table'!$E$5</f>
        <v>القطاع الخاص</v>
      </c>
      <c r="H378" t="str">
        <f>'Source Table'!$H$8</f>
        <v>Male</v>
      </c>
      <c r="I378" s="25" t="str">
        <f>'Source Table'!$H$7</f>
        <v>ذكر</v>
      </c>
      <c r="J378" s="25" t="str">
        <f>'Source Table'!$B$33</f>
        <v>Others</v>
      </c>
      <c r="K378" s="25" t="str">
        <f>'Source Table'!$I$33</f>
        <v>أخرى</v>
      </c>
      <c r="L378" s="39">
        <v>265</v>
      </c>
      <c r="M378">
        <v>2020</v>
      </c>
    </row>
    <row r="379" spans="1:13" ht="15">
      <c r="A379" t="s">
        <v>153</v>
      </c>
      <c r="B379" t="s">
        <v>154</v>
      </c>
      <c r="C379" s="15" t="s">
        <v>30</v>
      </c>
      <c r="D379" s="23" t="s">
        <v>81</v>
      </c>
      <c r="E379" s="25" t="s">
        <v>82</v>
      </c>
      <c r="F379" s="16" t="str">
        <f>'Source Table'!$E$6</f>
        <v>Private Sector</v>
      </c>
      <c r="G379" s="16" t="str">
        <f>'Source Table'!$E$5</f>
        <v>القطاع الخاص</v>
      </c>
      <c r="H379" t="str">
        <f>'Source Table'!$G$8</f>
        <v>Female</v>
      </c>
      <c r="I379" s="16" t="str">
        <f>'Source Table'!$G$7</f>
        <v>أنثى</v>
      </c>
      <c r="J379" s="25" t="str">
        <f>'Source Table'!$B$9</f>
        <v>General Practitioner</v>
      </c>
      <c r="K379" s="25" t="str">
        <f>'Source Table'!$I$9</f>
        <v>طبيب عام</v>
      </c>
      <c r="L379" s="39">
        <v>345</v>
      </c>
      <c r="M379">
        <v>2020</v>
      </c>
    </row>
    <row r="380" spans="1:13" ht="15">
      <c r="A380" t="s">
        <v>153</v>
      </c>
      <c r="B380" t="s">
        <v>154</v>
      </c>
      <c r="C380" s="15" t="s">
        <v>30</v>
      </c>
      <c r="D380" s="23" t="s">
        <v>81</v>
      </c>
      <c r="E380" s="25" t="s">
        <v>82</v>
      </c>
      <c r="F380" s="16" t="str">
        <f>'Source Table'!$E$6</f>
        <v>Private Sector</v>
      </c>
      <c r="G380" s="16" t="str">
        <f>'Source Table'!$E$5</f>
        <v>القطاع الخاص</v>
      </c>
      <c r="H380" t="str">
        <f>'Source Table'!$G$8</f>
        <v>Female</v>
      </c>
      <c r="I380" s="16" t="str">
        <f>'Source Table'!$G$7</f>
        <v>أنثى</v>
      </c>
      <c r="J380" s="25" t="str">
        <f>'Source Table'!$B$10</f>
        <v>Surgeon</v>
      </c>
      <c r="K380" s="25" t="str">
        <f>'Source Table'!$I$10</f>
        <v>جراحة عامة</v>
      </c>
      <c r="L380" s="39">
        <v>14</v>
      </c>
      <c r="M380">
        <v>2020</v>
      </c>
    </row>
    <row r="381" spans="1:13" ht="15">
      <c r="A381" t="s">
        <v>153</v>
      </c>
      <c r="B381" t="s">
        <v>154</v>
      </c>
      <c r="C381" s="15" t="s">
        <v>30</v>
      </c>
      <c r="D381" s="23" t="s">
        <v>81</v>
      </c>
      <c r="E381" s="25" t="s">
        <v>82</v>
      </c>
      <c r="F381" s="16" t="str">
        <f>'Source Table'!$E$6</f>
        <v>Private Sector</v>
      </c>
      <c r="G381" s="16" t="str">
        <f>'Source Table'!$E$5</f>
        <v>القطاع الخاص</v>
      </c>
      <c r="H381" t="str">
        <f>'Source Table'!$G$8</f>
        <v>Female</v>
      </c>
      <c r="I381" s="16" t="str">
        <f>'Source Table'!$G$7</f>
        <v>أنثى</v>
      </c>
      <c r="J381" s="25" t="str">
        <f>'Source Table'!$B$11</f>
        <v>Internist</v>
      </c>
      <c r="K381" s="25" t="str">
        <f>'Source Table'!$I$11</f>
        <v>باطنية</v>
      </c>
      <c r="L381" s="39">
        <v>47</v>
      </c>
      <c r="M381">
        <v>2020</v>
      </c>
    </row>
    <row r="382" spans="1:13" ht="15">
      <c r="A382" t="s">
        <v>153</v>
      </c>
      <c r="B382" t="s">
        <v>154</v>
      </c>
      <c r="C382" s="15" t="s">
        <v>30</v>
      </c>
      <c r="D382" s="23" t="s">
        <v>81</v>
      </c>
      <c r="E382" s="25" t="s">
        <v>82</v>
      </c>
      <c r="F382" s="16" t="str">
        <f>'Source Table'!$E$6</f>
        <v>Private Sector</v>
      </c>
      <c r="G382" s="16" t="str">
        <f>'Source Table'!$E$5</f>
        <v>القطاع الخاص</v>
      </c>
      <c r="H382" t="str">
        <f>'Source Table'!$G$8</f>
        <v>Female</v>
      </c>
      <c r="I382" s="16" t="str">
        <f>'Source Table'!$G$7</f>
        <v>أنثى</v>
      </c>
      <c r="J382" s="25" t="str">
        <f>'Source Table'!$B$12</f>
        <v>Gynecologist and Obst.</v>
      </c>
      <c r="K382" s="25" t="str">
        <f>'Source Table'!$I$12</f>
        <v>نسائية وتوليد</v>
      </c>
      <c r="L382" s="39">
        <v>250</v>
      </c>
      <c r="M382">
        <v>2020</v>
      </c>
    </row>
    <row r="383" spans="1:13" ht="15">
      <c r="A383" t="s">
        <v>153</v>
      </c>
      <c r="B383" t="s">
        <v>154</v>
      </c>
      <c r="C383" s="15" t="s">
        <v>30</v>
      </c>
      <c r="D383" s="23" t="s">
        <v>81</v>
      </c>
      <c r="E383" s="25" t="s">
        <v>82</v>
      </c>
      <c r="F383" s="16" t="str">
        <f>'Source Table'!$E$6</f>
        <v>Private Sector</v>
      </c>
      <c r="G383" s="16" t="str">
        <f>'Source Table'!$E$5</f>
        <v>القطاع الخاص</v>
      </c>
      <c r="H383" t="str">
        <f>'Source Table'!$G$8</f>
        <v>Female</v>
      </c>
      <c r="I383" s="16" t="str">
        <f>'Source Table'!$G$7</f>
        <v>أنثى</v>
      </c>
      <c r="J383" s="25" t="str">
        <f>'Source Table'!$B$13</f>
        <v>Pediatrics</v>
      </c>
      <c r="K383" s="25" t="str">
        <f>'Source Table'!$I$13</f>
        <v>أطفال</v>
      </c>
      <c r="L383" s="39">
        <v>115</v>
      </c>
      <c r="M383">
        <v>2020</v>
      </c>
    </row>
    <row r="384" spans="1:13" ht="15">
      <c r="A384" t="s">
        <v>153</v>
      </c>
      <c r="B384" t="s">
        <v>154</v>
      </c>
      <c r="C384" s="15" t="s">
        <v>30</v>
      </c>
      <c r="D384" s="23" t="s">
        <v>81</v>
      </c>
      <c r="E384" s="25" t="s">
        <v>82</v>
      </c>
      <c r="F384" s="16" t="str">
        <f>'Source Table'!$E$6</f>
        <v>Private Sector</v>
      </c>
      <c r="G384" s="16" t="str">
        <f>'Source Table'!$E$5</f>
        <v>القطاع الخاص</v>
      </c>
      <c r="H384" t="str">
        <f>'Source Table'!$G$8</f>
        <v>Female</v>
      </c>
      <c r="I384" s="16" t="str">
        <f>'Source Table'!$G$7</f>
        <v>أنثى</v>
      </c>
      <c r="J384" s="25" t="str">
        <f>'Source Table'!$B$14</f>
        <v>Ophthalmologist</v>
      </c>
      <c r="K384" s="25" t="str">
        <f>'Source Table'!$I$14</f>
        <v>العيون</v>
      </c>
      <c r="L384" s="39">
        <v>47</v>
      </c>
      <c r="M384">
        <v>2020</v>
      </c>
    </row>
    <row r="385" spans="1:13" ht="15">
      <c r="A385" t="s">
        <v>153</v>
      </c>
      <c r="B385" t="s">
        <v>154</v>
      </c>
      <c r="C385" s="15" t="s">
        <v>30</v>
      </c>
      <c r="D385" s="23" t="s">
        <v>81</v>
      </c>
      <c r="E385" s="25" t="s">
        <v>82</v>
      </c>
      <c r="F385" s="16" t="str">
        <f>'Source Table'!$E$6</f>
        <v>Private Sector</v>
      </c>
      <c r="G385" s="16" t="str">
        <f>'Source Table'!$E$5</f>
        <v>القطاع الخاص</v>
      </c>
      <c r="H385" t="str">
        <f>'Source Table'!$G$8</f>
        <v>Female</v>
      </c>
      <c r="I385" s="16" t="str">
        <f>'Source Table'!$G$7</f>
        <v>أنثى</v>
      </c>
      <c r="J385" s="25" t="str">
        <f>'Source Table'!$B$15</f>
        <v>Orthopedic Surg.</v>
      </c>
      <c r="K385" s="25" t="str">
        <f>'Source Table'!$I$15</f>
        <v>العظام</v>
      </c>
      <c r="L385" s="39">
        <v>2</v>
      </c>
      <c r="M385">
        <v>2020</v>
      </c>
    </row>
    <row r="386" spans="1:13" ht="15">
      <c r="A386" t="s">
        <v>153</v>
      </c>
      <c r="B386" t="s">
        <v>154</v>
      </c>
      <c r="C386" s="15" t="s">
        <v>30</v>
      </c>
      <c r="D386" s="23" t="s">
        <v>81</v>
      </c>
      <c r="E386" s="25" t="s">
        <v>82</v>
      </c>
      <c r="F386" s="16" t="str">
        <f>'Source Table'!$E$6</f>
        <v>Private Sector</v>
      </c>
      <c r="G386" s="16" t="str">
        <f>'Source Table'!$E$5</f>
        <v>القطاع الخاص</v>
      </c>
      <c r="H386" t="str">
        <f>'Source Table'!$G$8</f>
        <v>Female</v>
      </c>
      <c r="I386" s="16" t="str">
        <f>'Source Table'!$G$7</f>
        <v>أنثى</v>
      </c>
      <c r="J386" s="25" t="str">
        <f>'Source Table'!$B$16</f>
        <v>E.N.T.Surg.</v>
      </c>
      <c r="K386" s="25" t="str">
        <f>'Source Table'!$I$16</f>
        <v>أذن وأنف وحنجرة</v>
      </c>
      <c r="L386" s="39">
        <v>8</v>
      </c>
      <c r="M386">
        <v>2020</v>
      </c>
    </row>
    <row r="387" spans="1:13" ht="15">
      <c r="A387" t="s">
        <v>153</v>
      </c>
      <c r="B387" t="s">
        <v>154</v>
      </c>
      <c r="C387" s="15" t="s">
        <v>30</v>
      </c>
      <c r="D387" s="23" t="s">
        <v>81</v>
      </c>
      <c r="E387" s="25" t="s">
        <v>82</v>
      </c>
      <c r="F387" s="16" t="str">
        <f>'Source Table'!$E$6</f>
        <v>Private Sector</v>
      </c>
      <c r="G387" s="16" t="str">
        <f>'Source Table'!$E$5</f>
        <v>القطاع الخاص</v>
      </c>
      <c r="H387" t="str">
        <f>'Source Table'!$G$8</f>
        <v>Female</v>
      </c>
      <c r="I387" s="16" t="str">
        <f>'Source Table'!$G$7</f>
        <v>أنثى</v>
      </c>
      <c r="J387" s="25" t="str">
        <f>'Source Table'!$B$17</f>
        <v>Neurosurgery</v>
      </c>
      <c r="K387" s="25" t="str">
        <f>'Source Table'!$I$17</f>
        <v>جراحةأعصاب</v>
      </c>
      <c r="L387" s="39">
        <v>0</v>
      </c>
      <c r="M387">
        <v>2020</v>
      </c>
    </row>
    <row r="388" spans="1:13" ht="15">
      <c r="A388" t="s">
        <v>153</v>
      </c>
      <c r="B388" t="s">
        <v>154</v>
      </c>
      <c r="C388" s="15" t="s">
        <v>30</v>
      </c>
      <c r="D388" s="23" t="s">
        <v>81</v>
      </c>
      <c r="E388" s="25" t="s">
        <v>82</v>
      </c>
      <c r="F388" s="16" t="str">
        <f>'Source Table'!$E$6</f>
        <v>Private Sector</v>
      </c>
      <c r="G388" s="16" t="str">
        <f>'Source Table'!$E$5</f>
        <v>القطاع الخاص</v>
      </c>
      <c r="H388" t="str">
        <f>'Source Table'!$G$8</f>
        <v>Female</v>
      </c>
      <c r="I388" s="16" t="str">
        <f>'Source Table'!$G$7</f>
        <v>أنثى</v>
      </c>
      <c r="J388" s="25" t="str">
        <f>'Source Table'!$B$18</f>
        <v>Cardiothoracic</v>
      </c>
      <c r="K388" s="25" t="str">
        <f>'Source Table'!$I$18</f>
        <v>جراحة قلب</v>
      </c>
      <c r="L388" s="39">
        <v>0</v>
      </c>
      <c r="M388">
        <v>2020</v>
      </c>
    </row>
    <row r="389" spans="1:13" ht="15">
      <c r="A389" t="s">
        <v>153</v>
      </c>
      <c r="B389" t="s">
        <v>154</v>
      </c>
      <c r="C389" s="15" t="s">
        <v>30</v>
      </c>
      <c r="D389" s="23" t="s">
        <v>81</v>
      </c>
      <c r="E389" s="25" t="s">
        <v>82</v>
      </c>
      <c r="F389" s="16" t="str">
        <f>'Source Table'!$E$6</f>
        <v>Private Sector</v>
      </c>
      <c r="G389" s="16" t="str">
        <f>'Source Table'!$E$5</f>
        <v>القطاع الخاص</v>
      </c>
      <c r="H389" t="str">
        <f>'Source Table'!$G$8</f>
        <v>Female</v>
      </c>
      <c r="I389" s="16" t="str">
        <f>'Source Table'!$G$7</f>
        <v>أنثى</v>
      </c>
      <c r="J389" s="25" t="str">
        <f>'Source Table'!$B$19</f>
        <v>Plastic Surgeon</v>
      </c>
      <c r="K389" s="25" t="str">
        <f>'Source Table'!$I$19</f>
        <v>التجميل</v>
      </c>
      <c r="L389" s="39">
        <v>2</v>
      </c>
      <c r="M389">
        <v>2020</v>
      </c>
    </row>
    <row r="390" spans="1:13" ht="15">
      <c r="A390" t="s">
        <v>153</v>
      </c>
      <c r="B390" t="s">
        <v>154</v>
      </c>
      <c r="C390" s="15" t="s">
        <v>30</v>
      </c>
      <c r="D390" s="23" t="s">
        <v>81</v>
      </c>
      <c r="E390" s="25" t="s">
        <v>82</v>
      </c>
      <c r="F390" s="16" t="str">
        <f>'Source Table'!$E$6</f>
        <v>Private Sector</v>
      </c>
      <c r="G390" s="16" t="str">
        <f>'Source Table'!$E$5</f>
        <v>القطاع الخاص</v>
      </c>
      <c r="H390" t="str">
        <f>'Source Table'!$G$8</f>
        <v>Female</v>
      </c>
      <c r="I390" s="16" t="str">
        <f>'Source Table'!$G$7</f>
        <v>أنثى</v>
      </c>
      <c r="J390" s="25" t="str">
        <f>'Source Table'!$B$20</f>
        <v>Psychiatry</v>
      </c>
      <c r="K390" s="25" t="str">
        <f>'Source Table'!$I$20</f>
        <v>النفسية</v>
      </c>
      <c r="L390" s="39">
        <v>5</v>
      </c>
      <c r="M390">
        <v>2020</v>
      </c>
    </row>
    <row r="391" spans="1:13" ht="15">
      <c r="A391" t="s">
        <v>153</v>
      </c>
      <c r="B391" t="s">
        <v>154</v>
      </c>
      <c r="C391" s="15" t="s">
        <v>30</v>
      </c>
      <c r="D391" s="23" t="s">
        <v>81</v>
      </c>
      <c r="E391" s="25" t="s">
        <v>82</v>
      </c>
      <c r="F391" s="16" t="str">
        <f>'Source Table'!$E$6</f>
        <v>Private Sector</v>
      </c>
      <c r="G391" s="16" t="str">
        <f>'Source Table'!$E$5</f>
        <v>القطاع الخاص</v>
      </c>
      <c r="H391" t="str">
        <f>'Source Table'!$G$8</f>
        <v>Female</v>
      </c>
      <c r="I391" s="16" t="str">
        <f>'Source Table'!$G$7</f>
        <v>أنثى</v>
      </c>
      <c r="J391" s="25" t="str">
        <f>'Source Table'!$B$21</f>
        <v>Dermatologist Venereal</v>
      </c>
      <c r="K391" s="25" t="str">
        <f>'Source Table'!$I$21</f>
        <v>جلدية وتناسلية</v>
      </c>
      <c r="L391" s="39">
        <v>57</v>
      </c>
      <c r="M391">
        <v>2020</v>
      </c>
    </row>
    <row r="392" spans="1:13" ht="15">
      <c r="A392" t="s">
        <v>153</v>
      </c>
      <c r="B392" t="s">
        <v>154</v>
      </c>
      <c r="C392" s="15" t="s">
        <v>30</v>
      </c>
      <c r="D392" s="23" t="s">
        <v>81</v>
      </c>
      <c r="E392" s="25" t="s">
        <v>82</v>
      </c>
      <c r="F392" s="16" t="str">
        <f>'Source Table'!$E$6</f>
        <v>Private Sector</v>
      </c>
      <c r="G392" s="16" t="str">
        <f>'Source Table'!$E$5</f>
        <v>القطاع الخاص</v>
      </c>
      <c r="H392" t="str">
        <f>'Source Table'!$G$8</f>
        <v>Female</v>
      </c>
      <c r="I392" s="16" t="str">
        <f>'Source Table'!$G$7</f>
        <v>أنثى</v>
      </c>
      <c r="J392" s="25" t="str">
        <f>'Source Table'!$B$22</f>
        <v>Neurology/ Nervous</v>
      </c>
      <c r="K392" s="25" t="str">
        <f>'Source Table'!$I$22</f>
        <v>مرض الأعصاب</v>
      </c>
      <c r="L392" s="39">
        <v>4</v>
      </c>
      <c r="M392">
        <v>2020</v>
      </c>
    </row>
    <row r="393" spans="1:13" ht="15">
      <c r="A393" t="s">
        <v>153</v>
      </c>
      <c r="B393" t="s">
        <v>154</v>
      </c>
      <c r="C393" s="15" t="s">
        <v>30</v>
      </c>
      <c r="D393" s="23" t="s">
        <v>81</v>
      </c>
      <c r="E393" s="25" t="s">
        <v>82</v>
      </c>
      <c r="F393" s="16" t="str">
        <f>'Source Table'!$E$6</f>
        <v>Private Sector</v>
      </c>
      <c r="G393" s="16" t="str">
        <f>'Source Table'!$E$5</f>
        <v>القطاع الخاص</v>
      </c>
      <c r="H393" t="str">
        <f>'Source Table'!$G$8</f>
        <v>Female</v>
      </c>
      <c r="I393" s="16" t="str">
        <f>'Source Table'!$G$7</f>
        <v>أنثى</v>
      </c>
      <c r="J393" s="25" t="str">
        <f>'Source Table'!$B$23</f>
        <v>Pumologist</v>
      </c>
      <c r="K393" s="25" t="str">
        <f>'Source Table'!$I$23</f>
        <v>صدرية</v>
      </c>
      <c r="L393" s="39">
        <v>0</v>
      </c>
      <c r="M393">
        <v>2020</v>
      </c>
    </row>
    <row r="394" spans="1:13" ht="15">
      <c r="A394" t="s">
        <v>153</v>
      </c>
      <c r="B394" t="s">
        <v>154</v>
      </c>
      <c r="C394" s="15" t="s">
        <v>30</v>
      </c>
      <c r="D394" s="23" t="s">
        <v>81</v>
      </c>
      <c r="E394" s="25" t="s">
        <v>82</v>
      </c>
      <c r="F394" s="16" t="str">
        <f>'Source Table'!$E$6</f>
        <v>Private Sector</v>
      </c>
      <c r="G394" s="16" t="str">
        <f>'Source Table'!$E$5</f>
        <v>القطاع الخاص</v>
      </c>
      <c r="H394" t="str">
        <f>'Source Table'!$G$8</f>
        <v>Female</v>
      </c>
      <c r="I394" s="16" t="str">
        <f>'Source Table'!$G$7</f>
        <v>أنثى</v>
      </c>
      <c r="J394" s="25" t="str">
        <f>'Source Table'!$B$24</f>
        <v>G.I.T. Specialist</v>
      </c>
      <c r="K394" s="25" t="str">
        <f>'Source Table'!$I$24</f>
        <v>جهاز هضمي</v>
      </c>
      <c r="L394" s="39">
        <v>6</v>
      </c>
      <c r="M394">
        <v>2020</v>
      </c>
    </row>
    <row r="395" spans="1:13" ht="15">
      <c r="A395" t="s">
        <v>153</v>
      </c>
      <c r="B395" t="s">
        <v>154</v>
      </c>
      <c r="C395" s="15" t="s">
        <v>30</v>
      </c>
      <c r="D395" s="23" t="s">
        <v>81</v>
      </c>
      <c r="E395" s="25" t="s">
        <v>82</v>
      </c>
      <c r="F395" s="16" t="str">
        <f>'Source Table'!$E$6</f>
        <v>Private Sector</v>
      </c>
      <c r="G395" s="16" t="str">
        <f>'Source Table'!$E$5</f>
        <v>القطاع الخاص</v>
      </c>
      <c r="H395" t="str">
        <f>'Source Table'!$G$8</f>
        <v>Female</v>
      </c>
      <c r="I395" s="16" t="str">
        <f>'Source Table'!$G$7</f>
        <v>أنثى</v>
      </c>
      <c r="J395" s="25" t="str">
        <f>'Source Table'!$B$25</f>
        <v>Diagnostic Radiology</v>
      </c>
      <c r="K395" s="25" t="str">
        <f>'Source Table'!$I$25</f>
        <v>أشعة تشخيصية</v>
      </c>
      <c r="L395" s="39">
        <v>29</v>
      </c>
      <c r="M395">
        <v>2020</v>
      </c>
    </row>
    <row r="396" spans="1:13" ht="15">
      <c r="A396" t="s">
        <v>153</v>
      </c>
      <c r="B396" t="s">
        <v>154</v>
      </c>
      <c r="C396" s="15" t="s">
        <v>30</v>
      </c>
      <c r="D396" s="23" t="s">
        <v>81</v>
      </c>
      <c r="E396" s="25" t="s">
        <v>82</v>
      </c>
      <c r="F396" s="16" t="str">
        <f>'Source Table'!$E$6</f>
        <v>Private Sector</v>
      </c>
      <c r="G396" s="16" t="str">
        <f>'Source Table'!$E$5</f>
        <v>القطاع الخاص</v>
      </c>
      <c r="H396" t="str">
        <f>'Source Table'!$G$8</f>
        <v>Female</v>
      </c>
      <c r="I396" s="16" t="str">
        <f>'Source Table'!$G$7</f>
        <v>أنثى</v>
      </c>
      <c r="J396" s="25" t="str">
        <f>'Source Table'!$B$26</f>
        <v>Anesthetic</v>
      </c>
      <c r="K396" s="25" t="str">
        <f>'Source Table'!$I$26</f>
        <v>تخدير وإنعاش</v>
      </c>
      <c r="L396" s="39">
        <v>26</v>
      </c>
      <c r="M396">
        <v>2020</v>
      </c>
    </row>
    <row r="397" spans="1:13" ht="15">
      <c r="A397" t="s">
        <v>153</v>
      </c>
      <c r="B397" t="s">
        <v>154</v>
      </c>
      <c r="C397" s="15" t="s">
        <v>30</v>
      </c>
      <c r="D397" s="23" t="s">
        <v>81</v>
      </c>
      <c r="E397" s="25" t="s">
        <v>82</v>
      </c>
      <c r="F397" s="16" t="str">
        <f>'Source Table'!$E$6</f>
        <v>Private Sector</v>
      </c>
      <c r="G397" s="16" t="str">
        <f>'Source Table'!$E$5</f>
        <v>القطاع الخاص</v>
      </c>
      <c r="H397" t="str">
        <f>'Source Table'!$G$8</f>
        <v>Female</v>
      </c>
      <c r="I397" s="16" t="str">
        <f>'Source Table'!$G$7</f>
        <v>أنثى</v>
      </c>
      <c r="J397" s="25" t="str">
        <f>'Source Table'!$B$27</f>
        <v>Physiotherapist</v>
      </c>
      <c r="K397" s="25" t="str">
        <f>'Source Table'!$I$27</f>
        <v>طب طبيعي</v>
      </c>
      <c r="L397" s="39">
        <v>1</v>
      </c>
      <c r="M397">
        <v>2020</v>
      </c>
    </row>
    <row r="398" spans="1:13" ht="15">
      <c r="A398" t="s">
        <v>153</v>
      </c>
      <c r="B398" t="s">
        <v>154</v>
      </c>
      <c r="C398" s="15" t="s">
        <v>30</v>
      </c>
      <c r="D398" s="23" t="s">
        <v>81</v>
      </c>
      <c r="E398" s="25" t="s">
        <v>82</v>
      </c>
      <c r="F398" s="16" t="str">
        <f>'Source Table'!$E$6</f>
        <v>Private Sector</v>
      </c>
      <c r="G398" s="16" t="str">
        <f>'Source Table'!$E$5</f>
        <v>القطاع الخاص</v>
      </c>
      <c r="H398" t="str">
        <f>'Source Table'!$G$8</f>
        <v>Female</v>
      </c>
      <c r="I398" s="16" t="str">
        <f>'Source Table'!$G$7</f>
        <v>أنثى</v>
      </c>
      <c r="J398" s="25" t="str">
        <f>'Source Table'!$B$28</f>
        <v>Forensic</v>
      </c>
      <c r="K398" s="25" t="str">
        <f>'Source Table'!$I$28</f>
        <v>طب شرعي</v>
      </c>
      <c r="L398" s="39">
        <v>0</v>
      </c>
      <c r="M398">
        <v>2020</v>
      </c>
    </row>
    <row r="399" spans="1:13" ht="15">
      <c r="A399" t="s">
        <v>153</v>
      </c>
      <c r="B399" t="s">
        <v>154</v>
      </c>
      <c r="C399" s="15" t="s">
        <v>30</v>
      </c>
      <c r="D399" s="23" t="s">
        <v>81</v>
      </c>
      <c r="E399" s="25" t="s">
        <v>82</v>
      </c>
      <c r="F399" s="16" t="str">
        <f>'Source Table'!$E$6</f>
        <v>Private Sector</v>
      </c>
      <c r="G399" s="16" t="str">
        <f>'Source Table'!$E$5</f>
        <v>القطاع الخاص</v>
      </c>
      <c r="H399" t="str">
        <f>'Source Table'!$G$8</f>
        <v>Female</v>
      </c>
      <c r="I399" s="16" t="str">
        <f>'Source Table'!$G$7</f>
        <v>أنثى</v>
      </c>
      <c r="J399" s="25" t="str">
        <f>'Source Table'!$B$29</f>
        <v xml:space="preserve">Family </v>
      </c>
      <c r="K399" s="25" t="str">
        <f>'Source Table'!$I$29</f>
        <v>طب أسرة</v>
      </c>
      <c r="L399" s="39">
        <v>29</v>
      </c>
      <c r="M399">
        <v>2020</v>
      </c>
    </row>
    <row r="400" spans="1:13" ht="15">
      <c r="A400" t="s">
        <v>153</v>
      </c>
      <c r="B400" t="s">
        <v>154</v>
      </c>
      <c r="C400" s="15" t="s">
        <v>30</v>
      </c>
      <c r="D400" s="23" t="s">
        <v>81</v>
      </c>
      <c r="E400" s="25" t="s">
        <v>82</v>
      </c>
      <c r="F400" s="16" t="str">
        <f>'Source Table'!$E$6</f>
        <v>Private Sector</v>
      </c>
      <c r="G400" s="16" t="str">
        <f>'Source Table'!$E$5</f>
        <v>القطاع الخاص</v>
      </c>
      <c r="H400" t="str">
        <f>'Source Table'!$G$8</f>
        <v>Female</v>
      </c>
      <c r="I400" s="16" t="str">
        <f>'Source Table'!$G$7</f>
        <v>أنثى</v>
      </c>
      <c r="J400" s="25" t="str">
        <f>'Source Table'!$B$30</f>
        <v>Urologist</v>
      </c>
      <c r="K400" s="25" t="str">
        <f>'Source Table'!$I$30</f>
        <v xml:space="preserve">المسالك البولية </v>
      </c>
      <c r="L400" s="39">
        <v>2</v>
      </c>
      <c r="M400">
        <v>2020</v>
      </c>
    </row>
    <row r="401" spans="1:13" ht="15">
      <c r="A401" t="s">
        <v>153</v>
      </c>
      <c r="B401" t="s">
        <v>154</v>
      </c>
      <c r="C401" s="15" t="s">
        <v>30</v>
      </c>
      <c r="D401" s="23" t="s">
        <v>81</v>
      </c>
      <c r="E401" s="25" t="s">
        <v>82</v>
      </c>
      <c r="F401" s="16" t="str">
        <f>'Source Table'!$E$6</f>
        <v>Private Sector</v>
      </c>
      <c r="G401" s="16" t="str">
        <f>'Source Table'!$E$5</f>
        <v>القطاع الخاص</v>
      </c>
      <c r="H401" t="str">
        <f>'Source Table'!$G$8</f>
        <v>Female</v>
      </c>
      <c r="I401" s="16" t="str">
        <f>'Source Table'!$G$7</f>
        <v>أنثى</v>
      </c>
      <c r="J401" s="25" t="str">
        <f>'Source Table'!$B$31</f>
        <v>Cardiology</v>
      </c>
      <c r="K401" s="25" t="str">
        <f>'Source Table'!$I$31</f>
        <v>أمراض القلب</v>
      </c>
      <c r="L401" s="39">
        <v>5</v>
      </c>
      <c r="M401">
        <v>2020</v>
      </c>
    </row>
    <row r="402" spans="1:13" ht="15">
      <c r="A402" t="s">
        <v>153</v>
      </c>
      <c r="B402" t="s">
        <v>154</v>
      </c>
      <c r="C402" s="15" t="s">
        <v>30</v>
      </c>
      <c r="D402" s="23" t="s">
        <v>81</v>
      </c>
      <c r="E402" s="25" t="s">
        <v>82</v>
      </c>
      <c r="F402" s="16" t="str">
        <f>'Source Table'!$E$6</f>
        <v>Private Sector</v>
      </c>
      <c r="G402" s="16" t="str">
        <f>'Source Table'!$E$5</f>
        <v>القطاع الخاص</v>
      </c>
      <c r="H402" t="str">
        <f>'Source Table'!$G$8</f>
        <v>Female</v>
      </c>
      <c r="I402" s="16" t="str">
        <f>'Source Table'!$G$7</f>
        <v>أنثى</v>
      </c>
      <c r="J402" s="25" t="str">
        <f>'Source Table'!$B$32</f>
        <v>Laboratory</v>
      </c>
      <c r="K402" s="25" t="str">
        <f>'Source Table'!$I$32</f>
        <v>مختبرات</v>
      </c>
      <c r="L402" s="39">
        <v>1</v>
      </c>
      <c r="M402">
        <v>2020</v>
      </c>
    </row>
    <row r="403" spans="1:13" ht="15">
      <c r="A403" t="s">
        <v>153</v>
      </c>
      <c r="B403" t="s">
        <v>154</v>
      </c>
      <c r="C403" s="15" t="s">
        <v>30</v>
      </c>
      <c r="D403" s="23" t="s">
        <v>81</v>
      </c>
      <c r="E403" s="25" t="s">
        <v>82</v>
      </c>
      <c r="F403" s="16" t="str">
        <f>'Source Table'!$E$6</f>
        <v>Private Sector</v>
      </c>
      <c r="G403" s="16" t="str">
        <f>'Source Table'!$E$5</f>
        <v>القطاع الخاص</v>
      </c>
      <c r="H403" t="str">
        <f>'Source Table'!$G$8</f>
        <v>Female</v>
      </c>
      <c r="I403" s="16" t="str">
        <f>'Source Table'!$G$7</f>
        <v>أنثى</v>
      </c>
      <c r="J403" s="25" t="str">
        <f>'Source Table'!$B$33</f>
        <v>Others</v>
      </c>
      <c r="K403" s="25" t="str">
        <f>'Source Table'!$I$33</f>
        <v>أخرى</v>
      </c>
      <c r="L403" s="39">
        <v>40</v>
      </c>
      <c r="M403">
        <v>2020</v>
      </c>
    </row>
    <row r="404" spans="1:13" ht="15">
      <c r="A404" t="s">
        <v>153</v>
      </c>
      <c r="B404" t="s">
        <v>154</v>
      </c>
      <c r="C404" s="15" t="s">
        <v>30</v>
      </c>
      <c r="D404" s="23" t="s">
        <v>81</v>
      </c>
      <c r="E404" s="25" t="s">
        <v>82</v>
      </c>
      <c r="F404" t="str">
        <f>'Source Table'!$C$6</f>
        <v>Others</v>
      </c>
      <c r="G404" t="str">
        <f>'Source Table'!$C$5</f>
        <v>آخرون</v>
      </c>
      <c r="H404" t="str">
        <f>'Source Table'!$H$8</f>
        <v>Male</v>
      </c>
      <c r="I404" s="25" t="str">
        <f>'Source Table'!$H$7</f>
        <v>ذكر</v>
      </c>
      <c r="J404" s="25" t="str">
        <f>'Source Table'!$B$9</f>
        <v>General Practitioner</v>
      </c>
      <c r="K404" s="25" t="str">
        <f>'Source Table'!$I$9</f>
        <v>طبيب عام</v>
      </c>
      <c r="L404" s="39">
        <v>9575</v>
      </c>
      <c r="M404">
        <v>2020</v>
      </c>
    </row>
    <row r="405" spans="1:13" ht="15">
      <c r="A405" t="s">
        <v>153</v>
      </c>
      <c r="B405" t="s">
        <v>154</v>
      </c>
      <c r="C405" s="15" t="s">
        <v>30</v>
      </c>
      <c r="D405" s="23" t="s">
        <v>81</v>
      </c>
      <c r="E405" s="25" t="s">
        <v>82</v>
      </c>
      <c r="F405" t="str">
        <f>'Source Table'!$C$6</f>
        <v>Others</v>
      </c>
      <c r="G405" t="str">
        <f>'Source Table'!$C$5</f>
        <v>آخرون</v>
      </c>
      <c r="H405" t="str">
        <f>'Source Table'!$H$8</f>
        <v>Male</v>
      </c>
      <c r="I405" s="25" t="str">
        <f>'Source Table'!$H$7</f>
        <v>ذكر</v>
      </c>
      <c r="J405" s="25" t="str">
        <f>'Source Table'!$B$10</f>
        <v>Surgeon</v>
      </c>
      <c r="K405" s="25" t="str">
        <f>'Source Table'!$I$10</f>
        <v>جراحة عامة</v>
      </c>
      <c r="L405" s="39">
        <v>101</v>
      </c>
      <c r="M405">
        <v>2020</v>
      </c>
    </row>
    <row r="406" spans="1:13" ht="15">
      <c r="A406" t="s">
        <v>153</v>
      </c>
      <c r="B406" t="s">
        <v>154</v>
      </c>
      <c r="C406" s="15" t="s">
        <v>30</v>
      </c>
      <c r="D406" s="23" t="s">
        <v>81</v>
      </c>
      <c r="E406" s="25" t="s">
        <v>82</v>
      </c>
      <c r="F406" t="str">
        <f>'Source Table'!$C$6</f>
        <v>Others</v>
      </c>
      <c r="G406" t="str">
        <f>'Source Table'!$C$5</f>
        <v>آخرون</v>
      </c>
      <c r="H406" t="str">
        <f>'Source Table'!$H$8</f>
        <v>Male</v>
      </c>
      <c r="I406" s="25" t="str">
        <f>'Source Table'!$H$7</f>
        <v>ذكر</v>
      </c>
      <c r="J406" s="25" t="str">
        <f>'Source Table'!$B$11</f>
        <v>Internist</v>
      </c>
      <c r="K406" s="25" t="str">
        <f>'Source Table'!$I$11</f>
        <v>باطنية</v>
      </c>
      <c r="L406" s="39">
        <v>84</v>
      </c>
      <c r="M406">
        <v>2020</v>
      </c>
    </row>
    <row r="407" spans="1:13" ht="15">
      <c r="A407" t="s">
        <v>153</v>
      </c>
      <c r="B407" t="s">
        <v>154</v>
      </c>
      <c r="C407" s="15" t="s">
        <v>30</v>
      </c>
      <c r="D407" s="23" t="s">
        <v>81</v>
      </c>
      <c r="E407" s="25" t="s">
        <v>82</v>
      </c>
      <c r="F407" t="str">
        <f>'Source Table'!$C$6</f>
        <v>Others</v>
      </c>
      <c r="G407" t="str">
        <f>'Source Table'!$C$5</f>
        <v>آخرون</v>
      </c>
      <c r="H407" t="str">
        <f>'Source Table'!$H$8</f>
        <v>Male</v>
      </c>
      <c r="I407" s="25" t="str">
        <f>'Source Table'!$H$7</f>
        <v>ذكر</v>
      </c>
      <c r="J407" s="25" t="str">
        <f>'Source Table'!$B$12</f>
        <v>Gynecologist and Obst.</v>
      </c>
      <c r="K407" s="25" t="str">
        <f>'Source Table'!$I$12</f>
        <v>نسائية وتوليد</v>
      </c>
      <c r="L407" s="39">
        <v>70</v>
      </c>
      <c r="M407">
        <v>2020</v>
      </c>
    </row>
    <row r="408" spans="1:13" ht="15">
      <c r="A408" t="s">
        <v>153</v>
      </c>
      <c r="B408" t="s">
        <v>154</v>
      </c>
      <c r="C408" s="15" t="s">
        <v>30</v>
      </c>
      <c r="D408" s="23" t="s">
        <v>81</v>
      </c>
      <c r="E408" s="25" t="s">
        <v>82</v>
      </c>
      <c r="F408" t="str">
        <f>'Source Table'!$C$6</f>
        <v>Others</v>
      </c>
      <c r="G408" t="str">
        <f>'Source Table'!$C$5</f>
        <v>آخرون</v>
      </c>
      <c r="H408" t="str">
        <f>'Source Table'!$H$8</f>
        <v>Male</v>
      </c>
      <c r="I408" s="25" t="str">
        <f>'Source Table'!$H$7</f>
        <v>ذكر</v>
      </c>
      <c r="J408" s="25" t="str">
        <f>'Source Table'!$B$13</f>
        <v>Pediatrics</v>
      </c>
      <c r="K408" s="25" t="str">
        <f>'Source Table'!$I$13</f>
        <v>أطفال</v>
      </c>
      <c r="L408" s="39">
        <v>82</v>
      </c>
      <c r="M408">
        <v>2020</v>
      </c>
    </row>
    <row r="409" spans="1:13" ht="15">
      <c r="A409" t="s">
        <v>153</v>
      </c>
      <c r="B409" t="s">
        <v>154</v>
      </c>
      <c r="C409" s="15" t="s">
        <v>30</v>
      </c>
      <c r="D409" s="23" t="s">
        <v>81</v>
      </c>
      <c r="E409" s="25" t="s">
        <v>82</v>
      </c>
      <c r="F409" t="str">
        <f>'Source Table'!$C$6</f>
        <v>Others</v>
      </c>
      <c r="G409" t="str">
        <f>'Source Table'!$C$5</f>
        <v>آخرون</v>
      </c>
      <c r="H409" t="str">
        <f>'Source Table'!$H$8</f>
        <v>Male</v>
      </c>
      <c r="I409" s="25" t="str">
        <f>'Source Table'!$H$7</f>
        <v>ذكر</v>
      </c>
      <c r="J409" s="25" t="str">
        <f>'Source Table'!$B$14</f>
        <v>Ophthalmologist</v>
      </c>
      <c r="K409" s="25" t="str">
        <f>'Source Table'!$I$14</f>
        <v>العيون</v>
      </c>
      <c r="L409" s="39">
        <v>53</v>
      </c>
      <c r="M409">
        <v>2020</v>
      </c>
    </row>
    <row r="410" spans="1:13" ht="15">
      <c r="A410" t="s">
        <v>153</v>
      </c>
      <c r="B410" t="s">
        <v>154</v>
      </c>
      <c r="C410" s="15" t="s">
        <v>30</v>
      </c>
      <c r="D410" s="23" t="s">
        <v>81</v>
      </c>
      <c r="E410" s="25" t="s">
        <v>82</v>
      </c>
      <c r="F410" t="str">
        <f>'Source Table'!$C$6</f>
        <v>Others</v>
      </c>
      <c r="G410" t="str">
        <f>'Source Table'!$C$5</f>
        <v>آخرون</v>
      </c>
      <c r="H410" t="str">
        <f>'Source Table'!$H$8</f>
        <v>Male</v>
      </c>
      <c r="I410" s="25" t="str">
        <f>'Source Table'!$H$7</f>
        <v>ذكر</v>
      </c>
      <c r="J410" s="25" t="str">
        <f>'Source Table'!$B$15</f>
        <v>Orthopedic Surg.</v>
      </c>
      <c r="K410" s="25" t="str">
        <f>'Source Table'!$I$15</f>
        <v>العظام</v>
      </c>
      <c r="L410" s="39">
        <v>59</v>
      </c>
      <c r="M410">
        <v>2020</v>
      </c>
    </row>
    <row r="411" spans="1:13" ht="15">
      <c r="A411" t="s">
        <v>153</v>
      </c>
      <c r="B411" t="s">
        <v>154</v>
      </c>
      <c r="C411" s="15" t="s">
        <v>30</v>
      </c>
      <c r="D411" s="23" t="s">
        <v>81</v>
      </c>
      <c r="E411" s="25" t="s">
        <v>82</v>
      </c>
      <c r="F411" t="str">
        <f>'Source Table'!$C$6</f>
        <v>Others</v>
      </c>
      <c r="G411" t="str">
        <f>'Source Table'!$C$5</f>
        <v>آخرون</v>
      </c>
      <c r="H411" t="str">
        <f>'Source Table'!$H$8</f>
        <v>Male</v>
      </c>
      <c r="I411" s="25" t="str">
        <f>'Source Table'!$H$7</f>
        <v>ذكر</v>
      </c>
      <c r="J411" s="25" t="str">
        <f>'Source Table'!$B$16</f>
        <v>E.N.T.Surg.</v>
      </c>
      <c r="K411" s="25" t="str">
        <f>'Source Table'!$I$16</f>
        <v>أذن وأنف وحنجرة</v>
      </c>
      <c r="L411" s="39">
        <v>35</v>
      </c>
      <c r="M411">
        <v>2020</v>
      </c>
    </row>
    <row r="412" spans="1:13" ht="15">
      <c r="A412" t="s">
        <v>153</v>
      </c>
      <c r="B412" t="s">
        <v>154</v>
      </c>
      <c r="C412" s="15" t="s">
        <v>30</v>
      </c>
      <c r="D412" s="23" t="s">
        <v>81</v>
      </c>
      <c r="E412" s="25" t="s">
        <v>82</v>
      </c>
      <c r="F412" t="str">
        <f>'Source Table'!$C$6</f>
        <v>Others</v>
      </c>
      <c r="G412" t="str">
        <f>'Source Table'!$C$5</f>
        <v>آخرون</v>
      </c>
      <c r="H412" t="str">
        <f>'Source Table'!$H$8</f>
        <v>Male</v>
      </c>
      <c r="I412" s="25" t="str">
        <f>'Source Table'!$H$7</f>
        <v>ذكر</v>
      </c>
      <c r="J412" s="25" t="str">
        <f>'Source Table'!$B$17</f>
        <v>Neurosurgery</v>
      </c>
      <c r="K412" s="25" t="str">
        <f>'Source Table'!$I$17</f>
        <v>جراحةأعصاب</v>
      </c>
      <c r="L412" s="39">
        <v>19</v>
      </c>
      <c r="M412">
        <v>2020</v>
      </c>
    </row>
    <row r="413" spans="1:13" ht="15">
      <c r="A413" t="s">
        <v>153</v>
      </c>
      <c r="B413" t="s">
        <v>154</v>
      </c>
      <c r="C413" s="15" t="s">
        <v>30</v>
      </c>
      <c r="D413" s="23" t="s">
        <v>81</v>
      </c>
      <c r="E413" s="25" t="s">
        <v>82</v>
      </c>
      <c r="F413" t="str">
        <f>'Source Table'!$C$6</f>
        <v>Others</v>
      </c>
      <c r="G413" t="str">
        <f>'Source Table'!$C$5</f>
        <v>آخرون</v>
      </c>
      <c r="H413" t="str">
        <f>'Source Table'!$H$8</f>
        <v>Male</v>
      </c>
      <c r="I413" s="25" t="str">
        <f>'Source Table'!$H$7</f>
        <v>ذكر</v>
      </c>
      <c r="J413" s="25" t="str">
        <f>'Source Table'!$B$18</f>
        <v>Cardiothoracic</v>
      </c>
      <c r="K413" s="25" t="str">
        <f>'Source Table'!$I$18</f>
        <v>جراحة قلب</v>
      </c>
      <c r="L413" s="39">
        <v>5</v>
      </c>
      <c r="M413">
        <v>2020</v>
      </c>
    </row>
    <row r="414" spans="1:13" ht="15">
      <c r="A414" t="s">
        <v>153</v>
      </c>
      <c r="B414" t="s">
        <v>154</v>
      </c>
      <c r="C414" s="15" t="s">
        <v>30</v>
      </c>
      <c r="D414" s="23" t="s">
        <v>81</v>
      </c>
      <c r="E414" s="25" t="s">
        <v>82</v>
      </c>
      <c r="F414" t="str">
        <f>'Source Table'!$C$6</f>
        <v>Others</v>
      </c>
      <c r="G414" t="str">
        <f>'Source Table'!$C$5</f>
        <v>آخرون</v>
      </c>
      <c r="H414" t="str">
        <f>'Source Table'!$H$8</f>
        <v>Male</v>
      </c>
      <c r="I414" s="25" t="str">
        <f>'Source Table'!$H$7</f>
        <v>ذكر</v>
      </c>
      <c r="J414" s="25" t="str">
        <f>'Source Table'!$B$19</f>
        <v>Plastic Surgeon</v>
      </c>
      <c r="K414" s="25" t="str">
        <f>'Source Table'!$I$19</f>
        <v>التجميل</v>
      </c>
      <c r="L414" s="39">
        <v>4</v>
      </c>
      <c r="M414">
        <v>2020</v>
      </c>
    </row>
    <row r="415" spans="1:13" ht="15">
      <c r="A415" t="s">
        <v>153</v>
      </c>
      <c r="B415" t="s">
        <v>154</v>
      </c>
      <c r="C415" s="15" t="s">
        <v>30</v>
      </c>
      <c r="D415" s="23" t="s">
        <v>81</v>
      </c>
      <c r="E415" s="25" t="s">
        <v>82</v>
      </c>
      <c r="F415" t="str">
        <f>'Source Table'!$C$6</f>
        <v>Others</v>
      </c>
      <c r="G415" t="str">
        <f>'Source Table'!$C$5</f>
        <v>آخرون</v>
      </c>
      <c r="H415" t="str">
        <f>'Source Table'!$H$8</f>
        <v>Male</v>
      </c>
      <c r="I415" s="25" t="str">
        <f>'Source Table'!$H$7</f>
        <v>ذكر</v>
      </c>
      <c r="J415" s="25" t="str">
        <f>'Source Table'!$B$20</f>
        <v>Psychiatry</v>
      </c>
      <c r="K415" s="25" t="str">
        <f>'Source Table'!$I$20</f>
        <v>النفسية</v>
      </c>
      <c r="L415" s="39">
        <v>14</v>
      </c>
      <c r="M415">
        <v>2020</v>
      </c>
    </row>
    <row r="416" spans="1:13" ht="15">
      <c r="A416" t="s">
        <v>153</v>
      </c>
      <c r="B416" t="s">
        <v>154</v>
      </c>
      <c r="C416" s="15" t="s">
        <v>30</v>
      </c>
      <c r="D416" s="23" t="s">
        <v>81</v>
      </c>
      <c r="E416" s="25" t="s">
        <v>82</v>
      </c>
      <c r="F416" t="str">
        <f>'Source Table'!$C$6</f>
        <v>Others</v>
      </c>
      <c r="G416" t="str">
        <f>'Source Table'!$C$5</f>
        <v>آخرون</v>
      </c>
      <c r="H416" t="str">
        <f>'Source Table'!$H$8</f>
        <v>Male</v>
      </c>
      <c r="I416" s="25" t="str">
        <f>'Source Table'!$H$7</f>
        <v>ذكر</v>
      </c>
      <c r="J416" s="25" t="str">
        <f>'Source Table'!$B$21</f>
        <v>Dermatologist Venereal</v>
      </c>
      <c r="K416" s="25" t="str">
        <f>'Source Table'!$I$21</f>
        <v>جلدية وتناسلية</v>
      </c>
      <c r="L416" s="39">
        <v>28</v>
      </c>
      <c r="M416">
        <v>2020</v>
      </c>
    </row>
    <row r="417" spans="1:13" ht="15">
      <c r="A417" t="s">
        <v>153</v>
      </c>
      <c r="B417" t="s">
        <v>154</v>
      </c>
      <c r="C417" s="15" t="s">
        <v>30</v>
      </c>
      <c r="D417" s="23" t="s">
        <v>81</v>
      </c>
      <c r="E417" s="25" t="s">
        <v>82</v>
      </c>
      <c r="F417" t="str">
        <f>'Source Table'!$C$6</f>
        <v>Others</v>
      </c>
      <c r="G417" t="str">
        <f>'Source Table'!$C$5</f>
        <v>آخرون</v>
      </c>
      <c r="H417" t="str">
        <f>'Source Table'!$H$8</f>
        <v>Male</v>
      </c>
      <c r="I417" s="25" t="str">
        <f>'Source Table'!$H$7</f>
        <v>ذكر</v>
      </c>
      <c r="J417" s="25" t="str">
        <f>'Source Table'!$B$22</f>
        <v>Neurology/ Nervous</v>
      </c>
      <c r="K417" s="25" t="str">
        <f>'Source Table'!$I$22</f>
        <v>مرض الأعصاب</v>
      </c>
      <c r="L417" s="39">
        <v>8</v>
      </c>
      <c r="M417">
        <v>2020</v>
      </c>
    </row>
    <row r="418" spans="1:13" ht="15">
      <c r="A418" t="s">
        <v>153</v>
      </c>
      <c r="B418" t="s">
        <v>154</v>
      </c>
      <c r="C418" s="15" t="s">
        <v>30</v>
      </c>
      <c r="D418" s="23" t="s">
        <v>81</v>
      </c>
      <c r="E418" s="25" t="s">
        <v>82</v>
      </c>
      <c r="F418" t="str">
        <f>'Source Table'!$C$6</f>
        <v>Others</v>
      </c>
      <c r="G418" t="str">
        <f>'Source Table'!$C$5</f>
        <v>آخرون</v>
      </c>
      <c r="H418" t="str">
        <f>'Source Table'!$H$8</f>
        <v>Male</v>
      </c>
      <c r="I418" s="25" t="str">
        <f>'Source Table'!$H$7</f>
        <v>ذكر</v>
      </c>
      <c r="J418" s="25" t="str">
        <f>'Source Table'!$B$23</f>
        <v>Pumologist</v>
      </c>
      <c r="K418" s="25" t="str">
        <f>'Source Table'!$I$23</f>
        <v>صدرية</v>
      </c>
      <c r="L418" s="39">
        <v>6</v>
      </c>
      <c r="M418">
        <v>2020</v>
      </c>
    </row>
    <row r="419" spans="1:13" ht="15">
      <c r="A419" t="s">
        <v>153</v>
      </c>
      <c r="B419" t="s">
        <v>154</v>
      </c>
      <c r="C419" s="15" t="s">
        <v>30</v>
      </c>
      <c r="D419" s="23" t="s">
        <v>81</v>
      </c>
      <c r="E419" s="25" t="s">
        <v>82</v>
      </c>
      <c r="F419" t="str">
        <f>'Source Table'!$C$6</f>
        <v>Others</v>
      </c>
      <c r="G419" t="str">
        <f>'Source Table'!$C$5</f>
        <v>آخرون</v>
      </c>
      <c r="H419" t="str">
        <f>'Source Table'!$H$8</f>
        <v>Male</v>
      </c>
      <c r="I419" s="25" t="str">
        <f>'Source Table'!$H$7</f>
        <v>ذكر</v>
      </c>
      <c r="J419" s="25" t="str">
        <f>'Source Table'!$B$24</f>
        <v>G.I.T. Specialist</v>
      </c>
      <c r="K419" s="25" t="str">
        <f>'Source Table'!$I$24</f>
        <v>جهاز هضمي</v>
      </c>
      <c r="L419" s="39">
        <v>5</v>
      </c>
      <c r="M419">
        <v>2020</v>
      </c>
    </row>
    <row r="420" spans="1:13" ht="15">
      <c r="A420" t="s">
        <v>153</v>
      </c>
      <c r="B420" t="s">
        <v>154</v>
      </c>
      <c r="C420" s="15" t="s">
        <v>30</v>
      </c>
      <c r="D420" s="23" t="s">
        <v>81</v>
      </c>
      <c r="E420" s="25" t="s">
        <v>82</v>
      </c>
      <c r="F420" t="str">
        <f>'Source Table'!$C$6</f>
        <v>Others</v>
      </c>
      <c r="G420" t="str">
        <f>'Source Table'!$C$5</f>
        <v>آخرون</v>
      </c>
      <c r="H420" t="str">
        <f>'Source Table'!$H$8</f>
        <v>Male</v>
      </c>
      <c r="I420" s="25" t="str">
        <f>'Source Table'!$H$7</f>
        <v>ذكر</v>
      </c>
      <c r="J420" s="25" t="str">
        <f>'Source Table'!$B$25</f>
        <v>Diagnostic Radiology</v>
      </c>
      <c r="K420" s="25" t="str">
        <f>'Source Table'!$I$25</f>
        <v>أشعة تشخيصية</v>
      </c>
      <c r="L420" s="39">
        <v>49</v>
      </c>
      <c r="M420">
        <v>2020</v>
      </c>
    </row>
    <row r="421" spans="1:13" ht="15">
      <c r="A421" t="s">
        <v>153</v>
      </c>
      <c r="B421" t="s">
        <v>154</v>
      </c>
      <c r="C421" s="15" t="s">
        <v>30</v>
      </c>
      <c r="D421" s="23" t="s">
        <v>81</v>
      </c>
      <c r="E421" s="25" t="s">
        <v>82</v>
      </c>
      <c r="F421" t="str">
        <f>'Source Table'!$C$6</f>
        <v>Others</v>
      </c>
      <c r="G421" t="str">
        <f>'Source Table'!$C$5</f>
        <v>آخرون</v>
      </c>
      <c r="H421" t="str">
        <f>'Source Table'!$H$8</f>
        <v>Male</v>
      </c>
      <c r="I421" s="25" t="str">
        <f>'Source Table'!$H$7</f>
        <v>ذكر</v>
      </c>
      <c r="J421" s="25" t="str">
        <f>'Source Table'!$B$26</f>
        <v>Anesthetic</v>
      </c>
      <c r="K421" s="25" t="str">
        <f>'Source Table'!$I$26</f>
        <v>تخدير وإنعاش</v>
      </c>
      <c r="L421" s="39">
        <v>66</v>
      </c>
      <c r="M421">
        <v>2020</v>
      </c>
    </row>
    <row r="422" spans="1:13" ht="15">
      <c r="A422" t="s">
        <v>153</v>
      </c>
      <c r="B422" t="s">
        <v>154</v>
      </c>
      <c r="C422" s="15" t="s">
        <v>30</v>
      </c>
      <c r="D422" s="23" t="s">
        <v>81</v>
      </c>
      <c r="E422" s="25" t="s">
        <v>82</v>
      </c>
      <c r="F422" t="str">
        <f>'Source Table'!$C$6</f>
        <v>Others</v>
      </c>
      <c r="G422" t="str">
        <f>'Source Table'!$C$5</f>
        <v>آخرون</v>
      </c>
      <c r="H422" t="str">
        <f>'Source Table'!$H$8</f>
        <v>Male</v>
      </c>
      <c r="I422" s="25" t="str">
        <f>'Source Table'!$H$7</f>
        <v>ذكر</v>
      </c>
      <c r="J422" s="25" t="str">
        <f>'Source Table'!$B$27</f>
        <v>Physiotherapist</v>
      </c>
      <c r="K422" s="25" t="str">
        <f>'Source Table'!$I$27</f>
        <v>طب طبيعي</v>
      </c>
      <c r="L422" s="39">
        <v>4</v>
      </c>
      <c r="M422">
        <v>2020</v>
      </c>
    </row>
    <row r="423" spans="1:13" ht="15">
      <c r="A423" t="s">
        <v>153</v>
      </c>
      <c r="B423" t="s">
        <v>154</v>
      </c>
      <c r="C423" s="15" t="s">
        <v>30</v>
      </c>
      <c r="D423" s="23" t="s">
        <v>81</v>
      </c>
      <c r="E423" s="25" t="s">
        <v>82</v>
      </c>
      <c r="F423" t="str">
        <f>'Source Table'!$C$6</f>
        <v>Others</v>
      </c>
      <c r="G423" t="str">
        <f>'Source Table'!$C$5</f>
        <v>آخرون</v>
      </c>
      <c r="H423" t="str">
        <f>'Source Table'!$H$8</f>
        <v>Male</v>
      </c>
      <c r="I423" s="25" t="str">
        <f>'Source Table'!$H$7</f>
        <v>ذكر</v>
      </c>
      <c r="J423" s="25" t="str">
        <f>'Source Table'!$B$28</f>
        <v>Forensic</v>
      </c>
      <c r="K423" s="25" t="str">
        <f>'Source Table'!$I$28</f>
        <v>طب شرعي</v>
      </c>
      <c r="L423" s="39">
        <v>3</v>
      </c>
      <c r="M423">
        <v>2020</v>
      </c>
    </row>
    <row r="424" spans="1:13" ht="15">
      <c r="A424" t="s">
        <v>153</v>
      </c>
      <c r="B424" t="s">
        <v>154</v>
      </c>
      <c r="C424" s="15" t="s">
        <v>30</v>
      </c>
      <c r="D424" s="23" t="s">
        <v>81</v>
      </c>
      <c r="E424" s="25" t="s">
        <v>82</v>
      </c>
      <c r="F424" t="str">
        <f>'Source Table'!$C$6</f>
        <v>Others</v>
      </c>
      <c r="G424" t="str">
        <f>'Source Table'!$C$5</f>
        <v>آخرون</v>
      </c>
      <c r="H424" t="str">
        <f>'Source Table'!$H$8</f>
        <v>Male</v>
      </c>
      <c r="I424" s="25" t="str">
        <f>'Source Table'!$H$7</f>
        <v>ذكر</v>
      </c>
      <c r="J424" s="25" t="str">
        <f>'Source Table'!$B$29</f>
        <v xml:space="preserve">Family </v>
      </c>
      <c r="K424" s="25" t="str">
        <f>'Source Table'!$I$29</f>
        <v>طب أسرة</v>
      </c>
      <c r="L424" s="39">
        <v>17</v>
      </c>
      <c r="M424">
        <v>2020</v>
      </c>
    </row>
    <row r="425" spans="1:13" ht="15">
      <c r="A425" t="s">
        <v>153</v>
      </c>
      <c r="B425" t="s">
        <v>154</v>
      </c>
      <c r="C425" s="15" t="s">
        <v>30</v>
      </c>
      <c r="D425" s="23" t="s">
        <v>81</v>
      </c>
      <c r="E425" s="25" t="s">
        <v>82</v>
      </c>
      <c r="F425" t="str">
        <f>'Source Table'!$C$6</f>
        <v>Others</v>
      </c>
      <c r="G425" t="str">
        <f>'Source Table'!$C$5</f>
        <v>آخرون</v>
      </c>
      <c r="H425" t="str">
        <f>'Source Table'!$H$8</f>
        <v>Male</v>
      </c>
      <c r="I425" s="25" t="str">
        <f>'Source Table'!$H$7</f>
        <v>ذكر</v>
      </c>
      <c r="J425" s="25" t="str">
        <f>'Source Table'!$B$30</f>
        <v>Urologist</v>
      </c>
      <c r="K425" s="25" t="str">
        <f>'Source Table'!$I$30</f>
        <v xml:space="preserve">المسالك البولية </v>
      </c>
      <c r="L425" s="39">
        <v>33</v>
      </c>
      <c r="M425">
        <v>2020</v>
      </c>
    </row>
    <row r="426" spans="1:13" ht="15">
      <c r="A426" t="s">
        <v>153</v>
      </c>
      <c r="B426" t="s">
        <v>154</v>
      </c>
      <c r="C426" s="15" t="s">
        <v>30</v>
      </c>
      <c r="D426" s="23" t="s">
        <v>81</v>
      </c>
      <c r="E426" s="25" t="s">
        <v>82</v>
      </c>
      <c r="F426" t="str">
        <f>'Source Table'!$C$6</f>
        <v>Others</v>
      </c>
      <c r="G426" t="str">
        <f>'Source Table'!$C$5</f>
        <v>آخرون</v>
      </c>
      <c r="H426" t="str">
        <f>'Source Table'!$H$8</f>
        <v>Male</v>
      </c>
      <c r="I426" s="25" t="str">
        <f>'Source Table'!$H$7</f>
        <v>ذكر</v>
      </c>
      <c r="J426" s="25" t="str">
        <f>'Source Table'!$B$31</f>
        <v>Cardiology</v>
      </c>
      <c r="K426" s="25" t="str">
        <f>'Source Table'!$I$31</f>
        <v>أمراض القلب</v>
      </c>
      <c r="L426" s="39">
        <v>19</v>
      </c>
      <c r="M426">
        <v>2020</v>
      </c>
    </row>
    <row r="427" spans="1:13" ht="15">
      <c r="A427" t="s">
        <v>153</v>
      </c>
      <c r="B427" t="s">
        <v>154</v>
      </c>
      <c r="C427" s="15" t="s">
        <v>30</v>
      </c>
      <c r="D427" s="23" t="s">
        <v>81</v>
      </c>
      <c r="E427" s="25" t="s">
        <v>82</v>
      </c>
      <c r="F427" t="str">
        <f>'Source Table'!$C$6</f>
        <v>Others</v>
      </c>
      <c r="G427" t="str">
        <f>'Source Table'!$C$5</f>
        <v>آخرون</v>
      </c>
      <c r="H427" t="str">
        <f>'Source Table'!$H$8</f>
        <v>Male</v>
      </c>
      <c r="I427" s="25" t="str">
        <f>'Source Table'!$H$7</f>
        <v>ذكر</v>
      </c>
      <c r="J427" s="25" t="str">
        <f>'Source Table'!$B$32</f>
        <v>Laboratory</v>
      </c>
      <c r="K427" s="25" t="str">
        <f>'Source Table'!$I$32</f>
        <v>مختبرات</v>
      </c>
      <c r="L427" s="39">
        <v>7</v>
      </c>
      <c r="M427">
        <v>2020</v>
      </c>
    </row>
    <row r="428" spans="1:13" ht="15">
      <c r="A428" t="s">
        <v>153</v>
      </c>
      <c r="B428" t="s">
        <v>154</v>
      </c>
      <c r="C428" s="15" t="s">
        <v>30</v>
      </c>
      <c r="D428" s="23" t="s">
        <v>81</v>
      </c>
      <c r="E428" s="25" t="s">
        <v>82</v>
      </c>
      <c r="F428" t="str">
        <f>'Source Table'!$C$6</f>
        <v>Others</v>
      </c>
      <c r="G428" t="str">
        <f>'Source Table'!$C$5</f>
        <v>آخرون</v>
      </c>
      <c r="H428" t="str">
        <f>'Source Table'!$H$8</f>
        <v>Male</v>
      </c>
      <c r="I428" s="25" t="str">
        <f>'Source Table'!$H$7</f>
        <v>ذكر</v>
      </c>
      <c r="J428" s="25" t="str">
        <f>'Source Table'!$B$33</f>
        <v>Others</v>
      </c>
      <c r="K428" s="25" t="str">
        <f>'Source Table'!$I$33</f>
        <v>أخرى</v>
      </c>
      <c r="L428" s="39">
        <v>72</v>
      </c>
      <c r="M428">
        <v>2020</v>
      </c>
    </row>
    <row r="429" spans="1:13" ht="15">
      <c r="A429" t="s">
        <v>153</v>
      </c>
      <c r="B429" t="s">
        <v>154</v>
      </c>
      <c r="C429" s="15" t="s">
        <v>30</v>
      </c>
      <c r="D429" s="23" t="s">
        <v>81</v>
      </c>
      <c r="E429" s="25" t="s">
        <v>82</v>
      </c>
      <c r="F429" t="str">
        <f>'Source Table'!$C$6</f>
        <v>Others</v>
      </c>
      <c r="G429" t="str">
        <f>'Source Table'!$C$5</f>
        <v>آخرون</v>
      </c>
      <c r="H429" t="str">
        <f>'Source Table'!$G$8</f>
        <v>Female</v>
      </c>
      <c r="I429" s="16" t="str">
        <f>'Source Table'!$G$7</f>
        <v>أنثى</v>
      </c>
      <c r="J429" s="25" t="str">
        <f>'Source Table'!$B$9</f>
        <v>General Practitioner</v>
      </c>
      <c r="K429" s="25" t="str">
        <f>'Source Table'!$I$9</f>
        <v>طبيب عام</v>
      </c>
      <c r="L429" s="39">
        <v>3275</v>
      </c>
      <c r="M429">
        <v>2020</v>
      </c>
    </row>
    <row r="430" spans="1:13" ht="15">
      <c r="A430" t="s">
        <v>153</v>
      </c>
      <c r="B430" t="s">
        <v>154</v>
      </c>
      <c r="C430" s="15" t="s">
        <v>30</v>
      </c>
      <c r="D430" s="23" t="s">
        <v>81</v>
      </c>
      <c r="E430" s="25" t="s">
        <v>82</v>
      </c>
      <c r="F430" t="str">
        <f>'Source Table'!$C$6</f>
        <v>Others</v>
      </c>
      <c r="G430" t="str">
        <f>'Source Table'!$C$5</f>
        <v>آخرون</v>
      </c>
      <c r="H430" t="str">
        <f>'Source Table'!$G$8</f>
        <v>Female</v>
      </c>
      <c r="I430" s="16" t="str">
        <f>'Source Table'!$G$7</f>
        <v>أنثى</v>
      </c>
      <c r="J430" s="25" t="str">
        <f>'Source Table'!$B$10</f>
        <v>Surgeon</v>
      </c>
      <c r="K430" s="25" t="str">
        <f>'Source Table'!$I$10</f>
        <v>جراحة عامة</v>
      </c>
      <c r="L430" s="40">
        <v>11</v>
      </c>
      <c r="M430">
        <v>2020</v>
      </c>
    </row>
    <row r="431" spans="1:13" ht="15">
      <c r="A431" t="s">
        <v>153</v>
      </c>
      <c r="B431" t="s">
        <v>154</v>
      </c>
      <c r="C431" s="15" t="s">
        <v>30</v>
      </c>
      <c r="D431" s="23" t="s">
        <v>81</v>
      </c>
      <c r="E431" s="25" t="s">
        <v>82</v>
      </c>
      <c r="F431" t="str">
        <f>'Source Table'!$C$6</f>
        <v>Others</v>
      </c>
      <c r="G431" t="str">
        <f>'Source Table'!$C$5</f>
        <v>آخرون</v>
      </c>
      <c r="H431" t="str">
        <f>'Source Table'!$G$8</f>
        <v>Female</v>
      </c>
      <c r="I431" s="16" t="str">
        <f>'Source Table'!$G$7</f>
        <v>أنثى</v>
      </c>
      <c r="J431" s="25" t="str">
        <f>'Source Table'!$B$11</f>
        <v>Internist</v>
      </c>
      <c r="K431" s="25" t="str">
        <f>'Source Table'!$I$11</f>
        <v>باطنية</v>
      </c>
      <c r="L431" s="40">
        <v>48</v>
      </c>
      <c r="M431">
        <v>2020</v>
      </c>
    </row>
    <row r="432" spans="1:13" ht="15">
      <c r="A432" t="s">
        <v>153</v>
      </c>
      <c r="B432" t="s">
        <v>154</v>
      </c>
      <c r="C432" s="15" t="s">
        <v>30</v>
      </c>
      <c r="D432" s="23" t="s">
        <v>81</v>
      </c>
      <c r="E432" s="25" t="s">
        <v>82</v>
      </c>
      <c r="F432" t="str">
        <f>'Source Table'!$C$6</f>
        <v>Others</v>
      </c>
      <c r="G432" t="str">
        <f>'Source Table'!$C$5</f>
        <v>آخرون</v>
      </c>
      <c r="H432" t="str">
        <f>'Source Table'!$G$8</f>
        <v>Female</v>
      </c>
      <c r="I432" s="16" t="str">
        <f>'Source Table'!$G$7</f>
        <v>أنثى</v>
      </c>
      <c r="J432" s="25" t="str">
        <f>'Source Table'!$B$12</f>
        <v>Gynecologist and Obst.</v>
      </c>
      <c r="K432" s="25" t="str">
        <f>'Source Table'!$I$12</f>
        <v>نسائية وتوليد</v>
      </c>
      <c r="L432" s="40">
        <v>91</v>
      </c>
      <c r="M432">
        <v>2020</v>
      </c>
    </row>
    <row r="433" spans="1:13" ht="15">
      <c r="A433" t="s">
        <v>153</v>
      </c>
      <c r="B433" t="s">
        <v>154</v>
      </c>
      <c r="C433" s="15" t="s">
        <v>30</v>
      </c>
      <c r="D433" s="23" t="s">
        <v>81</v>
      </c>
      <c r="E433" s="25" t="s">
        <v>82</v>
      </c>
      <c r="F433" t="str">
        <f>'Source Table'!$C$6</f>
        <v>Others</v>
      </c>
      <c r="G433" t="str">
        <f>'Source Table'!$C$5</f>
        <v>آخرون</v>
      </c>
      <c r="H433" t="str">
        <f>'Source Table'!$G$8</f>
        <v>Female</v>
      </c>
      <c r="I433" s="16" t="str">
        <f>'Source Table'!$G$7</f>
        <v>أنثى</v>
      </c>
      <c r="J433" s="25" t="str">
        <f>'Source Table'!$B$13</f>
        <v>Pediatrics</v>
      </c>
      <c r="K433" s="25" t="str">
        <f>'Source Table'!$I$13</f>
        <v>أطفال</v>
      </c>
      <c r="L433" s="40">
        <v>82</v>
      </c>
      <c r="M433">
        <v>2020</v>
      </c>
    </row>
    <row r="434" spans="1:13" ht="15">
      <c r="A434" t="s">
        <v>153</v>
      </c>
      <c r="B434" t="s">
        <v>154</v>
      </c>
      <c r="C434" s="15" t="s">
        <v>30</v>
      </c>
      <c r="D434" s="23" t="s">
        <v>81</v>
      </c>
      <c r="E434" s="25" t="s">
        <v>82</v>
      </c>
      <c r="F434" t="str">
        <f>'Source Table'!$C$6</f>
        <v>Others</v>
      </c>
      <c r="G434" t="str">
        <f>'Source Table'!$C$5</f>
        <v>آخرون</v>
      </c>
      <c r="H434" t="str">
        <f>'Source Table'!$G$8</f>
        <v>Female</v>
      </c>
      <c r="I434" s="16" t="str">
        <f>'Source Table'!$G$7</f>
        <v>أنثى</v>
      </c>
      <c r="J434" s="25" t="str">
        <f>'Source Table'!$B$14</f>
        <v>Ophthalmologist</v>
      </c>
      <c r="K434" s="25" t="str">
        <f>'Source Table'!$I$14</f>
        <v>العيون</v>
      </c>
      <c r="L434" s="40">
        <v>23</v>
      </c>
      <c r="M434">
        <v>2020</v>
      </c>
    </row>
    <row r="435" spans="1:13" ht="15">
      <c r="A435" t="s">
        <v>153</v>
      </c>
      <c r="B435" t="s">
        <v>154</v>
      </c>
      <c r="C435" s="15" t="s">
        <v>30</v>
      </c>
      <c r="D435" s="23" t="s">
        <v>81</v>
      </c>
      <c r="E435" s="25" t="s">
        <v>82</v>
      </c>
      <c r="F435" t="str">
        <f>'Source Table'!$C$6</f>
        <v>Others</v>
      </c>
      <c r="G435" t="str">
        <f>'Source Table'!$C$5</f>
        <v>آخرون</v>
      </c>
      <c r="H435" t="str">
        <f>'Source Table'!$G$8</f>
        <v>Female</v>
      </c>
      <c r="I435" s="16" t="str">
        <f>'Source Table'!$G$7</f>
        <v>أنثى</v>
      </c>
      <c r="J435" s="25" t="str">
        <f>'Source Table'!$B$15</f>
        <v>Orthopedic Surg.</v>
      </c>
      <c r="K435" s="25" t="str">
        <f>'Source Table'!$I$15</f>
        <v>العظام</v>
      </c>
      <c r="L435" s="40">
        <v>0</v>
      </c>
      <c r="M435">
        <v>2020</v>
      </c>
    </row>
    <row r="436" spans="1:13" ht="15">
      <c r="A436" t="s">
        <v>153</v>
      </c>
      <c r="B436" t="s">
        <v>154</v>
      </c>
      <c r="C436" s="15" t="s">
        <v>30</v>
      </c>
      <c r="D436" s="23" t="s">
        <v>81</v>
      </c>
      <c r="E436" s="25" t="s">
        <v>82</v>
      </c>
      <c r="F436" t="str">
        <f>'Source Table'!$C$6</f>
        <v>Others</v>
      </c>
      <c r="G436" t="str">
        <f>'Source Table'!$C$5</f>
        <v>آخرون</v>
      </c>
      <c r="H436" t="str">
        <f>'Source Table'!$G$8</f>
        <v>Female</v>
      </c>
      <c r="I436" s="16" t="str">
        <f>'Source Table'!$G$7</f>
        <v>أنثى</v>
      </c>
      <c r="J436" s="25" t="str">
        <f>'Source Table'!$B$16</f>
        <v>E.N.T.Surg.</v>
      </c>
      <c r="K436" s="25" t="str">
        <f>'Source Table'!$I$16</f>
        <v>أذن وأنف وحنجرة</v>
      </c>
      <c r="L436" s="40">
        <v>5</v>
      </c>
      <c r="M436">
        <v>2020</v>
      </c>
    </row>
    <row r="437" spans="1:13" ht="15">
      <c r="A437" t="s">
        <v>153</v>
      </c>
      <c r="B437" t="s">
        <v>154</v>
      </c>
      <c r="C437" s="15" t="s">
        <v>30</v>
      </c>
      <c r="D437" s="23" t="s">
        <v>81</v>
      </c>
      <c r="E437" s="25" t="s">
        <v>82</v>
      </c>
      <c r="F437" t="str">
        <f>'Source Table'!$C$6</f>
        <v>Others</v>
      </c>
      <c r="G437" t="str">
        <f>'Source Table'!$C$5</f>
        <v>آخرون</v>
      </c>
      <c r="H437" t="str">
        <f>'Source Table'!$G$8</f>
        <v>Female</v>
      </c>
      <c r="I437" s="16" t="str">
        <f>'Source Table'!$G$7</f>
        <v>أنثى</v>
      </c>
      <c r="J437" s="25" t="str">
        <f>'Source Table'!$B$17</f>
        <v>Neurosurgery</v>
      </c>
      <c r="K437" s="25" t="str">
        <f>'Source Table'!$I$17</f>
        <v>جراحةأعصاب</v>
      </c>
      <c r="L437" s="39">
        <v>0</v>
      </c>
      <c r="M437">
        <v>2020</v>
      </c>
    </row>
    <row r="438" spans="1:13" ht="15">
      <c r="A438" t="s">
        <v>153</v>
      </c>
      <c r="B438" t="s">
        <v>154</v>
      </c>
      <c r="C438" s="15" t="s">
        <v>30</v>
      </c>
      <c r="D438" s="23" t="s">
        <v>81</v>
      </c>
      <c r="E438" s="25" t="s">
        <v>82</v>
      </c>
      <c r="F438" t="str">
        <f>'Source Table'!$C$6</f>
        <v>Others</v>
      </c>
      <c r="G438" t="str">
        <f>'Source Table'!$C$5</f>
        <v>آخرون</v>
      </c>
      <c r="H438" t="str">
        <f>'Source Table'!$G$8</f>
        <v>Female</v>
      </c>
      <c r="I438" s="16" t="str">
        <f>'Source Table'!$G$7</f>
        <v>أنثى</v>
      </c>
      <c r="J438" s="25" t="str">
        <f>'Source Table'!$B$18</f>
        <v>Cardiothoracic</v>
      </c>
      <c r="K438" s="25" t="str">
        <f>'Source Table'!$I$18</f>
        <v>جراحة قلب</v>
      </c>
      <c r="L438" s="39">
        <v>0</v>
      </c>
      <c r="M438">
        <v>2020</v>
      </c>
    </row>
    <row r="439" spans="1:13" ht="15">
      <c r="A439" t="s">
        <v>153</v>
      </c>
      <c r="B439" t="s">
        <v>154</v>
      </c>
      <c r="C439" s="15" t="s">
        <v>30</v>
      </c>
      <c r="D439" s="23" t="s">
        <v>81</v>
      </c>
      <c r="E439" s="25" t="s">
        <v>82</v>
      </c>
      <c r="F439" t="str">
        <f>'Source Table'!$C$6</f>
        <v>Others</v>
      </c>
      <c r="G439" t="str">
        <f>'Source Table'!$C$5</f>
        <v>آخرون</v>
      </c>
      <c r="H439" t="str">
        <f>'Source Table'!$G$8</f>
        <v>Female</v>
      </c>
      <c r="I439" s="16" t="str">
        <f>'Source Table'!$G$7</f>
        <v>أنثى</v>
      </c>
      <c r="J439" s="25" t="str">
        <f>'Source Table'!$B$19</f>
        <v>Plastic Surgeon</v>
      </c>
      <c r="K439" s="25" t="str">
        <f>'Source Table'!$I$19</f>
        <v>التجميل</v>
      </c>
      <c r="L439" s="39">
        <v>0</v>
      </c>
      <c r="M439">
        <v>2020</v>
      </c>
    </row>
    <row r="440" spans="1:13" ht="15">
      <c r="A440" t="s">
        <v>153</v>
      </c>
      <c r="B440" t="s">
        <v>154</v>
      </c>
      <c r="C440" s="15" t="s">
        <v>30</v>
      </c>
      <c r="D440" s="23" t="s">
        <v>81</v>
      </c>
      <c r="E440" s="25" t="s">
        <v>82</v>
      </c>
      <c r="F440" t="str">
        <f>'Source Table'!$C$6</f>
        <v>Others</v>
      </c>
      <c r="G440" t="str">
        <f>'Source Table'!$C$5</f>
        <v>آخرون</v>
      </c>
      <c r="H440" t="str">
        <f>'Source Table'!$G$8</f>
        <v>Female</v>
      </c>
      <c r="I440" s="16" t="str">
        <f>'Source Table'!$G$7</f>
        <v>أنثى</v>
      </c>
      <c r="J440" s="25" t="str">
        <f>'Source Table'!$B$20</f>
        <v>Psychiatry</v>
      </c>
      <c r="K440" s="25" t="str">
        <f>'Source Table'!$I$20</f>
        <v>النفسية</v>
      </c>
      <c r="L440" s="39">
        <v>1</v>
      </c>
      <c r="M440">
        <v>2020</v>
      </c>
    </row>
    <row r="441" spans="1:13" ht="15">
      <c r="A441" t="s">
        <v>153</v>
      </c>
      <c r="B441" t="s">
        <v>154</v>
      </c>
      <c r="C441" s="15" t="s">
        <v>30</v>
      </c>
      <c r="D441" s="23" t="s">
        <v>81</v>
      </c>
      <c r="E441" s="25" t="s">
        <v>82</v>
      </c>
      <c r="F441" t="str">
        <f>'Source Table'!$C$6</f>
        <v>Others</v>
      </c>
      <c r="G441" t="str">
        <f>'Source Table'!$C$5</f>
        <v>آخرون</v>
      </c>
      <c r="H441" t="str">
        <f>'Source Table'!$G$8</f>
        <v>Female</v>
      </c>
      <c r="I441" s="16" t="str">
        <f>'Source Table'!$G$7</f>
        <v>أنثى</v>
      </c>
      <c r="J441" s="25" t="str">
        <f>'Source Table'!$B$21</f>
        <v>Dermatologist Venereal</v>
      </c>
      <c r="K441" s="25" t="str">
        <f>'Source Table'!$I$21</f>
        <v>جلدية وتناسلية</v>
      </c>
      <c r="L441" s="40">
        <v>37</v>
      </c>
      <c r="M441">
        <v>2020</v>
      </c>
    </row>
    <row r="442" spans="1:13" ht="15">
      <c r="A442" t="s">
        <v>153</v>
      </c>
      <c r="B442" t="s">
        <v>154</v>
      </c>
      <c r="C442" s="15" t="s">
        <v>30</v>
      </c>
      <c r="D442" s="23" t="s">
        <v>81</v>
      </c>
      <c r="E442" s="25" t="s">
        <v>82</v>
      </c>
      <c r="F442" t="str">
        <f>'Source Table'!$C$6</f>
        <v>Others</v>
      </c>
      <c r="G442" t="str">
        <f>'Source Table'!$C$5</f>
        <v>آخرون</v>
      </c>
      <c r="H442" t="str">
        <f>'Source Table'!$G$8</f>
        <v>Female</v>
      </c>
      <c r="I442" s="16" t="str">
        <f>'Source Table'!$G$7</f>
        <v>أنثى</v>
      </c>
      <c r="J442" s="25" t="str">
        <f>'Source Table'!$B$22</f>
        <v>Neurology/ Nervous</v>
      </c>
      <c r="K442" s="25" t="str">
        <f>'Source Table'!$I$22</f>
        <v>مرض الأعصاب</v>
      </c>
      <c r="L442" s="40">
        <v>2</v>
      </c>
      <c r="M442">
        <v>2020</v>
      </c>
    </row>
    <row r="443" spans="1:13" ht="15">
      <c r="A443" t="s">
        <v>153</v>
      </c>
      <c r="B443" t="s">
        <v>154</v>
      </c>
      <c r="C443" s="15" t="s">
        <v>30</v>
      </c>
      <c r="D443" s="23" t="s">
        <v>81</v>
      </c>
      <c r="E443" s="25" t="s">
        <v>82</v>
      </c>
      <c r="F443" t="str">
        <f>'Source Table'!$C$6</f>
        <v>Others</v>
      </c>
      <c r="G443" t="str">
        <f>'Source Table'!$C$5</f>
        <v>آخرون</v>
      </c>
      <c r="H443" t="str">
        <f>'Source Table'!$G$8</f>
        <v>Female</v>
      </c>
      <c r="I443" s="16" t="str">
        <f>'Source Table'!$G$7</f>
        <v>أنثى</v>
      </c>
      <c r="J443" s="25" t="str">
        <f>'Source Table'!$B$23</f>
        <v>Pumologist</v>
      </c>
      <c r="K443" s="25" t="str">
        <f>'Source Table'!$I$23</f>
        <v>صدرية</v>
      </c>
      <c r="L443" s="40">
        <v>1</v>
      </c>
      <c r="M443">
        <v>2020</v>
      </c>
    </row>
    <row r="444" spans="1:13" ht="15">
      <c r="A444" t="s">
        <v>153</v>
      </c>
      <c r="B444" t="s">
        <v>154</v>
      </c>
      <c r="C444" s="15" t="s">
        <v>30</v>
      </c>
      <c r="D444" s="23" t="s">
        <v>81</v>
      </c>
      <c r="E444" s="25" t="s">
        <v>82</v>
      </c>
      <c r="F444" t="str">
        <f>'Source Table'!$C$6</f>
        <v>Others</v>
      </c>
      <c r="G444" t="str">
        <f>'Source Table'!$C$5</f>
        <v>آخرون</v>
      </c>
      <c r="H444" t="str">
        <f>'Source Table'!$G$8</f>
        <v>Female</v>
      </c>
      <c r="I444" s="16" t="str">
        <f>'Source Table'!$G$7</f>
        <v>أنثى</v>
      </c>
      <c r="J444" s="25" t="str">
        <f>'Source Table'!$B$24</f>
        <v>G.I.T. Specialist</v>
      </c>
      <c r="K444" s="25" t="str">
        <f>'Source Table'!$I$24</f>
        <v>جهاز هضمي</v>
      </c>
      <c r="L444" s="40">
        <v>1</v>
      </c>
      <c r="M444">
        <v>2020</v>
      </c>
    </row>
    <row r="445" spans="1:13" ht="15">
      <c r="A445" t="s">
        <v>153</v>
      </c>
      <c r="B445" t="s">
        <v>154</v>
      </c>
      <c r="C445" s="15" t="s">
        <v>30</v>
      </c>
      <c r="D445" s="23" t="s">
        <v>81</v>
      </c>
      <c r="E445" s="25" t="s">
        <v>82</v>
      </c>
      <c r="F445" t="str">
        <f>'Source Table'!$C$6</f>
        <v>Others</v>
      </c>
      <c r="G445" t="str">
        <f>'Source Table'!$C$5</f>
        <v>آخرون</v>
      </c>
      <c r="H445" t="str">
        <f>'Source Table'!$G$8</f>
        <v>Female</v>
      </c>
      <c r="I445" s="16" t="str">
        <f>'Source Table'!$G$7</f>
        <v>أنثى</v>
      </c>
      <c r="J445" s="25" t="str">
        <f>'Source Table'!$B$25</f>
        <v>Diagnostic Radiology</v>
      </c>
      <c r="K445" s="25" t="str">
        <f>'Source Table'!$I$25</f>
        <v>أشعة تشخيصية</v>
      </c>
      <c r="L445" s="40">
        <v>29</v>
      </c>
      <c r="M445">
        <v>2020</v>
      </c>
    </row>
    <row r="446" spans="1:13" ht="15">
      <c r="A446" t="s">
        <v>153</v>
      </c>
      <c r="B446" t="s">
        <v>154</v>
      </c>
      <c r="C446" s="15" t="s">
        <v>30</v>
      </c>
      <c r="D446" s="23" t="s">
        <v>81</v>
      </c>
      <c r="E446" s="25" t="s">
        <v>82</v>
      </c>
      <c r="F446" t="str">
        <f>'Source Table'!$C$6</f>
        <v>Others</v>
      </c>
      <c r="G446" t="str">
        <f>'Source Table'!$C$5</f>
        <v>آخرون</v>
      </c>
      <c r="H446" t="str">
        <f>'Source Table'!$G$8</f>
        <v>Female</v>
      </c>
      <c r="I446" s="16" t="str">
        <f>'Source Table'!$G$7</f>
        <v>أنثى</v>
      </c>
      <c r="J446" s="25" t="str">
        <f>'Source Table'!$B$26</f>
        <v>Anesthetic</v>
      </c>
      <c r="K446" s="25" t="str">
        <f>'Source Table'!$I$26</f>
        <v>تخدير وإنعاش</v>
      </c>
      <c r="L446" s="40">
        <v>15</v>
      </c>
      <c r="M446">
        <v>2020</v>
      </c>
    </row>
    <row r="447" spans="1:13" ht="15">
      <c r="A447" t="s">
        <v>153</v>
      </c>
      <c r="B447" t="s">
        <v>154</v>
      </c>
      <c r="C447" s="15" t="s">
        <v>30</v>
      </c>
      <c r="D447" s="23" t="s">
        <v>81</v>
      </c>
      <c r="E447" s="25" t="s">
        <v>82</v>
      </c>
      <c r="F447" t="str">
        <f>'Source Table'!$C$6</f>
        <v>Others</v>
      </c>
      <c r="G447" t="str">
        <f>'Source Table'!$C$5</f>
        <v>آخرون</v>
      </c>
      <c r="H447" t="str">
        <f>'Source Table'!$G$8</f>
        <v>Female</v>
      </c>
      <c r="I447" s="16" t="str">
        <f>'Source Table'!$G$7</f>
        <v>أنثى</v>
      </c>
      <c r="J447" s="25" t="str">
        <f>'Source Table'!$B$27</f>
        <v>Physiotherapist</v>
      </c>
      <c r="K447" s="25" t="str">
        <f>'Source Table'!$I$27</f>
        <v>طب طبيعي</v>
      </c>
      <c r="L447" s="39">
        <v>0</v>
      </c>
      <c r="M447">
        <v>2020</v>
      </c>
    </row>
    <row r="448" spans="1:13" ht="15">
      <c r="A448" t="s">
        <v>153</v>
      </c>
      <c r="B448" t="s">
        <v>154</v>
      </c>
      <c r="C448" s="15" t="s">
        <v>30</v>
      </c>
      <c r="D448" s="23" t="s">
        <v>81</v>
      </c>
      <c r="E448" s="25" t="s">
        <v>82</v>
      </c>
      <c r="F448" t="str">
        <f>'Source Table'!$C$6</f>
        <v>Others</v>
      </c>
      <c r="G448" t="str">
        <f>'Source Table'!$C$5</f>
        <v>آخرون</v>
      </c>
      <c r="H448" t="str">
        <f>'Source Table'!$G$8</f>
        <v>Female</v>
      </c>
      <c r="I448" s="16" t="str">
        <f>'Source Table'!$G$7</f>
        <v>أنثى</v>
      </c>
      <c r="J448" s="25" t="str">
        <f>'Source Table'!$B$28</f>
        <v>Forensic</v>
      </c>
      <c r="K448" s="25" t="str">
        <f>'Source Table'!$I$28</f>
        <v>طب شرعي</v>
      </c>
      <c r="L448" s="39">
        <v>0</v>
      </c>
      <c r="M448">
        <v>2020</v>
      </c>
    </row>
    <row r="449" spans="1:13" ht="15">
      <c r="A449" t="s">
        <v>153</v>
      </c>
      <c r="B449" t="s">
        <v>154</v>
      </c>
      <c r="C449" s="15" t="s">
        <v>30</v>
      </c>
      <c r="D449" s="23" t="s">
        <v>81</v>
      </c>
      <c r="E449" s="25" t="s">
        <v>82</v>
      </c>
      <c r="F449" t="str">
        <f>'Source Table'!$C$6</f>
        <v>Others</v>
      </c>
      <c r="G449" t="str">
        <f>'Source Table'!$C$5</f>
        <v>آخرون</v>
      </c>
      <c r="H449" t="str">
        <f>'Source Table'!$G$8</f>
        <v>Female</v>
      </c>
      <c r="I449" s="16" t="str">
        <f>'Source Table'!$G$7</f>
        <v>أنثى</v>
      </c>
      <c r="J449" s="25" t="str">
        <f>'Source Table'!$B$29</f>
        <v xml:space="preserve">Family </v>
      </c>
      <c r="K449" s="25" t="str">
        <f>'Source Table'!$I$29</f>
        <v>طب أسرة</v>
      </c>
      <c r="L449" s="40">
        <v>34</v>
      </c>
      <c r="M449">
        <v>2020</v>
      </c>
    </row>
    <row r="450" spans="1:13" ht="15">
      <c r="A450" t="s">
        <v>153</v>
      </c>
      <c r="B450" t="s">
        <v>154</v>
      </c>
      <c r="C450" s="15" t="s">
        <v>30</v>
      </c>
      <c r="D450" s="23" t="s">
        <v>81</v>
      </c>
      <c r="E450" s="25" t="s">
        <v>82</v>
      </c>
      <c r="F450" t="str">
        <f>'Source Table'!$C$6</f>
        <v>Others</v>
      </c>
      <c r="G450" t="str">
        <f>'Source Table'!$C$5</f>
        <v>آخرون</v>
      </c>
      <c r="H450" t="str">
        <f>'Source Table'!$G$8</f>
        <v>Female</v>
      </c>
      <c r="I450" s="16" t="str">
        <f>'Source Table'!$G$7</f>
        <v>أنثى</v>
      </c>
      <c r="J450" s="25" t="str">
        <f>'Source Table'!$B$30</f>
        <v>Urologist</v>
      </c>
      <c r="K450" s="25" t="str">
        <f>'Source Table'!$I$30</f>
        <v xml:space="preserve">المسالك البولية </v>
      </c>
      <c r="L450" s="40">
        <v>0</v>
      </c>
      <c r="M450">
        <v>2020</v>
      </c>
    </row>
    <row r="451" spans="1:13" ht="15">
      <c r="A451" t="s">
        <v>153</v>
      </c>
      <c r="B451" t="s">
        <v>154</v>
      </c>
      <c r="C451" s="15" t="s">
        <v>30</v>
      </c>
      <c r="D451" s="23" t="s">
        <v>81</v>
      </c>
      <c r="E451" s="25" t="s">
        <v>82</v>
      </c>
      <c r="F451" t="str">
        <f>'Source Table'!$C$6</f>
        <v>Others</v>
      </c>
      <c r="G451" t="str">
        <f>'Source Table'!$C$5</f>
        <v>آخرون</v>
      </c>
      <c r="H451" t="str">
        <f>'Source Table'!$G$8</f>
        <v>Female</v>
      </c>
      <c r="I451" s="16" t="str">
        <f>'Source Table'!$G$7</f>
        <v>أنثى</v>
      </c>
      <c r="J451" s="25" t="str">
        <f>'Source Table'!$B$31</f>
        <v>Cardiology</v>
      </c>
      <c r="K451" s="25" t="str">
        <f>'Source Table'!$I$31</f>
        <v>أمراض القلب</v>
      </c>
      <c r="L451" s="40">
        <v>1</v>
      </c>
      <c r="M451">
        <v>2020</v>
      </c>
    </row>
    <row r="452" spans="1:13" ht="15">
      <c r="A452" t="s">
        <v>153</v>
      </c>
      <c r="B452" t="s">
        <v>154</v>
      </c>
      <c r="C452" s="15" t="s">
        <v>30</v>
      </c>
      <c r="D452" s="23" t="s">
        <v>81</v>
      </c>
      <c r="E452" s="25" t="s">
        <v>82</v>
      </c>
      <c r="F452" t="str">
        <f>'Source Table'!$C$6</f>
        <v>Others</v>
      </c>
      <c r="G452" t="str">
        <f>'Source Table'!$C$5</f>
        <v>آخرون</v>
      </c>
      <c r="H452" t="str">
        <f>'Source Table'!$G$8</f>
        <v>Female</v>
      </c>
      <c r="I452" s="16" t="str">
        <f>'Source Table'!$G$7</f>
        <v>أنثى</v>
      </c>
      <c r="J452" s="25" t="str">
        <f>'Source Table'!$B$32</f>
        <v>Laboratory</v>
      </c>
      <c r="K452" s="25" t="str">
        <f>'Source Table'!$I$32</f>
        <v>مختبرات</v>
      </c>
      <c r="L452" s="40">
        <v>2</v>
      </c>
      <c r="M452">
        <v>2020</v>
      </c>
    </row>
    <row r="453" spans="1:13" ht="15">
      <c r="A453" t="s">
        <v>153</v>
      </c>
      <c r="B453" t="s">
        <v>154</v>
      </c>
      <c r="C453" s="15" t="s">
        <v>30</v>
      </c>
      <c r="D453" s="23" t="s">
        <v>81</v>
      </c>
      <c r="E453" s="25" t="s">
        <v>82</v>
      </c>
      <c r="F453" t="str">
        <f>'Source Table'!$C$6</f>
        <v>Others</v>
      </c>
      <c r="G453" t="str">
        <f>'Source Table'!$C$5</f>
        <v>آخرون</v>
      </c>
      <c r="H453" t="str">
        <f>'Source Table'!$G$8</f>
        <v>Female</v>
      </c>
      <c r="I453" s="16" t="str">
        <f>'Source Table'!$G$7</f>
        <v>أنثى</v>
      </c>
      <c r="J453" s="25" t="str">
        <f>'Source Table'!$B$33</f>
        <v>Others</v>
      </c>
      <c r="K453" s="25" t="str">
        <f>'Source Table'!$I$33</f>
        <v>أخرى</v>
      </c>
      <c r="L453" s="39">
        <v>35</v>
      </c>
      <c r="M453">
        <v>2020</v>
      </c>
    </row>
    <row r="454" spans="1:13" ht="15">
      <c r="A454" t="s">
        <v>153</v>
      </c>
      <c r="B454" t="s">
        <v>154</v>
      </c>
      <c r="C454" s="15" t="s">
        <v>30</v>
      </c>
      <c r="D454" s="23" t="s">
        <v>81</v>
      </c>
      <c r="E454" s="25" t="s">
        <v>82</v>
      </c>
      <c r="F454" s="25" t="str">
        <f>'Source Table'!$G$6</f>
        <v>Public Sector</v>
      </c>
      <c r="G454" s="25" t="str">
        <f>'Source Table'!$G$5</f>
        <v>القطاع العام</v>
      </c>
      <c r="H454" t="str">
        <f>'Source Table'!$H$8</f>
        <v>Male</v>
      </c>
      <c r="I454" s="25" t="str">
        <f>'Source Table'!$H$7</f>
        <v>ذكر</v>
      </c>
      <c r="J454" s="25" t="str">
        <f>'Source Table'!$B$9</f>
        <v>General Practitioner</v>
      </c>
      <c r="K454" s="25" t="str">
        <f>'Source Table'!$I$9</f>
        <v>طبيب عام</v>
      </c>
      <c r="L454" s="39">
        <v>1937</v>
      </c>
      <c r="M454">
        <v>2021</v>
      </c>
    </row>
    <row r="455" spans="1:13" ht="15">
      <c r="A455" t="s">
        <v>153</v>
      </c>
      <c r="B455" t="s">
        <v>154</v>
      </c>
      <c r="C455" s="15" t="s">
        <v>30</v>
      </c>
      <c r="D455" s="23" t="s">
        <v>81</v>
      </c>
      <c r="E455" s="25" t="s">
        <v>82</v>
      </c>
      <c r="F455" s="25" t="str">
        <f>'Source Table'!$G$6</f>
        <v>Public Sector</v>
      </c>
      <c r="G455" s="25" t="str">
        <f>'Source Table'!$G$5</f>
        <v>القطاع العام</v>
      </c>
      <c r="H455" t="str">
        <f>'Source Table'!$H$8</f>
        <v>Male</v>
      </c>
      <c r="I455" s="25" t="str">
        <f>'Source Table'!$H$7</f>
        <v>ذكر</v>
      </c>
      <c r="J455" s="25" t="str">
        <f>'Source Table'!$B$10</f>
        <v>Surgeon</v>
      </c>
      <c r="K455" s="25" t="str">
        <f>'Source Table'!$I$10</f>
        <v>جراحة عامة</v>
      </c>
      <c r="L455" s="39">
        <v>530</v>
      </c>
      <c r="M455">
        <v>2021</v>
      </c>
    </row>
    <row r="456" spans="1:13" ht="15">
      <c r="A456" t="s">
        <v>153</v>
      </c>
      <c r="B456" t="s">
        <v>154</v>
      </c>
      <c r="C456" s="15" t="s">
        <v>30</v>
      </c>
      <c r="D456" s="23" t="s">
        <v>81</v>
      </c>
      <c r="E456" s="25" t="s">
        <v>82</v>
      </c>
      <c r="F456" s="25" t="str">
        <f>'Source Table'!$G$6</f>
        <v>Public Sector</v>
      </c>
      <c r="G456" s="25" t="str">
        <f>'Source Table'!$G$5</f>
        <v>القطاع العام</v>
      </c>
      <c r="H456" t="str">
        <f>'Source Table'!$H$8</f>
        <v>Male</v>
      </c>
      <c r="I456" s="25" t="str">
        <f>'Source Table'!$H$7</f>
        <v>ذكر</v>
      </c>
      <c r="J456" s="25" t="str">
        <f>'Source Table'!$B$11</f>
        <v>Internist</v>
      </c>
      <c r="K456" s="25" t="str">
        <f>'Source Table'!$I$11</f>
        <v>باطنية</v>
      </c>
      <c r="L456" s="39">
        <v>498</v>
      </c>
      <c r="M456">
        <v>2021</v>
      </c>
    </row>
    <row r="457" spans="1:13" ht="15">
      <c r="A457" t="s">
        <v>153</v>
      </c>
      <c r="B457" t="s">
        <v>154</v>
      </c>
      <c r="C457" s="15" t="s">
        <v>30</v>
      </c>
      <c r="D457" s="23" t="s">
        <v>81</v>
      </c>
      <c r="E457" s="25" t="s">
        <v>82</v>
      </c>
      <c r="F457" s="25" t="str">
        <f>'Source Table'!$G$6</f>
        <v>Public Sector</v>
      </c>
      <c r="G457" s="25" t="str">
        <f>'Source Table'!$G$5</f>
        <v>القطاع العام</v>
      </c>
      <c r="H457" t="str">
        <f>'Source Table'!$H$8</f>
        <v>Male</v>
      </c>
      <c r="I457" s="25" t="str">
        <f>'Source Table'!$H$7</f>
        <v>ذكر</v>
      </c>
      <c r="J457" s="25" t="str">
        <f>'Source Table'!$B$12</f>
        <v>Gynecologist and Obst.</v>
      </c>
      <c r="K457" s="25" t="str">
        <f>'Source Table'!$I$12</f>
        <v>نسائية وتوليد</v>
      </c>
      <c r="L457" s="39">
        <v>312</v>
      </c>
      <c r="M457">
        <v>2021</v>
      </c>
    </row>
    <row r="458" spans="1:13" ht="15">
      <c r="A458" t="s">
        <v>153</v>
      </c>
      <c r="B458" t="s">
        <v>154</v>
      </c>
      <c r="C458" s="15" t="s">
        <v>30</v>
      </c>
      <c r="D458" s="23" t="s">
        <v>81</v>
      </c>
      <c r="E458" s="25" t="s">
        <v>82</v>
      </c>
      <c r="F458" s="25" t="str">
        <f>'Source Table'!$G$6</f>
        <v>Public Sector</v>
      </c>
      <c r="G458" s="25" t="str">
        <f>'Source Table'!$G$5</f>
        <v>القطاع العام</v>
      </c>
      <c r="H458" t="str">
        <f>'Source Table'!$H$8</f>
        <v>Male</v>
      </c>
      <c r="I458" s="25" t="str">
        <f>'Source Table'!$H$7</f>
        <v>ذكر</v>
      </c>
      <c r="J458" s="25" t="str">
        <f>'Source Table'!$B$13</f>
        <v>Pediatrics</v>
      </c>
      <c r="K458" s="25" t="str">
        <f>'Source Table'!$I$13</f>
        <v>أطفال</v>
      </c>
      <c r="L458" s="39">
        <v>382</v>
      </c>
      <c r="M458">
        <v>2021</v>
      </c>
    </row>
    <row r="459" spans="1:13" ht="15">
      <c r="A459" t="s">
        <v>153</v>
      </c>
      <c r="B459" t="s">
        <v>154</v>
      </c>
      <c r="C459" s="15" t="s">
        <v>30</v>
      </c>
      <c r="D459" s="23" t="s">
        <v>81</v>
      </c>
      <c r="E459" s="25" t="s">
        <v>82</v>
      </c>
      <c r="F459" s="25" t="str">
        <f>'Source Table'!$G$6</f>
        <v>Public Sector</v>
      </c>
      <c r="G459" s="25" t="str">
        <f>'Source Table'!$G$5</f>
        <v>القطاع العام</v>
      </c>
      <c r="H459" t="str">
        <f>'Source Table'!$H$8</f>
        <v>Male</v>
      </c>
      <c r="I459" s="25" t="str">
        <f>'Source Table'!$H$7</f>
        <v>ذكر</v>
      </c>
      <c r="J459" s="25" t="str">
        <f>'Source Table'!$B$14</f>
        <v>Ophthalmologist</v>
      </c>
      <c r="K459" s="25" t="str">
        <f>'Source Table'!$I$14</f>
        <v>العيون</v>
      </c>
      <c r="L459" s="39">
        <v>174</v>
      </c>
      <c r="M459">
        <v>2021</v>
      </c>
    </row>
    <row r="460" spans="1:13" ht="15">
      <c r="A460" t="s">
        <v>153</v>
      </c>
      <c r="B460" t="s">
        <v>154</v>
      </c>
      <c r="C460" s="15" t="s">
        <v>30</v>
      </c>
      <c r="D460" s="23" t="s">
        <v>81</v>
      </c>
      <c r="E460" s="25" t="s">
        <v>82</v>
      </c>
      <c r="F460" s="25" t="str">
        <f>'Source Table'!$G$6</f>
        <v>Public Sector</v>
      </c>
      <c r="G460" s="25" t="str">
        <f>'Source Table'!$G$5</f>
        <v>القطاع العام</v>
      </c>
      <c r="H460" t="str">
        <f>'Source Table'!$H$8</f>
        <v>Male</v>
      </c>
      <c r="I460" s="25" t="str">
        <f>'Source Table'!$H$7</f>
        <v>ذكر</v>
      </c>
      <c r="J460" s="25" t="str">
        <f>'Source Table'!$B$15</f>
        <v>Orthopedic Surg.</v>
      </c>
      <c r="K460" s="25" t="str">
        <f>'Source Table'!$I$15</f>
        <v>العظام</v>
      </c>
      <c r="L460" s="39">
        <v>256</v>
      </c>
      <c r="M460">
        <v>2021</v>
      </c>
    </row>
    <row r="461" spans="1:13" ht="15">
      <c r="A461" t="s">
        <v>153</v>
      </c>
      <c r="B461" t="s">
        <v>154</v>
      </c>
      <c r="C461" s="15" t="s">
        <v>30</v>
      </c>
      <c r="D461" s="23" t="s">
        <v>81</v>
      </c>
      <c r="E461" s="25" t="s">
        <v>82</v>
      </c>
      <c r="F461" s="25" t="str">
        <f>'Source Table'!$G$6</f>
        <v>Public Sector</v>
      </c>
      <c r="G461" s="25" t="str">
        <f>'Source Table'!$G$5</f>
        <v>القطاع العام</v>
      </c>
      <c r="H461" t="str">
        <f>'Source Table'!$H$8</f>
        <v>Male</v>
      </c>
      <c r="I461" s="25" t="str">
        <f>'Source Table'!$H$7</f>
        <v>ذكر</v>
      </c>
      <c r="J461" s="25" t="str">
        <f>'Source Table'!$B$16</f>
        <v>E.N.T.Surg.</v>
      </c>
      <c r="K461" s="25" t="str">
        <f>'Source Table'!$I$16</f>
        <v>أذن وأنف وحنجرة</v>
      </c>
      <c r="L461" s="39">
        <v>167</v>
      </c>
      <c r="M461">
        <v>2021</v>
      </c>
    </row>
    <row r="462" spans="1:13" ht="15">
      <c r="A462" t="s">
        <v>153</v>
      </c>
      <c r="B462" t="s">
        <v>154</v>
      </c>
      <c r="C462" s="15" t="s">
        <v>30</v>
      </c>
      <c r="D462" s="23" t="s">
        <v>81</v>
      </c>
      <c r="E462" s="25" t="s">
        <v>82</v>
      </c>
      <c r="F462" s="25" t="str">
        <f>'Source Table'!$G$6</f>
        <v>Public Sector</v>
      </c>
      <c r="G462" s="25" t="str">
        <f>'Source Table'!$G$5</f>
        <v>القطاع العام</v>
      </c>
      <c r="H462" t="str">
        <f>'Source Table'!$H$8</f>
        <v>Male</v>
      </c>
      <c r="I462" s="25" t="str">
        <f>'Source Table'!$H$7</f>
        <v>ذكر</v>
      </c>
      <c r="J462" s="25" t="str">
        <f>'Source Table'!$B$17</f>
        <v>Neurosurgery</v>
      </c>
      <c r="K462" s="25" t="str">
        <f>'Source Table'!$I$17</f>
        <v>جراحةأعصاب</v>
      </c>
      <c r="L462" s="39">
        <v>48</v>
      </c>
      <c r="M462">
        <v>2021</v>
      </c>
    </row>
    <row r="463" spans="1:13" ht="15">
      <c r="A463" t="s">
        <v>153</v>
      </c>
      <c r="B463" t="s">
        <v>154</v>
      </c>
      <c r="C463" s="15" t="s">
        <v>30</v>
      </c>
      <c r="D463" s="23" t="s">
        <v>81</v>
      </c>
      <c r="E463" s="25" t="s">
        <v>82</v>
      </c>
      <c r="F463" s="25" t="str">
        <f>'Source Table'!$G$6</f>
        <v>Public Sector</v>
      </c>
      <c r="G463" s="25" t="str">
        <f>'Source Table'!$G$5</f>
        <v>القطاع العام</v>
      </c>
      <c r="H463" t="str">
        <f>'Source Table'!$H$8</f>
        <v>Male</v>
      </c>
      <c r="I463" s="25" t="str">
        <f>'Source Table'!$H$7</f>
        <v>ذكر</v>
      </c>
      <c r="J463" s="25" t="str">
        <f>'Source Table'!$B$18</f>
        <v>Cardiothoracic</v>
      </c>
      <c r="K463" s="25" t="str">
        <f>'Source Table'!$I$18</f>
        <v>جراحة قلب</v>
      </c>
      <c r="L463" s="39">
        <v>22</v>
      </c>
      <c r="M463">
        <v>2021</v>
      </c>
    </row>
    <row r="464" spans="1:13" ht="15">
      <c r="A464" t="s">
        <v>153</v>
      </c>
      <c r="B464" t="s">
        <v>154</v>
      </c>
      <c r="C464" s="15" t="s">
        <v>30</v>
      </c>
      <c r="D464" s="23" t="s">
        <v>81</v>
      </c>
      <c r="E464" s="25" t="s">
        <v>82</v>
      </c>
      <c r="F464" s="25" t="str">
        <f>'Source Table'!$G$6</f>
        <v>Public Sector</v>
      </c>
      <c r="G464" s="25" t="str">
        <f>'Source Table'!$G$5</f>
        <v>القطاع العام</v>
      </c>
      <c r="H464" t="str">
        <f>'Source Table'!$H$8</f>
        <v>Male</v>
      </c>
      <c r="I464" s="25" t="str">
        <f>'Source Table'!$H$7</f>
        <v>ذكر</v>
      </c>
      <c r="J464" s="25" t="str">
        <f>'Source Table'!$B$19</f>
        <v>Plastic Surgeon</v>
      </c>
      <c r="K464" s="25" t="str">
        <f>'Source Table'!$I$19</f>
        <v>التجميل</v>
      </c>
      <c r="L464" s="39">
        <v>26</v>
      </c>
      <c r="M464">
        <v>2021</v>
      </c>
    </row>
    <row r="465" spans="1:13" ht="15">
      <c r="A465" t="s">
        <v>153</v>
      </c>
      <c r="B465" t="s">
        <v>154</v>
      </c>
      <c r="C465" s="15" t="s">
        <v>30</v>
      </c>
      <c r="D465" s="23" t="s">
        <v>81</v>
      </c>
      <c r="E465" s="25" t="s">
        <v>82</v>
      </c>
      <c r="F465" s="25" t="str">
        <f>'Source Table'!$G$6</f>
        <v>Public Sector</v>
      </c>
      <c r="G465" s="25" t="str">
        <f>'Source Table'!$G$5</f>
        <v>القطاع العام</v>
      </c>
      <c r="H465" t="str">
        <f>'Source Table'!$H$8</f>
        <v>Male</v>
      </c>
      <c r="I465" s="25" t="str">
        <f>'Source Table'!$H$7</f>
        <v>ذكر</v>
      </c>
      <c r="J465" s="25" t="str">
        <f>'Source Table'!$B$20</f>
        <v>Psychiatry</v>
      </c>
      <c r="K465" s="25" t="str">
        <f>'Source Table'!$I$20</f>
        <v>النفسية</v>
      </c>
      <c r="L465" s="39">
        <v>55</v>
      </c>
      <c r="M465">
        <v>2021</v>
      </c>
    </row>
    <row r="466" spans="1:13" ht="15">
      <c r="A466" t="s">
        <v>153</v>
      </c>
      <c r="B466" t="s">
        <v>154</v>
      </c>
      <c r="C466" s="15" t="s">
        <v>30</v>
      </c>
      <c r="D466" s="23" t="s">
        <v>81</v>
      </c>
      <c r="E466" s="25" t="s">
        <v>82</v>
      </c>
      <c r="F466" s="25" t="str">
        <f>'Source Table'!$G$6</f>
        <v>Public Sector</v>
      </c>
      <c r="G466" s="25" t="str">
        <f>'Source Table'!$G$5</f>
        <v>القطاع العام</v>
      </c>
      <c r="H466" t="str">
        <f>'Source Table'!$H$8</f>
        <v>Male</v>
      </c>
      <c r="I466" s="25" t="str">
        <f>'Source Table'!$H$7</f>
        <v>ذكر</v>
      </c>
      <c r="J466" s="25" t="str">
        <f>'Source Table'!$B$21</f>
        <v>Dermatologist Venereal</v>
      </c>
      <c r="K466" s="25" t="str">
        <f>'Source Table'!$I$21</f>
        <v>جلدية وتناسلية</v>
      </c>
      <c r="L466" s="39">
        <v>88</v>
      </c>
      <c r="M466">
        <v>2021</v>
      </c>
    </row>
    <row r="467" spans="1:13" ht="15">
      <c r="A467" t="s">
        <v>153</v>
      </c>
      <c r="B467" t="s">
        <v>154</v>
      </c>
      <c r="C467" s="15" t="s">
        <v>30</v>
      </c>
      <c r="D467" s="23" t="s">
        <v>81</v>
      </c>
      <c r="E467" s="25" t="s">
        <v>82</v>
      </c>
      <c r="F467" s="25" t="str">
        <f>'Source Table'!$G$6</f>
        <v>Public Sector</v>
      </c>
      <c r="G467" s="25" t="str">
        <f>'Source Table'!$G$5</f>
        <v>القطاع العام</v>
      </c>
      <c r="H467" t="str">
        <f>'Source Table'!$H$8</f>
        <v>Male</v>
      </c>
      <c r="I467" s="25" t="str">
        <f>'Source Table'!$H$7</f>
        <v>ذكر</v>
      </c>
      <c r="J467" s="25" t="str">
        <f>'Source Table'!$B$22</f>
        <v>Neurology/ Nervous</v>
      </c>
      <c r="K467" s="25" t="str">
        <f>'Source Table'!$I$22</f>
        <v>مرض الأعصاب</v>
      </c>
      <c r="L467" s="39">
        <v>27</v>
      </c>
      <c r="M467">
        <v>2021</v>
      </c>
    </row>
    <row r="468" spans="1:13" ht="15">
      <c r="A468" t="s">
        <v>153</v>
      </c>
      <c r="B468" t="s">
        <v>154</v>
      </c>
      <c r="C468" s="15" t="s">
        <v>30</v>
      </c>
      <c r="D468" s="23" t="s">
        <v>81</v>
      </c>
      <c r="E468" s="25" t="s">
        <v>82</v>
      </c>
      <c r="F468" s="25" t="str">
        <f>'Source Table'!$G$6</f>
        <v>Public Sector</v>
      </c>
      <c r="G468" s="25" t="str">
        <f>'Source Table'!$G$5</f>
        <v>القطاع العام</v>
      </c>
      <c r="H468" t="str">
        <f>'Source Table'!$H$8</f>
        <v>Male</v>
      </c>
      <c r="I468" s="25" t="str">
        <f>'Source Table'!$H$7</f>
        <v>ذكر</v>
      </c>
      <c r="J468" s="25" t="str">
        <f>'Source Table'!$B$23</f>
        <v>Pumologist</v>
      </c>
      <c r="K468" s="25" t="str">
        <f>'Source Table'!$I$23</f>
        <v>صدرية</v>
      </c>
      <c r="L468" s="39">
        <v>30</v>
      </c>
      <c r="M468">
        <v>2021</v>
      </c>
    </row>
    <row r="469" spans="1:13" ht="15">
      <c r="A469" t="s">
        <v>153</v>
      </c>
      <c r="B469" t="s">
        <v>154</v>
      </c>
      <c r="C469" s="15" t="s">
        <v>30</v>
      </c>
      <c r="D469" s="23" t="s">
        <v>81</v>
      </c>
      <c r="E469" s="25" t="s">
        <v>82</v>
      </c>
      <c r="F469" s="25" t="str">
        <f>'Source Table'!$G$6</f>
        <v>Public Sector</v>
      </c>
      <c r="G469" s="25" t="str">
        <f>'Source Table'!$G$5</f>
        <v>القطاع العام</v>
      </c>
      <c r="H469" t="str">
        <f>'Source Table'!$H$8</f>
        <v>Male</v>
      </c>
      <c r="I469" s="25" t="str">
        <f>'Source Table'!$H$7</f>
        <v>ذكر</v>
      </c>
      <c r="J469" s="25" t="str">
        <f>'Source Table'!$B$24</f>
        <v>G.I.T. Specialist</v>
      </c>
      <c r="K469" s="25" t="str">
        <f>'Source Table'!$I$24</f>
        <v>جهاز هضمي</v>
      </c>
      <c r="L469" s="39">
        <v>31</v>
      </c>
      <c r="M469">
        <v>2021</v>
      </c>
    </row>
    <row r="470" spans="1:13" ht="15">
      <c r="A470" t="s">
        <v>153</v>
      </c>
      <c r="B470" t="s">
        <v>154</v>
      </c>
      <c r="C470" s="15" t="s">
        <v>30</v>
      </c>
      <c r="D470" s="23" t="s">
        <v>81</v>
      </c>
      <c r="E470" s="25" t="s">
        <v>82</v>
      </c>
      <c r="F470" s="25" t="str">
        <f>'Source Table'!$G$6</f>
        <v>Public Sector</v>
      </c>
      <c r="G470" s="25" t="str">
        <f>'Source Table'!$G$5</f>
        <v>القطاع العام</v>
      </c>
      <c r="H470" t="str">
        <f>'Source Table'!$H$8</f>
        <v>Male</v>
      </c>
      <c r="I470" s="25" t="str">
        <f>'Source Table'!$H$7</f>
        <v>ذكر</v>
      </c>
      <c r="J470" s="25" t="str">
        <f>'Source Table'!$B$25</f>
        <v>Diagnostic Radiology</v>
      </c>
      <c r="K470" s="25" t="str">
        <f>'Source Table'!$I$25</f>
        <v>أشعة تشخيصية</v>
      </c>
      <c r="L470" s="39">
        <v>138</v>
      </c>
      <c r="M470">
        <v>2021</v>
      </c>
    </row>
    <row r="471" spans="1:13" ht="15">
      <c r="A471" t="s">
        <v>153</v>
      </c>
      <c r="B471" t="s">
        <v>154</v>
      </c>
      <c r="C471" s="15" t="s">
        <v>30</v>
      </c>
      <c r="D471" s="23" t="s">
        <v>81</v>
      </c>
      <c r="E471" s="25" t="s">
        <v>82</v>
      </c>
      <c r="F471" s="25" t="str">
        <f>'Source Table'!$G$6</f>
        <v>Public Sector</v>
      </c>
      <c r="G471" s="25" t="str">
        <f>'Source Table'!$G$5</f>
        <v>القطاع العام</v>
      </c>
      <c r="H471" t="str">
        <f>'Source Table'!$H$8</f>
        <v>Male</v>
      </c>
      <c r="I471" s="25" t="str">
        <f>'Source Table'!$H$7</f>
        <v>ذكر</v>
      </c>
      <c r="J471" s="25" t="str">
        <f>'Source Table'!$B$26</f>
        <v>Anesthetic</v>
      </c>
      <c r="K471" s="25" t="str">
        <f>'Source Table'!$I$26</f>
        <v>تخدير وإنعاش</v>
      </c>
      <c r="L471" s="39">
        <v>260</v>
      </c>
      <c r="M471">
        <v>2021</v>
      </c>
    </row>
    <row r="472" spans="1:13" ht="15">
      <c r="A472" t="s">
        <v>153</v>
      </c>
      <c r="B472" t="s">
        <v>154</v>
      </c>
      <c r="C472" s="15" t="s">
        <v>30</v>
      </c>
      <c r="D472" s="23" t="s">
        <v>81</v>
      </c>
      <c r="E472" s="25" t="s">
        <v>82</v>
      </c>
      <c r="F472" s="25" t="str">
        <f>'Source Table'!$G$6</f>
        <v>Public Sector</v>
      </c>
      <c r="G472" s="25" t="str">
        <f>'Source Table'!$G$5</f>
        <v>القطاع العام</v>
      </c>
      <c r="H472" t="str">
        <f>'Source Table'!$H$8</f>
        <v>Male</v>
      </c>
      <c r="I472" s="25" t="str">
        <f>'Source Table'!$H$7</f>
        <v>ذكر</v>
      </c>
      <c r="J472" s="25" t="str">
        <f>'Source Table'!$B$27</f>
        <v>Physiotherapist</v>
      </c>
      <c r="K472" s="25" t="str">
        <f>'Source Table'!$I$27</f>
        <v>طب طبيعي</v>
      </c>
      <c r="L472" s="39">
        <v>54</v>
      </c>
      <c r="M472">
        <v>2021</v>
      </c>
    </row>
    <row r="473" spans="1:13" ht="15">
      <c r="A473" t="s">
        <v>153</v>
      </c>
      <c r="B473" t="s">
        <v>154</v>
      </c>
      <c r="C473" s="15" t="s">
        <v>30</v>
      </c>
      <c r="D473" s="23" t="s">
        <v>81</v>
      </c>
      <c r="E473" s="25" t="s">
        <v>82</v>
      </c>
      <c r="F473" s="25" t="str">
        <f>'Source Table'!$G$6</f>
        <v>Public Sector</v>
      </c>
      <c r="G473" s="25" t="str">
        <f>'Source Table'!$G$5</f>
        <v>القطاع العام</v>
      </c>
      <c r="H473" t="str">
        <f>'Source Table'!$H$8</f>
        <v>Male</v>
      </c>
      <c r="I473" s="25" t="str">
        <f>'Source Table'!$H$7</f>
        <v>ذكر</v>
      </c>
      <c r="J473" s="25" t="str">
        <f>'Source Table'!$B$28</f>
        <v>Forensic</v>
      </c>
      <c r="K473" s="25" t="str">
        <f>'Source Table'!$I$28</f>
        <v>طب شرعي</v>
      </c>
      <c r="L473" s="39">
        <v>48</v>
      </c>
      <c r="M473">
        <v>2021</v>
      </c>
    </row>
    <row r="474" spans="1:13" ht="15">
      <c r="A474" t="s">
        <v>153</v>
      </c>
      <c r="B474" t="s">
        <v>154</v>
      </c>
      <c r="C474" s="15" t="s">
        <v>30</v>
      </c>
      <c r="D474" s="23" t="s">
        <v>81</v>
      </c>
      <c r="E474" s="25" t="s">
        <v>82</v>
      </c>
      <c r="F474" s="25" t="str">
        <f>'Source Table'!$G$6</f>
        <v>Public Sector</v>
      </c>
      <c r="G474" s="25" t="str">
        <f>'Source Table'!$G$5</f>
        <v>القطاع العام</v>
      </c>
      <c r="H474" t="str">
        <f>'Source Table'!$H$8</f>
        <v>Male</v>
      </c>
      <c r="I474" s="25" t="str">
        <f>'Source Table'!$H$7</f>
        <v>ذكر</v>
      </c>
      <c r="J474" s="25" t="str">
        <f>'Source Table'!$B$29</f>
        <v xml:space="preserve">Family </v>
      </c>
      <c r="K474" s="25" t="str">
        <f>'Source Table'!$I$29</f>
        <v>طب أسرة</v>
      </c>
      <c r="L474" s="39">
        <v>120</v>
      </c>
      <c r="M474">
        <v>2021</v>
      </c>
    </row>
    <row r="475" spans="1:13" ht="15">
      <c r="A475" t="s">
        <v>153</v>
      </c>
      <c r="B475" t="s">
        <v>154</v>
      </c>
      <c r="C475" s="15" t="s">
        <v>30</v>
      </c>
      <c r="D475" s="23" t="s">
        <v>81</v>
      </c>
      <c r="E475" s="25" t="s">
        <v>82</v>
      </c>
      <c r="F475" s="25" t="str">
        <f>'Source Table'!$G$6</f>
        <v>Public Sector</v>
      </c>
      <c r="G475" s="25" t="str">
        <f>'Source Table'!$G$5</f>
        <v>القطاع العام</v>
      </c>
      <c r="H475" t="str">
        <f>'Source Table'!$H$8</f>
        <v>Male</v>
      </c>
      <c r="I475" s="25" t="str">
        <f>'Source Table'!$H$7</f>
        <v>ذكر</v>
      </c>
      <c r="J475" s="25" t="str">
        <f>'Source Table'!$B$30</f>
        <v>Urologist</v>
      </c>
      <c r="K475" s="25" t="str">
        <f>'Source Table'!$I$30</f>
        <v xml:space="preserve">المسالك البولية </v>
      </c>
      <c r="L475" s="39">
        <v>127</v>
      </c>
      <c r="M475">
        <v>2021</v>
      </c>
    </row>
    <row r="476" spans="1:13" ht="15">
      <c r="A476" t="s">
        <v>153</v>
      </c>
      <c r="B476" t="s">
        <v>154</v>
      </c>
      <c r="C476" s="15" t="s">
        <v>30</v>
      </c>
      <c r="D476" s="23" t="s">
        <v>81</v>
      </c>
      <c r="E476" s="25" t="s">
        <v>82</v>
      </c>
      <c r="F476" s="25" t="str">
        <f>'Source Table'!$G$6</f>
        <v>Public Sector</v>
      </c>
      <c r="G476" s="25" t="str">
        <f>'Source Table'!$G$5</f>
        <v>القطاع العام</v>
      </c>
      <c r="H476" t="str">
        <f>'Source Table'!$H$8</f>
        <v>Male</v>
      </c>
      <c r="I476" s="25" t="str">
        <f>'Source Table'!$H$7</f>
        <v>ذكر</v>
      </c>
      <c r="J476" s="25" t="str">
        <f>'Source Table'!$B$31</f>
        <v>Cardiology</v>
      </c>
      <c r="K476" s="25" t="str">
        <f>'Source Table'!$I$31</f>
        <v>أمراض القلب</v>
      </c>
      <c r="L476" s="39">
        <v>44</v>
      </c>
      <c r="M476">
        <v>2021</v>
      </c>
    </row>
    <row r="477" spans="1:13" ht="15">
      <c r="A477" t="s">
        <v>153</v>
      </c>
      <c r="B477" t="s">
        <v>154</v>
      </c>
      <c r="C477" s="15" t="s">
        <v>30</v>
      </c>
      <c r="D477" s="23" t="s">
        <v>81</v>
      </c>
      <c r="E477" s="25" t="s">
        <v>82</v>
      </c>
      <c r="F477" s="25" t="str">
        <f>'Source Table'!$G$6</f>
        <v>Public Sector</v>
      </c>
      <c r="G477" s="25" t="str">
        <f>'Source Table'!$G$5</f>
        <v>القطاع العام</v>
      </c>
      <c r="H477" t="str">
        <f>'Source Table'!$H$8</f>
        <v>Male</v>
      </c>
      <c r="I477" s="25" t="str">
        <f>'Source Table'!$H$7</f>
        <v>ذكر</v>
      </c>
      <c r="J477" s="25" t="str">
        <f>'Source Table'!$B$32</f>
        <v>Laboratory</v>
      </c>
      <c r="K477" s="25" t="str">
        <f>'Source Table'!$I$32</f>
        <v>مختبرات</v>
      </c>
      <c r="L477" s="39">
        <v>19</v>
      </c>
      <c r="M477">
        <v>2021</v>
      </c>
    </row>
    <row r="478" spans="1:13" ht="15">
      <c r="A478" t="s">
        <v>153</v>
      </c>
      <c r="B478" t="s">
        <v>154</v>
      </c>
      <c r="C478" s="15" t="s">
        <v>30</v>
      </c>
      <c r="D478" s="23" t="s">
        <v>81</v>
      </c>
      <c r="E478" s="25" t="s">
        <v>82</v>
      </c>
      <c r="F478" s="25" t="str">
        <f>'Source Table'!$G$6</f>
        <v>Public Sector</v>
      </c>
      <c r="G478" s="25" t="str">
        <f>'Source Table'!$G$5</f>
        <v>القطاع العام</v>
      </c>
      <c r="H478" t="str">
        <f>'Source Table'!$H$8</f>
        <v>Male</v>
      </c>
      <c r="I478" s="25" t="str">
        <f>'Source Table'!$H$7</f>
        <v>ذكر</v>
      </c>
      <c r="J478" s="25" t="str">
        <f>'Source Table'!$B$33</f>
        <v>Others</v>
      </c>
      <c r="K478" s="25" t="str">
        <f>'Source Table'!$I$33</f>
        <v>أخرى</v>
      </c>
      <c r="L478" s="39">
        <v>444</v>
      </c>
      <c r="M478">
        <v>2021</v>
      </c>
    </row>
    <row r="479" spans="1:13" ht="15">
      <c r="A479" t="s">
        <v>153</v>
      </c>
      <c r="B479" t="s">
        <v>154</v>
      </c>
      <c r="C479" s="15" t="s">
        <v>30</v>
      </c>
      <c r="D479" s="23" t="s">
        <v>81</v>
      </c>
      <c r="E479" s="25" t="s">
        <v>82</v>
      </c>
      <c r="F479" s="25" t="str">
        <f>'Source Table'!$G$6</f>
        <v>Public Sector</v>
      </c>
      <c r="G479" s="25" t="str">
        <f>'Source Table'!$G$5</f>
        <v>القطاع العام</v>
      </c>
      <c r="H479" t="str">
        <f>'Source Table'!$G$8</f>
        <v>Female</v>
      </c>
      <c r="I479" s="16" t="str">
        <f>'Source Table'!$G$7</f>
        <v>أنثى</v>
      </c>
      <c r="J479" s="25" t="str">
        <f>'Source Table'!$B$9</f>
        <v>General Practitioner</v>
      </c>
      <c r="K479" s="25" t="str">
        <f>'Source Table'!$I$9</f>
        <v>طبيب عام</v>
      </c>
      <c r="L479" s="39">
        <v>394</v>
      </c>
      <c r="M479">
        <v>2021</v>
      </c>
    </row>
    <row r="480" spans="1:13" ht="15">
      <c r="A480" t="s">
        <v>153</v>
      </c>
      <c r="B480" t="s">
        <v>154</v>
      </c>
      <c r="C480" s="15" t="s">
        <v>30</v>
      </c>
      <c r="D480" s="23" t="s">
        <v>81</v>
      </c>
      <c r="E480" s="25" t="s">
        <v>82</v>
      </c>
      <c r="F480" s="25" t="str">
        <f>'Source Table'!$G$6</f>
        <v>Public Sector</v>
      </c>
      <c r="G480" s="25" t="str">
        <f>'Source Table'!$G$5</f>
        <v>القطاع العام</v>
      </c>
      <c r="H480" t="str">
        <f>'Source Table'!$G$8</f>
        <v>Female</v>
      </c>
      <c r="I480" s="16" t="str">
        <f>'Source Table'!$G$7</f>
        <v>أنثى</v>
      </c>
      <c r="J480" s="25" t="str">
        <f>'Source Table'!$B$10</f>
        <v>Surgeon</v>
      </c>
      <c r="K480" s="25" t="str">
        <f>'Source Table'!$I$10</f>
        <v>جراحة عامة</v>
      </c>
      <c r="L480" s="39">
        <v>16</v>
      </c>
      <c r="M480">
        <v>2021</v>
      </c>
    </row>
    <row r="481" spans="1:13" ht="15">
      <c r="A481" t="s">
        <v>153</v>
      </c>
      <c r="B481" t="s">
        <v>154</v>
      </c>
      <c r="C481" s="15" t="s">
        <v>30</v>
      </c>
      <c r="D481" s="23" t="s">
        <v>81</v>
      </c>
      <c r="E481" s="25" t="s">
        <v>82</v>
      </c>
      <c r="F481" s="25" t="str">
        <f>'Source Table'!$G$6</f>
        <v>Public Sector</v>
      </c>
      <c r="G481" s="25" t="str">
        <f>'Source Table'!$G$5</f>
        <v>القطاع العام</v>
      </c>
      <c r="H481" t="str">
        <f>'Source Table'!$G$8</f>
        <v>Female</v>
      </c>
      <c r="I481" s="16" t="str">
        <f>'Source Table'!$G$7</f>
        <v>أنثى</v>
      </c>
      <c r="J481" s="25" t="str">
        <f>'Source Table'!$B$11</f>
        <v>Internist</v>
      </c>
      <c r="K481" s="25" t="str">
        <f>'Source Table'!$I$11</f>
        <v>باطنية</v>
      </c>
      <c r="L481" s="39">
        <v>63</v>
      </c>
      <c r="M481">
        <v>2021</v>
      </c>
    </row>
    <row r="482" spans="1:13" ht="15">
      <c r="A482" t="s">
        <v>153</v>
      </c>
      <c r="B482" t="s">
        <v>154</v>
      </c>
      <c r="C482" s="15" t="s">
        <v>30</v>
      </c>
      <c r="D482" s="23" t="s">
        <v>81</v>
      </c>
      <c r="E482" s="25" t="s">
        <v>82</v>
      </c>
      <c r="F482" s="25" t="str">
        <f>'Source Table'!$G$6</f>
        <v>Public Sector</v>
      </c>
      <c r="G482" s="25" t="str">
        <f>'Source Table'!$G$5</f>
        <v>القطاع العام</v>
      </c>
      <c r="H482" t="str">
        <f>'Source Table'!$G$8</f>
        <v>Female</v>
      </c>
      <c r="I482" s="16" t="str">
        <f>'Source Table'!$G$7</f>
        <v>أنثى</v>
      </c>
      <c r="J482" s="25" t="str">
        <f>'Source Table'!$B$12</f>
        <v>Gynecologist and Obst.</v>
      </c>
      <c r="K482" s="25" t="str">
        <f>'Source Table'!$I$12</f>
        <v>نسائية وتوليد</v>
      </c>
      <c r="L482" s="39">
        <v>152</v>
      </c>
      <c r="M482">
        <v>2021</v>
      </c>
    </row>
    <row r="483" spans="1:13" ht="15">
      <c r="A483" t="s">
        <v>153</v>
      </c>
      <c r="B483" t="s">
        <v>154</v>
      </c>
      <c r="C483" s="15" t="s">
        <v>30</v>
      </c>
      <c r="D483" s="23" t="s">
        <v>81</v>
      </c>
      <c r="E483" s="25" t="s">
        <v>82</v>
      </c>
      <c r="F483" s="25" t="str">
        <f>'Source Table'!$G$6</f>
        <v>Public Sector</v>
      </c>
      <c r="G483" s="25" t="str">
        <f>'Source Table'!$G$5</f>
        <v>القطاع العام</v>
      </c>
      <c r="H483" t="str">
        <f>'Source Table'!$G$8</f>
        <v>Female</v>
      </c>
      <c r="I483" s="16" t="str">
        <f>'Source Table'!$G$7</f>
        <v>أنثى</v>
      </c>
      <c r="J483" s="25" t="str">
        <f>'Source Table'!$B$13</f>
        <v>Pediatrics</v>
      </c>
      <c r="K483" s="25" t="str">
        <f>'Source Table'!$I$13</f>
        <v>أطفال</v>
      </c>
      <c r="L483" s="39">
        <v>156</v>
      </c>
      <c r="M483">
        <v>2021</v>
      </c>
    </row>
    <row r="484" spans="1:13" ht="15">
      <c r="A484" t="s">
        <v>153</v>
      </c>
      <c r="B484" t="s">
        <v>154</v>
      </c>
      <c r="C484" s="15" t="s">
        <v>30</v>
      </c>
      <c r="D484" s="23" t="s">
        <v>81</v>
      </c>
      <c r="E484" s="25" t="s">
        <v>82</v>
      </c>
      <c r="F484" s="25" t="str">
        <f>'Source Table'!$G$6</f>
        <v>Public Sector</v>
      </c>
      <c r="G484" s="25" t="str">
        <f>'Source Table'!$G$5</f>
        <v>القطاع العام</v>
      </c>
      <c r="H484" t="str">
        <f>'Source Table'!$G$8</f>
        <v>Female</v>
      </c>
      <c r="I484" s="16" t="str">
        <f>'Source Table'!$G$7</f>
        <v>أنثى</v>
      </c>
      <c r="J484" s="25" t="str">
        <f>'Source Table'!$B$14</f>
        <v>Ophthalmologist</v>
      </c>
      <c r="K484" s="25" t="str">
        <f>'Source Table'!$I$14</f>
        <v>العيون</v>
      </c>
      <c r="L484" s="39">
        <v>49</v>
      </c>
      <c r="M484">
        <v>2021</v>
      </c>
    </row>
    <row r="485" spans="1:13" ht="15">
      <c r="A485" t="s">
        <v>153</v>
      </c>
      <c r="B485" t="s">
        <v>154</v>
      </c>
      <c r="C485" s="15" t="s">
        <v>30</v>
      </c>
      <c r="D485" s="23" t="s">
        <v>81</v>
      </c>
      <c r="E485" s="25" t="s">
        <v>82</v>
      </c>
      <c r="F485" s="25" t="str">
        <f>'Source Table'!$G$6</f>
        <v>Public Sector</v>
      </c>
      <c r="G485" s="25" t="str">
        <f>'Source Table'!$G$5</f>
        <v>القطاع العام</v>
      </c>
      <c r="H485" t="str">
        <f>'Source Table'!$G$8</f>
        <v>Female</v>
      </c>
      <c r="I485" s="16" t="str">
        <f>'Source Table'!$G$7</f>
        <v>أنثى</v>
      </c>
      <c r="J485" s="25" t="str">
        <f>'Source Table'!$B$15</f>
        <v>Orthopedic Surg.</v>
      </c>
      <c r="K485" s="25" t="str">
        <f>'Source Table'!$I$15</f>
        <v>العظام</v>
      </c>
      <c r="L485" s="39">
        <v>0</v>
      </c>
      <c r="M485">
        <v>2021</v>
      </c>
    </row>
    <row r="486" spans="1:13" ht="15">
      <c r="A486" t="s">
        <v>153</v>
      </c>
      <c r="B486" t="s">
        <v>154</v>
      </c>
      <c r="C486" s="15" t="s">
        <v>30</v>
      </c>
      <c r="D486" s="23" t="s">
        <v>81</v>
      </c>
      <c r="E486" s="25" t="s">
        <v>82</v>
      </c>
      <c r="F486" s="25" t="str">
        <f>'Source Table'!$G$6</f>
        <v>Public Sector</v>
      </c>
      <c r="G486" s="25" t="str">
        <f>'Source Table'!$G$5</f>
        <v>القطاع العام</v>
      </c>
      <c r="H486" t="str">
        <f>'Source Table'!$G$8</f>
        <v>Female</v>
      </c>
      <c r="I486" s="16" t="str">
        <f>'Source Table'!$G$7</f>
        <v>أنثى</v>
      </c>
      <c r="J486" s="25" t="str">
        <f>'Source Table'!$B$16</f>
        <v>E.N.T.Surg.</v>
      </c>
      <c r="K486" s="25" t="str">
        <f>'Source Table'!$I$16</f>
        <v>أذن وأنف وحنجرة</v>
      </c>
      <c r="L486" s="39">
        <v>25</v>
      </c>
      <c r="M486">
        <v>2021</v>
      </c>
    </row>
    <row r="487" spans="1:13" ht="15">
      <c r="A487" t="s">
        <v>153</v>
      </c>
      <c r="B487" t="s">
        <v>154</v>
      </c>
      <c r="C487" s="15" t="s">
        <v>30</v>
      </c>
      <c r="D487" s="23" t="s">
        <v>81</v>
      </c>
      <c r="E487" s="25" t="s">
        <v>82</v>
      </c>
      <c r="F487" s="25" t="str">
        <f>'Source Table'!$G$6</f>
        <v>Public Sector</v>
      </c>
      <c r="G487" s="25" t="str">
        <f>'Source Table'!$G$5</f>
        <v>القطاع العام</v>
      </c>
      <c r="H487" t="str">
        <f>'Source Table'!$G$8</f>
        <v>Female</v>
      </c>
      <c r="I487" s="16" t="str">
        <f>'Source Table'!$G$7</f>
        <v>أنثى</v>
      </c>
      <c r="J487" s="25" t="str">
        <f>'Source Table'!$B$17</f>
        <v>Neurosurgery</v>
      </c>
      <c r="K487" s="25" t="str">
        <f>'Source Table'!$I$17</f>
        <v>جراحةأعصاب</v>
      </c>
      <c r="L487" s="39">
        <v>1</v>
      </c>
      <c r="M487">
        <v>2021</v>
      </c>
    </row>
    <row r="488" spans="1:13" ht="15">
      <c r="A488" t="s">
        <v>153</v>
      </c>
      <c r="B488" t="s">
        <v>154</v>
      </c>
      <c r="C488" s="15" t="s">
        <v>30</v>
      </c>
      <c r="D488" s="23" t="s">
        <v>81</v>
      </c>
      <c r="E488" s="25" t="s">
        <v>82</v>
      </c>
      <c r="F488" s="25" t="str">
        <f>'Source Table'!$G$6</f>
        <v>Public Sector</v>
      </c>
      <c r="G488" s="25" t="str">
        <f>'Source Table'!$G$5</f>
        <v>القطاع العام</v>
      </c>
      <c r="H488" t="str">
        <f>'Source Table'!$G$8</f>
        <v>Female</v>
      </c>
      <c r="I488" s="16" t="str">
        <f>'Source Table'!$G$7</f>
        <v>أنثى</v>
      </c>
      <c r="J488" s="25" t="str">
        <f>'Source Table'!$B$18</f>
        <v>Cardiothoracic</v>
      </c>
      <c r="K488" s="25" t="str">
        <f>'Source Table'!$I$18</f>
        <v>جراحة قلب</v>
      </c>
      <c r="L488" s="39">
        <v>0</v>
      </c>
      <c r="M488">
        <v>2021</v>
      </c>
    </row>
    <row r="489" spans="1:13" ht="15">
      <c r="A489" t="s">
        <v>153</v>
      </c>
      <c r="B489" t="s">
        <v>154</v>
      </c>
      <c r="C489" s="15" t="s">
        <v>30</v>
      </c>
      <c r="D489" s="23" t="s">
        <v>81</v>
      </c>
      <c r="E489" s="25" t="s">
        <v>82</v>
      </c>
      <c r="F489" s="25" t="str">
        <f>'Source Table'!$G$6</f>
        <v>Public Sector</v>
      </c>
      <c r="G489" s="25" t="str">
        <f>'Source Table'!$G$5</f>
        <v>القطاع العام</v>
      </c>
      <c r="H489" t="str">
        <f>'Source Table'!$G$8</f>
        <v>Female</v>
      </c>
      <c r="I489" s="16" t="str">
        <f>'Source Table'!$G$7</f>
        <v>أنثى</v>
      </c>
      <c r="J489" s="25" t="str">
        <f>'Source Table'!$B$19</f>
        <v>Plastic Surgeon</v>
      </c>
      <c r="K489" s="25" t="str">
        <f>'Source Table'!$I$19</f>
        <v>التجميل</v>
      </c>
      <c r="L489" s="39">
        <v>3</v>
      </c>
      <c r="M489">
        <v>2021</v>
      </c>
    </row>
    <row r="490" spans="1:13" ht="15">
      <c r="A490" t="s">
        <v>153</v>
      </c>
      <c r="B490" t="s">
        <v>154</v>
      </c>
      <c r="C490" s="15" t="s">
        <v>30</v>
      </c>
      <c r="D490" s="23" t="s">
        <v>81</v>
      </c>
      <c r="E490" s="25" t="s">
        <v>82</v>
      </c>
      <c r="F490" s="25" t="str">
        <f>'Source Table'!$G$6</f>
        <v>Public Sector</v>
      </c>
      <c r="G490" s="25" t="str">
        <f>'Source Table'!$G$5</f>
        <v>القطاع العام</v>
      </c>
      <c r="H490" t="str">
        <f>'Source Table'!$G$8</f>
        <v>Female</v>
      </c>
      <c r="I490" s="16" t="str">
        <f>'Source Table'!$G$7</f>
        <v>أنثى</v>
      </c>
      <c r="J490" s="25" t="str">
        <f>'Source Table'!$B$20</f>
        <v>Psychiatry</v>
      </c>
      <c r="K490" s="25" t="str">
        <f>'Source Table'!$I$20</f>
        <v>النفسية</v>
      </c>
      <c r="L490" s="39">
        <v>6</v>
      </c>
      <c r="M490">
        <v>2021</v>
      </c>
    </row>
    <row r="491" spans="1:13" ht="15">
      <c r="A491" t="s">
        <v>153</v>
      </c>
      <c r="B491" t="s">
        <v>154</v>
      </c>
      <c r="C491" s="15" t="s">
        <v>30</v>
      </c>
      <c r="D491" s="23" t="s">
        <v>81</v>
      </c>
      <c r="E491" s="25" t="s">
        <v>82</v>
      </c>
      <c r="F491" s="25" t="str">
        <f>'Source Table'!$G$6</f>
        <v>Public Sector</v>
      </c>
      <c r="G491" s="25" t="str">
        <f>'Source Table'!$G$5</f>
        <v>القطاع العام</v>
      </c>
      <c r="H491" t="str">
        <f>'Source Table'!$G$8</f>
        <v>Female</v>
      </c>
      <c r="I491" s="16" t="str">
        <f>'Source Table'!$G$7</f>
        <v>أنثى</v>
      </c>
      <c r="J491" s="25" t="str">
        <f>'Source Table'!$B$21</f>
        <v>Dermatologist Venereal</v>
      </c>
      <c r="K491" s="25" t="str">
        <f>'Source Table'!$I$21</f>
        <v>جلدية وتناسلية</v>
      </c>
      <c r="L491" s="39">
        <v>37</v>
      </c>
      <c r="M491">
        <v>2021</v>
      </c>
    </row>
    <row r="492" spans="1:13" ht="15">
      <c r="A492" t="s">
        <v>153</v>
      </c>
      <c r="B492" t="s">
        <v>154</v>
      </c>
      <c r="C492" s="15" t="s">
        <v>30</v>
      </c>
      <c r="D492" s="23" t="s">
        <v>81</v>
      </c>
      <c r="E492" s="25" t="s">
        <v>82</v>
      </c>
      <c r="F492" s="25" t="str">
        <f>'Source Table'!$G$6</f>
        <v>Public Sector</v>
      </c>
      <c r="G492" s="25" t="str">
        <f>'Source Table'!$G$5</f>
        <v>القطاع العام</v>
      </c>
      <c r="H492" t="str">
        <f>'Source Table'!$G$8</f>
        <v>Female</v>
      </c>
      <c r="I492" s="16" t="str">
        <f>'Source Table'!$G$7</f>
        <v>أنثى</v>
      </c>
      <c r="J492" s="25" t="str">
        <f>'Source Table'!$B$22</f>
        <v>Neurology/ Nervous</v>
      </c>
      <c r="K492" s="25" t="str">
        <f>'Source Table'!$I$22</f>
        <v>مرض الأعصاب</v>
      </c>
      <c r="L492" s="39">
        <v>4</v>
      </c>
      <c r="M492">
        <v>2021</v>
      </c>
    </row>
    <row r="493" spans="1:13" ht="15">
      <c r="A493" t="s">
        <v>153</v>
      </c>
      <c r="B493" t="s">
        <v>154</v>
      </c>
      <c r="C493" s="15" t="s">
        <v>30</v>
      </c>
      <c r="D493" s="23" t="s">
        <v>81</v>
      </c>
      <c r="E493" s="25" t="s">
        <v>82</v>
      </c>
      <c r="F493" s="25" t="str">
        <f>'Source Table'!$G$6</f>
        <v>Public Sector</v>
      </c>
      <c r="G493" s="25" t="str">
        <f>'Source Table'!$G$5</f>
        <v>القطاع العام</v>
      </c>
      <c r="H493" t="str">
        <f>'Source Table'!$G$8</f>
        <v>Female</v>
      </c>
      <c r="I493" s="16" t="str">
        <f>'Source Table'!$G$7</f>
        <v>أنثى</v>
      </c>
      <c r="J493" s="25" t="str">
        <f>'Source Table'!$B$23</f>
        <v>Pumologist</v>
      </c>
      <c r="K493" s="25" t="str">
        <f>'Source Table'!$I$23</f>
        <v>صدرية</v>
      </c>
      <c r="L493" s="39">
        <v>2</v>
      </c>
      <c r="M493">
        <v>2021</v>
      </c>
    </row>
    <row r="494" spans="1:13" ht="15">
      <c r="A494" t="s">
        <v>153</v>
      </c>
      <c r="B494" t="s">
        <v>154</v>
      </c>
      <c r="C494" s="15" t="s">
        <v>30</v>
      </c>
      <c r="D494" s="23" t="s">
        <v>81</v>
      </c>
      <c r="E494" s="25" t="s">
        <v>82</v>
      </c>
      <c r="F494" s="25" t="str">
        <f>'Source Table'!$G$6</f>
        <v>Public Sector</v>
      </c>
      <c r="G494" s="25" t="str">
        <f>'Source Table'!$G$5</f>
        <v>القطاع العام</v>
      </c>
      <c r="H494" t="str">
        <f>'Source Table'!$G$8</f>
        <v>Female</v>
      </c>
      <c r="I494" s="16" t="str">
        <f>'Source Table'!$G$7</f>
        <v>أنثى</v>
      </c>
      <c r="J494" s="25" t="str">
        <f>'Source Table'!$B$24</f>
        <v>G.I.T. Specialist</v>
      </c>
      <c r="K494" s="25" t="str">
        <f>'Source Table'!$I$24</f>
        <v>جهاز هضمي</v>
      </c>
      <c r="L494" s="39">
        <v>5</v>
      </c>
      <c r="M494">
        <v>2021</v>
      </c>
    </row>
    <row r="495" spans="1:13" ht="15">
      <c r="A495" t="s">
        <v>153</v>
      </c>
      <c r="B495" t="s">
        <v>154</v>
      </c>
      <c r="C495" s="15" t="s">
        <v>30</v>
      </c>
      <c r="D495" s="23" t="s">
        <v>81</v>
      </c>
      <c r="E495" s="25" t="s">
        <v>82</v>
      </c>
      <c r="F495" s="25" t="str">
        <f>'Source Table'!$G$6</f>
        <v>Public Sector</v>
      </c>
      <c r="G495" s="25" t="str">
        <f>'Source Table'!$G$5</f>
        <v>القطاع العام</v>
      </c>
      <c r="H495" t="str">
        <f>'Source Table'!$G$8</f>
        <v>Female</v>
      </c>
      <c r="I495" s="16" t="str">
        <f>'Source Table'!$G$7</f>
        <v>أنثى</v>
      </c>
      <c r="J495" s="25" t="str">
        <f>'Source Table'!$B$25</f>
        <v>Diagnostic Radiology</v>
      </c>
      <c r="K495" s="25" t="str">
        <f>'Source Table'!$I$25</f>
        <v>أشعة تشخيصية</v>
      </c>
      <c r="L495" s="39">
        <v>41</v>
      </c>
      <c r="M495">
        <v>2021</v>
      </c>
    </row>
    <row r="496" spans="1:13" ht="15">
      <c r="A496" t="s">
        <v>153</v>
      </c>
      <c r="B496" t="s">
        <v>154</v>
      </c>
      <c r="C496" s="15" t="s">
        <v>30</v>
      </c>
      <c r="D496" s="23" t="s">
        <v>81</v>
      </c>
      <c r="E496" s="25" t="s">
        <v>82</v>
      </c>
      <c r="F496" s="25" t="str">
        <f>'Source Table'!$G$6</f>
        <v>Public Sector</v>
      </c>
      <c r="G496" s="25" t="str">
        <f>'Source Table'!$G$5</f>
        <v>القطاع العام</v>
      </c>
      <c r="H496" t="str">
        <f>'Source Table'!$G$8</f>
        <v>Female</v>
      </c>
      <c r="I496" s="16" t="str">
        <f>'Source Table'!$G$7</f>
        <v>أنثى</v>
      </c>
      <c r="J496" s="25" t="str">
        <f>'Source Table'!$B$26</f>
        <v>Anesthetic</v>
      </c>
      <c r="K496" s="25" t="str">
        <f>'Source Table'!$I$26</f>
        <v>تخدير وإنعاش</v>
      </c>
      <c r="L496" s="39">
        <v>18</v>
      </c>
      <c r="M496">
        <v>2021</v>
      </c>
    </row>
    <row r="497" spans="1:13" ht="15">
      <c r="A497" t="s">
        <v>153</v>
      </c>
      <c r="B497" t="s">
        <v>154</v>
      </c>
      <c r="C497" s="15" t="s">
        <v>30</v>
      </c>
      <c r="D497" s="23" t="s">
        <v>81</v>
      </c>
      <c r="E497" s="25" t="s">
        <v>82</v>
      </c>
      <c r="F497" s="25" t="str">
        <f>'Source Table'!$G$6</f>
        <v>Public Sector</v>
      </c>
      <c r="G497" s="25" t="str">
        <f>'Source Table'!$G$5</f>
        <v>القطاع العام</v>
      </c>
      <c r="H497" t="str">
        <f>'Source Table'!$G$8</f>
        <v>Female</v>
      </c>
      <c r="I497" s="16" t="str">
        <f>'Source Table'!$G$7</f>
        <v>أنثى</v>
      </c>
      <c r="J497" s="25" t="str">
        <f>'Source Table'!$B$27</f>
        <v>Physiotherapist</v>
      </c>
      <c r="K497" s="25" t="str">
        <f>'Source Table'!$I$27</f>
        <v>طب طبيعي</v>
      </c>
      <c r="L497" s="39">
        <v>10</v>
      </c>
      <c r="M497">
        <v>2021</v>
      </c>
    </row>
    <row r="498" spans="1:13" ht="15">
      <c r="A498" t="s">
        <v>153</v>
      </c>
      <c r="B498" t="s">
        <v>154</v>
      </c>
      <c r="C498" s="15" t="s">
        <v>30</v>
      </c>
      <c r="D498" s="23" t="s">
        <v>81</v>
      </c>
      <c r="E498" s="25" t="s">
        <v>82</v>
      </c>
      <c r="F498" s="25" t="str">
        <f>'Source Table'!$G$6</f>
        <v>Public Sector</v>
      </c>
      <c r="G498" s="25" t="str">
        <f>'Source Table'!$G$5</f>
        <v>القطاع العام</v>
      </c>
      <c r="H498" t="str">
        <f>'Source Table'!$G$8</f>
        <v>Female</v>
      </c>
      <c r="I498" s="16" t="str">
        <f>'Source Table'!$G$7</f>
        <v>أنثى</v>
      </c>
      <c r="J498" s="25" t="str">
        <f>'Source Table'!$B$28</f>
        <v>Forensic</v>
      </c>
      <c r="K498" s="25" t="str">
        <f>'Source Table'!$I$28</f>
        <v>طب شرعي</v>
      </c>
      <c r="L498" s="39">
        <v>4</v>
      </c>
      <c r="M498">
        <v>2021</v>
      </c>
    </row>
    <row r="499" spans="1:13" ht="15">
      <c r="A499" t="s">
        <v>153</v>
      </c>
      <c r="B499" t="s">
        <v>154</v>
      </c>
      <c r="C499" s="15" t="s">
        <v>30</v>
      </c>
      <c r="D499" s="23" t="s">
        <v>81</v>
      </c>
      <c r="E499" s="25" t="s">
        <v>82</v>
      </c>
      <c r="F499" s="25" t="str">
        <f>'Source Table'!$G$6</f>
        <v>Public Sector</v>
      </c>
      <c r="G499" s="25" t="str">
        <f>'Source Table'!$G$5</f>
        <v>القطاع العام</v>
      </c>
      <c r="H499" t="str">
        <f>'Source Table'!$G$8</f>
        <v>Female</v>
      </c>
      <c r="I499" s="16" t="str">
        <f>'Source Table'!$G$7</f>
        <v>أنثى</v>
      </c>
      <c r="J499" s="25" t="str">
        <f>'Source Table'!$B$29</f>
        <v xml:space="preserve">Family </v>
      </c>
      <c r="K499" s="25" t="str">
        <f>'Source Table'!$I$29</f>
        <v>طب أسرة</v>
      </c>
      <c r="L499" s="39">
        <v>96</v>
      </c>
      <c r="M499">
        <v>2021</v>
      </c>
    </row>
    <row r="500" spans="1:13" ht="15">
      <c r="A500" t="s">
        <v>153</v>
      </c>
      <c r="B500" t="s">
        <v>154</v>
      </c>
      <c r="C500" s="15" t="s">
        <v>30</v>
      </c>
      <c r="D500" s="23" t="s">
        <v>81</v>
      </c>
      <c r="E500" s="25" t="s">
        <v>82</v>
      </c>
      <c r="F500" s="25" t="str">
        <f>'Source Table'!$G$6</f>
        <v>Public Sector</v>
      </c>
      <c r="G500" s="25" t="str">
        <f>'Source Table'!$G$5</f>
        <v>القطاع العام</v>
      </c>
      <c r="H500" t="str">
        <f>'Source Table'!$G$8</f>
        <v>Female</v>
      </c>
      <c r="I500" s="16" t="str">
        <f>'Source Table'!$G$7</f>
        <v>أنثى</v>
      </c>
      <c r="J500" s="25" t="str">
        <f>'Source Table'!$B$30</f>
        <v>Urologist</v>
      </c>
      <c r="K500" s="25" t="str">
        <f>'Source Table'!$I$30</f>
        <v xml:space="preserve">المسالك البولية </v>
      </c>
      <c r="L500" s="39">
        <v>1</v>
      </c>
      <c r="M500">
        <v>2021</v>
      </c>
    </row>
    <row r="501" spans="1:13" ht="15">
      <c r="A501" t="s">
        <v>153</v>
      </c>
      <c r="B501" t="s">
        <v>154</v>
      </c>
      <c r="C501" s="15" t="s">
        <v>30</v>
      </c>
      <c r="D501" s="23" t="s">
        <v>81</v>
      </c>
      <c r="E501" s="25" t="s">
        <v>82</v>
      </c>
      <c r="F501" s="25" t="str">
        <f>'Source Table'!$G$6</f>
        <v>Public Sector</v>
      </c>
      <c r="G501" s="25" t="str">
        <f>'Source Table'!$G$5</f>
        <v>القطاع العام</v>
      </c>
      <c r="H501" t="str">
        <f>'Source Table'!$G$8</f>
        <v>Female</v>
      </c>
      <c r="I501" s="16" t="str">
        <f>'Source Table'!$G$7</f>
        <v>أنثى</v>
      </c>
      <c r="J501" s="25" t="str">
        <f>'Source Table'!$B$31</f>
        <v>Cardiology</v>
      </c>
      <c r="K501" s="25" t="str">
        <f>'Source Table'!$I$31</f>
        <v>أمراض القلب</v>
      </c>
      <c r="L501" s="39">
        <v>3</v>
      </c>
      <c r="M501">
        <v>2021</v>
      </c>
    </row>
    <row r="502" spans="1:13" ht="15">
      <c r="A502" t="s">
        <v>153</v>
      </c>
      <c r="B502" t="s">
        <v>154</v>
      </c>
      <c r="C502" s="15" t="s">
        <v>30</v>
      </c>
      <c r="D502" s="23" t="s">
        <v>81</v>
      </c>
      <c r="E502" s="25" t="s">
        <v>82</v>
      </c>
      <c r="F502" s="25" t="str">
        <f>'Source Table'!$G$6</f>
        <v>Public Sector</v>
      </c>
      <c r="G502" s="25" t="str">
        <f>'Source Table'!$G$5</f>
        <v>القطاع العام</v>
      </c>
      <c r="H502" t="str">
        <f>'Source Table'!$G$8</f>
        <v>Female</v>
      </c>
      <c r="I502" s="16" t="str">
        <f>'Source Table'!$G$7</f>
        <v>أنثى</v>
      </c>
      <c r="J502" s="25" t="str">
        <f>'Source Table'!$B$32</f>
        <v>Laboratory</v>
      </c>
      <c r="K502" s="25" t="str">
        <f>'Source Table'!$I$32</f>
        <v>مختبرات</v>
      </c>
      <c r="L502" s="39">
        <v>15</v>
      </c>
      <c r="M502">
        <v>2021</v>
      </c>
    </row>
    <row r="503" spans="1:13" ht="15">
      <c r="A503" t="s">
        <v>153</v>
      </c>
      <c r="B503" t="s">
        <v>154</v>
      </c>
      <c r="C503" s="15" t="s">
        <v>30</v>
      </c>
      <c r="D503" s="23" t="s">
        <v>81</v>
      </c>
      <c r="E503" s="25" t="s">
        <v>82</v>
      </c>
      <c r="F503" s="25" t="str">
        <f>'Source Table'!$G$6</f>
        <v>Public Sector</v>
      </c>
      <c r="G503" s="25" t="str">
        <f>'Source Table'!$G$5</f>
        <v>القطاع العام</v>
      </c>
      <c r="H503" t="str">
        <f>'Source Table'!$G$8</f>
        <v>Female</v>
      </c>
      <c r="I503" s="16" t="str">
        <f>'Source Table'!$G$7</f>
        <v>أنثى</v>
      </c>
      <c r="J503" s="25" t="str">
        <f>'Source Table'!$B$33</f>
        <v>Others</v>
      </c>
      <c r="K503" s="25" t="str">
        <f>'Source Table'!$I$33</f>
        <v>أخرى</v>
      </c>
      <c r="L503" s="39">
        <v>124</v>
      </c>
      <c r="M503">
        <v>2021</v>
      </c>
    </row>
    <row r="504" spans="1:13" ht="15">
      <c r="A504" t="s">
        <v>153</v>
      </c>
      <c r="B504" t="s">
        <v>154</v>
      </c>
      <c r="C504" s="15" t="s">
        <v>30</v>
      </c>
      <c r="D504" s="23" t="s">
        <v>81</v>
      </c>
      <c r="E504" s="25" t="s">
        <v>82</v>
      </c>
      <c r="F504" s="16" t="str">
        <f>'Source Table'!$E$6</f>
        <v>Private Sector</v>
      </c>
      <c r="G504" s="16" t="str">
        <f>'Source Table'!$E$5</f>
        <v>القطاع الخاص</v>
      </c>
      <c r="H504" t="str">
        <f>'Source Table'!$H$8</f>
        <v>Male</v>
      </c>
      <c r="I504" s="25" t="str">
        <f>'Source Table'!$H$7</f>
        <v>ذكر</v>
      </c>
      <c r="J504" s="25" t="str">
        <f>'Source Table'!$B$9</f>
        <v>General Practitioner</v>
      </c>
      <c r="K504" s="25" t="str">
        <f>'Source Table'!$I$9</f>
        <v>طبيب عام</v>
      </c>
      <c r="L504" s="39">
        <v>1406</v>
      </c>
      <c r="M504">
        <v>2021</v>
      </c>
    </row>
    <row r="505" spans="1:13" ht="15">
      <c r="A505" t="s">
        <v>153</v>
      </c>
      <c r="B505" t="s">
        <v>154</v>
      </c>
      <c r="C505" s="15" t="s">
        <v>30</v>
      </c>
      <c r="D505" s="23" t="s">
        <v>81</v>
      </c>
      <c r="E505" s="25" t="s">
        <v>82</v>
      </c>
      <c r="F505" s="16" t="str">
        <f>'Source Table'!$E$6</f>
        <v>Private Sector</v>
      </c>
      <c r="G505" s="16" t="str">
        <f>'Source Table'!$E$5</f>
        <v>القطاع الخاص</v>
      </c>
      <c r="H505" t="str">
        <f>'Source Table'!$H$8</f>
        <v>Male</v>
      </c>
      <c r="I505" s="25" t="str">
        <f>'Source Table'!$H$7</f>
        <v>ذكر</v>
      </c>
      <c r="J505" s="25" t="str">
        <f>'Source Table'!$B$10</f>
        <v>Surgeon</v>
      </c>
      <c r="K505" s="25" t="str">
        <f>'Source Table'!$I$10</f>
        <v>جراحة عامة</v>
      </c>
      <c r="L505" s="39">
        <v>352</v>
      </c>
      <c r="M505">
        <v>2021</v>
      </c>
    </row>
    <row r="506" spans="1:13" ht="15">
      <c r="A506" t="s">
        <v>153</v>
      </c>
      <c r="B506" t="s">
        <v>154</v>
      </c>
      <c r="C506" s="15" t="s">
        <v>30</v>
      </c>
      <c r="D506" s="23" t="s">
        <v>81</v>
      </c>
      <c r="E506" s="25" t="s">
        <v>82</v>
      </c>
      <c r="F506" s="16" t="str">
        <f>'Source Table'!$E$6</f>
        <v>Private Sector</v>
      </c>
      <c r="G506" s="16" t="str">
        <f>'Source Table'!$E$5</f>
        <v>القطاع الخاص</v>
      </c>
      <c r="H506" t="str">
        <f>'Source Table'!$H$8</f>
        <v>Male</v>
      </c>
      <c r="I506" s="25" t="str">
        <f>'Source Table'!$H$7</f>
        <v>ذكر</v>
      </c>
      <c r="J506" s="25" t="str">
        <f>'Source Table'!$B$11</f>
        <v>Internist</v>
      </c>
      <c r="K506" s="25" t="str">
        <f>'Source Table'!$I$11</f>
        <v>باطنية</v>
      </c>
      <c r="L506" s="39">
        <v>386</v>
      </c>
      <c r="M506">
        <v>2021</v>
      </c>
    </row>
    <row r="507" spans="1:13" ht="15">
      <c r="A507" t="s">
        <v>153</v>
      </c>
      <c r="B507" t="s">
        <v>154</v>
      </c>
      <c r="C507" s="15" t="s">
        <v>30</v>
      </c>
      <c r="D507" s="23" t="s">
        <v>81</v>
      </c>
      <c r="E507" s="25" t="s">
        <v>82</v>
      </c>
      <c r="F507" s="16" t="str">
        <f>'Source Table'!$E$6</f>
        <v>Private Sector</v>
      </c>
      <c r="G507" s="16" t="str">
        <f>'Source Table'!$E$5</f>
        <v>القطاع الخاص</v>
      </c>
      <c r="H507" t="str">
        <f>'Source Table'!$H$8</f>
        <v>Male</v>
      </c>
      <c r="I507" s="25" t="str">
        <f>'Source Table'!$H$7</f>
        <v>ذكر</v>
      </c>
      <c r="J507" s="25" t="str">
        <f>'Source Table'!$B$12</f>
        <v>Gynecologist and Obst.</v>
      </c>
      <c r="K507" s="25" t="str">
        <f>'Source Table'!$I$12</f>
        <v>نسائية وتوليد</v>
      </c>
      <c r="L507" s="39">
        <v>322</v>
      </c>
      <c r="M507">
        <v>2021</v>
      </c>
    </row>
    <row r="508" spans="1:13" ht="15">
      <c r="A508" t="s">
        <v>153</v>
      </c>
      <c r="B508" t="s">
        <v>154</v>
      </c>
      <c r="C508" s="15" t="s">
        <v>30</v>
      </c>
      <c r="D508" s="23" t="s">
        <v>81</v>
      </c>
      <c r="E508" s="25" t="s">
        <v>82</v>
      </c>
      <c r="F508" s="16" t="str">
        <f>'Source Table'!$E$6</f>
        <v>Private Sector</v>
      </c>
      <c r="G508" s="16" t="str">
        <f>'Source Table'!$E$5</f>
        <v>القطاع الخاص</v>
      </c>
      <c r="H508" t="str">
        <f>'Source Table'!$H$8</f>
        <v>Male</v>
      </c>
      <c r="I508" s="25" t="str">
        <f>'Source Table'!$H$7</f>
        <v>ذكر</v>
      </c>
      <c r="J508" s="25" t="str">
        <f>'Source Table'!$B$13</f>
        <v>Pediatrics</v>
      </c>
      <c r="K508" s="25" t="str">
        <f>'Source Table'!$I$13</f>
        <v>أطفال</v>
      </c>
      <c r="L508" s="39">
        <v>293</v>
      </c>
      <c r="M508">
        <v>2021</v>
      </c>
    </row>
    <row r="509" spans="1:13" ht="15">
      <c r="A509" t="s">
        <v>153</v>
      </c>
      <c r="B509" t="s">
        <v>154</v>
      </c>
      <c r="C509" s="15" t="s">
        <v>30</v>
      </c>
      <c r="D509" s="23" t="s">
        <v>81</v>
      </c>
      <c r="E509" s="25" t="s">
        <v>82</v>
      </c>
      <c r="F509" s="16" t="str">
        <f>'Source Table'!$E$6</f>
        <v>Private Sector</v>
      </c>
      <c r="G509" s="16" t="str">
        <f>'Source Table'!$E$5</f>
        <v>القطاع الخاص</v>
      </c>
      <c r="H509" t="str">
        <f>'Source Table'!$H$8</f>
        <v>Male</v>
      </c>
      <c r="I509" s="25" t="str">
        <f>'Source Table'!$H$7</f>
        <v>ذكر</v>
      </c>
      <c r="J509" s="25" t="str">
        <f>'Source Table'!$B$14</f>
        <v>Ophthalmologist</v>
      </c>
      <c r="K509" s="25" t="str">
        <f>'Source Table'!$I$14</f>
        <v>العيون</v>
      </c>
      <c r="L509" s="39">
        <v>180</v>
      </c>
      <c r="M509">
        <v>2021</v>
      </c>
    </row>
    <row r="510" spans="1:13" ht="15">
      <c r="A510" t="s">
        <v>153</v>
      </c>
      <c r="B510" t="s">
        <v>154</v>
      </c>
      <c r="C510" s="15" t="s">
        <v>30</v>
      </c>
      <c r="D510" s="23" t="s">
        <v>81</v>
      </c>
      <c r="E510" s="25" t="s">
        <v>82</v>
      </c>
      <c r="F510" s="16" t="str">
        <f>'Source Table'!$E$6</f>
        <v>Private Sector</v>
      </c>
      <c r="G510" s="16" t="str">
        <f>'Source Table'!$E$5</f>
        <v>القطاع الخاص</v>
      </c>
      <c r="H510" t="str">
        <f>'Source Table'!$H$8</f>
        <v>Male</v>
      </c>
      <c r="I510" s="25" t="str">
        <f>'Source Table'!$H$7</f>
        <v>ذكر</v>
      </c>
      <c r="J510" s="25" t="str">
        <f>'Source Table'!$B$15</f>
        <v>Orthopedic Surg.</v>
      </c>
      <c r="K510" s="25" t="str">
        <f>'Source Table'!$I$15</f>
        <v>العظام</v>
      </c>
      <c r="L510" s="39">
        <v>230</v>
      </c>
      <c r="M510">
        <v>2021</v>
      </c>
    </row>
    <row r="511" spans="1:13" ht="15">
      <c r="A511" t="s">
        <v>153</v>
      </c>
      <c r="B511" t="s">
        <v>154</v>
      </c>
      <c r="C511" s="15" t="s">
        <v>30</v>
      </c>
      <c r="D511" s="23" t="s">
        <v>81</v>
      </c>
      <c r="E511" s="25" t="s">
        <v>82</v>
      </c>
      <c r="F511" s="16" t="str">
        <f>'Source Table'!$E$6</f>
        <v>Private Sector</v>
      </c>
      <c r="G511" s="16" t="str">
        <f>'Source Table'!$E$5</f>
        <v>القطاع الخاص</v>
      </c>
      <c r="H511" t="str">
        <f>'Source Table'!$H$8</f>
        <v>Male</v>
      </c>
      <c r="I511" s="25" t="str">
        <f>'Source Table'!$H$7</f>
        <v>ذكر</v>
      </c>
      <c r="J511" s="25" t="str">
        <f>'Source Table'!$B$16</f>
        <v>E.N.T.Surg.</v>
      </c>
      <c r="K511" s="25" t="str">
        <f>'Source Table'!$I$16</f>
        <v>أذن وأنف وحنجرة</v>
      </c>
      <c r="L511" s="39">
        <v>127</v>
      </c>
      <c r="M511">
        <v>2021</v>
      </c>
    </row>
    <row r="512" spans="1:13" ht="15">
      <c r="A512" t="s">
        <v>153</v>
      </c>
      <c r="B512" t="s">
        <v>154</v>
      </c>
      <c r="C512" s="15" t="s">
        <v>30</v>
      </c>
      <c r="D512" s="23" t="s">
        <v>81</v>
      </c>
      <c r="E512" s="25" t="s">
        <v>82</v>
      </c>
      <c r="F512" s="16" t="str">
        <f>'Source Table'!$E$6</f>
        <v>Private Sector</v>
      </c>
      <c r="G512" s="16" t="str">
        <f>'Source Table'!$E$5</f>
        <v>القطاع الخاص</v>
      </c>
      <c r="H512" t="str">
        <f>'Source Table'!$H$8</f>
        <v>Male</v>
      </c>
      <c r="I512" s="25" t="str">
        <f>'Source Table'!$H$7</f>
        <v>ذكر</v>
      </c>
      <c r="J512" s="25" t="str">
        <f>'Source Table'!$B$17</f>
        <v>Neurosurgery</v>
      </c>
      <c r="K512" s="25" t="str">
        <f>'Source Table'!$I$17</f>
        <v>جراحةأعصاب</v>
      </c>
      <c r="L512" s="39">
        <v>50</v>
      </c>
      <c r="M512">
        <v>2021</v>
      </c>
    </row>
    <row r="513" spans="1:13" ht="15">
      <c r="A513" t="s">
        <v>153</v>
      </c>
      <c r="B513" t="s">
        <v>154</v>
      </c>
      <c r="C513" s="15" t="s">
        <v>30</v>
      </c>
      <c r="D513" s="23" t="s">
        <v>81</v>
      </c>
      <c r="E513" s="25" t="s">
        <v>82</v>
      </c>
      <c r="F513" s="16" t="str">
        <f>'Source Table'!$E$6</f>
        <v>Private Sector</v>
      </c>
      <c r="G513" s="16" t="str">
        <f>'Source Table'!$E$5</f>
        <v>القطاع الخاص</v>
      </c>
      <c r="H513" t="str">
        <f>'Source Table'!$H$8</f>
        <v>Male</v>
      </c>
      <c r="I513" s="25" t="str">
        <f>'Source Table'!$H$7</f>
        <v>ذكر</v>
      </c>
      <c r="J513" s="25" t="str">
        <f>'Source Table'!$B$18</f>
        <v>Cardiothoracic</v>
      </c>
      <c r="K513" s="25" t="str">
        <f>'Source Table'!$I$18</f>
        <v>جراحة قلب</v>
      </c>
      <c r="L513" s="39">
        <v>22</v>
      </c>
      <c r="M513">
        <v>2021</v>
      </c>
    </row>
    <row r="514" spans="1:13" ht="15">
      <c r="A514" t="s">
        <v>153</v>
      </c>
      <c r="B514" t="s">
        <v>154</v>
      </c>
      <c r="C514" s="15" t="s">
        <v>30</v>
      </c>
      <c r="D514" s="23" t="s">
        <v>81</v>
      </c>
      <c r="E514" s="25" t="s">
        <v>82</v>
      </c>
      <c r="F514" s="16" t="str">
        <f>'Source Table'!$E$6</f>
        <v>Private Sector</v>
      </c>
      <c r="G514" s="16" t="str">
        <f>'Source Table'!$E$5</f>
        <v>القطاع الخاص</v>
      </c>
      <c r="H514" t="str">
        <f>'Source Table'!$H$8</f>
        <v>Male</v>
      </c>
      <c r="I514" s="25" t="str">
        <f>'Source Table'!$H$7</f>
        <v>ذكر</v>
      </c>
      <c r="J514" s="25" t="str">
        <f>'Source Table'!$B$19</f>
        <v>Plastic Surgeon</v>
      </c>
      <c r="K514" s="25" t="str">
        <f>'Source Table'!$I$19</f>
        <v>التجميل</v>
      </c>
      <c r="L514" s="39">
        <v>32</v>
      </c>
      <c r="M514">
        <v>2021</v>
      </c>
    </row>
    <row r="515" spans="1:13" ht="15">
      <c r="A515" t="s">
        <v>153</v>
      </c>
      <c r="B515" t="s">
        <v>154</v>
      </c>
      <c r="C515" s="15" t="s">
        <v>30</v>
      </c>
      <c r="D515" s="23" t="s">
        <v>81</v>
      </c>
      <c r="E515" s="25" t="s">
        <v>82</v>
      </c>
      <c r="F515" s="16" t="str">
        <f>'Source Table'!$E$6</f>
        <v>Private Sector</v>
      </c>
      <c r="G515" s="16" t="str">
        <f>'Source Table'!$E$5</f>
        <v>القطاع الخاص</v>
      </c>
      <c r="H515" t="str">
        <f>'Source Table'!$H$8</f>
        <v>Male</v>
      </c>
      <c r="I515" s="25" t="str">
        <f>'Source Table'!$H$7</f>
        <v>ذكر</v>
      </c>
      <c r="J515" s="25" t="str">
        <f>'Source Table'!$B$20</f>
        <v>Psychiatry</v>
      </c>
      <c r="K515" s="25" t="str">
        <f>'Source Table'!$I$20</f>
        <v>النفسية</v>
      </c>
      <c r="L515" s="39">
        <v>53</v>
      </c>
      <c r="M515">
        <v>2021</v>
      </c>
    </row>
    <row r="516" spans="1:13" ht="15">
      <c r="A516" t="s">
        <v>153</v>
      </c>
      <c r="B516" t="s">
        <v>154</v>
      </c>
      <c r="C516" s="15" t="s">
        <v>30</v>
      </c>
      <c r="D516" s="23" t="s">
        <v>81</v>
      </c>
      <c r="E516" s="25" t="s">
        <v>82</v>
      </c>
      <c r="F516" s="16" t="str">
        <f>'Source Table'!$E$6</f>
        <v>Private Sector</v>
      </c>
      <c r="G516" s="16" t="str">
        <f>'Source Table'!$E$5</f>
        <v>القطاع الخاص</v>
      </c>
      <c r="H516" t="str">
        <f>'Source Table'!$H$8</f>
        <v>Male</v>
      </c>
      <c r="I516" s="25" t="str">
        <f>'Source Table'!$H$7</f>
        <v>ذكر</v>
      </c>
      <c r="J516" s="25" t="str">
        <f>'Source Table'!$B$21</f>
        <v>Dermatologist Venereal</v>
      </c>
      <c r="K516" s="25" t="str">
        <f>'Source Table'!$I$21</f>
        <v>جلدية وتناسلية</v>
      </c>
      <c r="L516" s="39">
        <v>116</v>
      </c>
      <c r="M516">
        <v>2021</v>
      </c>
    </row>
    <row r="517" spans="1:13" ht="15">
      <c r="A517" t="s">
        <v>153</v>
      </c>
      <c r="B517" t="s">
        <v>154</v>
      </c>
      <c r="C517" s="15" t="s">
        <v>30</v>
      </c>
      <c r="D517" s="23" t="s">
        <v>81</v>
      </c>
      <c r="E517" s="25" t="s">
        <v>82</v>
      </c>
      <c r="F517" s="16" t="str">
        <f>'Source Table'!$E$6</f>
        <v>Private Sector</v>
      </c>
      <c r="G517" s="16" t="str">
        <f>'Source Table'!$E$5</f>
        <v>القطاع الخاص</v>
      </c>
      <c r="H517" t="str">
        <f>'Source Table'!$H$8</f>
        <v>Male</v>
      </c>
      <c r="I517" s="25" t="str">
        <f>'Source Table'!$H$7</f>
        <v>ذكر</v>
      </c>
      <c r="J517" s="25" t="str">
        <f>'Source Table'!$B$22</f>
        <v>Neurology/ Nervous</v>
      </c>
      <c r="K517" s="25" t="str">
        <f>'Source Table'!$I$22</f>
        <v>مرض الأعصاب</v>
      </c>
      <c r="L517" s="39">
        <v>31</v>
      </c>
      <c r="M517">
        <v>2021</v>
      </c>
    </row>
    <row r="518" spans="1:13" ht="15">
      <c r="A518" t="s">
        <v>153</v>
      </c>
      <c r="B518" t="s">
        <v>154</v>
      </c>
      <c r="C518" s="15" t="s">
        <v>30</v>
      </c>
      <c r="D518" s="23" t="s">
        <v>81</v>
      </c>
      <c r="E518" s="25" t="s">
        <v>82</v>
      </c>
      <c r="F518" s="16" t="str">
        <f>'Source Table'!$E$6</f>
        <v>Private Sector</v>
      </c>
      <c r="G518" s="16" t="str">
        <f>'Source Table'!$E$5</f>
        <v>القطاع الخاص</v>
      </c>
      <c r="H518" t="str">
        <f>'Source Table'!$H$8</f>
        <v>Male</v>
      </c>
      <c r="I518" s="25" t="str">
        <f>'Source Table'!$H$7</f>
        <v>ذكر</v>
      </c>
      <c r="J518" s="25" t="str">
        <f>'Source Table'!$B$23</f>
        <v>Pumologist</v>
      </c>
      <c r="K518" s="25" t="str">
        <f>'Source Table'!$I$23</f>
        <v>صدرية</v>
      </c>
      <c r="L518" s="39">
        <v>31</v>
      </c>
      <c r="M518">
        <v>2021</v>
      </c>
    </row>
    <row r="519" spans="1:13" ht="15">
      <c r="A519" t="s">
        <v>153</v>
      </c>
      <c r="B519" t="s">
        <v>154</v>
      </c>
      <c r="C519" s="15" t="s">
        <v>30</v>
      </c>
      <c r="D519" s="23" t="s">
        <v>81</v>
      </c>
      <c r="E519" s="25" t="s">
        <v>82</v>
      </c>
      <c r="F519" s="16" t="str">
        <f>'Source Table'!$E$6</f>
        <v>Private Sector</v>
      </c>
      <c r="G519" s="16" t="str">
        <f>'Source Table'!$E$5</f>
        <v>القطاع الخاص</v>
      </c>
      <c r="H519" t="str">
        <f>'Source Table'!$H$8</f>
        <v>Male</v>
      </c>
      <c r="I519" s="25" t="str">
        <f>'Source Table'!$H$7</f>
        <v>ذكر</v>
      </c>
      <c r="J519" s="25" t="str">
        <f>'Source Table'!$B$24</f>
        <v>G.I.T. Specialist</v>
      </c>
      <c r="K519" s="25" t="str">
        <f>'Source Table'!$I$24</f>
        <v>جهاز هضمي</v>
      </c>
      <c r="L519" s="39">
        <v>45</v>
      </c>
      <c r="M519">
        <v>2021</v>
      </c>
    </row>
    <row r="520" spans="1:13" ht="15">
      <c r="A520" t="s">
        <v>153</v>
      </c>
      <c r="B520" t="s">
        <v>154</v>
      </c>
      <c r="C520" s="15" t="s">
        <v>30</v>
      </c>
      <c r="D520" s="23" t="s">
        <v>81</v>
      </c>
      <c r="E520" s="25" t="s">
        <v>82</v>
      </c>
      <c r="F520" s="16" t="str">
        <f>'Source Table'!$E$6</f>
        <v>Private Sector</v>
      </c>
      <c r="G520" s="16" t="str">
        <f>'Source Table'!$E$5</f>
        <v>القطاع الخاص</v>
      </c>
      <c r="H520" t="str">
        <f>'Source Table'!$H$8</f>
        <v>Male</v>
      </c>
      <c r="I520" s="25" t="str">
        <f>'Source Table'!$H$7</f>
        <v>ذكر</v>
      </c>
      <c r="J520" s="25" t="str">
        <f>'Source Table'!$B$25</f>
        <v>Diagnostic Radiology</v>
      </c>
      <c r="K520" s="25" t="str">
        <f>'Source Table'!$I$25</f>
        <v>أشعة تشخيصية</v>
      </c>
      <c r="L520" s="39">
        <v>140</v>
      </c>
      <c r="M520">
        <v>2021</v>
      </c>
    </row>
    <row r="521" spans="1:13" ht="15">
      <c r="A521" t="s">
        <v>153</v>
      </c>
      <c r="B521" t="s">
        <v>154</v>
      </c>
      <c r="C521" s="15" t="s">
        <v>30</v>
      </c>
      <c r="D521" s="23" t="s">
        <v>81</v>
      </c>
      <c r="E521" s="25" t="s">
        <v>82</v>
      </c>
      <c r="F521" s="16" t="str">
        <f>'Source Table'!$E$6</f>
        <v>Private Sector</v>
      </c>
      <c r="G521" s="16" t="str">
        <f>'Source Table'!$E$5</f>
        <v>القطاع الخاص</v>
      </c>
      <c r="H521" t="str">
        <f>'Source Table'!$H$8</f>
        <v>Male</v>
      </c>
      <c r="I521" s="25" t="str">
        <f>'Source Table'!$H$7</f>
        <v>ذكر</v>
      </c>
      <c r="J521" s="25" t="str">
        <f>'Source Table'!$B$26</f>
        <v>Anesthetic</v>
      </c>
      <c r="K521" s="25" t="str">
        <f>'Source Table'!$I$26</f>
        <v>تخدير وإنعاش</v>
      </c>
      <c r="L521" s="39">
        <v>217</v>
      </c>
      <c r="M521">
        <v>2021</v>
      </c>
    </row>
    <row r="522" spans="1:13" ht="15">
      <c r="A522" t="s">
        <v>153</v>
      </c>
      <c r="B522" t="s">
        <v>154</v>
      </c>
      <c r="C522" s="15" t="s">
        <v>30</v>
      </c>
      <c r="D522" s="23" t="s">
        <v>81</v>
      </c>
      <c r="E522" s="25" t="s">
        <v>82</v>
      </c>
      <c r="F522" s="16" t="str">
        <f>'Source Table'!$E$6</f>
        <v>Private Sector</v>
      </c>
      <c r="G522" s="16" t="str">
        <f>'Source Table'!$E$5</f>
        <v>القطاع الخاص</v>
      </c>
      <c r="H522" t="str">
        <f>'Source Table'!$H$8</f>
        <v>Male</v>
      </c>
      <c r="I522" s="25" t="str">
        <f>'Source Table'!$H$7</f>
        <v>ذكر</v>
      </c>
      <c r="J522" s="25" t="str">
        <f>'Source Table'!$B$27</f>
        <v>Physiotherapist</v>
      </c>
      <c r="K522" s="25" t="str">
        <f>'Source Table'!$I$27</f>
        <v>طب طبيعي</v>
      </c>
      <c r="L522" s="39">
        <v>18</v>
      </c>
      <c r="M522">
        <v>2021</v>
      </c>
    </row>
    <row r="523" spans="1:13" ht="15">
      <c r="A523" t="s">
        <v>153</v>
      </c>
      <c r="B523" t="s">
        <v>154</v>
      </c>
      <c r="C523" s="15" t="s">
        <v>30</v>
      </c>
      <c r="D523" s="23" t="s">
        <v>81</v>
      </c>
      <c r="E523" s="25" t="s">
        <v>82</v>
      </c>
      <c r="F523" s="16" t="str">
        <f>'Source Table'!$E$6</f>
        <v>Private Sector</v>
      </c>
      <c r="G523" s="16" t="str">
        <f>'Source Table'!$E$5</f>
        <v>القطاع الخاص</v>
      </c>
      <c r="H523" t="str">
        <f>'Source Table'!$H$8</f>
        <v>Male</v>
      </c>
      <c r="I523" s="25" t="str">
        <f>'Source Table'!$H$7</f>
        <v>ذكر</v>
      </c>
      <c r="J523" s="25" t="str">
        <f>'Source Table'!$B$28</f>
        <v>Forensic</v>
      </c>
      <c r="K523" s="25" t="str">
        <f>'Source Table'!$I$28</f>
        <v>طب شرعي</v>
      </c>
      <c r="L523" s="39">
        <v>2</v>
      </c>
      <c r="M523">
        <v>2021</v>
      </c>
    </row>
    <row r="524" spans="1:13" ht="15">
      <c r="A524" t="s">
        <v>153</v>
      </c>
      <c r="B524" t="s">
        <v>154</v>
      </c>
      <c r="C524" s="15" t="s">
        <v>30</v>
      </c>
      <c r="D524" s="23" t="s">
        <v>81</v>
      </c>
      <c r="E524" s="25" t="s">
        <v>82</v>
      </c>
      <c r="F524" s="16" t="str">
        <f>'Source Table'!$E$6</f>
        <v>Private Sector</v>
      </c>
      <c r="G524" s="16" t="str">
        <f>'Source Table'!$E$5</f>
        <v>القطاع الخاص</v>
      </c>
      <c r="H524" t="str">
        <f>'Source Table'!$H$8</f>
        <v>Male</v>
      </c>
      <c r="I524" s="25" t="str">
        <f>'Source Table'!$H$7</f>
        <v>ذكر</v>
      </c>
      <c r="J524" s="25" t="str">
        <f>'Source Table'!$B$29</f>
        <v xml:space="preserve">Family </v>
      </c>
      <c r="K524" s="25" t="str">
        <f>'Source Table'!$I$29</f>
        <v>طب أسرة</v>
      </c>
      <c r="L524" s="39">
        <v>29</v>
      </c>
      <c r="M524">
        <v>2021</v>
      </c>
    </row>
    <row r="525" spans="1:13" ht="15">
      <c r="A525" t="s">
        <v>153</v>
      </c>
      <c r="B525" t="s">
        <v>154</v>
      </c>
      <c r="C525" s="15" t="s">
        <v>30</v>
      </c>
      <c r="D525" s="23" t="s">
        <v>81</v>
      </c>
      <c r="E525" s="25" t="s">
        <v>82</v>
      </c>
      <c r="F525" s="16" t="str">
        <f>'Source Table'!$E$6</f>
        <v>Private Sector</v>
      </c>
      <c r="G525" s="16" t="str">
        <f>'Source Table'!$E$5</f>
        <v>القطاع الخاص</v>
      </c>
      <c r="H525" t="str">
        <f>'Source Table'!$H$8</f>
        <v>Male</v>
      </c>
      <c r="I525" s="25" t="str">
        <f>'Source Table'!$H$7</f>
        <v>ذكر</v>
      </c>
      <c r="J525" s="25" t="str">
        <f>'Source Table'!$B$30</f>
        <v>Urologist</v>
      </c>
      <c r="K525" s="25" t="str">
        <f>'Source Table'!$I$30</f>
        <v xml:space="preserve">المسالك البولية </v>
      </c>
      <c r="L525" s="39">
        <v>103</v>
      </c>
      <c r="M525">
        <v>2021</v>
      </c>
    </row>
    <row r="526" spans="1:13" ht="15">
      <c r="A526" t="s">
        <v>153</v>
      </c>
      <c r="B526" t="s">
        <v>154</v>
      </c>
      <c r="C526" s="15" t="s">
        <v>30</v>
      </c>
      <c r="D526" s="23" t="s">
        <v>81</v>
      </c>
      <c r="E526" s="25" t="s">
        <v>82</v>
      </c>
      <c r="F526" s="16" t="str">
        <f>'Source Table'!$E$6</f>
        <v>Private Sector</v>
      </c>
      <c r="G526" s="16" t="str">
        <f>'Source Table'!$E$5</f>
        <v>القطاع الخاص</v>
      </c>
      <c r="H526" t="str">
        <f>'Source Table'!$H$8</f>
        <v>Male</v>
      </c>
      <c r="I526" s="25" t="str">
        <f>'Source Table'!$H$7</f>
        <v>ذكر</v>
      </c>
      <c r="J526" s="25" t="str">
        <f>'Source Table'!$B$31</f>
        <v>Cardiology</v>
      </c>
      <c r="K526" s="25" t="str">
        <f>'Source Table'!$I$31</f>
        <v>أمراض القلب</v>
      </c>
      <c r="L526" s="39">
        <v>73</v>
      </c>
      <c r="M526">
        <v>2021</v>
      </c>
    </row>
    <row r="527" spans="1:13" ht="15">
      <c r="A527" t="s">
        <v>153</v>
      </c>
      <c r="B527" t="s">
        <v>154</v>
      </c>
      <c r="C527" s="15" t="s">
        <v>30</v>
      </c>
      <c r="D527" s="23" t="s">
        <v>81</v>
      </c>
      <c r="E527" s="25" t="s">
        <v>82</v>
      </c>
      <c r="F527" s="16" t="str">
        <f>'Source Table'!$E$6</f>
        <v>Private Sector</v>
      </c>
      <c r="G527" s="16" t="str">
        <f>'Source Table'!$E$5</f>
        <v>القطاع الخاص</v>
      </c>
      <c r="H527" t="str">
        <f>'Source Table'!$H$8</f>
        <v>Male</v>
      </c>
      <c r="I527" s="25" t="str">
        <f>'Source Table'!$H$7</f>
        <v>ذكر</v>
      </c>
      <c r="J527" s="25" t="str">
        <f>'Source Table'!$B$32</f>
        <v>Laboratory</v>
      </c>
      <c r="K527" s="25" t="str">
        <f>'Source Table'!$I$32</f>
        <v>مختبرات</v>
      </c>
      <c r="L527" s="39">
        <v>8</v>
      </c>
      <c r="M527">
        <v>2021</v>
      </c>
    </row>
    <row r="528" spans="1:13" ht="15">
      <c r="A528" t="s">
        <v>153</v>
      </c>
      <c r="B528" t="s">
        <v>154</v>
      </c>
      <c r="C528" s="15" t="s">
        <v>30</v>
      </c>
      <c r="D528" s="23" t="s">
        <v>81</v>
      </c>
      <c r="E528" s="25" t="s">
        <v>82</v>
      </c>
      <c r="F528" s="16" t="str">
        <f>'Source Table'!$E$6</f>
        <v>Private Sector</v>
      </c>
      <c r="G528" s="16" t="str">
        <f>'Source Table'!$E$5</f>
        <v>القطاع الخاص</v>
      </c>
      <c r="H528" t="str">
        <f>'Source Table'!$H$8</f>
        <v>Male</v>
      </c>
      <c r="I528" s="25" t="str">
        <f>'Source Table'!$H$7</f>
        <v>ذكر</v>
      </c>
      <c r="J528" s="25" t="str">
        <f>'Source Table'!$B$33</f>
        <v>Others</v>
      </c>
      <c r="K528" s="25" t="str">
        <f>'Source Table'!$I$33</f>
        <v>أخرى</v>
      </c>
      <c r="L528" s="39">
        <v>237</v>
      </c>
      <c r="M528">
        <v>2021</v>
      </c>
    </row>
    <row r="529" spans="1:13" ht="15">
      <c r="A529" t="s">
        <v>153</v>
      </c>
      <c r="B529" t="s">
        <v>154</v>
      </c>
      <c r="C529" s="15" t="s">
        <v>30</v>
      </c>
      <c r="D529" s="23" t="s">
        <v>81</v>
      </c>
      <c r="E529" s="25" t="s">
        <v>82</v>
      </c>
      <c r="F529" s="16" t="str">
        <f>'Source Table'!$E$6</f>
        <v>Private Sector</v>
      </c>
      <c r="G529" s="16" t="str">
        <f>'Source Table'!$E$5</f>
        <v>القطاع الخاص</v>
      </c>
      <c r="H529" t="str">
        <f>'Source Table'!$G$8</f>
        <v>Female</v>
      </c>
      <c r="I529" s="16" t="str">
        <f>'Source Table'!$G$7</f>
        <v>أنثى</v>
      </c>
      <c r="J529" s="25" t="str">
        <f>'Source Table'!$B$9</f>
        <v>General Practitioner</v>
      </c>
      <c r="K529" s="25" t="str">
        <f>'Source Table'!$I$9</f>
        <v>طبيب عام</v>
      </c>
      <c r="L529" s="39">
        <v>345</v>
      </c>
      <c r="M529">
        <v>2021</v>
      </c>
    </row>
    <row r="530" spans="1:13" ht="15">
      <c r="A530" t="s">
        <v>153</v>
      </c>
      <c r="B530" t="s">
        <v>154</v>
      </c>
      <c r="C530" s="15" t="s">
        <v>30</v>
      </c>
      <c r="D530" s="23" t="s">
        <v>81</v>
      </c>
      <c r="E530" s="25" t="s">
        <v>82</v>
      </c>
      <c r="F530" s="16" t="str">
        <f>'Source Table'!$E$6</f>
        <v>Private Sector</v>
      </c>
      <c r="G530" s="16" t="str">
        <f>'Source Table'!$E$5</f>
        <v>القطاع الخاص</v>
      </c>
      <c r="H530" t="str">
        <f>'Source Table'!$G$8</f>
        <v>Female</v>
      </c>
      <c r="I530" s="16" t="str">
        <f>'Source Table'!$G$7</f>
        <v>أنثى</v>
      </c>
      <c r="J530" s="25" t="str">
        <f>'Source Table'!$B$10</f>
        <v>Surgeon</v>
      </c>
      <c r="K530" s="25" t="str">
        <f>'Source Table'!$I$10</f>
        <v>جراحة عامة</v>
      </c>
      <c r="L530" s="39">
        <v>14</v>
      </c>
      <c r="M530">
        <v>2021</v>
      </c>
    </row>
    <row r="531" spans="1:13" ht="15">
      <c r="A531" t="s">
        <v>153</v>
      </c>
      <c r="B531" t="s">
        <v>154</v>
      </c>
      <c r="C531" s="15" t="s">
        <v>30</v>
      </c>
      <c r="D531" s="23" t="s">
        <v>81</v>
      </c>
      <c r="E531" s="25" t="s">
        <v>82</v>
      </c>
      <c r="F531" s="16" t="str">
        <f>'Source Table'!$E$6</f>
        <v>Private Sector</v>
      </c>
      <c r="G531" s="16" t="str">
        <f>'Source Table'!$E$5</f>
        <v>القطاع الخاص</v>
      </c>
      <c r="H531" t="str">
        <f>'Source Table'!$G$8</f>
        <v>Female</v>
      </c>
      <c r="I531" s="16" t="str">
        <f>'Source Table'!$G$7</f>
        <v>أنثى</v>
      </c>
      <c r="J531" s="25" t="str">
        <f>'Source Table'!$B$11</f>
        <v>Internist</v>
      </c>
      <c r="K531" s="25" t="str">
        <f>'Source Table'!$I$11</f>
        <v>باطنية</v>
      </c>
      <c r="L531" s="39">
        <v>47</v>
      </c>
      <c r="M531">
        <v>2021</v>
      </c>
    </row>
    <row r="532" spans="1:13" ht="15">
      <c r="A532" t="s">
        <v>153</v>
      </c>
      <c r="B532" t="s">
        <v>154</v>
      </c>
      <c r="C532" s="15" t="s">
        <v>30</v>
      </c>
      <c r="D532" s="23" t="s">
        <v>81</v>
      </c>
      <c r="E532" s="25" t="s">
        <v>82</v>
      </c>
      <c r="F532" s="16" t="str">
        <f>'Source Table'!$E$6</f>
        <v>Private Sector</v>
      </c>
      <c r="G532" s="16" t="str">
        <f>'Source Table'!$E$5</f>
        <v>القطاع الخاص</v>
      </c>
      <c r="H532" t="str">
        <f>'Source Table'!$G$8</f>
        <v>Female</v>
      </c>
      <c r="I532" s="16" t="str">
        <f>'Source Table'!$G$7</f>
        <v>أنثى</v>
      </c>
      <c r="J532" s="25" t="str">
        <f>'Source Table'!$B$12</f>
        <v>Gynecologist and Obst.</v>
      </c>
      <c r="K532" s="25" t="str">
        <f>'Source Table'!$I$12</f>
        <v>نسائية وتوليد</v>
      </c>
      <c r="L532" s="39">
        <v>250</v>
      </c>
      <c r="M532">
        <v>2021</v>
      </c>
    </row>
    <row r="533" spans="1:13" ht="15">
      <c r="A533" t="s">
        <v>153</v>
      </c>
      <c r="B533" t="s">
        <v>154</v>
      </c>
      <c r="C533" s="15" t="s">
        <v>30</v>
      </c>
      <c r="D533" s="23" t="s">
        <v>81</v>
      </c>
      <c r="E533" s="25" t="s">
        <v>82</v>
      </c>
      <c r="F533" s="16" t="str">
        <f>'Source Table'!$E$6</f>
        <v>Private Sector</v>
      </c>
      <c r="G533" s="16" t="str">
        <f>'Source Table'!$E$5</f>
        <v>القطاع الخاص</v>
      </c>
      <c r="H533" t="str">
        <f>'Source Table'!$G$8</f>
        <v>Female</v>
      </c>
      <c r="I533" s="16" t="str">
        <f>'Source Table'!$G$7</f>
        <v>أنثى</v>
      </c>
      <c r="J533" s="25" t="str">
        <f>'Source Table'!$B$13</f>
        <v>Pediatrics</v>
      </c>
      <c r="K533" s="25" t="str">
        <f>'Source Table'!$I$13</f>
        <v>أطفال</v>
      </c>
      <c r="L533" s="39">
        <v>115</v>
      </c>
      <c r="M533">
        <v>2021</v>
      </c>
    </row>
    <row r="534" spans="1:13" ht="15">
      <c r="A534" t="s">
        <v>153</v>
      </c>
      <c r="B534" t="s">
        <v>154</v>
      </c>
      <c r="C534" s="15" t="s">
        <v>30</v>
      </c>
      <c r="D534" s="23" t="s">
        <v>81</v>
      </c>
      <c r="E534" s="25" t="s">
        <v>82</v>
      </c>
      <c r="F534" s="16" t="str">
        <f>'Source Table'!$E$6</f>
        <v>Private Sector</v>
      </c>
      <c r="G534" s="16" t="str">
        <f>'Source Table'!$E$5</f>
        <v>القطاع الخاص</v>
      </c>
      <c r="H534" t="str">
        <f>'Source Table'!$G$8</f>
        <v>Female</v>
      </c>
      <c r="I534" s="16" t="str">
        <f>'Source Table'!$G$7</f>
        <v>أنثى</v>
      </c>
      <c r="J534" s="25" t="str">
        <f>'Source Table'!$B$14</f>
        <v>Ophthalmologist</v>
      </c>
      <c r="K534" s="25" t="str">
        <f>'Source Table'!$I$14</f>
        <v>العيون</v>
      </c>
      <c r="L534" s="39">
        <v>47</v>
      </c>
      <c r="M534">
        <v>2021</v>
      </c>
    </row>
    <row r="535" spans="1:13" ht="15">
      <c r="A535" t="s">
        <v>153</v>
      </c>
      <c r="B535" t="s">
        <v>154</v>
      </c>
      <c r="C535" s="15" t="s">
        <v>30</v>
      </c>
      <c r="D535" s="23" t="s">
        <v>81</v>
      </c>
      <c r="E535" s="25" t="s">
        <v>82</v>
      </c>
      <c r="F535" s="16" t="str">
        <f>'Source Table'!$E$6</f>
        <v>Private Sector</v>
      </c>
      <c r="G535" s="16" t="str">
        <f>'Source Table'!$E$5</f>
        <v>القطاع الخاص</v>
      </c>
      <c r="H535" t="str">
        <f>'Source Table'!$G$8</f>
        <v>Female</v>
      </c>
      <c r="I535" s="16" t="str">
        <f>'Source Table'!$G$7</f>
        <v>أنثى</v>
      </c>
      <c r="J535" s="25" t="str">
        <f>'Source Table'!$B$15</f>
        <v>Orthopedic Surg.</v>
      </c>
      <c r="K535" s="25" t="str">
        <f>'Source Table'!$I$15</f>
        <v>العظام</v>
      </c>
      <c r="L535" s="39">
        <v>2</v>
      </c>
      <c r="M535">
        <v>2021</v>
      </c>
    </row>
    <row r="536" spans="1:13" ht="15">
      <c r="A536" t="s">
        <v>153</v>
      </c>
      <c r="B536" t="s">
        <v>154</v>
      </c>
      <c r="C536" s="15" t="s">
        <v>30</v>
      </c>
      <c r="D536" s="23" t="s">
        <v>81</v>
      </c>
      <c r="E536" s="25" t="s">
        <v>82</v>
      </c>
      <c r="F536" s="16" t="str">
        <f>'Source Table'!$E$6</f>
        <v>Private Sector</v>
      </c>
      <c r="G536" s="16" t="str">
        <f>'Source Table'!$E$5</f>
        <v>القطاع الخاص</v>
      </c>
      <c r="H536" t="str">
        <f>'Source Table'!$G$8</f>
        <v>Female</v>
      </c>
      <c r="I536" s="16" t="str">
        <f>'Source Table'!$G$7</f>
        <v>أنثى</v>
      </c>
      <c r="J536" s="25" t="str">
        <f>'Source Table'!$B$16</f>
        <v>E.N.T.Surg.</v>
      </c>
      <c r="K536" s="25" t="str">
        <f>'Source Table'!$I$16</f>
        <v>أذن وأنف وحنجرة</v>
      </c>
      <c r="L536" s="39">
        <v>8</v>
      </c>
      <c r="M536">
        <v>2021</v>
      </c>
    </row>
    <row r="537" spans="1:13" ht="15">
      <c r="A537" t="s">
        <v>153</v>
      </c>
      <c r="B537" t="s">
        <v>154</v>
      </c>
      <c r="C537" s="15" t="s">
        <v>30</v>
      </c>
      <c r="D537" s="23" t="s">
        <v>81</v>
      </c>
      <c r="E537" s="25" t="s">
        <v>82</v>
      </c>
      <c r="F537" s="16" t="str">
        <f>'Source Table'!$E$6</f>
        <v>Private Sector</v>
      </c>
      <c r="G537" s="16" t="str">
        <f>'Source Table'!$E$5</f>
        <v>القطاع الخاص</v>
      </c>
      <c r="H537" t="str">
        <f>'Source Table'!$G$8</f>
        <v>Female</v>
      </c>
      <c r="I537" s="16" t="str">
        <f>'Source Table'!$G$7</f>
        <v>أنثى</v>
      </c>
      <c r="J537" s="25" t="str">
        <f>'Source Table'!$B$17</f>
        <v>Neurosurgery</v>
      </c>
      <c r="K537" s="25" t="str">
        <f>'Source Table'!$I$17</f>
        <v>جراحةأعصاب</v>
      </c>
      <c r="L537" s="39">
        <v>0</v>
      </c>
      <c r="M537">
        <v>2021</v>
      </c>
    </row>
    <row r="538" spans="1:13" ht="15">
      <c r="A538" t="s">
        <v>153</v>
      </c>
      <c r="B538" t="s">
        <v>154</v>
      </c>
      <c r="C538" s="15" t="s">
        <v>30</v>
      </c>
      <c r="D538" s="23" t="s">
        <v>81</v>
      </c>
      <c r="E538" s="25" t="s">
        <v>82</v>
      </c>
      <c r="F538" s="16" t="str">
        <f>'Source Table'!$E$6</f>
        <v>Private Sector</v>
      </c>
      <c r="G538" s="16" t="str">
        <f>'Source Table'!$E$5</f>
        <v>القطاع الخاص</v>
      </c>
      <c r="H538" t="str">
        <f>'Source Table'!$G$8</f>
        <v>Female</v>
      </c>
      <c r="I538" s="16" t="str">
        <f>'Source Table'!$G$7</f>
        <v>أنثى</v>
      </c>
      <c r="J538" s="25" t="str">
        <f>'Source Table'!$B$18</f>
        <v>Cardiothoracic</v>
      </c>
      <c r="K538" s="25" t="str">
        <f>'Source Table'!$I$18</f>
        <v>جراحة قلب</v>
      </c>
      <c r="L538" s="39">
        <v>0</v>
      </c>
      <c r="M538">
        <v>2021</v>
      </c>
    </row>
    <row r="539" spans="1:13" ht="15">
      <c r="A539" t="s">
        <v>153</v>
      </c>
      <c r="B539" t="s">
        <v>154</v>
      </c>
      <c r="C539" s="15" t="s">
        <v>30</v>
      </c>
      <c r="D539" s="23" t="s">
        <v>81</v>
      </c>
      <c r="E539" s="25" t="s">
        <v>82</v>
      </c>
      <c r="F539" s="16" t="str">
        <f>'Source Table'!$E$6</f>
        <v>Private Sector</v>
      </c>
      <c r="G539" s="16" t="str">
        <f>'Source Table'!$E$5</f>
        <v>القطاع الخاص</v>
      </c>
      <c r="H539" t="str">
        <f>'Source Table'!$G$8</f>
        <v>Female</v>
      </c>
      <c r="I539" s="16" t="str">
        <f>'Source Table'!$G$7</f>
        <v>أنثى</v>
      </c>
      <c r="J539" s="25" t="str">
        <f>'Source Table'!$B$19</f>
        <v>Plastic Surgeon</v>
      </c>
      <c r="K539" s="25" t="str">
        <f>'Source Table'!$I$19</f>
        <v>التجميل</v>
      </c>
      <c r="L539" s="39">
        <v>2</v>
      </c>
      <c r="M539">
        <v>2021</v>
      </c>
    </row>
    <row r="540" spans="1:13" ht="15">
      <c r="A540" t="s">
        <v>153</v>
      </c>
      <c r="B540" t="s">
        <v>154</v>
      </c>
      <c r="C540" s="15" t="s">
        <v>30</v>
      </c>
      <c r="D540" s="23" t="s">
        <v>81</v>
      </c>
      <c r="E540" s="25" t="s">
        <v>82</v>
      </c>
      <c r="F540" s="16" t="str">
        <f>'Source Table'!$E$6</f>
        <v>Private Sector</v>
      </c>
      <c r="G540" s="16" t="str">
        <f>'Source Table'!$E$5</f>
        <v>القطاع الخاص</v>
      </c>
      <c r="H540" t="str">
        <f>'Source Table'!$G$8</f>
        <v>Female</v>
      </c>
      <c r="I540" s="16" t="str">
        <f>'Source Table'!$G$7</f>
        <v>أنثى</v>
      </c>
      <c r="J540" s="25" t="str">
        <f>'Source Table'!$B$20</f>
        <v>Psychiatry</v>
      </c>
      <c r="K540" s="25" t="str">
        <f>'Source Table'!$I$20</f>
        <v>النفسية</v>
      </c>
      <c r="L540" s="39">
        <v>5</v>
      </c>
      <c r="M540">
        <v>2021</v>
      </c>
    </row>
    <row r="541" spans="1:13" ht="15">
      <c r="A541" t="s">
        <v>153</v>
      </c>
      <c r="B541" t="s">
        <v>154</v>
      </c>
      <c r="C541" s="15" t="s">
        <v>30</v>
      </c>
      <c r="D541" s="23" t="s">
        <v>81</v>
      </c>
      <c r="E541" s="25" t="s">
        <v>82</v>
      </c>
      <c r="F541" s="16" t="str">
        <f>'Source Table'!$E$6</f>
        <v>Private Sector</v>
      </c>
      <c r="G541" s="16" t="str">
        <f>'Source Table'!$E$5</f>
        <v>القطاع الخاص</v>
      </c>
      <c r="H541" t="str">
        <f>'Source Table'!$G$8</f>
        <v>Female</v>
      </c>
      <c r="I541" s="16" t="str">
        <f>'Source Table'!$G$7</f>
        <v>أنثى</v>
      </c>
      <c r="J541" s="25" t="str">
        <f>'Source Table'!$B$21</f>
        <v>Dermatologist Venereal</v>
      </c>
      <c r="K541" s="25" t="str">
        <f>'Source Table'!$I$21</f>
        <v>جلدية وتناسلية</v>
      </c>
      <c r="L541" s="39">
        <v>57</v>
      </c>
      <c r="M541">
        <v>2021</v>
      </c>
    </row>
    <row r="542" spans="1:13" ht="15">
      <c r="A542" t="s">
        <v>153</v>
      </c>
      <c r="B542" t="s">
        <v>154</v>
      </c>
      <c r="C542" s="15" t="s">
        <v>30</v>
      </c>
      <c r="D542" s="23" t="s">
        <v>81</v>
      </c>
      <c r="E542" s="25" t="s">
        <v>82</v>
      </c>
      <c r="F542" s="16" t="str">
        <f>'Source Table'!$E$6</f>
        <v>Private Sector</v>
      </c>
      <c r="G542" s="16" t="str">
        <f>'Source Table'!$E$5</f>
        <v>القطاع الخاص</v>
      </c>
      <c r="H542" t="str">
        <f>'Source Table'!$G$8</f>
        <v>Female</v>
      </c>
      <c r="I542" s="16" t="str">
        <f>'Source Table'!$G$7</f>
        <v>أنثى</v>
      </c>
      <c r="J542" s="25" t="str">
        <f>'Source Table'!$B$22</f>
        <v>Neurology/ Nervous</v>
      </c>
      <c r="K542" s="25" t="str">
        <f>'Source Table'!$I$22</f>
        <v>مرض الأعصاب</v>
      </c>
      <c r="L542" s="39">
        <v>4</v>
      </c>
      <c r="M542">
        <v>2021</v>
      </c>
    </row>
    <row r="543" spans="1:13" ht="15">
      <c r="A543" t="s">
        <v>153</v>
      </c>
      <c r="B543" t="s">
        <v>154</v>
      </c>
      <c r="C543" s="15" t="s">
        <v>30</v>
      </c>
      <c r="D543" s="23" t="s">
        <v>81</v>
      </c>
      <c r="E543" s="25" t="s">
        <v>82</v>
      </c>
      <c r="F543" s="16" t="str">
        <f>'Source Table'!$E$6</f>
        <v>Private Sector</v>
      </c>
      <c r="G543" s="16" t="str">
        <f>'Source Table'!$E$5</f>
        <v>القطاع الخاص</v>
      </c>
      <c r="H543" t="str">
        <f>'Source Table'!$G$8</f>
        <v>Female</v>
      </c>
      <c r="I543" s="16" t="str">
        <f>'Source Table'!$G$7</f>
        <v>أنثى</v>
      </c>
      <c r="J543" s="25" t="str">
        <f>'Source Table'!$B$23</f>
        <v>Pumologist</v>
      </c>
      <c r="K543" s="25" t="str">
        <f>'Source Table'!$I$23</f>
        <v>صدرية</v>
      </c>
      <c r="L543" s="39">
        <v>0</v>
      </c>
      <c r="M543">
        <v>2021</v>
      </c>
    </row>
    <row r="544" spans="1:13" ht="15">
      <c r="A544" t="s">
        <v>153</v>
      </c>
      <c r="B544" t="s">
        <v>154</v>
      </c>
      <c r="C544" s="15" t="s">
        <v>30</v>
      </c>
      <c r="D544" s="23" t="s">
        <v>81</v>
      </c>
      <c r="E544" s="25" t="s">
        <v>82</v>
      </c>
      <c r="F544" s="16" t="str">
        <f>'Source Table'!$E$6</f>
        <v>Private Sector</v>
      </c>
      <c r="G544" s="16" t="str">
        <f>'Source Table'!$E$5</f>
        <v>القطاع الخاص</v>
      </c>
      <c r="H544" t="str">
        <f>'Source Table'!$G$8</f>
        <v>Female</v>
      </c>
      <c r="I544" s="16" t="str">
        <f>'Source Table'!$G$7</f>
        <v>أنثى</v>
      </c>
      <c r="J544" s="25" t="str">
        <f>'Source Table'!$B$24</f>
        <v>G.I.T. Specialist</v>
      </c>
      <c r="K544" s="25" t="str">
        <f>'Source Table'!$I$24</f>
        <v>جهاز هضمي</v>
      </c>
      <c r="L544" s="39">
        <v>6</v>
      </c>
      <c r="M544">
        <v>2021</v>
      </c>
    </row>
    <row r="545" spans="1:13" ht="15">
      <c r="A545" t="s">
        <v>153</v>
      </c>
      <c r="B545" t="s">
        <v>154</v>
      </c>
      <c r="C545" s="15" t="s">
        <v>30</v>
      </c>
      <c r="D545" s="23" t="s">
        <v>81</v>
      </c>
      <c r="E545" s="25" t="s">
        <v>82</v>
      </c>
      <c r="F545" s="16" t="str">
        <f>'Source Table'!$E$6</f>
        <v>Private Sector</v>
      </c>
      <c r="G545" s="16" t="str">
        <f>'Source Table'!$E$5</f>
        <v>القطاع الخاص</v>
      </c>
      <c r="H545" t="str">
        <f>'Source Table'!$G$8</f>
        <v>Female</v>
      </c>
      <c r="I545" s="16" t="str">
        <f>'Source Table'!$G$7</f>
        <v>أنثى</v>
      </c>
      <c r="J545" s="25" t="str">
        <f>'Source Table'!$B$25</f>
        <v>Diagnostic Radiology</v>
      </c>
      <c r="K545" s="25" t="str">
        <f>'Source Table'!$I$25</f>
        <v>أشعة تشخيصية</v>
      </c>
      <c r="L545" s="39">
        <v>29</v>
      </c>
      <c r="M545">
        <v>2021</v>
      </c>
    </row>
    <row r="546" spans="1:13" ht="15">
      <c r="A546" t="s">
        <v>153</v>
      </c>
      <c r="B546" t="s">
        <v>154</v>
      </c>
      <c r="C546" s="15" t="s">
        <v>30</v>
      </c>
      <c r="D546" s="23" t="s">
        <v>81</v>
      </c>
      <c r="E546" s="25" t="s">
        <v>82</v>
      </c>
      <c r="F546" s="16" t="str">
        <f>'Source Table'!$E$6</f>
        <v>Private Sector</v>
      </c>
      <c r="G546" s="16" t="str">
        <f>'Source Table'!$E$5</f>
        <v>القطاع الخاص</v>
      </c>
      <c r="H546" t="str">
        <f>'Source Table'!$G$8</f>
        <v>Female</v>
      </c>
      <c r="I546" s="16" t="str">
        <f>'Source Table'!$G$7</f>
        <v>أنثى</v>
      </c>
      <c r="J546" s="25" t="str">
        <f>'Source Table'!$B$26</f>
        <v>Anesthetic</v>
      </c>
      <c r="K546" s="25" t="str">
        <f>'Source Table'!$I$26</f>
        <v>تخدير وإنعاش</v>
      </c>
      <c r="L546" s="39">
        <v>26</v>
      </c>
      <c r="M546">
        <v>2021</v>
      </c>
    </row>
    <row r="547" spans="1:13" ht="15">
      <c r="A547" t="s">
        <v>153</v>
      </c>
      <c r="B547" t="s">
        <v>154</v>
      </c>
      <c r="C547" s="15" t="s">
        <v>30</v>
      </c>
      <c r="D547" s="23" t="s">
        <v>81</v>
      </c>
      <c r="E547" s="25" t="s">
        <v>82</v>
      </c>
      <c r="F547" s="16" t="str">
        <f>'Source Table'!$E$6</f>
        <v>Private Sector</v>
      </c>
      <c r="G547" s="16" t="str">
        <f>'Source Table'!$E$5</f>
        <v>القطاع الخاص</v>
      </c>
      <c r="H547" t="str">
        <f>'Source Table'!$G$8</f>
        <v>Female</v>
      </c>
      <c r="I547" s="16" t="str">
        <f>'Source Table'!$G$7</f>
        <v>أنثى</v>
      </c>
      <c r="J547" s="25" t="str">
        <f>'Source Table'!$B$27</f>
        <v>Physiotherapist</v>
      </c>
      <c r="K547" s="25" t="str">
        <f>'Source Table'!$I$27</f>
        <v>طب طبيعي</v>
      </c>
      <c r="L547" s="41">
        <v>1</v>
      </c>
      <c r="M547">
        <v>2021</v>
      </c>
    </row>
    <row r="548" spans="1:13" ht="15">
      <c r="A548" t="s">
        <v>153</v>
      </c>
      <c r="B548" t="s">
        <v>154</v>
      </c>
      <c r="C548" s="15" t="s">
        <v>30</v>
      </c>
      <c r="D548" s="23" t="s">
        <v>81</v>
      </c>
      <c r="E548" s="25" t="s">
        <v>82</v>
      </c>
      <c r="F548" s="16" t="str">
        <f>'Source Table'!$E$6</f>
        <v>Private Sector</v>
      </c>
      <c r="G548" s="16" t="str">
        <f>'Source Table'!$E$5</f>
        <v>القطاع الخاص</v>
      </c>
      <c r="H548" t="str">
        <f>'Source Table'!$G$8</f>
        <v>Female</v>
      </c>
      <c r="I548" s="16" t="str">
        <f>'Source Table'!$G$7</f>
        <v>أنثى</v>
      </c>
      <c r="J548" s="25" t="str">
        <f>'Source Table'!$B$28</f>
        <v>Forensic</v>
      </c>
      <c r="K548" s="25" t="str">
        <f>'Source Table'!$I$28</f>
        <v>طب شرعي</v>
      </c>
      <c r="L548" s="41">
        <v>0</v>
      </c>
      <c r="M548">
        <v>2021</v>
      </c>
    </row>
    <row r="549" spans="1:13" ht="15">
      <c r="A549" t="s">
        <v>153</v>
      </c>
      <c r="B549" t="s">
        <v>154</v>
      </c>
      <c r="C549" s="15" t="s">
        <v>30</v>
      </c>
      <c r="D549" s="23" t="s">
        <v>81</v>
      </c>
      <c r="E549" s="25" t="s">
        <v>82</v>
      </c>
      <c r="F549" s="16" t="str">
        <f>'Source Table'!$E$6</f>
        <v>Private Sector</v>
      </c>
      <c r="G549" s="16" t="str">
        <f>'Source Table'!$E$5</f>
        <v>القطاع الخاص</v>
      </c>
      <c r="H549" t="str">
        <f>'Source Table'!$G$8</f>
        <v>Female</v>
      </c>
      <c r="I549" s="16" t="str">
        <f>'Source Table'!$G$7</f>
        <v>أنثى</v>
      </c>
      <c r="J549" s="25" t="str">
        <f>'Source Table'!$B$29</f>
        <v xml:space="preserve">Family </v>
      </c>
      <c r="K549" s="25" t="str">
        <f>'Source Table'!$I$29</f>
        <v>طب أسرة</v>
      </c>
      <c r="L549" s="39">
        <v>29</v>
      </c>
      <c r="M549">
        <v>2021</v>
      </c>
    </row>
    <row r="550" spans="1:13" ht="15">
      <c r="A550" t="s">
        <v>153</v>
      </c>
      <c r="B550" t="s">
        <v>154</v>
      </c>
      <c r="C550" s="15" t="s">
        <v>30</v>
      </c>
      <c r="D550" s="23" t="s">
        <v>81</v>
      </c>
      <c r="E550" s="25" t="s">
        <v>82</v>
      </c>
      <c r="F550" s="16" t="str">
        <f>'Source Table'!$E$6</f>
        <v>Private Sector</v>
      </c>
      <c r="G550" s="16" t="str">
        <f>'Source Table'!$E$5</f>
        <v>القطاع الخاص</v>
      </c>
      <c r="H550" t="str">
        <f>'Source Table'!$G$8</f>
        <v>Female</v>
      </c>
      <c r="I550" s="16" t="str">
        <f>'Source Table'!$G$7</f>
        <v>أنثى</v>
      </c>
      <c r="J550" s="25" t="str">
        <f>'Source Table'!$B$30</f>
        <v>Urologist</v>
      </c>
      <c r="K550" s="25" t="str">
        <f>'Source Table'!$I$30</f>
        <v xml:space="preserve">المسالك البولية </v>
      </c>
      <c r="L550" s="39">
        <v>2</v>
      </c>
      <c r="M550">
        <v>2021</v>
      </c>
    </row>
    <row r="551" spans="1:13" ht="15">
      <c r="A551" t="s">
        <v>153</v>
      </c>
      <c r="B551" t="s">
        <v>154</v>
      </c>
      <c r="C551" s="15" t="s">
        <v>30</v>
      </c>
      <c r="D551" s="23" t="s">
        <v>81</v>
      </c>
      <c r="E551" s="25" t="s">
        <v>82</v>
      </c>
      <c r="F551" s="16" t="str">
        <f>'Source Table'!$E$6</f>
        <v>Private Sector</v>
      </c>
      <c r="G551" s="16" t="str">
        <f>'Source Table'!$E$5</f>
        <v>القطاع الخاص</v>
      </c>
      <c r="H551" t="str">
        <f>'Source Table'!$G$8</f>
        <v>Female</v>
      </c>
      <c r="I551" s="16" t="str">
        <f>'Source Table'!$G$7</f>
        <v>أنثى</v>
      </c>
      <c r="J551" s="25" t="str">
        <f>'Source Table'!$B$31</f>
        <v>Cardiology</v>
      </c>
      <c r="K551" s="25" t="str">
        <f>'Source Table'!$I$31</f>
        <v>أمراض القلب</v>
      </c>
      <c r="L551" s="39">
        <v>5</v>
      </c>
      <c r="M551">
        <v>2021</v>
      </c>
    </row>
    <row r="552" spans="1:13" ht="15">
      <c r="A552" t="s">
        <v>153</v>
      </c>
      <c r="B552" t="s">
        <v>154</v>
      </c>
      <c r="C552" s="15" t="s">
        <v>30</v>
      </c>
      <c r="D552" s="23" t="s">
        <v>81</v>
      </c>
      <c r="E552" s="25" t="s">
        <v>82</v>
      </c>
      <c r="F552" s="16" t="str">
        <f>'Source Table'!$E$6</f>
        <v>Private Sector</v>
      </c>
      <c r="G552" s="16" t="str">
        <f>'Source Table'!$E$5</f>
        <v>القطاع الخاص</v>
      </c>
      <c r="H552" t="str">
        <f>'Source Table'!$G$8</f>
        <v>Female</v>
      </c>
      <c r="I552" s="16" t="str">
        <f>'Source Table'!$G$7</f>
        <v>أنثى</v>
      </c>
      <c r="J552" s="25" t="str">
        <f>'Source Table'!$B$32</f>
        <v>Laboratory</v>
      </c>
      <c r="K552" s="25" t="str">
        <f>'Source Table'!$I$32</f>
        <v>مختبرات</v>
      </c>
      <c r="L552" s="39">
        <v>1</v>
      </c>
      <c r="M552">
        <v>2021</v>
      </c>
    </row>
    <row r="553" spans="1:13" ht="15">
      <c r="A553" t="s">
        <v>153</v>
      </c>
      <c r="B553" t="s">
        <v>154</v>
      </c>
      <c r="C553" s="15" t="s">
        <v>30</v>
      </c>
      <c r="D553" s="23" t="s">
        <v>81</v>
      </c>
      <c r="E553" s="25" t="s">
        <v>82</v>
      </c>
      <c r="F553" s="16" t="str">
        <f>'Source Table'!$E$6</f>
        <v>Private Sector</v>
      </c>
      <c r="G553" s="16" t="str">
        <f>'Source Table'!$E$5</f>
        <v>القطاع الخاص</v>
      </c>
      <c r="H553" t="str">
        <f>'Source Table'!$G$8</f>
        <v>Female</v>
      </c>
      <c r="I553" s="16" t="str">
        <f>'Source Table'!$G$7</f>
        <v>أنثى</v>
      </c>
      <c r="J553" s="25" t="str">
        <f>'Source Table'!$B$33</f>
        <v>Others</v>
      </c>
      <c r="K553" s="25" t="str">
        <f>'Source Table'!$I$33</f>
        <v>أخرى</v>
      </c>
      <c r="L553" s="39">
        <v>40</v>
      </c>
      <c r="M553">
        <v>2021</v>
      </c>
    </row>
    <row r="554" spans="1:13" ht="15">
      <c r="A554" t="s">
        <v>153</v>
      </c>
      <c r="B554" t="s">
        <v>154</v>
      </c>
      <c r="C554" s="15" t="s">
        <v>30</v>
      </c>
      <c r="D554" s="23" t="s">
        <v>81</v>
      </c>
      <c r="E554" s="25" t="s">
        <v>82</v>
      </c>
      <c r="F554" t="str">
        <f>'Source Table'!$C$6</f>
        <v>Others</v>
      </c>
      <c r="G554" t="str">
        <f>'Source Table'!$C$5</f>
        <v>آخرون</v>
      </c>
      <c r="H554" t="str">
        <f>'Source Table'!$H$8</f>
        <v>Male</v>
      </c>
      <c r="I554" s="25" t="str">
        <f>'Source Table'!$H$7</f>
        <v>ذكر</v>
      </c>
      <c r="J554" s="25" t="str">
        <f>'Source Table'!$B$9</f>
        <v>General Practitioner</v>
      </c>
      <c r="K554" s="25" t="str">
        <f>'Source Table'!$I$9</f>
        <v>طبيب عام</v>
      </c>
      <c r="L554" s="39">
        <v>9575</v>
      </c>
      <c r="M554">
        <v>2021</v>
      </c>
    </row>
    <row r="555" spans="1:13" ht="15">
      <c r="A555" t="s">
        <v>153</v>
      </c>
      <c r="B555" t="s">
        <v>154</v>
      </c>
      <c r="C555" s="15" t="s">
        <v>30</v>
      </c>
      <c r="D555" s="23" t="s">
        <v>81</v>
      </c>
      <c r="E555" s="25" t="s">
        <v>82</v>
      </c>
      <c r="F555" t="str">
        <f>'Source Table'!$C$6</f>
        <v>Others</v>
      </c>
      <c r="G555" t="str">
        <f>'Source Table'!$C$5</f>
        <v>آخرون</v>
      </c>
      <c r="H555" t="str">
        <f>'Source Table'!$H$8</f>
        <v>Male</v>
      </c>
      <c r="I555" s="25" t="str">
        <f>'Source Table'!$H$7</f>
        <v>ذكر</v>
      </c>
      <c r="J555" s="25" t="str">
        <f>'Source Table'!$B$10</f>
        <v>Surgeon</v>
      </c>
      <c r="K555" s="25" t="str">
        <f>'Source Table'!$I$10</f>
        <v>جراحة عامة</v>
      </c>
      <c r="L555" s="39">
        <v>84</v>
      </c>
      <c r="M555">
        <v>2021</v>
      </c>
    </row>
    <row r="556" spans="1:13" ht="15">
      <c r="A556" t="s">
        <v>153</v>
      </c>
      <c r="B556" t="s">
        <v>154</v>
      </c>
      <c r="C556" s="15" t="s">
        <v>30</v>
      </c>
      <c r="D556" s="23" t="s">
        <v>81</v>
      </c>
      <c r="E556" s="25" t="s">
        <v>82</v>
      </c>
      <c r="F556" t="str">
        <f>'Source Table'!$C$6</f>
        <v>Others</v>
      </c>
      <c r="G556" t="str">
        <f>'Source Table'!$C$5</f>
        <v>آخرون</v>
      </c>
      <c r="H556" t="str">
        <f>'Source Table'!$H$8</f>
        <v>Male</v>
      </c>
      <c r="I556" s="25" t="str">
        <f>'Source Table'!$H$7</f>
        <v>ذكر</v>
      </c>
      <c r="J556" s="25" t="str">
        <f>'Source Table'!$B$11</f>
        <v>Internist</v>
      </c>
      <c r="K556" s="25" t="str">
        <f>'Source Table'!$I$11</f>
        <v>باطنية</v>
      </c>
      <c r="L556" s="39">
        <v>78</v>
      </c>
      <c r="M556">
        <v>2021</v>
      </c>
    </row>
    <row r="557" spans="1:13" ht="15">
      <c r="A557" t="s">
        <v>153</v>
      </c>
      <c r="B557" t="s">
        <v>154</v>
      </c>
      <c r="C557" s="15" t="s">
        <v>30</v>
      </c>
      <c r="D557" s="23" t="s">
        <v>81</v>
      </c>
      <c r="E557" s="25" t="s">
        <v>82</v>
      </c>
      <c r="F557" t="str">
        <f>'Source Table'!$C$6</f>
        <v>Others</v>
      </c>
      <c r="G557" t="str">
        <f>'Source Table'!$C$5</f>
        <v>آخرون</v>
      </c>
      <c r="H557" t="str">
        <f>'Source Table'!$H$8</f>
        <v>Male</v>
      </c>
      <c r="I557" s="25" t="str">
        <f>'Source Table'!$H$7</f>
        <v>ذكر</v>
      </c>
      <c r="J557" s="25" t="str">
        <f>'Source Table'!$B$12</f>
        <v>Gynecologist and Obst.</v>
      </c>
      <c r="K557" s="25" t="str">
        <f>'Source Table'!$I$12</f>
        <v>نسائية وتوليد</v>
      </c>
      <c r="L557" s="39">
        <v>66</v>
      </c>
      <c r="M557">
        <v>2021</v>
      </c>
    </row>
    <row r="558" spans="1:13" ht="15">
      <c r="A558" t="s">
        <v>153</v>
      </c>
      <c r="B558" t="s">
        <v>154</v>
      </c>
      <c r="C558" s="15" t="s">
        <v>30</v>
      </c>
      <c r="D558" s="23" t="s">
        <v>81</v>
      </c>
      <c r="E558" s="25" t="s">
        <v>82</v>
      </c>
      <c r="F558" t="str">
        <f>'Source Table'!$C$6</f>
        <v>Others</v>
      </c>
      <c r="G558" t="str">
        <f>'Source Table'!$C$5</f>
        <v>آخرون</v>
      </c>
      <c r="H558" t="str">
        <f>'Source Table'!$H$8</f>
        <v>Male</v>
      </c>
      <c r="I558" s="25" t="str">
        <f>'Source Table'!$H$7</f>
        <v>ذكر</v>
      </c>
      <c r="J558" s="25" t="str">
        <f>'Source Table'!$B$13</f>
        <v>Pediatrics</v>
      </c>
      <c r="K558" s="25" t="str">
        <f>'Source Table'!$I$13</f>
        <v>أطفال</v>
      </c>
      <c r="L558" s="39">
        <v>69</v>
      </c>
      <c r="M558">
        <v>2021</v>
      </c>
    </row>
    <row r="559" spans="1:13" ht="15">
      <c r="A559" t="s">
        <v>153</v>
      </c>
      <c r="B559" t="s">
        <v>154</v>
      </c>
      <c r="C559" s="15" t="s">
        <v>30</v>
      </c>
      <c r="D559" s="23" t="s">
        <v>81</v>
      </c>
      <c r="E559" s="25" t="s">
        <v>82</v>
      </c>
      <c r="F559" t="str">
        <f>'Source Table'!$C$6</f>
        <v>Others</v>
      </c>
      <c r="G559" t="str">
        <f>'Source Table'!$C$5</f>
        <v>آخرون</v>
      </c>
      <c r="H559" t="str">
        <f>'Source Table'!$H$8</f>
        <v>Male</v>
      </c>
      <c r="I559" s="25" t="str">
        <f>'Source Table'!$H$7</f>
        <v>ذكر</v>
      </c>
      <c r="J559" s="25" t="str">
        <f>'Source Table'!$B$14</f>
        <v>Ophthalmologist</v>
      </c>
      <c r="K559" s="25" t="str">
        <f>'Source Table'!$I$14</f>
        <v>العيون</v>
      </c>
      <c r="L559" s="39">
        <v>37</v>
      </c>
      <c r="M559">
        <v>2021</v>
      </c>
    </row>
    <row r="560" spans="1:13" ht="15">
      <c r="A560" t="s">
        <v>153</v>
      </c>
      <c r="B560" t="s">
        <v>154</v>
      </c>
      <c r="C560" s="15" t="s">
        <v>30</v>
      </c>
      <c r="D560" s="23" t="s">
        <v>81</v>
      </c>
      <c r="E560" s="25" t="s">
        <v>82</v>
      </c>
      <c r="F560" t="str">
        <f>'Source Table'!$C$6</f>
        <v>Others</v>
      </c>
      <c r="G560" t="str">
        <f>'Source Table'!$C$5</f>
        <v>آخرون</v>
      </c>
      <c r="H560" t="str">
        <f>'Source Table'!$H$8</f>
        <v>Male</v>
      </c>
      <c r="I560" s="25" t="str">
        <f>'Source Table'!$H$7</f>
        <v>ذكر</v>
      </c>
      <c r="J560" s="25" t="str">
        <f>'Source Table'!$B$15</f>
        <v>Orthopedic Surg.</v>
      </c>
      <c r="K560" s="25" t="str">
        <f>'Source Table'!$I$15</f>
        <v>العظام</v>
      </c>
      <c r="L560" s="39">
        <v>55</v>
      </c>
      <c r="M560">
        <v>2021</v>
      </c>
    </row>
    <row r="561" spans="1:13" ht="15">
      <c r="A561" t="s">
        <v>153</v>
      </c>
      <c r="B561" t="s">
        <v>154</v>
      </c>
      <c r="C561" s="15" t="s">
        <v>30</v>
      </c>
      <c r="D561" s="23" t="s">
        <v>81</v>
      </c>
      <c r="E561" s="25" t="s">
        <v>82</v>
      </c>
      <c r="F561" t="str">
        <f>'Source Table'!$C$6</f>
        <v>Others</v>
      </c>
      <c r="G561" t="str">
        <f>'Source Table'!$C$5</f>
        <v>آخرون</v>
      </c>
      <c r="H561" t="str">
        <f>'Source Table'!$H$8</f>
        <v>Male</v>
      </c>
      <c r="I561" s="25" t="str">
        <f>'Source Table'!$H$7</f>
        <v>ذكر</v>
      </c>
      <c r="J561" s="25" t="str">
        <f>'Source Table'!$B$16</f>
        <v>E.N.T.Surg.</v>
      </c>
      <c r="K561" s="25" t="str">
        <f>'Source Table'!$I$16</f>
        <v>أذن وأنف وحنجرة</v>
      </c>
      <c r="L561" s="39">
        <v>24</v>
      </c>
      <c r="M561">
        <v>2021</v>
      </c>
    </row>
    <row r="562" spans="1:13" ht="15">
      <c r="A562" t="s">
        <v>153</v>
      </c>
      <c r="B562" t="s">
        <v>154</v>
      </c>
      <c r="C562" s="15" t="s">
        <v>30</v>
      </c>
      <c r="D562" s="23" t="s">
        <v>81</v>
      </c>
      <c r="E562" s="25" t="s">
        <v>82</v>
      </c>
      <c r="F562" t="str">
        <f>'Source Table'!$C$6</f>
        <v>Others</v>
      </c>
      <c r="G562" t="str">
        <f>'Source Table'!$C$5</f>
        <v>آخرون</v>
      </c>
      <c r="H562" t="str">
        <f>'Source Table'!$H$8</f>
        <v>Male</v>
      </c>
      <c r="I562" s="25" t="str">
        <f>'Source Table'!$H$7</f>
        <v>ذكر</v>
      </c>
      <c r="J562" s="25" t="str">
        <f>'Source Table'!$B$17</f>
        <v>Neurosurgery</v>
      </c>
      <c r="K562" s="25" t="str">
        <f>'Source Table'!$I$17</f>
        <v>جراحةأعصاب</v>
      </c>
      <c r="L562" s="39">
        <v>18</v>
      </c>
      <c r="M562">
        <v>2021</v>
      </c>
    </row>
    <row r="563" spans="1:13" ht="15">
      <c r="A563" t="s">
        <v>153</v>
      </c>
      <c r="B563" t="s">
        <v>154</v>
      </c>
      <c r="C563" s="15" t="s">
        <v>30</v>
      </c>
      <c r="D563" s="23" t="s">
        <v>81</v>
      </c>
      <c r="E563" s="25" t="s">
        <v>82</v>
      </c>
      <c r="F563" t="str">
        <f>'Source Table'!$C$6</f>
        <v>Others</v>
      </c>
      <c r="G563" t="str">
        <f>'Source Table'!$C$5</f>
        <v>آخرون</v>
      </c>
      <c r="H563" t="str">
        <f>'Source Table'!$H$8</f>
        <v>Male</v>
      </c>
      <c r="I563" s="25" t="str">
        <f>'Source Table'!$H$7</f>
        <v>ذكر</v>
      </c>
      <c r="J563" s="25" t="str">
        <f>'Source Table'!$B$18</f>
        <v>Cardiothoracic</v>
      </c>
      <c r="K563" s="25" t="str">
        <f>'Source Table'!$I$18</f>
        <v>جراحة قلب</v>
      </c>
      <c r="L563" s="39">
        <v>5</v>
      </c>
      <c r="M563">
        <v>2021</v>
      </c>
    </row>
    <row r="564" spans="1:13" ht="15">
      <c r="A564" t="s">
        <v>153</v>
      </c>
      <c r="B564" t="s">
        <v>154</v>
      </c>
      <c r="C564" s="15" t="s">
        <v>30</v>
      </c>
      <c r="D564" s="23" t="s">
        <v>81</v>
      </c>
      <c r="E564" s="25" t="s">
        <v>82</v>
      </c>
      <c r="F564" t="str">
        <f>'Source Table'!$C$6</f>
        <v>Others</v>
      </c>
      <c r="G564" t="str">
        <f>'Source Table'!$C$5</f>
        <v>آخرون</v>
      </c>
      <c r="H564" t="str">
        <f>'Source Table'!$H$8</f>
        <v>Male</v>
      </c>
      <c r="I564" s="25" t="str">
        <f>'Source Table'!$H$7</f>
        <v>ذكر</v>
      </c>
      <c r="J564" s="25" t="str">
        <f>'Source Table'!$B$19</f>
        <v>Plastic Surgeon</v>
      </c>
      <c r="K564" s="25" t="str">
        <f>'Source Table'!$I$19</f>
        <v>التجميل</v>
      </c>
      <c r="L564" s="39">
        <v>3</v>
      </c>
      <c r="M564">
        <v>2021</v>
      </c>
    </row>
    <row r="565" spans="1:13" ht="15">
      <c r="A565" t="s">
        <v>153</v>
      </c>
      <c r="B565" t="s">
        <v>154</v>
      </c>
      <c r="C565" s="15" t="s">
        <v>30</v>
      </c>
      <c r="D565" s="23" t="s">
        <v>81</v>
      </c>
      <c r="E565" s="25" t="s">
        <v>82</v>
      </c>
      <c r="F565" t="str">
        <f>'Source Table'!$C$6</f>
        <v>Others</v>
      </c>
      <c r="G565" t="str">
        <f>'Source Table'!$C$5</f>
        <v>آخرون</v>
      </c>
      <c r="H565" t="str">
        <f>'Source Table'!$H$8</f>
        <v>Male</v>
      </c>
      <c r="I565" s="25" t="str">
        <f>'Source Table'!$H$7</f>
        <v>ذكر</v>
      </c>
      <c r="J565" s="25" t="str">
        <f>'Source Table'!$B$20</f>
        <v>Psychiatry</v>
      </c>
      <c r="K565" s="25" t="str">
        <f>'Source Table'!$I$20</f>
        <v>النفسية</v>
      </c>
      <c r="L565" s="39">
        <v>11</v>
      </c>
      <c r="M565">
        <v>2021</v>
      </c>
    </row>
    <row r="566" spans="1:13" ht="15">
      <c r="A566" t="s">
        <v>153</v>
      </c>
      <c r="B566" t="s">
        <v>154</v>
      </c>
      <c r="C566" s="15" t="s">
        <v>30</v>
      </c>
      <c r="D566" s="23" t="s">
        <v>81</v>
      </c>
      <c r="E566" s="25" t="s">
        <v>82</v>
      </c>
      <c r="F566" t="str">
        <f>'Source Table'!$C$6</f>
        <v>Others</v>
      </c>
      <c r="G566" t="str">
        <f>'Source Table'!$C$5</f>
        <v>آخرون</v>
      </c>
      <c r="H566" t="str">
        <f>'Source Table'!$H$8</f>
        <v>Male</v>
      </c>
      <c r="I566" s="25" t="str">
        <f>'Source Table'!$H$7</f>
        <v>ذكر</v>
      </c>
      <c r="J566" s="25" t="str">
        <f>'Source Table'!$B$21</f>
        <v>Dermatologist Venereal</v>
      </c>
      <c r="K566" s="25" t="str">
        <f>'Source Table'!$I$21</f>
        <v>جلدية وتناسلية</v>
      </c>
      <c r="L566" s="39">
        <v>24</v>
      </c>
      <c r="M566">
        <v>2021</v>
      </c>
    </row>
    <row r="567" spans="1:13" ht="15">
      <c r="A567" t="s">
        <v>153</v>
      </c>
      <c r="B567" t="s">
        <v>154</v>
      </c>
      <c r="C567" s="15" t="s">
        <v>30</v>
      </c>
      <c r="D567" s="23" t="s">
        <v>81</v>
      </c>
      <c r="E567" s="25" t="s">
        <v>82</v>
      </c>
      <c r="F567" t="str">
        <f>'Source Table'!$C$6</f>
        <v>Others</v>
      </c>
      <c r="G567" t="str">
        <f>'Source Table'!$C$5</f>
        <v>آخرون</v>
      </c>
      <c r="H567" t="str">
        <f>'Source Table'!$H$8</f>
        <v>Male</v>
      </c>
      <c r="I567" s="25" t="str">
        <f>'Source Table'!$H$7</f>
        <v>ذكر</v>
      </c>
      <c r="J567" s="25" t="str">
        <f>'Source Table'!$B$22</f>
        <v>Neurology/ Nervous</v>
      </c>
      <c r="K567" s="25" t="str">
        <f>'Source Table'!$I$22</f>
        <v>مرض الأعصاب</v>
      </c>
      <c r="L567" s="39">
        <v>7</v>
      </c>
      <c r="M567">
        <v>2021</v>
      </c>
    </row>
    <row r="568" spans="1:13" ht="15">
      <c r="A568" t="s">
        <v>153</v>
      </c>
      <c r="B568" t="s">
        <v>154</v>
      </c>
      <c r="C568" s="15" t="s">
        <v>30</v>
      </c>
      <c r="D568" s="23" t="s">
        <v>81</v>
      </c>
      <c r="E568" s="25" t="s">
        <v>82</v>
      </c>
      <c r="F568" t="str">
        <f>'Source Table'!$C$6</f>
        <v>Others</v>
      </c>
      <c r="G568" t="str">
        <f>'Source Table'!$C$5</f>
        <v>آخرون</v>
      </c>
      <c r="H568" t="str">
        <f>'Source Table'!$H$8</f>
        <v>Male</v>
      </c>
      <c r="I568" s="25" t="str">
        <f>'Source Table'!$H$7</f>
        <v>ذكر</v>
      </c>
      <c r="J568" s="25" t="str">
        <f>'Source Table'!$B$23</f>
        <v>Pumologist</v>
      </c>
      <c r="K568" s="25" t="str">
        <f>'Source Table'!$I$23</f>
        <v>صدرية</v>
      </c>
      <c r="L568" s="39">
        <v>6</v>
      </c>
      <c r="M568">
        <v>2021</v>
      </c>
    </row>
    <row r="569" spans="1:13" ht="15">
      <c r="A569" t="s">
        <v>153</v>
      </c>
      <c r="B569" t="s">
        <v>154</v>
      </c>
      <c r="C569" s="15" t="s">
        <v>30</v>
      </c>
      <c r="D569" s="23" t="s">
        <v>81</v>
      </c>
      <c r="E569" s="25" t="s">
        <v>82</v>
      </c>
      <c r="F569" t="str">
        <f>'Source Table'!$C$6</f>
        <v>Others</v>
      </c>
      <c r="G569" t="str">
        <f>'Source Table'!$C$5</f>
        <v>آخرون</v>
      </c>
      <c r="H569" t="str">
        <f>'Source Table'!$H$8</f>
        <v>Male</v>
      </c>
      <c r="I569" s="25" t="str">
        <f>'Source Table'!$H$7</f>
        <v>ذكر</v>
      </c>
      <c r="J569" s="25" t="str">
        <f>'Source Table'!$B$24</f>
        <v>G.I.T. Specialist</v>
      </c>
      <c r="K569" s="25" t="str">
        <f>'Source Table'!$I$24</f>
        <v>جهاز هضمي</v>
      </c>
      <c r="L569" s="39">
        <v>5</v>
      </c>
      <c r="M569">
        <v>2021</v>
      </c>
    </row>
    <row r="570" spans="1:13" ht="15">
      <c r="A570" t="s">
        <v>153</v>
      </c>
      <c r="B570" t="s">
        <v>154</v>
      </c>
      <c r="C570" s="15" t="s">
        <v>30</v>
      </c>
      <c r="D570" s="23" t="s">
        <v>81</v>
      </c>
      <c r="E570" s="25" t="s">
        <v>82</v>
      </c>
      <c r="F570" t="str">
        <f>'Source Table'!$C$6</f>
        <v>Others</v>
      </c>
      <c r="G570" t="str">
        <f>'Source Table'!$C$5</f>
        <v>آخرون</v>
      </c>
      <c r="H570" t="str">
        <f>'Source Table'!$H$8</f>
        <v>Male</v>
      </c>
      <c r="I570" s="25" t="str">
        <f>'Source Table'!$H$7</f>
        <v>ذكر</v>
      </c>
      <c r="J570" s="25" t="str">
        <f>'Source Table'!$B$25</f>
        <v>Diagnostic Radiology</v>
      </c>
      <c r="K570" s="25" t="str">
        <f>'Source Table'!$I$25</f>
        <v>أشعة تشخيصية</v>
      </c>
      <c r="L570" s="39">
        <v>40</v>
      </c>
      <c r="M570">
        <v>2021</v>
      </c>
    </row>
    <row r="571" spans="1:13" ht="15">
      <c r="A571" t="s">
        <v>153</v>
      </c>
      <c r="B571" t="s">
        <v>154</v>
      </c>
      <c r="C571" s="15" t="s">
        <v>30</v>
      </c>
      <c r="D571" s="23" t="s">
        <v>81</v>
      </c>
      <c r="E571" s="25" t="s">
        <v>82</v>
      </c>
      <c r="F571" t="str">
        <f>'Source Table'!$C$6</f>
        <v>Others</v>
      </c>
      <c r="G571" t="str">
        <f>'Source Table'!$C$5</f>
        <v>آخرون</v>
      </c>
      <c r="H571" t="str">
        <f>'Source Table'!$H$8</f>
        <v>Male</v>
      </c>
      <c r="I571" s="25" t="str">
        <f>'Source Table'!$H$7</f>
        <v>ذكر</v>
      </c>
      <c r="J571" s="25" t="str">
        <f>'Source Table'!$B$26</f>
        <v>Anesthetic</v>
      </c>
      <c r="K571" s="25" t="str">
        <f>'Source Table'!$I$26</f>
        <v>تخدير وإنعاش</v>
      </c>
      <c r="L571" s="39">
        <v>46</v>
      </c>
      <c r="M571">
        <v>2021</v>
      </c>
    </row>
    <row r="572" spans="1:13" ht="15">
      <c r="A572" t="s">
        <v>153</v>
      </c>
      <c r="B572" t="s">
        <v>154</v>
      </c>
      <c r="C572" s="15" t="s">
        <v>30</v>
      </c>
      <c r="D572" s="23" t="s">
        <v>81</v>
      </c>
      <c r="E572" s="25" t="s">
        <v>82</v>
      </c>
      <c r="F572" t="str">
        <f>'Source Table'!$C$6</f>
        <v>Others</v>
      </c>
      <c r="G572" t="str">
        <f>'Source Table'!$C$5</f>
        <v>آخرون</v>
      </c>
      <c r="H572" t="str">
        <f>'Source Table'!$H$8</f>
        <v>Male</v>
      </c>
      <c r="I572" s="25" t="str">
        <f>'Source Table'!$H$7</f>
        <v>ذكر</v>
      </c>
      <c r="J572" s="25" t="str">
        <f>'Source Table'!$B$27</f>
        <v>Physiotherapist</v>
      </c>
      <c r="K572" s="25" t="str">
        <f>'Source Table'!$I$27</f>
        <v>طب طبيعي</v>
      </c>
      <c r="L572" s="39" t="s">
        <v>163</v>
      </c>
      <c r="M572">
        <v>2021</v>
      </c>
    </row>
    <row r="573" spans="1:13" ht="15">
      <c r="A573" t="s">
        <v>153</v>
      </c>
      <c r="B573" t="s">
        <v>154</v>
      </c>
      <c r="C573" s="15" t="s">
        <v>30</v>
      </c>
      <c r="D573" s="23" t="s">
        <v>81</v>
      </c>
      <c r="E573" s="25" t="s">
        <v>82</v>
      </c>
      <c r="F573" t="str">
        <f>'Source Table'!$C$6</f>
        <v>Others</v>
      </c>
      <c r="G573" t="str">
        <f>'Source Table'!$C$5</f>
        <v>آخرون</v>
      </c>
      <c r="H573" t="str">
        <f>'Source Table'!$H$8</f>
        <v>Male</v>
      </c>
      <c r="I573" s="25" t="str">
        <f>'Source Table'!$H$7</f>
        <v>ذكر</v>
      </c>
      <c r="J573" s="25" t="str">
        <f>'Source Table'!$B$28</f>
        <v>Forensic</v>
      </c>
      <c r="K573" s="25" t="str">
        <f>'Source Table'!$I$28</f>
        <v>طب شرعي</v>
      </c>
      <c r="L573" s="39">
        <v>3</v>
      </c>
      <c r="M573">
        <v>2021</v>
      </c>
    </row>
    <row r="574" spans="1:13" ht="15">
      <c r="A574" t="s">
        <v>153</v>
      </c>
      <c r="B574" t="s">
        <v>154</v>
      </c>
      <c r="C574" s="15" t="s">
        <v>30</v>
      </c>
      <c r="D574" s="23" t="s">
        <v>81</v>
      </c>
      <c r="E574" s="25" t="s">
        <v>82</v>
      </c>
      <c r="F574" t="str">
        <f>'Source Table'!$C$6</f>
        <v>Others</v>
      </c>
      <c r="G574" t="str">
        <f>'Source Table'!$C$5</f>
        <v>آخرون</v>
      </c>
      <c r="H574" t="str">
        <f>'Source Table'!$H$8</f>
        <v>Male</v>
      </c>
      <c r="I574" s="25" t="str">
        <f>'Source Table'!$H$7</f>
        <v>ذكر</v>
      </c>
      <c r="J574" s="25" t="str">
        <f>'Source Table'!$B$29</f>
        <v xml:space="preserve">Family </v>
      </c>
      <c r="K574" s="25" t="str">
        <f>'Source Table'!$I$29</f>
        <v>طب أسرة</v>
      </c>
      <c r="L574" s="39">
        <v>17</v>
      </c>
      <c r="M574">
        <v>2021</v>
      </c>
    </row>
    <row r="575" spans="1:13" ht="15">
      <c r="A575" t="s">
        <v>153</v>
      </c>
      <c r="B575" t="s">
        <v>154</v>
      </c>
      <c r="C575" s="15" t="s">
        <v>30</v>
      </c>
      <c r="D575" s="23" t="s">
        <v>81</v>
      </c>
      <c r="E575" s="25" t="s">
        <v>82</v>
      </c>
      <c r="F575" t="str">
        <f>'Source Table'!$C$6</f>
        <v>Others</v>
      </c>
      <c r="G575" t="str">
        <f>'Source Table'!$C$5</f>
        <v>آخرون</v>
      </c>
      <c r="H575" t="str">
        <f>'Source Table'!$H$8</f>
        <v>Male</v>
      </c>
      <c r="I575" s="25" t="str">
        <f>'Source Table'!$H$7</f>
        <v>ذكر</v>
      </c>
      <c r="J575" s="25" t="str">
        <f>'Source Table'!$B$30</f>
        <v>Urologist</v>
      </c>
      <c r="K575" s="25" t="str">
        <f>'Source Table'!$I$30</f>
        <v xml:space="preserve">المسالك البولية </v>
      </c>
      <c r="L575" s="39">
        <v>26</v>
      </c>
      <c r="M575">
        <v>2021</v>
      </c>
    </row>
    <row r="576" spans="1:13" ht="15">
      <c r="A576" t="s">
        <v>153</v>
      </c>
      <c r="B576" t="s">
        <v>154</v>
      </c>
      <c r="C576" s="15" t="s">
        <v>30</v>
      </c>
      <c r="D576" s="23" t="s">
        <v>81</v>
      </c>
      <c r="E576" s="25" t="s">
        <v>82</v>
      </c>
      <c r="F576" t="str">
        <f>'Source Table'!$C$6</f>
        <v>Others</v>
      </c>
      <c r="G576" t="str">
        <f>'Source Table'!$C$5</f>
        <v>آخرون</v>
      </c>
      <c r="H576" t="str">
        <f>'Source Table'!$H$8</f>
        <v>Male</v>
      </c>
      <c r="I576" s="25" t="str">
        <f>'Source Table'!$H$7</f>
        <v>ذكر</v>
      </c>
      <c r="J576" s="25" t="str">
        <f>'Source Table'!$B$31</f>
        <v>Cardiology</v>
      </c>
      <c r="K576" s="25" t="str">
        <f>'Source Table'!$I$31</f>
        <v>أمراض القلب</v>
      </c>
      <c r="L576" s="39">
        <v>16</v>
      </c>
      <c r="M576">
        <v>2021</v>
      </c>
    </row>
    <row r="577" spans="1:13" ht="15">
      <c r="A577" t="s">
        <v>153</v>
      </c>
      <c r="B577" t="s">
        <v>154</v>
      </c>
      <c r="C577" s="15" t="s">
        <v>30</v>
      </c>
      <c r="D577" s="23" t="s">
        <v>81</v>
      </c>
      <c r="E577" s="25" t="s">
        <v>82</v>
      </c>
      <c r="F577" t="str">
        <f>'Source Table'!$C$6</f>
        <v>Others</v>
      </c>
      <c r="G577" t="str">
        <f>'Source Table'!$C$5</f>
        <v>آخرون</v>
      </c>
      <c r="H577" t="str">
        <f>'Source Table'!$H$8</f>
        <v>Male</v>
      </c>
      <c r="I577" s="25" t="str">
        <f>'Source Table'!$H$7</f>
        <v>ذكر</v>
      </c>
      <c r="J577" s="25" t="str">
        <f>'Source Table'!$B$32</f>
        <v>Laboratory</v>
      </c>
      <c r="K577" s="25" t="str">
        <f>'Source Table'!$I$32</f>
        <v>مختبرات</v>
      </c>
      <c r="L577" s="39">
        <v>7</v>
      </c>
      <c r="M577">
        <v>2021</v>
      </c>
    </row>
    <row r="578" spans="1:13" ht="15">
      <c r="A578" t="s">
        <v>153</v>
      </c>
      <c r="B578" t="s">
        <v>154</v>
      </c>
      <c r="C578" s="15" t="s">
        <v>30</v>
      </c>
      <c r="D578" s="23" t="s">
        <v>81</v>
      </c>
      <c r="E578" s="25" t="s">
        <v>82</v>
      </c>
      <c r="F578" t="str">
        <f>'Source Table'!$C$6</f>
        <v>Others</v>
      </c>
      <c r="G578" t="str">
        <f>'Source Table'!$C$5</f>
        <v>آخرون</v>
      </c>
      <c r="H578" t="str">
        <f>'Source Table'!$H$8</f>
        <v>Male</v>
      </c>
      <c r="I578" s="25" t="str">
        <f>'Source Table'!$H$7</f>
        <v>ذكر</v>
      </c>
      <c r="J578" s="25" t="str">
        <f>'Source Table'!$B$33</f>
        <v>Others</v>
      </c>
      <c r="K578" s="25" t="str">
        <f>'Source Table'!$I$33</f>
        <v>أخرى</v>
      </c>
      <c r="L578" s="39">
        <v>53</v>
      </c>
      <c r="M578">
        <v>2021</v>
      </c>
    </row>
    <row r="579" spans="1:13" ht="15">
      <c r="A579" t="s">
        <v>153</v>
      </c>
      <c r="B579" t="s">
        <v>154</v>
      </c>
      <c r="C579" s="15" t="s">
        <v>30</v>
      </c>
      <c r="D579" s="23" t="s">
        <v>81</v>
      </c>
      <c r="E579" s="25" t="s">
        <v>82</v>
      </c>
      <c r="F579" t="str">
        <f>'Source Table'!$C$6</f>
        <v>Others</v>
      </c>
      <c r="G579" t="str">
        <f>'Source Table'!$C$5</f>
        <v>آخرون</v>
      </c>
      <c r="H579" t="str">
        <f>'Source Table'!$G$8</f>
        <v>Female</v>
      </c>
      <c r="I579" s="16" t="str">
        <f>'Source Table'!$G$7</f>
        <v>أنثى</v>
      </c>
      <c r="J579" s="25" t="str">
        <f>'Source Table'!$B$9</f>
        <v>General Practitioner</v>
      </c>
      <c r="K579" s="25" t="str">
        <f>'Source Table'!$I$9</f>
        <v>طبيب عام</v>
      </c>
      <c r="L579" s="39">
        <v>3275</v>
      </c>
      <c r="M579">
        <v>2021</v>
      </c>
    </row>
    <row r="580" spans="1:13" ht="15">
      <c r="A580" t="s">
        <v>153</v>
      </c>
      <c r="B580" t="s">
        <v>154</v>
      </c>
      <c r="C580" s="15" t="s">
        <v>30</v>
      </c>
      <c r="D580" s="23" t="s">
        <v>81</v>
      </c>
      <c r="E580" s="25" t="s">
        <v>82</v>
      </c>
      <c r="F580" t="str">
        <f>'Source Table'!$C$6</f>
        <v>Others</v>
      </c>
      <c r="G580" t="str">
        <f>'Source Table'!$C$5</f>
        <v>آخرون</v>
      </c>
      <c r="H580" t="str">
        <f>'Source Table'!$G$8</f>
        <v>Female</v>
      </c>
      <c r="I580" s="16" t="str">
        <f>'Source Table'!$G$7</f>
        <v>أنثى</v>
      </c>
      <c r="J580" s="25" t="str">
        <f>'Source Table'!$B$10</f>
        <v>Surgeon</v>
      </c>
      <c r="K580" s="25" t="str">
        <f>'Source Table'!$I$10</f>
        <v>جراحة عامة</v>
      </c>
      <c r="L580" s="40">
        <v>11</v>
      </c>
      <c r="M580">
        <v>2021</v>
      </c>
    </row>
    <row r="581" spans="1:13" ht="15">
      <c r="A581" t="s">
        <v>153</v>
      </c>
      <c r="B581" t="s">
        <v>154</v>
      </c>
      <c r="C581" s="15" t="s">
        <v>30</v>
      </c>
      <c r="D581" s="23" t="s">
        <v>81</v>
      </c>
      <c r="E581" s="25" t="s">
        <v>82</v>
      </c>
      <c r="F581" t="str">
        <f>'Source Table'!$C$6</f>
        <v>Others</v>
      </c>
      <c r="G581" t="str">
        <f>'Source Table'!$C$5</f>
        <v>آخرون</v>
      </c>
      <c r="H581" t="str">
        <f>'Source Table'!$G$8</f>
        <v>Female</v>
      </c>
      <c r="I581" s="16" t="str">
        <f>'Source Table'!$G$7</f>
        <v>أنثى</v>
      </c>
      <c r="J581" s="25" t="str">
        <f>'Source Table'!$B$11</f>
        <v>Internist</v>
      </c>
      <c r="K581" s="25" t="str">
        <f>'Source Table'!$I$11</f>
        <v>باطنية</v>
      </c>
      <c r="L581" s="40">
        <v>48</v>
      </c>
      <c r="M581">
        <v>2021</v>
      </c>
    </row>
    <row r="582" spans="1:13" ht="15">
      <c r="A582" t="s">
        <v>153</v>
      </c>
      <c r="B582" t="s">
        <v>154</v>
      </c>
      <c r="C582" s="15" t="s">
        <v>30</v>
      </c>
      <c r="D582" s="23" t="s">
        <v>81</v>
      </c>
      <c r="E582" s="25" t="s">
        <v>82</v>
      </c>
      <c r="F582" t="str">
        <f>'Source Table'!$C$6</f>
        <v>Others</v>
      </c>
      <c r="G582" t="str">
        <f>'Source Table'!$C$5</f>
        <v>آخرون</v>
      </c>
      <c r="H582" t="str">
        <f>'Source Table'!$G$8</f>
        <v>Female</v>
      </c>
      <c r="I582" s="16" t="str">
        <f>'Source Table'!$G$7</f>
        <v>أنثى</v>
      </c>
      <c r="J582" s="25" t="str">
        <f>'Source Table'!$B$12</f>
        <v>Gynecologist and Obst.</v>
      </c>
      <c r="K582" s="25" t="str">
        <f>'Source Table'!$I$12</f>
        <v>نسائية وتوليد</v>
      </c>
      <c r="L582" s="40">
        <v>91</v>
      </c>
      <c r="M582">
        <v>2021</v>
      </c>
    </row>
    <row r="583" spans="1:13" ht="15">
      <c r="A583" t="s">
        <v>153</v>
      </c>
      <c r="B583" t="s">
        <v>154</v>
      </c>
      <c r="C583" s="15" t="s">
        <v>30</v>
      </c>
      <c r="D583" s="23" t="s">
        <v>81</v>
      </c>
      <c r="E583" s="25" t="s">
        <v>82</v>
      </c>
      <c r="F583" t="str">
        <f>'Source Table'!$C$6</f>
        <v>Others</v>
      </c>
      <c r="G583" t="str">
        <f>'Source Table'!$C$5</f>
        <v>آخرون</v>
      </c>
      <c r="H583" t="str">
        <f>'Source Table'!$G$8</f>
        <v>Female</v>
      </c>
      <c r="I583" s="16" t="str">
        <f>'Source Table'!$G$7</f>
        <v>أنثى</v>
      </c>
      <c r="J583" s="25" t="str">
        <f>'Source Table'!$B$13</f>
        <v>Pediatrics</v>
      </c>
      <c r="K583" s="25" t="str">
        <f>'Source Table'!$I$13</f>
        <v>أطفال</v>
      </c>
      <c r="L583" s="40">
        <v>82</v>
      </c>
      <c r="M583">
        <v>2021</v>
      </c>
    </row>
    <row r="584" spans="1:13" ht="15">
      <c r="A584" t="s">
        <v>153</v>
      </c>
      <c r="B584" t="s">
        <v>154</v>
      </c>
      <c r="C584" s="15" t="s">
        <v>30</v>
      </c>
      <c r="D584" s="23" t="s">
        <v>81</v>
      </c>
      <c r="E584" s="25" t="s">
        <v>82</v>
      </c>
      <c r="F584" t="str">
        <f>'Source Table'!$C$6</f>
        <v>Others</v>
      </c>
      <c r="G584" t="str">
        <f>'Source Table'!$C$5</f>
        <v>آخرون</v>
      </c>
      <c r="H584" t="str">
        <f>'Source Table'!$G$8</f>
        <v>Female</v>
      </c>
      <c r="I584" s="16" t="str">
        <f>'Source Table'!$G$7</f>
        <v>أنثى</v>
      </c>
      <c r="J584" s="25" t="str">
        <f>'Source Table'!$B$14</f>
        <v>Ophthalmologist</v>
      </c>
      <c r="K584" s="25" t="str">
        <f>'Source Table'!$I$14</f>
        <v>العيون</v>
      </c>
      <c r="L584" s="40">
        <v>23</v>
      </c>
      <c r="M584">
        <v>2021</v>
      </c>
    </row>
    <row r="585" spans="1:13" ht="15">
      <c r="A585" t="s">
        <v>153</v>
      </c>
      <c r="B585" t="s">
        <v>154</v>
      </c>
      <c r="C585" s="15" t="s">
        <v>30</v>
      </c>
      <c r="D585" s="23" t="s">
        <v>81</v>
      </c>
      <c r="E585" s="25" t="s">
        <v>82</v>
      </c>
      <c r="F585" t="str">
        <f>'Source Table'!$C$6</f>
        <v>Others</v>
      </c>
      <c r="G585" t="str">
        <f>'Source Table'!$C$5</f>
        <v>آخرون</v>
      </c>
      <c r="H585" t="str">
        <f>'Source Table'!$G$8</f>
        <v>Female</v>
      </c>
      <c r="I585" s="16" t="str">
        <f>'Source Table'!$G$7</f>
        <v>أنثى</v>
      </c>
      <c r="J585" s="25" t="str">
        <f>'Source Table'!$B$15</f>
        <v>Orthopedic Surg.</v>
      </c>
      <c r="K585" s="25" t="str">
        <f>'Source Table'!$I$15</f>
        <v>العظام</v>
      </c>
      <c r="L585" s="40">
        <v>0</v>
      </c>
      <c r="M585">
        <v>2021</v>
      </c>
    </row>
    <row r="586" spans="1:13" ht="15">
      <c r="A586" t="s">
        <v>153</v>
      </c>
      <c r="B586" t="s">
        <v>154</v>
      </c>
      <c r="C586" s="15" t="s">
        <v>30</v>
      </c>
      <c r="D586" s="23" t="s">
        <v>81</v>
      </c>
      <c r="E586" s="25" t="s">
        <v>82</v>
      </c>
      <c r="F586" t="str">
        <f>'Source Table'!$C$6</f>
        <v>Others</v>
      </c>
      <c r="G586" t="str">
        <f>'Source Table'!$C$5</f>
        <v>آخرون</v>
      </c>
      <c r="H586" t="str">
        <f>'Source Table'!$G$8</f>
        <v>Female</v>
      </c>
      <c r="I586" s="16" t="str">
        <f>'Source Table'!$G$7</f>
        <v>أنثى</v>
      </c>
      <c r="J586" s="25" t="str">
        <f>'Source Table'!$B$16</f>
        <v>E.N.T.Surg.</v>
      </c>
      <c r="K586" s="25" t="str">
        <f>'Source Table'!$I$16</f>
        <v>أذن وأنف وحنجرة</v>
      </c>
      <c r="L586" s="40">
        <v>5</v>
      </c>
      <c r="M586">
        <v>2021</v>
      </c>
    </row>
    <row r="587" spans="1:13" ht="15">
      <c r="A587" t="s">
        <v>153</v>
      </c>
      <c r="B587" t="s">
        <v>154</v>
      </c>
      <c r="C587" s="15" t="s">
        <v>30</v>
      </c>
      <c r="D587" s="23" t="s">
        <v>81</v>
      </c>
      <c r="E587" s="25" t="s">
        <v>82</v>
      </c>
      <c r="F587" t="str">
        <f>'Source Table'!$C$6</f>
        <v>Others</v>
      </c>
      <c r="G587" t="str">
        <f>'Source Table'!$C$5</f>
        <v>آخرون</v>
      </c>
      <c r="H587" t="str">
        <f>'Source Table'!$G$8</f>
        <v>Female</v>
      </c>
      <c r="I587" s="16" t="str">
        <f>'Source Table'!$G$7</f>
        <v>أنثى</v>
      </c>
      <c r="J587" s="25" t="str">
        <f>'Source Table'!$B$17</f>
        <v>Neurosurgery</v>
      </c>
      <c r="K587" s="25" t="str">
        <f>'Source Table'!$I$17</f>
        <v>جراحةأعصاب</v>
      </c>
      <c r="L587" s="39">
        <v>0</v>
      </c>
      <c r="M587">
        <v>2021</v>
      </c>
    </row>
    <row r="588" spans="1:13" ht="15">
      <c r="A588" t="s">
        <v>153</v>
      </c>
      <c r="B588" t="s">
        <v>154</v>
      </c>
      <c r="C588" s="15" t="s">
        <v>30</v>
      </c>
      <c r="D588" s="23" t="s">
        <v>81</v>
      </c>
      <c r="E588" s="25" t="s">
        <v>82</v>
      </c>
      <c r="F588" t="str">
        <f>'Source Table'!$C$6</f>
        <v>Others</v>
      </c>
      <c r="G588" t="str">
        <f>'Source Table'!$C$5</f>
        <v>آخرون</v>
      </c>
      <c r="H588" t="str">
        <f>'Source Table'!$G$8</f>
        <v>Female</v>
      </c>
      <c r="I588" s="16" t="str">
        <f>'Source Table'!$G$7</f>
        <v>أنثى</v>
      </c>
      <c r="J588" s="25" t="str">
        <f>'Source Table'!$B$18</f>
        <v>Cardiothoracic</v>
      </c>
      <c r="K588" s="25" t="str">
        <f>'Source Table'!$I$18</f>
        <v>جراحة قلب</v>
      </c>
      <c r="L588" s="39">
        <v>0</v>
      </c>
      <c r="M588">
        <v>2021</v>
      </c>
    </row>
    <row r="589" spans="1:13" ht="15">
      <c r="A589" t="s">
        <v>153</v>
      </c>
      <c r="B589" t="s">
        <v>154</v>
      </c>
      <c r="C589" s="15" t="s">
        <v>30</v>
      </c>
      <c r="D589" s="23" t="s">
        <v>81</v>
      </c>
      <c r="E589" s="25" t="s">
        <v>82</v>
      </c>
      <c r="F589" t="str">
        <f>'Source Table'!$C$6</f>
        <v>Others</v>
      </c>
      <c r="G589" t="str">
        <f>'Source Table'!$C$5</f>
        <v>آخرون</v>
      </c>
      <c r="H589" t="str">
        <f>'Source Table'!$G$8</f>
        <v>Female</v>
      </c>
      <c r="I589" s="16" t="str">
        <f>'Source Table'!$G$7</f>
        <v>أنثى</v>
      </c>
      <c r="J589" s="25" t="str">
        <f>'Source Table'!$B$19</f>
        <v>Plastic Surgeon</v>
      </c>
      <c r="K589" s="25" t="str">
        <f>'Source Table'!$I$19</f>
        <v>التجميل</v>
      </c>
      <c r="L589" s="39">
        <v>0</v>
      </c>
      <c r="M589">
        <v>2021</v>
      </c>
    </row>
    <row r="590" spans="1:13" ht="15">
      <c r="A590" t="s">
        <v>153</v>
      </c>
      <c r="B590" t="s">
        <v>154</v>
      </c>
      <c r="C590" s="15" t="s">
        <v>30</v>
      </c>
      <c r="D590" s="23" t="s">
        <v>81</v>
      </c>
      <c r="E590" s="25" t="s">
        <v>82</v>
      </c>
      <c r="F590" t="str">
        <f>'Source Table'!$C$6</f>
        <v>Others</v>
      </c>
      <c r="G590" t="str">
        <f>'Source Table'!$C$5</f>
        <v>آخرون</v>
      </c>
      <c r="H590" t="str">
        <f>'Source Table'!$G$8</f>
        <v>Female</v>
      </c>
      <c r="I590" s="16" t="str">
        <f>'Source Table'!$G$7</f>
        <v>أنثى</v>
      </c>
      <c r="J590" s="25" t="str">
        <f>'Source Table'!$B$20</f>
        <v>Psychiatry</v>
      </c>
      <c r="K590" s="25" t="str">
        <f>'Source Table'!$I$20</f>
        <v>النفسية</v>
      </c>
      <c r="L590" s="39">
        <v>1</v>
      </c>
      <c r="M590">
        <v>2021</v>
      </c>
    </row>
    <row r="591" spans="1:13" ht="15">
      <c r="A591" t="s">
        <v>153</v>
      </c>
      <c r="B591" t="s">
        <v>154</v>
      </c>
      <c r="C591" s="15" t="s">
        <v>30</v>
      </c>
      <c r="D591" s="23" t="s">
        <v>81</v>
      </c>
      <c r="E591" s="25" t="s">
        <v>82</v>
      </c>
      <c r="F591" t="str">
        <f>'Source Table'!$C$6</f>
        <v>Others</v>
      </c>
      <c r="G591" t="str">
        <f>'Source Table'!$C$5</f>
        <v>آخرون</v>
      </c>
      <c r="H591" t="str">
        <f>'Source Table'!$G$8</f>
        <v>Female</v>
      </c>
      <c r="I591" s="16" t="str">
        <f>'Source Table'!$G$7</f>
        <v>أنثى</v>
      </c>
      <c r="J591" s="25" t="str">
        <f>'Source Table'!$B$21</f>
        <v>Dermatologist Venereal</v>
      </c>
      <c r="K591" s="25" t="str">
        <f>'Source Table'!$I$21</f>
        <v>جلدية وتناسلية</v>
      </c>
      <c r="L591" s="40">
        <v>37</v>
      </c>
      <c r="M591">
        <v>2021</v>
      </c>
    </row>
    <row r="592" spans="1:13" ht="15">
      <c r="A592" t="s">
        <v>153</v>
      </c>
      <c r="B592" t="s">
        <v>154</v>
      </c>
      <c r="C592" s="15" t="s">
        <v>30</v>
      </c>
      <c r="D592" s="23" t="s">
        <v>81</v>
      </c>
      <c r="E592" s="25" t="s">
        <v>82</v>
      </c>
      <c r="F592" t="str">
        <f>'Source Table'!$C$6</f>
        <v>Others</v>
      </c>
      <c r="G592" t="str">
        <f>'Source Table'!$C$5</f>
        <v>آخرون</v>
      </c>
      <c r="H592" t="str">
        <f>'Source Table'!$G$8</f>
        <v>Female</v>
      </c>
      <c r="I592" s="16" t="str">
        <f>'Source Table'!$G$7</f>
        <v>أنثى</v>
      </c>
      <c r="J592" s="25" t="str">
        <f>'Source Table'!$B$22</f>
        <v>Neurology/ Nervous</v>
      </c>
      <c r="K592" s="25" t="str">
        <f>'Source Table'!$I$22</f>
        <v>مرض الأعصاب</v>
      </c>
      <c r="L592" s="40">
        <v>2</v>
      </c>
      <c r="M592">
        <v>2021</v>
      </c>
    </row>
    <row r="593" spans="1:13" ht="15">
      <c r="A593" t="s">
        <v>153</v>
      </c>
      <c r="B593" t="s">
        <v>154</v>
      </c>
      <c r="C593" s="15" t="s">
        <v>30</v>
      </c>
      <c r="D593" s="23" t="s">
        <v>81</v>
      </c>
      <c r="E593" s="25" t="s">
        <v>82</v>
      </c>
      <c r="F593" t="str">
        <f>'Source Table'!$C$6</f>
        <v>Others</v>
      </c>
      <c r="G593" t="str">
        <f>'Source Table'!$C$5</f>
        <v>آخرون</v>
      </c>
      <c r="H593" t="str">
        <f>'Source Table'!$G$8</f>
        <v>Female</v>
      </c>
      <c r="I593" s="16" t="str">
        <f>'Source Table'!$G$7</f>
        <v>أنثى</v>
      </c>
      <c r="J593" s="25" t="str">
        <f>'Source Table'!$B$23</f>
        <v>Pumologist</v>
      </c>
      <c r="K593" s="25" t="str">
        <f>'Source Table'!$I$23</f>
        <v>صدرية</v>
      </c>
      <c r="L593" s="40">
        <v>1</v>
      </c>
      <c r="M593">
        <v>2021</v>
      </c>
    </row>
    <row r="594" spans="1:13" ht="15">
      <c r="A594" t="s">
        <v>153</v>
      </c>
      <c r="B594" t="s">
        <v>154</v>
      </c>
      <c r="C594" s="15" t="s">
        <v>30</v>
      </c>
      <c r="D594" s="23" t="s">
        <v>81</v>
      </c>
      <c r="E594" s="25" t="s">
        <v>82</v>
      </c>
      <c r="F594" t="str">
        <f>'Source Table'!$C$6</f>
        <v>Others</v>
      </c>
      <c r="G594" t="str">
        <f>'Source Table'!$C$5</f>
        <v>آخرون</v>
      </c>
      <c r="H594" t="str">
        <f>'Source Table'!$G$8</f>
        <v>Female</v>
      </c>
      <c r="I594" s="16" t="str">
        <f>'Source Table'!$G$7</f>
        <v>أنثى</v>
      </c>
      <c r="J594" s="25" t="str">
        <f>'Source Table'!$B$24</f>
        <v>G.I.T. Specialist</v>
      </c>
      <c r="K594" s="25" t="str">
        <f>'Source Table'!$I$24</f>
        <v>جهاز هضمي</v>
      </c>
      <c r="L594" s="40">
        <v>1</v>
      </c>
      <c r="M594">
        <v>2021</v>
      </c>
    </row>
    <row r="595" spans="1:13" ht="15">
      <c r="A595" t="s">
        <v>153</v>
      </c>
      <c r="B595" t="s">
        <v>154</v>
      </c>
      <c r="C595" s="15" t="s">
        <v>30</v>
      </c>
      <c r="D595" s="23" t="s">
        <v>81</v>
      </c>
      <c r="E595" s="25" t="s">
        <v>82</v>
      </c>
      <c r="F595" t="str">
        <f>'Source Table'!$C$6</f>
        <v>Others</v>
      </c>
      <c r="G595" t="str">
        <f>'Source Table'!$C$5</f>
        <v>آخرون</v>
      </c>
      <c r="H595" t="str">
        <f>'Source Table'!$G$8</f>
        <v>Female</v>
      </c>
      <c r="I595" s="16" t="str">
        <f>'Source Table'!$G$7</f>
        <v>أنثى</v>
      </c>
      <c r="J595" s="25" t="str">
        <f>'Source Table'!$B$25</f>
        <v>Diagnostic Radiology</v>
      </c>
      <c r="K595" s="25" t="str">
        <f>'Source Table'!$I$25</f>
        <v>أشعة تشخيصية</v>
      </c>
      <c r="L595" s="40">
        <v>29</v>
      </c>
      <c r="M595">
        <v>2021</v>
      </c>
    </row>
    <row r="596" spans="1:13" ht="15">
      <c r="A596" t="s">
        <v>153</v>
      </c>
      <c r="B596" t="s">
        <v>154</v>
      </c>
      <c r="C596" s="15" t="s">
        <v>30</v>
      </c>
      <c r="D596" s="23" t="s">
        <v>81</v>
      </c>
      <c r="E596" s="25" t="s">
        <v>82</v>
      </c>
      <c r="F596" t="str">
        <f>'Source Table'!$C$6</f>
        <v>Others</v>
      </c>
      <c r="G596" t="str">
        <f>'Source Table'!$C$5</f>
        <v>آخرون</v>
      </c>
      <c r="H596" t="str">
        <f>'Source Table'!$G$8</f>
        <v>Female</v>
      </c>
      <c r="I596" s="16" t="str">
        <f>'Source Table'!$G$7</f>
        <v>أنثى</v>
      </c>
      <c r="J596" s="25" t="str">
        <f>'Source Table'!$B$26</f>
        <v>Anesthetic</v>
      </c>
      <c r="K596" s="25" t="str">
        <f>'Source Table'!$I$26</f>
        <v>تخدير وإنعاش</v>
      </c>
      <c r="L596" s="40">
        <v>15</v>
      </c>
      <c r="M596">
        <v>2021</v>
      </c>
    </row>
    <row r="597" spans="1:13" ht="15">
      <c r="A597" t="s">
        <v>153</v>
      </c>
      <c r="B597" t="s">
        <v>154</v>
      </c>
      <c r="C597" s="15" t="s">
        <v>30</v>
      </c>
      <c r="D597" s="23" t="s">
        <v>81</v>
      </c>
      <c r="E597" s="25" t="s">
        <v>82</v>
      </c>
      <c r="F597" t="str">
        <f>'Source Table'!$C$6</f>
        <v>Others</v>
      </c>
      <c r="G597" t="str">
        <f>'Source Table'!$C$5</f>
        <v>آخرون</v>
      </c>
      <c r="H597" t="str">
        <f>'Source Table'!$G$8</f>
        <v>Female</v>
      </c>
      <c r="I597" s="16" t="str">
        <f>'Source Table'!$G$7</f>
        <v>أنثى</v>
      </c>
      <c r="J597" s="25" t="str">
        <f>'Source Table'!$B$27</f>
        <v>Physiotherapist</v>
      </c>
      <c r="K597" s="25" t="str">
        <f>'Source Table'!$I$27</f>
        <v>طب طبيعي</v>
      </c>
      <c r="L597" s="39">
        <v>0</v>
      </c>
      <c r="M597">
        <v>2021</v>
      </c>
    </row>
    <row r="598" spans="1:13" ht="15">
      <c r="A598" t="s">
        <v>153</v>
      </c>
      <c r="B598" t="s">
        <v>154</v>
      </c>
      <c r="C598" s="15" t="s">
        <v>30</v>
      </c>
      <c r="D598" s="23" t="s">
        <v>81</v>
      </c>
      <c r="E598" s="25" t="s">
        <v>82</v>
      </c>
      <c r="F598" t="str">
        <f>'Source Table'!$C$6</f>
        <v>Others</v>
      </c>
      <c r="G598" t="str">
        <f>'Source Table'!$C$5</f>
        <v>آخرون</v>
      </c>
      <c r="H598" t="str">
        <f>'Source Table'!$G$8</f>
        <v>Female</v>
      </c>
      <c r="I598" s="16" t="str">
        <f>'Source Table'!$G$7</f>
        <v>أنثى</v>
      </c>
      <c r="J598" s="25" t="str">
        <f>'Source Table'!$B$28</f>
        <v>Forensic</v>
      </c>
      <c r="K598" s="25" t="str">
        <f>'Source Table'!$I$28</f>
        <v>طب شرعي</v>
      </c>
      <c r="L598" s="39">
        <v>0</v>
      </c>
      <c r="M598">
        <v>2021</v>
      </c>
    </row>
    <row r="599" spans="1:13" ht="15">
      <c r="A599" t="s">
        <v>153</v>
      </c>
      <c r="B599" t="s">
        <v>154</v>
      </c>
      <c r="C599" s="15" t="s">
        <v>30</v>
      </c>
      <c r="D599" s="23" t="s">
        <v>81</v>
      </c>
      <c r="E599" s="25" t="s">
        <v>82</v>
      </c>
      <c r="F599" t="str">
        <f>'Source Table'!$C$6</f>
        <v>Others</v>
      </c>
      <c r="G599" t="str">
        <f>'Source Table'!$C$5</f>
        <v>آخرون</v>
      </c>
      <c r="H599" t="str">
        <f>'Source Table'!$G$8</f>
        <v>Female</v>
      </c>
      <c r="I599" s="16" t="str">
        <f>'Source Table'!$G$7</f>
        <v>أنثى</v>
      </c>
      <c r="J599" s="25" t="str">
        <f>'Source Table'!$B$29</f>
        <v xml:space="preserve">Family </v>
      </c>
      <c r="K599" s="25" t="str">
        <f>'Source Table'!$I$29</f>
        <v>طب أسرة</v>
      </c>
      <c r="L599" s="40">
        <v>34</v>
      </c>
      <c r="M599">
        <v>2021</v>
      </c>
    </row>
    <row r="600" spans="1:13" ht="15">
      <c r="A600" t="s">
        <v>153</v>
      </c>
      <c r="B600" t="s">
        <v>154</v>
      </c>
      <c r="C600" s="15" t="s">
        <v>30</v>
      </c>
      <c r="D600" s="23" t="s">
        <v>81</v>
      </c>
      <c r="E600" s="25" t="s">
        <v>82</v>
      </c>
      <c r="F600" t="str">
        <f>'Source Table'!$C$6</f>
        <v>Others</v>
      </c>
      <c r="G600" t="str">
        <f>'Source Table'!$C$5</f>
        <v>آخرون</v>
      </c>
      <c r="H600" t="str">
        <f>'Source Table'!$G$8</f>
        <v>Female</v>
      </c>
      <c r="I600" s="16" t="str">
        <f>'Source Table'!$G$7</f>
        <v>أنثى</v>
      </c>
      <c r="J600" s="25" t="str">
        <f>'Source Table'!$B$30</f>
        <v>Urologist</v>
      </c>
      <c r="K600" s="25" t="str">
        <f>'Source Table'!$I$30</f>
        <v xml:space="preserve">المسالك البولية </v>
      </c>
      <c r="L600" s="40">
        <v>0</v>
      </c>
      <c r="M600">
        <v>2021</v>
      </c>
    </row>
    <row r="601" spans="1:13" ht="15">
      <c r="A601" t="s">
        <v>153</v>
      </c>
      <c r="B601" t="s">
        <v>154</v>
      </c>
      <c r="C601" s="15" t="s">
        <v>30</v>
      </c>
      <c r="D601" s="23" t="s">
        <v>81</v>
      </c>
      <c r="E601" s="25" t="s">
        <v>82</v>
      </c>
      <c r="F601" t="str">
        <f>'Source Table'!$C$6</f>
        <v>Others</v>
      </c>
      <c r="G601" t="str">
        <f>'Source Table'!$C$5</f>
        <v>آخرون</v>
      </c>
      <c r="H601" t="str">
        <f>'Source Table'!$G$8</f>
        <v>Female</v>
      </c>
      <c r="I601" s="16" t="str">
        <f>'Source Table'!$G$7</f>
        <v>أنثى</v>
      </c>
      <c r="J601" s="25" t="str">
        <f>'Source Table'!$B$31</f>
        <v>Cardiology</v>
      </c>
      <c r="K601" s="25" t="str">
        <f>'Source Table'!$I$31</f>
        <v>أمراض القلب</v>
      </c>
      <c r="L601" s="40">
        <v>1</v>
      </c>
      <c r="M601">
        <v>2021</v>
      </c>
    </row>
    <row r="602" spans="1:13" ht="15">
      <c r="A602" t="s">
        <v>153</v>
      </c>
      <c r="B602" t="s">
        <v>154</v>
      </c>
      <c r="C602" s="15" t="s">
        <v>30</v>
      </c>
      <c r="D602" s="23" t="s">
        <v>81</v>
      </c>
      <c r="E602" s="25" t="s">
        <v>82</v>
      </c>
      <c r="F602" t="str">
        <f>'Source Table'!$C$6</f>
        <v>Others</v>
      </c>
      <c r="G602" t="str">
        <f>'Source Table'!$C$5</f>
        <v>آخرون</v>
      </c>
      <c r="H602" t="str">
        <f>'Source Table'!$G$8</f>
        <v>Female</v>
      </c>
      <c r="I602" s="16" t="str">
        <f>'Source Table'!$G$7</f>
        <v>أنثى</v>
      </c>
      <c r="J602" s="25" t="str">
        <f>'Source Table'!$B$32</f>
        <v>Laboratory</v>
      </c>
      <c r="K602" s="25" t="str">
        <f>'Source Table'!$I$32</f>
        <v>مختبرات</v>
      </c>
      <c r="L602" s="40">
        <v>2</v>
      </c>
      <c r="M602">
        <v>2021</v>
      </c>
    </row>
    <row r="603" spans="1:13" ht="15">
      <c r="A603" t="s">
        <v>153</v>
      </c>
      <c r="B603" t="s">
        <v>154</v>
      </c>
      <c r="C603" s="15" t="s">
        <v>30</v>
      </c>
      <c r="D603" s="23" t="s">
        <v>81</v>
      </c>
      <c r="E603" s="25" t="s">
        <v>82</v>
      </c>
      <c r="F603" t="str">
        <f>'Source Table'!$C$6</f>
        <v>Others</v>
      </c>
      <c r="G603" t="str">
        <f>'Source Table'!$C$5</f>
        <v>آخرون</v>
      </c>
      <c r="H603" t="str">
        <f>'Source Table'!$G$8</f>
        <v>Female</v>
      </c>
      <c r="I603" s="16" t="str">
        <f>'Source Table'!$G$7</f>
        <v>أنثى</v>
      </c>
      <c r="J603" s="25" t="str">
        <f>'Source Table'!$B$33</f>
        <v>Others</v>
      </c>
      <c r="K603" s="25" t="str">
        <f>'Source Table'!$I$33</f>
        <v>أخرى</v>
      </c>
      <c r="L603" s="39">
        <v>35</v>
      </c>
      <c r="M603">
        <v>2021</v>
      </c>
    </row>
    <row r="604" spans="1:13" ht="15">
      <c r="A604" t="s">
        <v>153</v>
      </c>
      <c r="B604" t="s">
        <v>154</v>
      </c>
      <c r="C604" s="15" t="s">
        <v>30</v>
      </c>
      <c r="D604" s="23" t="s">
        <v>81</v>
      </c>
      <c r="E604" s="25" t="s">
        <v>82</v>
      </c>
      <c r="F604" s="25" t="str">
        <f>'Source Table'!$G$6</f>
        <v>Public Sector</v>
      </c>
      <c r="G604" s="25" t="str">
        <f>'Source Table'!$G$5</f>
        <v>القطاع العام</v>
      </c>
      <c r="H604" t="str">
        <f>'Source Table'!$H$8</f>
        <v>Male</v>
      </c>
      <c r="I604" s="25" t="str">
        <f>'Source Table'!$H$7</f>
        <v>ذكر</v>
      </c>
      <c r="J604" s="25" t="str">
        <f>'Source Table'!$B$9</f>
        <v>General Practitioner</v>
      </c>
      <c r="K604" s="25" t="str">
        <f>'Source Table'!$I$9</f>
        <v>طبيب عام</v>
      </c>
      <c r="L604" s="39">
        <v>2427</v>
      </c>
      <c r="M604">
        <v>2019</v>
      </c>
    </row>
    <row r="605" spans="1:13" ht="15">
      <c r="A605" t="s">
        <v>153</v>
      </c>
      <c r="B605" t="s">
        <v>154</v>
      </c>
      <c r="C605" s="15" t="s">
        <v>30</v>
      </c>
      <c r="D605" s="23" t="s">
        <v>81</v>
      </c>
      <c r="E605" s="25" t="s">
        <v>82</v>
      </c>
      <c r="F605" s="25" t="str">
        <f>'Source Table'!$G$6</f>
        <v>Public Sector</v>
      </c>
      <c r="G605" s="25" t="str">
        <f>'Source Table'!$G$5</f>
        <v>القطاع العام</v>
      </c>
      <c r="H605" t="str">
        <f>'Source Table'!$H$8</f>
        <v>Male</v>
      </c>
      <c r="I605" s="25" t="str">
        <f>'Source Table'!$H$7</f>
        <v>ذكر</v>
      </c>
      <c r="J605" s="25" t="str">
        <f>'Source Table'!$B$10</f>
        <v>Surgeon</v>
      </c>
      <c r="K605" s="25" t="str">
        <f>'Source Table'!$I$10</f>
        <v>جراحة عامة</v>
      </c>
      <c r="L605" s="39">
        <v>530</v>
      </c>
      <c r="M605">
        <v>2019</v>
      </c>
    </row>
    <row r="606" spans="1:13" ht="15">
      <c r="A606" t="s">
        <v>153</v>
      </c>
      <c r="B606" t="s">
        <v>154</v>
      </c>
      <c r="C606" s="15" t="s">
        <v>30</v>
      </c>
      <c r="D606" s="23" t="s">
        <v>81</v>
      </c>
      <c r="E606" s="25" t="s">
        <v>82</v>
      </c>
      <c r="F606" s="25" t="str">
        <f>'Source Table'!$G$6</f>
        <v>Public Sector</v>
      </c>
      <c r="G606" s="25" t="str">
        <f>'Source Table'!$G$5</f>
        <v>القطاع العام</v>
      </c>
      <c r="H606" t="str">
        <f>'Source Table'!$H$8</f>
        <v>Male</v>
      </c>
      <c r="I606" s="25" t="str">
        <f>'Source Table'!$H$7</f>
        <v>ذكر</v>
      </c>
      <c r="J606" s="25" t="str">
        <f>'Source Table'!$B$11</f>
        <v>Internist</v>
      </c>
      <c r="K606" s="25" t="str">
        <f>'Source Table'!$I$11</f>
        <v>باطنية</v>
      </c>
      <c r="L606" s="39">
        <v>498</v>
      </c>
      <c r="M606">
        <v>2019</v>
      </c>
    </row>
    <row r="607" spans="1:13" ht="15">
      <c r="A607" t="s">
        <v>153</v>
      </c>
      <c r="B607" t="s">
        <v>154</v>
      </c>
      <c r="C607" s="15" t="s">
        <v>30</v>
      </c>
      <c r="D607" s="23" t="s">
        <v>81</v>
      </c>
      <c r="E607" s="25" t="s">
        <v>82</v>
      </c>
      <c r="F607" s="25" t="str">
        <f>'Source Table'!$G$6</f>
        <v>Public Sector</v>
      </c>
      <c r="G607" s="25" t="str">
        <f>'Source Table'!$G$5</f>
        <v>القطاع العام</v>
      </c>
      <c r="H607" t="str">
        <f>'Source Table'!$H$8</f>
        <v>Male</v>
      </c>
      <c r="I607" s="25" t="str">
        <f>'Source Table'!$H$7</f>
        <v>ذكر</v>
      </c>
      <c r="J607" s="25" t="str">
        <f>'Source Table'!$B$12</f>
        <v>Gynecologist and Obst.</v>
      </c>
      <c r="K607" s="25" t="str">
        <f>'Source Table'!$I$12</f>
        <v>نسائية وتوليد</v>
      </c>
      <c r="L607" s="39">
        <v>312</v>
      </c>
      <c r="M607">
        <v>2019</v>
      </c>
    </row>
    <row r="608" spans="1:13" ht="15">
      <c r="A608" t="s">
        <v>153</v>
      </c>
      <c r="B608" t="s">
        <v>154</v>
      </c>
      <c r="C608" s="15" t="s">
        <v>30</v>
      </c>
      <c r="D608" s="23" t="s">
        <v>81</v>
      </c>
      <c r="E608" s="25" t="s">
        <v>82</v>
      </c>
      <c r="F608" s="25" t="str">
        <f>'Source Table'!$G$6</f>
        <v>Public Sector</v>
      </c>
      <c r="G608" s="25" t="str">
        <f>'Source Table'!$G$5</f>
        <v>القطاع العام</v>
      </c>
      <c r="H608" t="str">
        <f>'Source Table'!$H$8</f>
        <v>Male</v>
      </c>
      <c r="I608" s="25" t="str">
        <f>'Source Table'!$H$7</f>
        <v>ذكر</v>
      </c>
      <c r="J608" s="25" t="str">
        <f>'Source Table'!$B$13</f>
        <v>Pediatrics</v>
      </c>
      <c r="K608" s="25" t="str">
        <f>'Source Table'!$I$13</f>
        <v>أطفال</v>
      </c>
      <c r="L608" s="39">
        <v>382</v>
      </c>
      <c r="M608">
        <v>2019</v>
      </c>
    </row>
    <row r="609" spans="1:13" ht="15">
      <c r="A609" t="s">
        <v>153</v>
      </c>
      <c r="B609" t="s">
        <v>154</v>
      </c>
      <c r="C609" s="15" t="s">
        <v>30</v>
      </c>
      <c r="D609" s="23" t="s">
        <v>81</v>
      </c>
      <c r="E609" s="25" t="s">
        <v>82</v>
      </c>
      <c r="F609" s="25" t="str">
        <f>'Source Table'!$G$6</f>
        <v>Public Sector</v>
      </c>
      <c r="G609" s="25" t="str">
        <f>'Source Table'!$G$5</f>
        <v>القطاع العام</v>
      </c>
      <c r="H609" t="str">
        <f>'Source Table'!$H$8</f>
        <v>Male</v>
      </c>
      <c r="I609" s="25" t="str">
        <f>'Source Table'!$H$7</f>
        <v>ذكر</v>
      </c>
      <c r="J609" s="25" t="str">
        <f>'Source Table'!$B$14</f>
        <v>Ophthalmologist</v>
      </c>
      <c r="K609" s="25" t="str">
        <f>'Source Table'!$I$14</f>
        <v>العيون</v>
      </c>
      <c r="L609" s="39">
        <v>174</v>
      </c>
      <c r="M609">
        <v>2019</v>
      </c>
    </row>
    <row r="610" spans="1:13" ht="15">
      <c r="A610" t="s">
        <v>153</v>
      </c>
      <c r="B610" t="s">
        <v>154</v>
      </c>
      <c r="C610" s="15" t="s">
        <v>30</v>
      </c>
      <c r="D610" s="23" t="s">
        <v>81</v>
      </c>
      <c r="E610" s="25" t="s">
        <v>82</v>
      </c>
      <c r="F610" s="25" t="str">
        <f>'Source Table'!$G$6</f>
        <v>Public Sector</v>
      </c>
      <c r="G610" s="25" t="str">
        <f>'Source Table'!$G$5</f>
        <v>القطاع العام</v>
      </c>
      <c r="H610" t="str">
        <f>'Source Table'!$H$8</f>
        <v>Male</v>
      </c>
      <c r="I610" s="25" t="str">
        <f>'Source Table'!$H$7</f>
        <v>ذكر</v>
      </c>
      <c r="J610" s="25" t="str">
        <f>'Source Table'!$B$15</f>
        <v>Orthopedic Surg.</v>
      </c>
      <c r="K610" s="25" t="str">
        <f>'Source Table'!$I$15</f>
        <v>العظام</v>
      </c>
      <c r="L610" s="39">
        <v>256</v>
      </c>
      <c r="M610">
        <v>2019</v>
      </c>
    </row>
    <row r="611" spans="1:13" ht="15">
      <c r="A611" t="s">
        <v>153</v>
      </c>
      <c r="B611" t="s">
        <v>154</v>
      </c>
      <c r="C611" s="15" t="s">
        <v>30</v>
      </c>
      <c r="D611" s="23" t="s">
        <v>81</v>
      </c>
      <c r="E611" s="25" t="s">
        <v>82</v>
      </c>
      <c r="F611" s="25" t="str">
        <f>'Source Table'!$G$6</f>
        <v>Public Sector</v>
      </c>
      <c r="G611" s="25" t="str">
        <f>'Source Table'!$G$5</f>
        <v>القطاع العام</v>
      </c>
      <c r="H611" t="str">
        <f>'Source Table'!$H$8</f>
        <v>Male</v>
      </c>
      <c r="I611" s="25" t="str">
        <f>'Source Table'!$H$7</f>
        <v>ذكر</v>
      </c>
      <c r="J611" s="25" t="str">
        <f>'Source Table'!$B$16</f>
        <v>E.N.T.Surg.</v>
      </c>
      <c r="K611" s="25" t="str">
        <f>'Source Table'!$I$16</f>
        <v>أذن وأنف وحنجرة</v>
      </c>
      <c r="L611" s="39">
        <v>167</v>
      </c>
      <c r="M611">
        <v>2019</v>
      </c>
    </row>
    <row r="612" spans="1:13" ht="15">
      <c r="A612" t="s">
        <v>153</v>
      </c>
      <c r="B612" t="s">
        <v>154</v>
      </c>
      <c r="C612" s="15" t="s">
        <v>30</v>
      </c>
      <c r="D612" s="23" t="s">
        <v>81</v>
      </c>
      <c r="E612" s="25" t="s">
        <v>82</v>
      </c>
      <c r="F612" s="25" t="str">
        <f>'Source Table'!$G$6</f>
        <v>Public Sector</v>
      </c>
      <c r="G612" s="25" t="str">
        <f>'Source Table'!$G$5</f>
        <v>القطاع العام</v>
      </c>
      <c r="H612" t="str">
        <f>'Source Table'!$H$8</f>
        <v>Male</v>
      </c>
      <c r="I612" s="25" t="str">
        <f>'Source Table'!$H$7</f>
        <v>ذكر</v>
      </c>
      <c r="J612" s="25" t="str">
        <f>'Source Table'!$B$17</f>
        <v>Neurosurgery</v>
      </c>
      <c r="K612" s="25" t="str">
        <f>'Source Table'!$I$17</f>
        <v>جراحةأعصاب</v>
      </c>
      <c r="L612" s="39">
        <v>48</v>
      </c>
      <c r="M612">
        <v>2019</v>
      </c>
    </row>
    <row r="613" spans="1:13" ht="15">
      <c r="A613" t="s">
        <v>153</v>
      </c>
      <c r="B613" t="s">
        <v>154</v>
      </c>
      <c r="C613" s="15" t="s">
        <v>30</v>
      </c>
      <c r="D613" s="23" t="s">
        <v>81</v>
      </c>
      <c r="E613" s="25" t="s">
        <v>82</v>
      </c>
      <c r="F613" s="25" t="str">
        <f>'Source Table'!$G$6</f>
        <v>Public Sector</v>
      </c>
      <c r="G613" s="25" t="str">
        <f>'Source Table'!$G$5</f>
        <v>القطاع العام</v>
      </c>
      <c r="H613" t="str">
        <f>'Source Table'!$H$8</f>
        <v>Male</v>
      </c>
      <c r="I613" s="25" t="str">
        <f>'Source Table'!$H$7</f>
        <v>ذكر</v>
      </c>
      <c r="J613" s="25" t="str">
        <f>'Source Table'!$B$18</f>
        <v>Cardiothoracic</v>
      </c>
      <c r="K613" s="25" t="str">
        <f>'Source Table'!$I$18</f>
        <v>جراحة قلب</v>
      </c>
      <c r="L613" s="39">
        <v>22</v>
      </c>
      <c r="M613">
        <v>2019</v>
      </c>
    </row>
    <row r="614" spans="1:13" ht="15">
      <c r="A614" t="s">
        <v>153</v>
      </c>
      <c r="B614" t="s">
        <v>154</v>
      </c>
      <c r="C614" s="15" t="s">
        <v>30</v>
      </c>
      <c r="D614" s="23" t="s">
        <v>81</v>
      </c>
      <c r="E614" s="25" t="s">
        <v>82</v>
      </c>
      <c r="F614" s="25" t="str">
        <f>'Source Table'!$G$6</f>
        <v>Public Sector</v>
      </c>
      <c r="G614" s="25" t="str">
        <f>'Source Table'!$G$5</f>
        <v>القطاع العام</v>
      </c>
      <c r="H614" t="str">
        <f>'Source Table'!$H$8</f>
        <v>Male</v>
      </c>
      <c r="I614" s="25" t="str">
        <f>'Source Table'!$H$7</f>
        <v>ذكر</v>
      </c>
      <c r="J614" s="25" t="str">
        <f>'Source Table'!$B$19</f>
        <v>Plastic Surgeon</v>
      </c>
      <c r="K614" s="25" t="str">
        <f>'Source Table'!$I$19</f>
        <v>التجميل</v>
      </c>
      <c r="L614" s="39">
        <v>26</v>
      </c>
      <c r="M614">
        <v>2019</v>
      </c>
    </row>
    <row r="615" spans="1:13" ht="15">
      <c r="A615" t="s">
        <v>153</v>
      </c>
      <c r="B615" t="s">
        <v>154</v>
      </c>
      <c r="C615" s="15" t="s">
        <v>30</v>
      </c>
      <c r="D615" s="23" t="s">
        <v>81</v>
      </c>
      <c r="E615" s="25" t="s">
        <v>82</v>
      </c>
      <c r="F615" s="25" t="str">
        <f>'Source Table'!$G$6</f>
        <v>Public Sector</v>
      </c>
      <c r="G615" s="25" t="str">
        <f>'Source Table'!$G$5</f>
        <v>القطاع العام</v>
      </c>
      <c r="H615" t="str">
        <f>'Source Table'!$H$8</f>
        <v>Male</v>
      </c>
      <c r="I615" s="25" t="str">
        <f>'Source Table'!$H$7</f>
        <v>ذكر</v>
      </c>
      <c r="J615" s="25" t="str">
        <f>'Source Table'!$B$20</f>
        <v>Psychiatry</v>
      </c>
      <c r="K615" s="25" t="str">
        <f>'Source Table'!$I$20</f>
        <v>النفسية</v>
      </c>
      <c r="L615" s="39">
        <v>55</v>
      </c>
      <c r="M615">
        <v>2019</v>
      </c>
    </row>
    <row r="616" spans="1:13" ht="15">
      <c r="A616" t="s">
        <v>153</v>
      </c>
      <c r="B616" t="s">
        <v>154</v>
      </c>
      <c r="C616" s="15" t="s">
        <v>30</v>
      </c>
      <c r="D616" s="23" t="s">
        <v>81</v>
      </c>
      <c r="E616" s="25" t="s">
        <v>82</v>
      </c>
      <c r="F616" s="25" t="str">
        <f>'Source Table'!$G$6</f>
        <v>Public Sector</v>
      </c>
      <c r="G616" s="25" t="str">
        <f>'Source Table'!$G$5</f>
        <v>القطاع العام</v>
      </c>
      <c r="H616" t="str">
        <f>'Source Table'!$H$8</f>
        <v>Male</v>
      </c>
      <c r="I616" s="25" t="str">
        <f>'Source Table'!$H$7</f>
        <v>ذكر</v>
      </c>
      <c r="J616" s="25" t="str">
        <f>'Source Table'!$B$21</f>
        <v>Dermatologist Venereal</v>
      </c>
      <c r="K616" s="25" t="str">
        <f>'Source Table'!$I$21</f>
        <v>جلدية وتناسلية</v>
      </c>
      <c r="L616" s="39">
        <v>88</v>
      </c>
      <c r="M616">
        <v>2019</v>
      </c>
    </row>
    <row r="617" spans="1:13" ht="15">
      <c r="A617" t="s">
        <v>153</v>
      </c>
      <c r="B617" t="s">
        <v>154</v>
      </c>
      <c r="C617" s="15" t="s">
        <v>30</v>
      </c>
      <c r="D617" s="23" t="s">
        <v>81</v>
      </c>
      <c r="E617" s="25" t="s">
        <v>82</v>
      </c>
      <c r="F617" s="25" t="str">
        <f>'Source Table'!$G$6</f>
        <v>Public Sector</v>
      </c>
      <c r="G617" s="25" t="str">
        <f>'Source Table'!$G$5</f>
        <v>القطاع العام</v>
      </c>
      <c r="H617" t="str">
        <f>'Source Table'!$H$8</f>
        <v>Male</v>
      </c>
      <c r="I617" s="25" t="str">
        <f>'Source Table'!$H$7</f>
        <v>ذكر</v>
      </c>
      <c r="J617" s="25" t="str">
        <f>'Source Table'!$B$22</f>
        <v>Neurology/ Nervous</v>
      </c>
      <c r="K617" s="25" t="str">
        <f>'Source Table'!$I$22</f>
        <v>مرض الأعصاب</v>
      </c>
      <c r="L617" s="39">
        <v>27</v>
      </c>
      <c r="M617">
        <v>2019</v>
      </c>
    </row>
    <row r="618" spans="1:13" ht="15">
      <c r="A618" t="s">
        <v>153</v>
      </c>
      <c r="B618" t="s">
        <v>154</v>
      </c>
      <c r="C618" s="15" t="s">
        <v>30</v>
      </c>
      <c r="D618" s="23" t="s">
        <v>81</v>
      </c>
      <c r="E618" s="25" t="s">
        <v>82</v>
      </c>
      <c r="F618" s="25" t="str">
        <f>'Source Table'!$G$6</f>
        <v>Public Sector</v>
      </c>
      <c r="G618" s="25" t="str">
        <f>'Source Table'!$G$5</f>
        <v>القطاع العام</v>
      </c>
      <c r="H618" t="str">
        <f>'Source Table'!$H$8</f>
        <v>Male</v>
      </c>
      <c r="I618" s="25" t="str">
        <f>'Source Table'!$H$7</f>
        <v>ذكر</v>
      </c>
      <c r="J618" s="25" t="str">
        <f>'Source Table'!$B$23</f>
        <v>Pumologist</v>
      </c>
      <c r="K618" s="25" t="str">
        <f>'Source Table'!$I$23</f>
        <v>صدرية</v>
      </c>
      <c r="L618" s="39">
        <v>30</v>
      </c>
      <c r="M618">
        <v>2019</v>
      </c>
    </row>
    <row r="619" spans="1:13" ht="15">
      <c r="A619" t="s">
        <v>153</v>
      </c>
      <c r="B619" t="s">
        <v>154</v>
      </c>
      <c r="C619" s="15" t="s">
        <v>30</v>
      </c>
      <c r="D619" s="23" t="s">
        <v>81</v>
      </c>
      <c r="E619" s="25" t="s">
        <v>82</v>
      </c>
      <c r="F619" s="25" t="str">
        <f>'Source Table'!$G$6</f>
        <v>Public Sector</v>
      </c>
      <c r="G619" s="25" t="str">
        <f>'Source Table'!$G$5</f>
        <v>القطاع العام</v>
      </c>
      <c r="H619" t="str">
        <f>'Source Table'!$H$8</f>
        <v>Male</v>
      </c>
      <c r="I619" s="25" t="str">
        <f>'Source Table'!$H$7</f>
        <v>ذكر</v>
      </c>
      <c r="J619" s="25" t="str">
        <f>'Source Table'!$B$24</f>
        <v>G.I.T. Specialist</v>
      </c>
      <c r="K619" s="25" t="str">
        <f>'Source Table'!$I$24</f>
        <v>جهاز هضمي</v>
      </c>
      <c r="L619" s="39">
        <v>31</v>
      </c>
      <c r="M619">
        <v>2019</v>
      </c>
    </row>
    <row r="620" spans="1:13" ht="15">
      <c r="A620" t="s">
        <v>153</v>
      </c>
      <c r="B620" t="s">
        <v>154</v>
      </c>
      <c r="C620" s="15" t="s">
        <v>30</v>
      </c>
      <c r="D620" s="23" t="s">
        <v>81</v>
      </c>
      <c r="E620" s="25" t="s">
        <v>82</v>
      </c>
      <c r="F620" s="25" t="str">
        <f>'Source Table'!$G$6</f>
        <v>Public Sector</v>
      </c>
      <c r="G620" s="25" t="str">
        <f>'Source Table'!$G$5</f>
        <v>القطاع العام</v>
      </c>
      <c r="H620" t="str">
        <f>'Source Table'!$H$8</f>
        <v>Male</v>
      </c>
      <c r="I620" s="25" t="str">
        <f>'Source Table'!$H$7</f>
        <v>ذكر</v>
      </c>
      <c r="J620" s="25" t="str">
        <f>'Source Table'!$B$25</f>
        <v>Diagnostic Radiology</v>
      </c>
      <c r="K620" s="25" t="str">
        <f>'Source Table'!$I$25</f>
        <v>أشعة تشخيصية</v>
      </c>
      <c r="L620" s="39">
        <v>138</v>
      </c>
      <c r="M620">
        <v>2019</v>
      </c>
    </row>
    <row r="621" spans="1:13" ht="15">
      <c r="A621" t="s">
        <v>153</v>
      </c>
      <c r="B621" t="s">
        <v>154</v>
      </c>
      <c r="C621" s="15" t="s">
        <v>30</v>
      </c>
      <c r="D621" s="23" t="s">
        <v>81</v>
      </c>
      <c r="E621" s="25" t="s">
        <v>82</v>
      </c>
      <c r="F621" s="25" t="str">
        <f>'Source Table'!$G$6</f>
        <v>Public Sector</v>
      </c>
      <c r="G621" s="25" t="str">
        <f>'Source Table'!$G$5</f>
        <v>القطاع العام</v>
      </c>
      <c r="H621" t="str">
        <f>'Source Table'!$H$8</f>
        <v>Male</v>
      </c>
      <c r="I621" s="25" t="str">
        <f>'Source Table'!$H$7</f>
        <v>ذكر</v>
      </c>
      <c r="J621" s="25" t="str">
        <f>'Source Table'!$B$26</f>
        <v>Anesthetic</v>
      </c>
      <c r="K621" s="25" t="str">
        <f>'Source Table'!$I$26</f>
        <v>تخدير وإنعاش</v>
      </c>
      <c r="L621" s="39">
        <v>260</v>
      </c>
      <c r="M621">
        <v>2019</v>
      </c>
    </row>
    <row r="622" spans="1:13" ht="15">
      <c r="A622" t="s">
        <v>153</v>
      </c>
      <c r="B622" t="s">
        <v>154</v>
      </c>
      <c r="C622" s="15" t="s">
        <v>30</v>
      </c>
      <c r="D622" s="23" t="s">
        <v>81</v>
      </c>
      <c r="E622" s="25" t="s">
        <v>82</v>
      </c>
      <c r="F622" s="25" t="str">
        <f>'Source Table'!$G$6</f>
        <v>Public Sector</v>
      </c>
      <c r="G622" s="25" t="str">
        <f>'Source Table'!$G$5</f>
        <v>القطاع العام</v>
      </c>
      <c r="H622" t="str">
        <f>'Source Table'!$H$8</f>
        <v>Male</v>
      </c>
      <c r="I622" s="25" t="str">
        <f>'Source Table'!$H$7</f>
        <v>ذكر</v>
      </c>
      <c r="J622" s="25" t="str">
        <f>'Source Table'!$B$27</f>
        <v>Physiotherapist</v>
      </c>
      <c r="K622" s="25" t="str">
        <f>'Source Table'!$I$27</f>
        <v>طب طبيعي</v>
      </c>
      <c r="L622" s="39">
        <v>54</v>
      </c>
      <c r="M622">
        <v>2019</v>
      </c>
    </row>
    <row r="623" spans="1:13" ht="15">
      <c r="A623" t="s">
        <v>153</v>
      </c>
      <c r="B623" t="s">
        <v>154</v>
      </c>
      <c r="C623" s="15" t="s">
        <v>30</v>
      </c>
      <c r="D623" s="23" t="s">
        <v>81</v>
      </c>
      <c r="E623" s="25" t="s">
        <v>82</v>
      </c>
      <c r="F623" s="25" t="str">
        <f>'Source Table'!$G$6</f>
        <v>Public Sector</v>
      </c>
      <c r="G623" s="25" t="str">
        <f>'Source Table'!$G$5</f>
        <v>القطاع العام</v>
      </c>
      <c r="H623" t="str">
        <f>'Source Table'!$H$8</f>
        <v>Male</v>
      </c>
      <c r="I623" s="25" t="str">
        <f>'Source Table'!$H$7</f>
        <v>ذكر</v>
      </c>
      <c r="J623" s="25" t="str">
        <f>'Source Table'!$B$28</f>
        <v>Forensic</v>
      </c>
      <c r="K623" s="25" t="str">
        <f>'Source Table'!$I$28</f>
        <v>طب شرعي</v>
      </c>
      <c r="L623" s="39">
        <v>48</v>
      </c>
      <c r="M623">
        <v>2019</v>
      </c>
    </row>
    <row r="624" spans="1:13" ht="15">
      <c r="A624" t="s">
        <v>153</v>
      </c>
      <c r="B624" t="s">
        <v>154</v>
      </c>
      <c r="C624" s="15" t="s">
        <v>30</v>
      </c>
      <c r="D624" s="23" t="s">
        <v>81</v>
      </c>
      <c r="E624" s="25" t="s">
        <v>82</v>
      </c>
      <c r="F624" s="25" t="str">
        <f>'Source Table'!$G$6</f>
        <v>Public Sector</v>
      </c>
      <c r="G624" s="25" t="str">
        <f>'Source Table'!$G$5</f>
        <v>القطاع العام</v>
      </c>
      <c r="H624" t="str">
        <f>'Source Table'!$H$8</f>
        <v>Male</v>
      </c>
      <c r="I624" s="25" t="str">
        <f>'Source Table'!$H$7</f>
        <v>ذكر</v>
      </c>
      <c r="J624" s="25" t="str">
        <f>'Source Table'!$B$29</f>
        <v xml:space="preserve">Family </v>
      </c>
      <c r="K624" s="25" t="str">
        <f>'Source Table'!$I$29</f>
        <v>طب أسرة</v>
      </c>
      <c r="L624" s="39">
        <v>120</v>
      </c>
      <c r="M624">
        <v>2019</v>
      </c>
    </row>
    <row r="625" spans="1:13" ht="15">
      <c r="A625" t="s">
        <v>153</v>
      </c>
      <c r="B625" t="s">
        <v>154</v>
      </c>
      <c r="C625" s="15" t="s">
        <v>30</v>
      </c>
      <c r="D625" s="23" t="s">
        <v>81</v>
      </c>
      <c r="E625" s="25" t="s">
        <v>82</v>
      </c>
      <c r="F625" s="25" t="str">
        <f>'Source Table'!$G$6</f>
        <v>Public Sector</v>
      </c>
      <c r="G625" s="25" t="str">
        <f>'Source Table'!$G$5</f>
        <v>القطاع العام</v>
      </c>
      <c r="H625" t="str">
        <f>'Source Table'!$H$8</f>
        <v>Male</v>
      </c>
      <c r="I625" s="25" t="str">
        <f>'Source Table'!$H$7</f>
        <v>ذكر</v>
      </c>
      <c r="J625" s="25" t="str">
        <f>'Source Table'!$B$30</f>
        <v>Urologist</v>
      </c>
      <c r="K625" s="25" t="str">
        <f>'Source Table'!$I$30</f>
        <v xml:space="preserve">المسالك البولية </v>
      </c>
      <c r="L625" s="39">
        <v>127</v>
      </c>
      <c r="M625">
        <v>2019</v>
      </c>
    </row>
    <row r="626" spans="1:13" ht="15">
      <c r="A626" t="s">
        <v>153</v>
      </c>
      <c r="B626" t="s">
        <v>154</v>
      </c>
      <c r="C626" s="15" t="s">
        <v>30</v>
      </c>
      <c r="D626" s="23" t="s">
        <v>81</v>
      </c>
      <c r="E626" s="25" t="s">
        <v>82</v>
      </c>
      <c r="F626" s="25" t="str">
        <f>'Source Table'!$G$6</f>
        <v>Public Sector</v>
      </c>
      <c r="G626" s="25" t="str">
        <f>'Source Table'!$G$5</f>
        <v>القطاع العام</v>
      </c>
      <c r="H626" t="str">
        <f>'Source Table'!$H$8</f>
        <v>Male</v>
      </c>
      <c r="I626" s="25" t="str">
        <f>'Source Table'!$H$7</f>
        <v>ذكر</v>
      </c>
      <c r="J626" s="25" t="str">
        <f>'Source Table'!$B$31</f>
        <v>Cardiology</v>
      </c>
      <c r="K626" s="25" t="str">
        <f>'Source Table'!$I$31</f>
        <v>أمراض القلب</v>
      </c>
      <c r="L626" s="39">
        <v>44</v>
      </c>
      <c r="M626">
        <v>2019</v>
      </c>
    </row>
    <row r="627" spans="1:13" ht="15">
      <c r="A627" t="s">
        <v>153</v>
      </c>
      <c r="B627" t="s">
        <v>154</v>
      </c>
      <c r="C627" s="15" t="s">
        <v>30</v>
      </c>
      <c r="D627" s="23" t="s">
        <v>81</v>
      </c>
      <c r="E627" s="25" t="s">
        <v>82</v>
      </c>
      <c r="F627" s="25" t="str">
        <f>'Source Table'!$G$6</f>
        <v>Public Sector</v>
      </c>
      <c r="G627" s="25" t="str">
        <f>'Source Table'!$G$5</f>
        <v>القطاع العام</v>
      </c>
      <c r="H627" t="str">
        <f>'Source Table'!$H$8</f>
        <v>Male</v>
      </c>
      <c r="I627" s="25" t="str">
        <f>'Source Table'!$H$7</f>
        <v>ذكر</v>
      </c>
      <c r="J627" s="25" t="str">
        <f>'Source Table'!$B$32</f>
        <v>Laboratory</v>
      </c>
      <c r="K627" s="25" t="str">
        <f>'Source Table'!$I$32</f>
        <v>مختبرات</v>
      </c>
      <c r="L627" s="39">
        <v>19</v>
      </c>
      <c r="M627">
        <v>2019</v>
      </c>
    </row>
    <row r="628" spans="1:13" ht="15">
      <c r="A628" t="s">
        <v>153</v>
      </c>
      <c r="B628" t="s">
        <v>154</v>
      </c>
      <c r="C628" s="15" t="s">
        <v>30</v>
      </c>
      <c r="D628" s="23" t="s">
        <v>81</v>
      </c>
      <c r="E628" s="25" t="s">
        <v>82</v>
      </c>
      <c r="F628" s="25" t="str">
        <f>'Source Table'!$G$6</f>
        <v>Public Sector</v>
      </c>
      <c r="G628" s="25" t="str">
        <f>'Source Table'!$G$5</f>
        <v>القطاع العام</v>
      </c>
      <c r="H628" t="str">
        <f>'Source Table'!$H$8</f>
        <v>Male</v>
      </c>
      <c r="I628" s="25" t="str">
        <f>'Source Table'!$H$7</f>
        <v>ذكر</v>
      </c>
      <c r="J628" s="25" t="str">
        <f>'Source Table'!$B$33</f>
        <v>Others</v>
      </c>
      <c r="K628" s="25" t="str">
        <f>'Source Table'!$I$33</f>
        <v>أخرى</v>
      </c>
      <c r="L628" s="39">
        <v>444</v>
      </c>
      <c r="M628">
        <v>2019</v>
      </c>
    </row>
    <row r="629" spans="1:13" ht="15">
      <c r="A629" t="s">
        <v>153</v>
      </c>
      <c r="B629" t="s">
        <v>154</v>
      </c>
      <c r="C629" s="15" t="s">
        <v>30</v>
      </c>
      <c r="D629" s="23" t="s">
        <v>81</v>
      </c>
      <c r="E629" s="25" t="s">
        <v>82</v>
      </c>
      <c r="F629" s="25" t="str">
        <f>'Source Table'!$G$6</f>
        <v>Public Sector</v>
      </c>
      <c r="G629" s="25" t="str">
        <f>'Source Table'!$G$5</f>
        <v>القطاع العام</v>
      </c>
      <c r="H629" t="str">
        <f>'Source Table'!$G$8</f>
        <v>Female</v>
      </c>
      <c r="I629" s="16" t="str">
        <f>'Source Table'!$G$7</f>
        <v>أنثى</v>
      </c>
      <c r="J629" s="25" t="str">
        <f>'Source Table'!$B$9</f>
        <v>General Practitioner</v>
      </c>
      <c r="K629" s="25" t="str">
        <f>'Source Table'!$I$9</f>
        <v>طبيب عام</v>
      </c>
      <c r="L629" s="39">
        <v>454</v>
      </c>
      <c r="M629">
        <v>2019</v>
      </c>
    </row>
    <row r="630" spans="1:13" ht="15">
      <c r="A630" t="s">
        <v>153</v>
      </c>
      <c r="B630" t="s">
        <v>154</v>
      </c>
      <c r="C630" s="15" t="s">
        <v>30</v>
      </c>
      <c r="D630" s="23" t="s">
        <v>81</v>
      </c>
      <c r="E630" s="25" t="s">
        <v>82</v>
      </c>
      <c r="F630" s="25" t="str">
        <f>'Source Table'!$G$6</f>
        <v>Public Sector</v>
      </c>
      <c r="G630" s="25" t="str">
        <f>'Source Table'!$G$5</f>
        <v>القطاع العام</v>
      </c>
      <c r="H630" t="str">
        <f>'Source Table'!$G$8</f>
        <v>Female</v>
      </c>
      <c r="I630" s="16" t="str">
        <f>'Source Table'!$G$7</f>
        <v>أنثى</v>
      </c>
      <c r="J630" s="25" t="str">
        <f>'Source Table'!$B$10</f>
        <v>Surgeon</v>
      </c>
      <c r="K630" s="25" t="str">
        <f>'Source Table'!$I$10</f>
        <v>جراحة عامة</v>
      </c>
      <c r="L630" s="39">
        <v>15</v>
      </c>
      <c r="M630">
        <v>2019</v>
      </c>
    </row>
    <row r="631" spans="1:13" ht="15">
      <c r="A631" t="s">
        <v>153</v>
      </c>
      <c r="B631" t="s">
        <v>154</v>
      </c>
      <c r="C631" s="15" t="s">
        <v>30</v>
      </c>
      <c r="D631" s="23" t="s">
        <v>81</v>
      </c>
      <c r="E631" s="25" t="s">
        <v>82</v>
      </c>
      <c r="F631" s="25" t="str">
        <f>'Source Table'!$G$6</f>
        <v>Public Sector</v>
      </c>
      <c r="G631" s="25" t="str">
        <f>'Source Table'!$G$5</f>
        <v>القطاع العام</v>
      </c>
      <c r="H631" t="str">
        <f>'Source Table'!$G$8</f>
        <v>Female</v>
      </c>
      <c r="I631" s="16" t="str">
        <f>'Source Table'!$G$7</f>
        <v>أنثى</v>
      </c>
      <c r="J631" s="25" t="str">
        <f>'Source Table'!$B$11</f>
        <v>Internist</v>
      </c>
      <c r="K631" s="25" t="str">
        <f>'Source Table'!$I$11</f>
        <v>باطنية</v>
      </c>
      <c r="L631" s="39">
        <v>52</v>
      </c>
      <c r="M631">
        <v>2019</v>
      </c>
    </row>
    <row r="632" spans="1:13" ht="15">
      <c r="A632" t="s">
        <v>153</v>
      </c>
      <c r="B632" t="s">
        <v>154</v>
      </c>
      <c r="C632" s="15" t="s">
        <v>30</v>
      </c>
      <c r="D632" s="23" t="s">
        <v>81</v>
      </c>
      <c r="E632" s="25" t="s">
        <v>82</v>
      </c>
      <c r="F632" s="25" t="str">
        <f>'Source Table'!$G$6</f>
        <v>Public Sector</v>
      </c>
      <c r="G632" s="25" t="str">
        <f>'Source Table'!$G$5</f>
        <v>القطاع العام</v>
      </c>
      <c r="H632" t="str">
        <f>'Source Table'!$G$8</f>
        <v>Female</v>
      </c>
      <c r="I632" s="16" t="str">
        <f>'Source Table'!$G$7</f>
        <v>أنثى</v>
      </c>
      <c r="J632" s="25" t="str">
        <f>'Source Table'!$B$12</f>
        <v>Gynecologist and Obst.</v>
      </c>
      <c r="K632" s="25" t="str">
        <f>'Source Table'!$I$12</f>
        <v>نسائية وتوليد</v>
      </c>
      <c r="L632" s="39">
        <v>148</v>
      </c>
      <c r="M632">
        <v>2019</v>
      </c>
    </row>
    <row r="633" spans="1:13" ht="15">
      <c r="A633" t="s">
        <v>153</v>
      </c>
      <c r="B633" t="s">
        <v>154</v>
      </c>
      <c r="C633" s="15" t="s">
        <v>30</v>
      </c>
      <c r="D633" s="23" t="s">
        <v>81</v>
      </c>
      <c r="E633" s="25" t="s">
        <v>82</v>
      </c>
      <c r="F633" s="25" t="str">
        <f>'Source Table'!$G$6</f>
        <v>Public Sector</v>
      </c>
      <c r="G633" s="25" t="str">
        <f>'Source Table'!$G$5</f>
        <v>القطاع العام</v>
      </c>
      <c r="H633" t="str">
        <f>'Source Table'!$G$8</f>
        <v>Female</v>
      </c>
      <c r="I633" s="16" t="str">
        <f>'Source Table'!$G$7</f>
        <v>أنثى</v>
      </c>
      <c r="J633" s="25" t="str">
        <f>'Source Table'!$B$13</f>
        <v>Pediatrics</v>
      </c>
      <c r="K633" s="25" t="str">
        <f>'Source Table'!$I$13</f>
        <v>أطفال</v>
      </c>
      <c r="L633" s="39">
        <v>151</v>
      </c>
      <c r="M633">
        <v>2019</v>
      </c>
    </row>
    <row r="634" spans="1:13" ht="15">
      <c r="A634" t="s">
        <v>153</v>
      </c>
      <c r="B634" t="s">
        <v>154</v>
      </c>
      <c r="C634" s="15" t="s">
        <v>30</v>
      </c>
      <c r="D634" s="23" t="s">
        <v>81</v>
      </c>
      <c r="E634" s="25" t="s">
        <v>82</v>
      </c>
      <c r="F634" s="25" t="str">
        <f>'Source Table'!$G$6</f>
        <v>Public Sector</v>
      </c>
      <c r="G634" s="25" t="str">
        <f>'Source Table'!$G$5</f>
        <v>القطاع العام</v>
      </c>
      <c r="H634" t="str">
        <f>'Source Table'!$G$8</f>
        <v>Female</v>
      </c>
      <c r="I634" s="16" t="str">
        <f>'Source Table'!$G$7</f>
        <v>أنثى</v>
      </c>
      <c r="J634" s="25" t="str">
        <f>'Source Table'!$B$14</f>
        <v>Ophthalmologist</v>
      </c>
      <c r="K634" s="25" t="str">
        <f>'Source Table'!$I$14</f>
        <v>العيون</v>
      </c>
      <c r="L634" s="39">
        <v>44</v>
      </c>
      <c r="M634">
        <v>2019</v>
      </c>
    </row>
    <row r="635" spans="1:13" ht="15">
      <c r="A635" t="s">
        <v>153</v>
      </c>
      <c r="B635" t="s">
        <v>154</v>
      </c>
      <c r="C635" s="15" t="s">
        <v>30</v>
      </c>
      <c r="D635" s="23" t="s">
        <v>81</v>
      </c>
      <c r="E635" s="25" t="s">
        <v>82</v>
      </c>
      <c r="F635" s="25" t="str">
        <f>'Source Table'!$G$6</f>
        <v>Public Sector</v>
      </c>
      <c r="G635" s="25" t="str">
        <f>'Source Table'!$G$5</f>
        <v>القطاع العام</v>
      </c>
      <c r="H635" t="str">
        <f>'Source Table'!$G$8</f>
        <v>Female</v>
      </c>
      <c r="I635" s="16" t="str">
        <f>'Source Table'!$G$7</f>
        <v>أنثى</v>
      </c>
      <c r="J635" s="25" t="str">
        <f>'Source Table'!$B$15</f>
        <v>Orthopedic Surg.</v>
      </c>
      <c r="K635" s="25" t="str">
        <f>'Source Table'!$I$15</f>
        <v>العظام</v>
      </c>
      <c r="L635" s="39">
        <v>0</v>
      </c>
      <c r="M635">
        <v>2019</v>
      </c>
    </row>
    <row r="636" spans="1:13" ht="15">
      <c r="A636" t="s">
        <v>153</v>
      </c>
      <c r="B636" t="s">
        <v>154</v>
      </c>
      <c r="C636" s="15" t="s">
        <v>30</v>
      </c>
      <c r="D636" s="23" t="s">
        <v>81</v>
      </c>
      <c r="E636" s="25" t="s">
        <v>82</v>
      </c>
      <c r="F636" s="25" t="str">
        <f>'Source Table'!$G$6</f>
        <v>Public Sector</v>
      </c>
      <c r="G636" s="25" t="str">
        <f>'Source Table'!$G$5</f>
        <v>القطاع العام</v>
      </c>
      <c r="H636" t="str">
        <f>'Source Table'!$G$8</f>
        <v>Female</v>
      </c>
      <c r="I636" s="16" t="str">
        <f>'Source Table'!$G$7</f>
        <v>أنثى</v>
      </c>
      <c r="J636" s="25" t="str">
        <f>'Source Table'!$B$16</f>
        <v>E.N.T.Surg.</v>
      </c>
      <c r="K636" s="25" t="str">
        <f>'Source Table'!$I$16</f>
        <v>أذن وأنف وحنجرة</v>
      </c>
      <c r="L636" s="39">
        <v>24</v>
      </c>
      <c r="M636">
        <v>2019</v>
      </c>
    </row>
    <row r="637" spans="1:13" ht="15">
      <c r="A637" t="s">
        <v>153</v>
      </c>
      <c r="B637" t="s">
        <v>154</v>
      </c>
      <c r="C637" s="15" t="s">
        <v>30</v>
      </c>
      <c r="D637" s="23" t="s">
        <v>81</v>
      </c>
      <c r="E637" s="25" t="s">
        <v>82</v>
      </c>
      <c r="F637" s="25" t="str">
        <f>'Source Table'!$G$6</f>
        <v>Public Sector</v>
      </c>
      <c r="G637" s="25" t="str">
        <f>'Source Table'!$G$5</f>
        <v>القطاع العام</v>
      </c>
      <c r="H637" t="str">
        <f>'Source Table'!$G$8</f>
        <v>Female</v>
      </c>
      <c r="I637" s="16" t="str">
        <f>'Source Table'!$G$7</f>
        <v>أنثى</v>
      </c>
      <c r="J637" s="25" t="str">
        <f>'Source Table'!$B$17</f>
        <v>Neurosurgery</v>
      </c>
      <c r="K637" s="25" t="str">
        <f>'Source Table'!$I$17</f>
        <v>جراحةأعصاب</v>
      </c>
      <c r="L637" s="39">
        <v>0</v>
      </c>
      <c r="M637">
        <v>2019</v>
      </c>
    </row>
    <row r="638" spans="1:13" ht="15">
      <c r="A638" t="s">
        <v>153</v>
      </c>
      <c r="B638" t="s">
        <v>154</v>
      </c>
      <c r="C638" s="15" t="s">
        <v>30</v>
      </c>
      <c r="D638" s="23" t="s">
        <v>81</v>
      </c>
      <c r="E638" s="25" t="s">
        <v>82</v>
      </c>
      <c r="F638" s="25" t="str">
        <f>'Source Table'!$G$6</f>
        <v>Public Sector</v>
      </c>
      <c r="G638" s="25" t="str">
        <f>'Source Table'!$G$5</f>
        <v>القطاع العام</v>
      </c>
      <c r="H638" t="str">
        <f>'Source Table'!$G$8</f>
        <v>Female</v>
      </c>
      <c r="I638" s="16" t="str">
        <f>'Source Table'!$G$7</f>
        <v>أنثى</v>
      </c>
      <c r="J638" s="25" t="str">
        <f>'Source Table'!$B$18</f>
        <v>Cardiothoracic</v>
      </c>
      <c r="K638" s="25" t="str">
        <f>'Source Table'!$I$18</f>
        <v>جراحة قلب</v>
      </c>
      <c r="L638" s="39">
        <v>0</v>
      </c>
      <c r="M638">
        <v>2019</v>
      </c>
    </row>
    <row r="639" spans="1:13" ht="15">
      <c r="A639" t="s">
        <v>153</v>
      </c>
      <c r="B639" t="s">
        <v>154</v>
      </c>
      <c r="C639" s="15" t="s">
        <v>30</v>
      </c>
      <c r="D639" s="23" t="s">
        <v>81</v>
      </c>
      <c r="E639" s="25" t="s">
        <v>82</v>
      </c>
      <c r="F639" s="25" t="str">
        <f>'Source Table'!$G$6</f>
        <v>Public Sector</v>
      </c>
      <c r="G639" s="25" t="str">
        <f>'Source Table'!$G$5</f>
        <v>القطاع العام</v>
      </c>
      <c r="H639" t="str">
        <f>'Source Table'!$G$8</f>
        <v>Female</v>
      </c>
      <c r="I639" s="16" t="str">
        <f>'Source Table'!$G$7</f>
        <v>أنثى</v>
      </c>
      <c r="J639" s="25" t="str">
        <f>'Source Table'!$B$19</f>
        <v>Plastic Surgeon</v>
      </c>
      <c r="K639" s="25" t="str">
        <f>'Source Table'!$I$19</f>
        <v>التجميل</v>
      </c>
      <c r="L639" s="39">
        <v>3</v>
      </c>
      <c r="M639">
        <v>2019</v>
      </c>
    </row>
    <row r="640" spans="1:13" ht="15">
      <c r="A640" t="s">
        <v>153</v>
      </c>
      <c r="B640" t="s">
        <v>154</v>
      </c>
      <c r="C640" s="15" t="s">
        <v>30</v>
      </c>
      <c r="D640" s="23" t="s">
        <v>81</v>
      </c>
      <c r="E640" s="25" t="s">
        <v>82</v>
      </c>
      <c r="F640" s="25" t="str">
        <f>'Source Table'!$G$6</f>
        <v>Public Sector</v>
      </c>
      <c r="G640" s="25" t="str">
        <f>'Source Table'!$G$5</f>
        <v>القطاع العام</v>
      </c>
      <c r="H640" t="str">
        <f>'Source Table'!$G$8</f>
        <v>Female</v>
      </c>
      <c r="I640" s="16" t="str">
        <f>'Source Table'!$G$7</f>
        <v>أنثى</v>
      </c>
      <c r="J640" s="25" t="str">
        <f>'Source Table'!$B$20</f>
        <v>Psychiatry</v>
      </c>
      <c r="K640" s="25" t="str">
        <f>'Source Table'!$I$20</f>
        <v>النفسية</v>
      </c>
      <c r="L640" s="39">
        <v>6</v>
      </c>
      <c r="M640">
        <v>2019</v>
      </c>
    </row>
    <row r="641" spans="1:13" ht="15">
      <c r="A641" t="s">
        <v>153</v>
      </c>
      <c r="B641" t="s">
        <v>154</v>
      </c>
      <c r="C641" s="15" t="s">
        <v>30</v>
      </c>
      <c r="D641" s="23" t="s">
        <v>81</v>
      </c>
      <c r="E641" s="25" t="s">
        <v>82</v>
      </c>
      <c r="F641" s="25" t="str">
        <f>'Source Table'!$G$6</f>
        <v>Public Sector</v>
      </c>
      <c r="G641" s="25" t="str">
        <f>'Source Table'!$G$5</f>
        <v>القطاع العام</v>
      </c>
      <c r="H641" t="str">
        <f>'Source Table'!$G$8</f>
        <v>Female</v>
      </c>
      <c r="I641" s="16" t="str">
        <f>'Source Table'!$G$7</f>
        <v>أنثى</v>
      </c>
      <c r="J641" s="25" t="str">
        <f>'Source Table'!$B$21</f>
        <v>Dermatologist Venereal</v>
      </c>
      <c r="K641" s="25" t="str">
        <f>'Source Table'!$I$21</f>
        <v>جلدية وتناسلية</v>
      </c>
      <c r="L641" s="39">
        <v>33</v>
      </c>
      <c r="M641">
        <v>2019</v>
      </c>
    </row>
    <row r="642" spans="1:13" ht="15">
      <c r="A642" t="s">
        <v>153</v>
      </c>
      <c r="B642" t="s">
        <v>154</v>
      </c>
      <c r="C642" s="15" t="s">
        <v>30</v>
      </c>
      <c r="D642" s="23" t="s">
        <v>81</v>
      </c>
      <c r="E642" s="25" t="s">
        <v>82</v>
      </c>
      <c r="F642" s="25" t="str">
        <f>'Source Table'!$G$6</f>
        <v>Public Sector</v>
      </c>
      <c r="G642" s="25" t="str">
        <f>'Source Table'!$G$5</f>
        <v>القطاع العام</v>
      </c>
      <c r="H642" t="str">
        <f>'Source Table'!$G$8</f>
        <v>Female</v>
      </c>
      <c r="I642" s="16" t="str">
        <f>'Source Table'!$G$7</f>
        <v>أنثى</v>
      </c>
      <c r="J642" s="25" t="str">
        <f>'Source Table'!$B$22</f>
        <v>Neurology/ Nervous</v>
      </c>
      <c r="K642" s="25" t="str">
        <f>'Source Table'!$I$22</f>
        <v>مرض الأعصاب</v>
      </c>
      <c r="L642" s="39">
        <v>4</v>
      </c>
      <c r="M642">
        <v>2019</v>
      </c>
    </row>
    <row r="643" spans="1:13" ht="15">
      <c r="A643" t="s">
        <v>153</v>
      </c>
      <c r="B643" t="s">
        <v>154</v>
      </c>
      <c r="C643" s="15" t="s">
        <v>30</v>
      </c>
      <c r="D643" s="23" t="s">
        <v>81</v>
      </c>
      <c r="E643" s="25" t="s">
        <v>82</v>
      </c>
      <c r="F643" s="25" t="str">
        <f>'Source Table'!$G$6</f>
        <v>Public Sector</v>
      </c>
      <c r="G643" s="25" t="str">
        <f>'Source Table'!$G$5</f>
        <v>القطاع العام</v>
      </c>
      <c r="H643" t="str">
        <f>'Source Table'!$G$8</f>
        <v>Female</v>
      </c>
      <c r="I643" s="16" t="str">
        <f>'Source Table'!$G$7</f>
        <v>أنثى</v>
      </c>
      <c r="J643" s="25" t="str">
        <f>'Source Table'!$B$23</f>
        <v>Pumologist</v>
      </c>
      <c r="K643" s="25" t="str">
        <f>'Source Table'!$I$23</f>
        <v>صدرية</v>
      </c>
      <c r="L643" s="39">
        <v>2</v>
      </c>
      <c r="M643">
        <v>2019</v>
      </c>
    </row>
    <row r="644" spans="1:13" ht="15">
      <c r="A644" t="s">
        <v>153</v>
      </c>
      <c r="B644" t="s">
        <v>154</v>
      </c>
      <c r="C644" s="15" t="s">
        <v>30</v>
      </c>
      <c r="D644" s="23" t="s">
        <v>81</v>
      </c>
      <c r="E644" s="25" t="s">
        <v>82</v>
      </c>
      <c r="F644" s="25" t="str">
        <f>'Source Table'!$G$6</f>
        <v>Public Sector</v>
      </c>
      <c r="G644" s="25" t="str">
        <f>'Source Table'!$G$5</f>
        <v>القطاع العام</v>
      </c>
      <c r="H644" t="str">
        <f>'Source Table'!$G$8</f>
        <v>Female</v>
      </c>
      <c r="I644" s="16" t="str">
        <f>'Source Table'!$G$7</f>
        <v>أنثى</v>
      </c>
      <c r="J644" s="25" t="str">
        <f>'Source Table'!$B$24</f>
        <v>G.I.T. Specialist</v>
      </c>
      <c r="K644" s="25" t="str">
        <f>'Source Table'!$I$24</f>
        <v>جهاز هضمي</v>
      </c>
      <c r="L644" s="39">
        <v>5</v>
      </c>
      <c r="M644">
        <v>2019</v>
      </c>
    </row>
    <row r="645" spans="1:13" ht="15">
      <c r="A645" t="s">
        <v>153</v>
      </c>
      <c r="B645" t="s">
        <v>154</v>
      </c>
      <c r="C645" s="15" t="s">
        <v>30</v>
      </c>
      <c r="D645" s="23" t="s">
        <v>81</v>
      </c>
      <c r="E645" s="25" t="s">
        <v>82</v>
      </c>
      <c r="F645" s="25" t="str">
        <f>'Source Table'!$G$6</f>
        <v>Public Sector</v>
      </c>
      <c r="G645" s="25" t="str">
        <f>'Source Table'!$G$5</f>
        <v>القطاع العام</v>
      </c>
      <c r="H645" t="str">
        <f>'Source Table'!$G$8</f>
        <v>Female</v>
      </c>
      <c r="I645" s="16" t="str">
        <f>'Source Table'!$G$7</f>
        <v>أنثى</v>
      </c>
      <c r="J645" s="25" t="str">
        <f>'Source Table'!$B$25</f>
        <v>Diagnostic Radiology</v>
      </c>
      <c r="K645" s="25" t="str">
        <f>'Source Table'!$I$25</f>
        <v>أشعة تشخيصية</v>
      </c>
      <c r="L645" s="39">
        <v>36</v>
      </c>
      <c r="M645">
        <v>2019</v>
      </c>
    </row>
    <row r="646" spans="1:13" ht="15">
      <c r="A646" t="s">
        <v>153</v>
      </c>
      <c r="B646" t="s">
        <v>154</v>
      </c>
      <c r="C646" s="15" t="s">
        <v>30</v>
      </c>
      <c r="D646" s="23" t="s">
        <v>81</v>
      </c>
      <c r="E646" s="25" t="s">
        <v>82</v>
      </c>
      <c r="F646" s="25" t="str">
        <f>'Source Table'!$G$6</f>
        <v>Public Sector</v>
      </c>
      <c r="G646" s="25" t="str">
        <f>'Source Table'!$G$5</f>
        <v>القطاع العام</v>
      </c>
      <c r="H646" t="str">
        <f>'Source Table'!$G$8</f>
        <v>Female</v>
      </c>
      <c r="I646" s="16" t="str">
        <f>'Source Table'!$G$7</f>
        <v>أنثى</v>
      </c>
      <c r="J646" s="25" t="str">
        <f>'Source Table'!$B$26</f>
        <v>Anesthetic</v>
      </c>
      <c r="K646" s="25" t="str">
        <f>'Source Table'!$I$26</f>
        <v>تخدير وإنعاش</v>
      </c>
      <c r="L646" s="39">
        <v>16</v>
      </c>
      <c r="M646">
        <v>2019</v>
      </c>
    </row>
    <row r="647" spans="1:13" ht="15">
      <c r="A647" t="s">
        <v>153</v>
      </c>
      <c r="B647" t="s">
        <v>154</v>
      </c>
      <c r="C647" s="15" t="s">
        <v>30</v>
      </c>
      <c r="D647" s="23" t="s">
        <v>81</v>
      </c>
      <c r="E647" s="25" t="s">
        <v>82</v>
      </c>
      <c r="F647" s="25" t="str">
        <f>'Source Table'!$G$6</f>
        <v>Public Sector</v>
      </c>
      <c r="G647" s="25" t="str">
        <f>'Source Table'!$G$5</f>
        <v>القطاع العام</v>
      </c>
      <c r="H647" t="str">
        <f>'Source Table'!$G$8</f>
        <v>Female</v>
      </c>
      <c r="I647" s="16" t="str">
        <f>'Source Table'!$G$7</f>
        <v>أنثى</v>
      </c>
      <c r="J647" s="25" t="str">
        <f>'Source Table'!$B$27</f>
        <v>Physiotherapist</v>
      </c>
      <c r="K647" s="25" t="str">
        <f>'Source Table'!$I$27</f>
        <v>طب طبيعي</v>
      </c>
      <c r="L647" s="39">
        <v>10</v>
      </c>
      <c r="M647">
        <v>2019</v>
      </c>
    </row>
    <row r="648" spans="1:13" ht="15">
      <c r="A648" t="s">
        <v>153</v>
      </c>
      <c r="B648" t="s">
        <v>154</v>
      </c>
      <c r="C648" s="15" t="s">
        <v>30</v>
      </c>
      <c r="D648" s="23" t="s">
        <v>81</v>
      </c>
      <c r="E648" s="25" t="s">
        <v>82</v>
      </c>
      <c r="F648" s="25" t="str">
        <f>'Source Table'!$G$6</f>
        <v>Public Sector</v>
      </c>
      <c r="G648" s="25" t="str">
        <f>'Source Table'!$G$5</f>
        <v>القطاع العام</v>
      </c>
      <c r="H648" t="str">
        <f>'Source Table'!$G$8</f>
        <v>Female</v>
      </c>
      <c r="I648" s="16" t="str">
        <f>'Source Table'!$G$7</f>
        <v>أنثى</v>
      </c>
      <c r="J648" s="25" t="str">
        <f>'Source Table'!$B$28</f>
        <v>Forensic</v>
      </c>
      <c r="K648" s="25" t="str">
        <f>'Source Table'!$I$28</f>
        <v>طب شرعي</v>
      </c>
      <c r="L648" s="39">
        <v>4</v>
      </c>
      <c r="M648">
        <v>2019</v>
      </c>
    </row>
    <row r="649" spans="1:13" ht="15">
      <c r="A649" t="s">
        <v>153</v>
      </c>
      <c r="B649" t="s">
        <v>154</v>
      </c>
      <c r="C649" s="15" t="s">
        <v>30</v>
      </c>
      <c r="D649" s="23" t="s">
        <v>81</v>
      </c>
      <c r="E649" s="25" t="s">
        <v>82</v>
      </c>
      <c r="F649" s="25" t="str">
        <f>'Source Table'!$G$6</f>
        <v>Public Sector</v>
      </c>
      <c r="G649" s="25" t="str">
        <f>'Source Table'!$G$5</f>
        <v>القطاع العام</v>
      </c>
      <c r="H649" t="str">
        <f>'Source Table'!$G$8</f>
        <v>Female</v>
      </c>
      <c r="I649" s="16" t="str">
        <f>'Source Table'!$G$7</f>
        <v>أنثى</v>
      </c>
      <c r="J649" s="25" t="str">
        <f>'Source Table'!$B$29</f>
        <v xml:space="preserve">Family </v>
      </c>
      <c r="K649" s="25" t="str">
        <f>'Source Table'!$I$29</f>
        <v>طب أسرة</v>
      </c>
      <c r="L649" s="39">
        <v>82</v>
      </c>
      <c r="M649">
        <v>2019</v>
      </c>
    </row>
    <row r="650" spans="1:13" ht="15">
      <c r="A650" t="s">
        <v>153</v>
      </c>
      <c r="B650" t="s">
        <v>154</v>
      </c>
      <c r="C650" s="15" t="s">
        <v>30</v>
      </c>
      <c r="D650" s="23" t="s">
        <v>81</v>
      </c>
      <c r="E650" s="25" t="s">
        <v>82</v>
      </c>
      <c r="F650" s="25" t="str">
        <f>'Source Table'!$G$6</f>
        <v>Public Sector</v>
      </c>
      <c r="G650" s="25" t="str">
        <f>'Source Table'!$G$5</f>
        <v>القطاع العام</v>
      </c>
      <c r="H650" t="str">
        <f>'Source Table'!$G$8</f>
        <v>Female</v>
      </c>
      <c r="I650" s="16" t="str">
        <f>'Source Table'!$G$7</f>
        <v>أنثى</v>
      </c>
      <c r="J650" s="25" t="str">
        <f>'Source Table'!$B$30</f>
        <v>Urologist</v>
      </c>
      <c r="K650" s="25" t="str">
        <f>'Source Table'!$I$30</f>
        <v xml:space="preserve">المسالك البولية </v>
      </c>
      <c r="L650" s="39">
        <v>1</v>
      </c>
      <c r="M650">
        <v>2019</v>
      </c>
    </row>
    <row r="651" spans="1:13" ht="15">
      <c r="A651" t="s">
        <v>153</v>
      </c>
      <c r="B651" t="s">
        <v>154</v>
      </c>
      <c r="C651" s="15" t="s">
        <v>30</v>
      </c>
      <c r="D651" s="23" t="s">
        <v>81</v>
      </c>
      <c r="E651" s="25" t="s">
        <v>82</v>
      </c>
      <c r="F651" s="25" t="str">
        <f>'Source Table'!$G$6</f>
        <v>Public Sector</v>
      </c>
      <c r="G651" s="25" t="str">
        <f>'Source Table'!$G$5</f>
        <v>القطاع العام</v>
      </c>
      <c r="H651" t="str">
        <f>'Source Table'!$G$8</f>
        <v>Female</v>
      </c>
      <c r="I651" s="16" t="str">
        <f>'Source Table'!$G$7</f>
        <v>أنثى</v>
      </c>
      <c r="J651" s="25" t="str">
        <f>'Source Table'!$B$31</f>
        <v>Cardiology</v>
      </c>
      <c r="K651" s="25" t="str">
        <f>'Source Table'!$I$31</f>
        <v>أمراض القلب</v>
      </c>
      <c r="L651" s="39">
        <v>3</v>
      </c>
      <c r="M651">
        <v>2019</v>
      </c>
    </row>
    <row r="652" spans="1:13" ht="15">
      <c r="A652" t="s">
        <v>153</v>
      </c>
      <c r="B652" t="s">
        <v>154</v>
      </c>
      <c r="C652" s="15" t="s">
        <v>30</v>
      </c>
      <c r="D652" s="23" t="s">
        <v>81</v>
      </c>
      <c r="E652" s="25" t="s">
        <v>82</v>
      </c>
      <c r="F652" s="25" t="str">
        <f>'Source Table'!$G$6</f>
        <v>Public Sector</v>
      </c>
      <c r="G652" s="25" t="str">
        <f>'Source Table'!$G$5</f>
        <v>القطاع العام</v>
      </c>
      <c r="H652" t="str">
        <f>'Source Table'!$G$8</f>
        <v>Female</v>
      </c>
      <c r="I652" s="16" t="str">
        <f>'Source Table'!$G$7</f>
        <v>أنثى</v>
      </c>
      <c r="J652" s="25" t="str">
        <f>'Source Table'!$B$32</f>
        <v>Laboratory</v>
      </c>
      <c r="K652" s="25" t="str">
        <f>'Source Table'!$I$32</f>
        <v>مختبرات</v>
      </c>
      <c r="L652" s="39">
        <v>14</v>
      </c>
      <c r="M652">
        <v>2019</v>
      </c>
    </row>
    <row r="653" spans="1:13" ht="15">
      <c r="A653" t="s">
        <v>153</v>
      </c>
      <c r="B653" t="s">
        <v>154</v>
      </c>
      <c r="C653" s="15" t="s">
        <v>30</v>
      </c>
      <c r="D653" s="23" t="s">
        <v>81</v>
      </c>
      <c r="E653" s="25" t="s">
        <v>82</v>
      </c>
      <c r="F653" s="25" t="str">
        <f>'Source Table'!$G$6</f>
        <v>Public Sector</v>
      </c>
      <c r="G653" s="25" t="str">
        <f>'Source Table'!$G$5</f>
        <v>القطاع العام</v>
      </c>
      <c r="H653" t="str">
        <f>'Source Table'!$G$8</f>
        <v>Female</v>
      </c>
      <c r="I653" s="16" t="str">
        <f>'Source Table'!$G$7</f>
        <v>أنثى</v>
      </c>
      <c r="J653" s="25" t="str">
        <f>'Source Table'!$B$33</f>
        <v>Others</v>
      </c>
      <c r="K653" s="25" t="str">
        <f>'Source Table'!$I$33</f>
        <v>أخرى</v>
      </c>
      <c r="L653" s="39">
        <v>108</v>
      </c>
      <c r="M653">
        <v>2019</v>
      </c>
    </row>
    <row r="654" spans="1:13" ht="15">
      <c r="A654" t="s">
        <v>153</v>
      </c>
      <c r="B654" t="s">
        <v>154</v>
      </c>
      <c r="C654" s="15" t="s">
        <v>30</v>
      </c>
      <c r="D654" s="23" t="s">
        <v>81</v>
      </c>
      <c r="E654" s="25" t="s">
        <v>82</v>
      </c>
      <c r="F654" s="16" t="str">
        <f>'Source Table'!$E$6</f>
        <v>Private Sector</v>
      </c>
      <c r="G654" s="16" t="str">
        <f>'Source Table'!$E$5</f>
        <v>القطاع الخاص</v>
      </c>
      <c r="H654" t="str">
        <f>'Source Table'!$H$8</f>
        <v>Male</v>
      </c>
      <c r="I654" s="25" t="str">
        <f>'Source Table'!$H$7</f>
        <v>ذكر</v>
      </c>
      <c r="J654" s="25" t="str">
        <f>'Source Table'!$B$9</f>
        <v>General Practitioner</v>
      </c>
      <c r="K654" s="25" t="str">
        <f>'Source Table'!$I$9</f>
        <v>طبيب عام</v>
      </c>
      <c r="L654" s="39">
        <v>1796</v>
      </c>
      <c r="M654">
        <v>2019</v>
      </c>
    </row>
    <row r="655" spans="1:13" ht="15">
      <c r="A655" t="s">
        <v>153</v>
      </c>
      <c r="B655" t="s">
        <v>154</v>
      </c>
      <c r="C655" s="15" t="s">
        <v>30</v>
      </c>
      <c r="D655" s="23" t="s">
        <v>81</v>
      </c>
      <c r="E655" s="25" t="s">
        <v>82</v>
      </c>
      <c r="F655" s="16" t="str">
        <f>'Source Table'!$E$6</f>
        <v>Private Sector</v>
      </c>
      <c r="G655" s="16" t="str">
        <f>'Source Table'!$E$5</f>
        <v>القطاع الخاص</v>
      </c>
      <c r="H655" t="str">
        <f>'Source Table'!$H$8</f>
        <v>Male</v>
      </c>
      <c r="I655" s="25" t="str">
        <f>'Source Table'!$H$7</f>
        <v>ذكر</v>
      </c>
      <c r="J655" s="25" t="str">
        <f>'Source Table'!$B$10</f>
        <v>Surgeon</v>
      </c>
      <c r="K655" s="25" t="str">
        <f>'Source Table'!$I$10</f>
        <v>جراحة عامة</v>
      </c>
      <c r="L655" s="39">
        <v>352</v>
      </c>
      <c r="M655">
        <v>2019</v>
      </c>
    </row>
    <row r="656" spans="1:13" ht="15">
      <c r="A656" t="s">
        <v>153</v>
      </c>
      <c r="B656" t="s">
        <v>154</v>
      </c>
      <c r="C656" s="15" t="s">
        <v>30</v>
      </c>
      <c r="D656" s="23" t="s">
        <v>81</v>
      </c>
      <c r="E656" s="25" t="s">
        <v>82</v>
      </c>
      <c r="F656" s="16" t="str">
        <f>'Source Table'!$E$6</f>
        <v>Private Sector</v>
      </c>
      <c r="G656" s="16" t="str">
        <f>'Source Table'!$E$5</f>
        <v>القطاع الخاص</v>
      </c>
      <c r="H656" t="str">
        <f>'Source Table'!$H$8</f>
        <v>Male</v>
      </c>
      <c r="I656" s="25" t="str">
        <f>'Source Table'!$H$7</f>
        <v>ذكر</v>
      </c>
      <c r="J656" s="25" t="str">
        <f>'Source Table'!$B$11</f>
        <v>Internist</v>
      </c>
      <c r="K656" s="25" t="str">
        <f>'Source Table'!$I$11</f>
        <v>باطنية</v>
      </c>
      <c r="L656" s="39">
        <v>386</v>
      </c>
      <c r="M656">
        <v>2019</v>
      </c>
    </row>
    <row r="657" spans="1:13" ht="15">
      <c r="A657" t="s">
        <v>153</v>
      </c>
      <c r="B657" t="s">
        <v>154</v>
      </c>
      <c r="C657" s="15" t="s">
        <v>30</v>
      </c>
      <c r="D657" s="23" t="s">
        <v>81</v>
      </c>
      <c r="E657" s="25" t="s">
        <v>82</v>
      </c>
      <c r="F657" s="16" t="str">
        <f>'Source Table'!$E$6</f>
        <v>Private Sector</v>
      </c>
      <c r="G657" s="16" t="str">
        <f>'Source Table'!$E$5</f>
        <v>القطاع الخاص</v>
      </c>
      <c r="H657" t="str">
        <f>'Source Table'!$H$8</f>
        <v>Male</v>
      </c>
      <c r="I657" s="25" t="str">
        <f>'Source Table'!$H$7</f>
        <v>ذكر</v>
      </c>
      <c r="J657" s="25" t="str">
        <f>'Source Table'!$B$12</f>
        <v>Gynecologist and Obst.</v>
      </c>
      <c r="K657" s="25" t="str">
        <f>'Source Table'!$I$12</f>
        <v>نسائية وتوليد</v>
      </c>
      <c r="L657" s="39">
        <v>322</v>
      </c>
      <c r="M657">
        <v>2019</v>
      </c>
    </row>
    <row r="658" spans="1:13" ht="15">
      <c r="A658" t="s">
        <v>153</v>
      </c>
      <c r="B658" t="s">
        <v>154</v>
      </c>
      <c r="C658" s="15" t="s">
        <v>30</v>
      </c>
      <c r="D658" s="23" t="s">
        <v>81</v>
      </c>
      <c r="E658" s="25" t="s">
        <v>82</v>
      </c>
      <c r="F658" s="16" t="str">
        <f>'Source Table'!$E$6</f>
        <v>Private Sector</v>
      </c>
      <c r="G658" s="16" t="str">
        <f>'Source Table'!$E$5</f>
        <v>القطاع الخاص</v>
      </c>
      <c r="H658" t="str">
        <f>'Source Table'!$H$8</f>
        <v>Male</v>
      </c>
      <c r="I658" s="25" t="str">
        <f>'Source Table'!$H$7</f>
        <v>ذكر</v>
      </c>
      <c r="J658" s="25" t="str">
        <f>'Source Table'!$B$13</f>
        <v>Pediatrics</v>
      </c>
      <c r="K658" s="25" t="str">
        <f>'Source Table'!$I$13</f>
        <v>أطفال</v>
      </c>
      <c r="L658" s="39">
        <v>293</v>
      </c>
      <c r="M658">
        <v>2019</v>
      </c>
    </row>
    <row r="659" spans="1:13" ht="15">
      <c r="A659" t="s">
        <v>153</v>
      </c>
      <c r="B659" t="s">
        <v>154</v>
      </c>
      <c r="C659" s="15" t="s">
        <v>30</v>
      </c>
      <c r="D659" s="23" t="s">
        <v>81</v>
      </c>
      <c r="E659" s="25" t="s">
        <v>82</v>
      </c>
      <c r="F659" s="16" t="str">
        <f>'Source Table'!$E$6</f>
        <v>Private Sector</v>
      </c>
      <c r="G659" s="16" t="str">
        <f>'Source Table'!$E$5</f>
        <v>القطاع الخاص</v>
      </c>
      <c r="H659" t="str">
        <f>'Source Table'!$H$8</f>
        <v>Male</v>
      </c>
      <c r="I659" s="25" t="str">
        <f>'Source Table'!$H$7</f>
        <v>ذكر</v>
      </c>
      <c r="J659" s="25" t="str">
        <f>'Source Table'!$B$14</f>
        <v>Ophthalmologist</v>
      </c>
      <c r="K659" s="25" t="str">
        <f>'Source Table'!$I$14</f>
        <v>العيون</v>
      </c>
      <c r="L659" s="39">
        <v>180</v>
      </c>
      <c r="M659">
        <v>2019</v>
      </c>
    </row>
    <row r="660" spans="1:13" ht="15">
      <c r="A660" t="s">
        <v>153</v>
      </c>
      <c r="B660" t="s">
        <v>154</v>
      </c>
      <c r="C660" s="15" t="s">
        <v>30</v>
      </c>
      <c r="D660" s="23" t="s">
        <v>81</v>
      </c>
      <c r="E660" s="25" t="s">
        <v>82</v>
      </c>
      <c r="F660" s="16" t="str">
        <f>'Source Table'!$E$6</f>
        <v>Private Sector</v>
      </c>
      <c r="G660" s="16" t="str">
        <f>'Source Table'!$E$5</f>
        <v>القطاع الخاص</v>
      </c>
      <c r="H660" t="str">
        <f>'Source Table'!$H$8</f>
        <v>Male</v>
      </c>
      <c r="I660" s="25" t="str">
        <f>'Source Table'!$H$7</f>
        <v>ذكر</v>
      </c>
      <c r="J660" s="25" t="str">
        <f>'Source Table'!$B$15</f>
        <v>Orthopedic Surg.</v>
      </c>
      <c r="K660" s="25" t="str">
        <f>'Source Table'!$I$15</f>
        <v>العظام</v>
      </c>
      <c r="L660" s="39">
        <v>230</v>
      </c>
      <c r="M660">
        <v>2019</v>
      </c>
    </row>
    <row r="661" spans="1:13" ht="15">
      <c r="A661" t="s">
        <v>153</v>
      </c>
      <c r="B661" t="s">
        <v>154</v>
      </c>
      <c r="C661" s="15" t="s">
        <v>30</v>
      </c>
      <c r="D661" s="23" t="s">
        <v>81</v>
      </c>
      <c r="E661" s="25" t="s">
        <v>82</v>
      </c>
      <c r="F661" s="16" t="str">
        <f>'Source Table'!$E$6</f>
        <v>Private Sector</v>
      </c>
      <c r="G661" s="16" t="str">
        <f>'Source Table'!$E$5</f>
        <v>القطاع الخاص</v>
      </c>
      <c r="H661" t="str">
        <f>'Source Table'!$H$8</f>
        <v>Male</v>
      </c>
      <c r="I661" s="25" t="str">
        <f>'Source Table'!$H$7</f>
        <v>ذكر</v>
      </c>
      <c r="J661" s="25" t="str">
        <f>'Source Table'!$B$16</f>
        <v>E.N.T.Surg.</v>
      </c>
      <c r="K661" s="25" t="str">
        <f>'Source Table'!$I$16</f>
        <v>أذن وأنف وحنجرة</v>
      </c>
      <c r="L661" s="39">
        <v>127</v>
      </c>
      <c r="M661">
        <v>2019</v>
      </c>
    </row>
    <row r="662" spans="1:13" ht="15">
      <c r="A662" t="s">
        <v>153</v>
      </c>
      <c r="B662" t="s">
        <v>154</v>
      </c>
      <c r="C662" s="15" t="s">
        <v>30</v>
      </c>
      <c r="D662" s="23" t="s">
        <v>81</v>
      </c>
      <c r="E662" s="25" t="s">
        <v>82</v>
      </c>
      <c r="F662" s="16" t="str">
        <f>'Source Table'!$E$6</f>
        <v>Private Sector</v>
      </c>
      <c r="G662" s="16" t="str">
        <f>'Source Table'!$E$5</f>
        <v>القطاع الخاص</v>
      </c>
      <c r="H662" t="str">
        <f>'Source Table'!$H$8</f>
        <v>Male</v>
      </c>
      <c r="I662" s="25" t="str">
        <f>'Source Table'!$H$7</f>
        <v>ذكر</v>
      </c>
      <c r="J662" s="25" t="str">
        <f>'Source Table'!$B$17</f>
        <v>Neurosurgery</v>
      </c>
      <c r="K662" s="25" t="str">
        <f>'Source Table'!$I$17</f>
        <v>جراحةأعصاب</v>
      </c>
      <c r="L662" s="39">
        <v>50</v>
      </c>
      <c r="M662">
        <v>2019</v>
      </c>
    </row>
    <row r="663" spans="1:13" ht="15">
      <c r="A663" t="s">
        <v>153</v>
      </c>
      <c r="B663" t="s">
        <v>154</v>
      </c>
      <c r="C663" s="15" t="s">
        <v>30</v>
      </c>
      <c r="D663" s="23" t="s">
        <v>81</v>
      </c>
      <c r="E663" s="25" t="s">
        <v>82</v>
      </c>
      <c r="F663" s="16" t="str">
        <f>'Source Table'!$E$6</f>
        <v>Private Sector</v>
      </c>
      <c r="G663" s="16" t="str">
        <f>'Source Table'!$E$5</f>
        <v>القطاع الخاص</v>
      </c>
      <c r="H663" t="str">
        <f>'Source Table'!$H$8</f>
        <v>Male</v>
      </c>
      <c r="I663" s="25" t="str">
        <f>'Source Table'!$H$7</f>
        <v>ذكر</v>
      </c>
      <c r="J663" s="25" t="str">
        <f>'Source Table'!$B$18</f>
        <v>Cardiothoracic</v>
      </c>
      <c r="K663" s="25" t="str">
        <f>'Source Table'!$I$18</f>
        <v>جراحة قلب</v>
      </c>
      <c r="L663" s="39">
        <v>22</v>
      </c>
      <c r="M663">
        <v>2019</v>
      </c>
    </row>
    <row r="664" spans="1:13" ht="15">
      <c r="A664" t="s">
        <v>153</v>
      </c>
      <c r="B664" t="s">
        <v>154</v>
      </c>
      <c r="C664" s="15" t="s">
        <v>30</v>
      </c>
      <c r="D664" s="23" t="s">
        <v>81</v>
      </c>
      <c r="E664" s="25" t="s">
        <v>82</v>
      </c>
      <c r="F664" s="16" t="str">
        <f>'Source Table'!$E$6</f>
        <v>Private Sector</v>
      </c>
      <c r="G664" s="16" t="str">
        <f>'Source Table'!$E$5</f>
        <v>القطاع الخاص</v>
      </c>
      <c r="H664" t="str">
        <f>'Source Table'!$H$8</f>
        <v>Male</v>
      </c>
      <c r="I664" s="25" t="str">
        <f>'Source Table'!$H$7</f>
        <v>ذكر</v>
      </c>
      <c r="J664" s="25" t="str">
        <f>'Source Table'!$B$19</f>
        <v>Plastic Surgeon</v>
      </c>
      <c r="K664" s="25" t="str">
        <f>'Source Table'!$I$19</f>
        <v>التجميل</v>
      </c>
      <c r="L664" s="39">
        <v>32</v>
      </c>
      <c r="M664">
        <v>2019</v>
      </c>
    </row>
    <row r="665" spans="1:13" ht="15">
      <c r="A665" t="s">
        <v>153</v>
      </c>
      <c r="B665" t="s">
        <v>154</v>
      </c>
      <c r="C665" s="15" t="s">
        <v>30</v>
      </c>
      <c r="D665" s="23" t="s">
        <v>81</v>
      </c>
      <c r="E665" s="25" t="s">
        <v>82</v>
      </c>
      <c r="F665" s="16" t="str">
        <f>'Source Table'!$E$6</f>
        <v>Private Sector</v>
      </c>
      <c r="G665" s="16" t="str">
        <f>'Source Table'!$E$5</f>
        <v>القطاع الخاص</v>
      </c>
      <c r="H665" t="str">
        <f>'Source Table'!$H$8</f>
        <v>Male</v>
      </c>
      <c r="I665" s="25" t="str">
        <f>'Source Table'!$H$7</f>
        <v>ذكر</v>
      </c>
      <c r="J665" s="25" t="str">
        <f>'Source Table'!$B$20</f>
        <v>Psychiatry</v>
      </c>
      <c r="K665" s="25" t="str">
        <f>'Source Table'!$I$20</f>
        <v>النفسية</v>
      </c>
      <c r="L665" s="39">
        <v>53</v>
      </c>
      <c r="M665">
        <v>2019</v>
      </c>
    </row>
    <row r="666" spans="1:13" ht="15">
      <c r="A666" t="s">
        <v>153</v>
      </c>
      <c r="B666" t="s">
        <v>154</v>
      </c>
      <c r="C666" s="15" t="s">
        <v>30</v>
      </c>
      <c r="D666" s="23" t="s">
        <v>81</v>
      </c>
      <c r="E666" s="25" t="s">
        <v>82</v>
      </c>
      <c r="F666" s="16" t="str">
        <f>'Source Table'!$E$6</f>
        <v>Private Sector</v>
      </c>
      <c r="G666" s="16" t="str">
        <f>'Source Table'!$E$5</f>
        <v>القطاع الخاص</v>
      </c>
      <c r="H666" t="str">
        <f>'Source Table'!$H$8</f>
        <v>Male</v>
      </c>
      <c r="I666" s="25" t="str">
        <f>'Source Table'!$H$7</f>
        <v>ذكر</v>
      </c>
      <c r="J666" s="25" t="str">
        <f>'Source Table'!$B$21</f>
        <v>Dermatologist Venereal</v>
      </c>
      <c r="K666" s="25" t="str">
        <f>'Source Table'!$I$21</f>
        <v>جلدية وتناسلية</v>
      </c>
      <c r="L666" s="39">
        <v>116</v>
      </c>
      <c r="M666">
        <v>2019</v>
      </c>
    </row>
    <row r="667" spans="1:13" ht="15">
      <c r="A667" t="s">
        <v>153</v>
      </c>
      <c r="B667" t="s">
        <v>154</v>
      </c>
      <c r="C667" s="15" t="s">
        <v>30</v>
      </c>
      <c r="D667" s="23" t="s">
        <v>81</v>
      </c>
      <c r="E667" s="25" t="s">
        <v>82</v>
      </c>
      <c r="F667" s="16" t="str">
        <f>'Source Table'!$E$6</f>
        <v>Private Sector</v>
      </c>
      <c r="G667" s="16" t="str">
        <f>'Source Table'!$E$5</f>
        <v>القطاع الخاص</v>
      </c>
      <c r="H667" t="str">
        <f>'Source Table'!$H$8</f>
        <v>Male</v>
      </c>
      <c r="I667" s="25" t="str">
        <f>'Source Table'!$H$7</f>
        <v>ذكر</v>
      </c>
      <c r="J667" s="25" t="str">
        <f>'Source Table'!$B$22</f>
        <v>Neurology/ Nervous</v>
      </c>
      <c r="K667" s="25" t="str">
        <f>'Source Table'!$I$22</f>
        <v>مرض الأعصاب</v>
      </c>
      <c r="L667" s="39">
        <v>31</v>
      </c>
      <c r="M667">
        <v>2019</v>
      </c>
    </row>
    <row r="668" spans="1:13" ht="15">
      <c r="A668" t="s">
        <v>153</v>
      </c>
      <c r="B668" t="s">
        <v>154</v>
      </c>
      <c r="C668" s="15" t="s">
        <v>30</v>
      </c>
      <c r="D668" s="23" t="s">
        <v>81</v>
      </c>
      <c r="E668" s="25" t="s">
        <v>82</v>
      </c>
      <c r="F668" s="16" t="str">
        <f>'Source Table'!$E$6</f>
        <v>Private Sector</v>
      </c>
      <c r="G668" s="16" t="str">
        <f>'Source Table'!$E$5</f>
        <v>القطاع الخاص</v>
      </c>
      <c r="H668" t="str">
        <f>'Source Table'!$H$8</f>
        <v>Male</v>
      </c>
      <c r="I668" s="25" t="str">
        <f>'Source Table'!$H$7</f>
        <v>ذكر</v>
      </c>
      <c r="J668" s="25" t="str">
        <f>'Source Table'!$B$23</f>
        <v>Pumologist</v>
      </c>
      <c r="K668" s="25" t="str">
        <f>'Source Table'!$I$23</f>
        <v>صدرية</v>
      </c>
      <c r="L668" s="39">
        <v>31</v>
      </c>
      <c r="M668">
        <v>2019</v>
      </c>
    </row>
    <row r="669" spans="1:13" ht="15">
      <c r="A669" t="s">
        <v>153</v>
      </c>
      <c r="B669" t="s">
        <v>154</v>
      </c>
      <c r="C669" s="15" t="s">
        <v>30</v>
      </c>
      <c r="D669" s="23" t="s">
        <v>81</v>
      </c>
      <c r="E669" s="25" t="s">
        <v>82</v>
      </c>
      <c r="F669" s="16" t="str">
        <f>'Source Table'!$E$6</f>
        <v>Private Sector</v>
      </c>
      <c r="G669" s="16" t="str">
        <f>'Source Table'!$E$5</f>
        <v>القطاع الخاص</v>
      </c>
      <c r="H669" t="str">
        <f>'Source Table'!$H$8</f>
        <v>Male</v>
      </c>
      <c r="I669" s="25" t="str">
        <f>'Source Table'!$H$7</f>
        <v>ذكر</v>
      </c>
      <c r="J669" s="25" t="str">
        <f>'Source Table'!$B$24</f>
        <v>G.I.T. Specialist</v>
      </c>
      <c r="K669" s="25" t="str">
        <f>'Source Table'!$I$24</f>
        <v>جهاز هضمي</v>
      </c>
      <c r="L669" s="39">
        <v>45</v>
      </c>
      <c r="M669">
        <v>2019</v>
      </c>
    </row>
    <row r="670" spans="1:13" ht="15">
      <c r="A670" t="s">
        <v>153</v>
      </c>
      <c r="B670" t="s">
        <v>154</v>
      </c>
      <c r="C670" s="15" t="s">
        <v>30</v>
      </c>
      <c r="D670" s="23" t="s">
        <v>81</v>
      </c>
      <c r="E670" s="25" t="s">
        <v>82</v>
      </c>
      <c r="F670" s="16" t="str">
        <f>'Source Table'!$E$6</f>
        <v>Private Sector</v>
      </c>
      <c r="G670" s="16" t="str">
        <f>'Source Table'!$E$5</f>
        <v>القطاع الخاص</v>
      </c>
      <c r="H670" t="str">
        <f>'Source Table'!$H$8</f>
        <v>Male</v>
      </c>
      <c r="I670" s="25" t="str">
        <f>'Source Table'!$H$7</f>
        <v>ذكر</v>
      </c>
      <c r="J670" s="25" t="str">
        <f>'Source Table'!$B$25</f>
        <v>Diagnostic Radiology</v>
      </c>
      <c r="K670" s="25" t="str">
        <f>'Source Table'!$I$25</f>
        <v>أشعة تشخيصية</v>
      </c>
      <c r="L670" s="39">
        <v>140</v>
      </c>
      <c r="M670">
        <v>2019</v>
      </c>
    </row>
    <row r="671" spans="1:13" ht="15">
      <c r="A671" t="s">
        <v>153</v>
      </c>
      <c r="B671" t="s">
        <v>154</v>
      </c>
      <c r="C671" s="15" t="s">
        <v>30</v>
      </c>
      <c r="D671" s="23" t="s">
        <v>81</v>
      </c>
      <c r="E671" s="25" t="s">
        <v>82</v>
      </c>
      <c r="F671" s="16" t="str">
        <f>'Source Table'!$E$6</f>
        <v>Private Sector</v>
      </c>
      <c r="G671" s="16" t="str">
        <f>'Source Table'!$E$5</f>
        <v>القطاع الخاص</v>
      </c>
      <c r="H671" t="str">
        <f>'Source Table'!$H$8</f>
        <v>Male</v>
      </c>
      <c r="I671" s="25" t="str">
        <f>'Source Table'!$H$7</f>
        <v>ذكر</v>
      </c>
      <c r="J671" s="25" t="str">
        <f>'Source Table'!$B$26</f>
        <v>Anesthetic</v>
      </c>
      <c r="K671" s="25" t="str">
        <f>'Source Table'!$I$26</f>
        <v>تخدير وإنعاش</v>
      </c>
      <c r="L671" s="39">
        <v>217</v>
      </c>
      <c r="M671">
        <v>2019</v>
      </c>
    </row>
    <row r="672" spans="1:13" ht="15">
      <c r="A672" t="s">
        <v>153</v>
      </c>
      <c r="B672" t="s">
        <v>154</v>
      </c>
      <c r="C672" s="15" t="s">
        <v>30</v>
      </c>
      <c r="D672" s="23" t="s">
        <v>81</v>
      </c>
      <c r="E672" s="25" t="s">
        <v>82</v>
      </c>
      <c r="F672" s="16" t="str">
        <f>'Source Table'!$E$6</f>
        <v>Private Sector</v>
      </c>
      <c r="G672" s="16" t="str">
        <f>'Source Table'!$E$5</f>
        <v>القطاع الخاص</v>
      </c>
      <c r="H672" t="str">
        <f>'Source Table'!$H$8</f>
        <v>Male</v>
      </c>
      <c r="I672" s="25" t="str">
        <f>'Source Table'!$H$7</f>
        <v>ذكر</v>
      </c>
      <c r="J672" s="25" t="str">
        <f>'Source Table'!$B$27</f>
        <v>Physiotherapist</v>
      </c>
      <c r="K672" s="25" t="str">
        <f>'Source Table'!$I$27</f>
        <v>طب طبيعي</v>
      </c>
      <c r="L672" s="39">
        <v>18</v>
      </c>
      <c r="M672">
        <v>2019</v>
      </c>
    </row>
    <row r="673" spans="1:13" ht="15">
      <c r="A673" t="s">
        <v>153</v>
      </c>
      <c r="B673" t="s">
        <v>154</v>
      </c>
      <c r="C673" s="15" t="s">
        <v>30</v>
      </c>
      <c r="D673" s="23" t="s">
        <v>81</v>
      </c>
      <c r="E673" s="25" t="s">
        <v>82</v>
      </c>
      <c r="F673" s="16" t="str">
        <f>'Source Table'!$E$6</f>
        <v>Private Sector</v>
      </c>
      <c r="G673" s="16" t="str">
        <f>'Source Table'!$E$5</f>
        <v>القطاع الخاص</v>
      </c>
      <c r="H673" t="str">
        <f>'Source Table'!$H$8</f>
        <v>Male</v>
      </c>
      <c r="I673" s="25" t="str">
        <f>'Source Table'!$H$7</f>
        <v>ذكر</v>
      </c>
      <c r="J673" s="25" t="str">
        <f>'Source Table'!$B$28</f>
        <v>Forensic</v>
      </c>
      <c r="K673" s="25" t="str">
        <f>'Source Table'!$I$28</f>
        <v>طب شرعي</v>
      </c>
      <c r="L673" s="39">
        <v>2</v>
      </c>
      <c r="M673">
        <v>2019</v>
      </c>
    </row>
    <row r="674" spans="1:13" ht="15">
      <c r="A674" t="s">
        <v>153</v>
      </c>
      <c r="B674" t="s">
        <v>154</v>
      </c>
      <c r="C674" s="15" t="s">
        <v>30</v>
      </c>
      <c r="D674" s="23" t="s">
        <v>81</v>
      </c>
      <c r="E674" s="25" t="s">
        <v>82</v>
      </c>
      <c r="F674" s="16" t="str">
        <f>'Source Table'!$E$6</f>
        <v>Private Sector</v>
      </c>
      <c r="G674" s="16" t="str">
        <f>'Source Table'!$E$5</f>
        <v>القطاع الخاص</v>
      </c>
      <c r="H674" t="str">
        <f>'Source Table'!$H$8</f>
        <v>Male</v>
      </c>
      <c r="I674" s="25" t="str">
        <f>'Source Table'!$H$7</f>
        <v>ذكر</v>
      </c>
      <c r="J674" s="25" t="str">
        <f>'Source Table'!$B$29</f>
        <v xml:space="preserve">Family </v>
      </c>
      <c r="K674" s="25" t="str">
        <f>'Source Table'!$I$29</f>
        <v>طب أسرة</v>
      </c>
      <c r="L674" s="39">
        <v>29</v>
      </c>
      <c r="M674">
        <v>2019</v>
      </c>
    </row>
    <row r="675" spans="1:13" ht="15">
      <c r="A675" t="s">
        <v>153</v>
      </c>
      <c r="B675" t="s">
        <v>154</v>
      </c>
      <c r="C675" s="15" t="s">
        <v>30</v>
      </c>
      <c r="D675" s="23" t="s">
        <v>81</v>
      </c>
      <c r="E675" s="25" t="s">
        <v>82</v>
      </c>
      <c r="F675" s="16" t="str">
        <f>'Source Table'!$E$6</f>
        <v>Private Sector</v>
      </c>
      <c r="G675" s="16" t="str">
        <f>'Source Table'!$E$5</f>
        <v>القطاع الخاص</v>
      </c>
      <c r="H675" t="str">
        <f>'Source Table'!$H$8</f>
        <v>Male</v>
      </c>
      <c r="I675" s="25" t="str">
        <f>'Source Table'!$H$7</f>
        <v>ذكر</v>
      </c>
      <c r="J675" s="25" t="str">
        <f>'Source Table'!$B$30</f>
        <v>Urologist</v>
      </c>
      <c r="K675" s="25" t="str">
        <f>'Source Table'!$I$30</f>
        <v xml:space="preserve">المسالك البولية </v>
      </c>
      <c r="L675" s="39">
        <v>103</v>
      </c>
      <c r="M675">
        <v>2019</v>
      </c>
    </row>
    <row r="676" spans="1:13" ht="15">
      <c r="A676" t="s">
        <v>153</v>
      </c>
      <c r="B676" t="s">
        <v>154</v>
      </c>
      <c r="C676" s="15" t="s">
        <v>30</v>
      </c>
      <c r="D676" s="23" t="s">
        <v>81</v>
      </c>
      <c r="E676" s="25" t="s">
        <v>82</v>
      </c>
      <c r="F676" s="16" t="str">
        <f>'Source Table'!$E$6</f>
        <v>Private Sector</v>
      </c>
      <c r="G676" s="16" t="str">
        <f>'Source Table'!$E$5</f>
        <v>القطاع الخاص</v>
      </c>
      <c r="H676" t="str">
        <f>'Source Table'!$H$8</f>
        <v>Male</v>
      </c>
      <c r="I676" s="25" t="str">
        <f>'Source Table'!$H$7</f>
        <v>ذكر</v>
      </c>
      <c r="J676" s="25" t="str">
        <f>'Source Table'!$B$31</f>
        <v>Cardiology</v>
      </c>
      <c r="K676" s="25" t="str">
        <f>'Source Table'!$I$31</f>
        <v>أمراض القلب</v>
      </c>
      <c r="L676" s="39">
        <v>73</v>
      </c>
      <c r="M676">
        <v>2019</v>
      </c>
    </row>
    <row r="677" spans="1:13" ht="15">
      <c r="A677" t="s">
        <v>153</v>
      </c>
      <c r="B677" t="s">
        <v>154</v>
      </c>
      <c r="C677" s="15" t="s">
        <v>30</v>
      </c>
      <c r="D677" s="23" t="s">
        <v>81</v>
      </c>
      <c r="E677" s="25" t="s">
        <v>82</v>
      </c>
      <c r="F677" s="16" t="str">
        <f>'Source Table'!$E$6</f>
        <v>Private Sector</v>
      </c>
      <c r="G677" s="16" t="str">
        <f>'Source Table'!$E$5</f>
        <v>القطاع الخاص</v>
      </c>
      <c r="H677" t="str">
        <f>'Source Table'!$H$8</f>
        <v>Male</v>
      </c>
      <c r="I677" s="25" t="str">
        <f>'Source Table'!$H$7</f>
        <v>ذكر</v>
      </c>
      <c r="J677" s="25" t="str">
        <f>'Source Table'!$B$32</f>
        <v>Laboratory</v>
      </c>
      <c r="K677" s="25" t="str">
        <f>'Source Table'!$I$32</f>
        <v>مختبرات</v>
      </c>
      <c r="L677" s="39">
        <v>8</v>
      </c>
      <c r="M677">
        <v>2019</v>
      </c>
    </row>
    <row r="678" spans="1:13" ht="15">
      <c r="A678" t="s">
        <v>153</v>
      </c>
      <c r="B678" t="s">
        <v>154</v>
      </c>
      <c r="C678" s="15" t="s">
        <v>30</v>
      </c>
      <c r="D678" s="23" t="s">
        <v>81</v>
      </c>
      <c r="E678" s="25" t="s">
        <v>82</v>
      </c>
      <c r="F678" s="16" t="str">
        <f>'Source Table'!$E$6</f>
        <v>Private Sector</v>
      </c>
      <c r="G678" s="16" t="str">
        <f>'Source Table'!$E$5</f>
        <v>القطاع الخاص</v>
      </c>
      <c r="H678" t="str">
        <f>'Source Table'!$H$8</f>
        <v>Male</v>
      </c>
      <c r="I678" s="25" t="str">
        <f>'Source Table'!$H$7</f>
        <v>ذكر</v>
      </c>
      <c r="J678" s="25" t="str">
        <f>'Source Table'!$B$33</f>
        <v>Others</v>
      </c>
      <c r="K678" s="25" t="str">
        <f>'Source Table'!$I$33</f>
        <v>أخرى</v>
      </c>
      <c r="L678" s="39">
        <v>237</v>
      </c>
      <c r="M678">
        <v>2019</v>
      </c>
    </row>
    <row r="679" spans="1:13" ht="15">
      <c r="A679" t="s">
        <v>153</v>
      </c>
      <c r="B679" t="s">
        <v>154</v>
      </c>
      <c r="C679" s="15" t="s">
        <v>30</v>
      </c>
      <c r="D679" s="23" t="s">
        <v>81</v>
      </c>
      <c r="E679" s="25" t="s">
        <v>82</v>
      </c>
      <c r="F679" s="16" t="str">
        <f>'Source Table'!$E$6</f>
        <v>Private Sector</v>
      </c>
      <c r="G679" s="16" t="str">
        <f>'Source Table'!$E$5</f>
        <v>القطاع الخاص</v>
      </c>
      <c r="H679" t="str">
        <f>'Source Table'!$G$8</f>
        <v>Female</v>
      </c>
      <c r="I679" s="16" t="str">
        <f>'Source Table'!$G$7</f>
        <v>أنثى</v>
      </c>
      <c r="J679" s="25" t="str">
        <f>'Source Table'!$B$9</f>
        <v>General Practitioner</v>
      </c>
      <c r="K679" s="25" t="str">
        <f>'Source Table'!$I$9</f>
        <v>طبيب عام</v>
      </c>
      <c r="L679" s="39">
        <v>412</v>
      </c>
      <c r="M679">
        <v>2019</v>
      </c>
    </row>
    <row r="680" spans="1:13" ht="15">
      <c r="A680" t="s">
        <v>153</v>
      </c>
      <c r="B680" t="s">
        <v>154</v>
      </c>
      <c r="C680" s="15" t="s">
        <v>30</v>
      </c>
      <c r="D680" s="23" t="s">
        <v>81</v>
      </c>
      <c r="E680" s="25" t="s">
        <v>82</v>
      </c>
      <c r="F680" s="16" t="str">
        <f>'Source Table'!$E$6</f>
        <v>Private Sector</v>
      </c>
      <c r="G680" s="16" t="str">
        <f>'Source Table'!$E$5</f>
        <v>القطاع الخاص</v>
      </c>
      <c r="H680" t="str">
        <f>'Source Table'!$G$8</f>
        <v>Female</v>
      </c>
      <c r="I680" s="16" t="str">
        <f>'Source Table'!$G$7</f>
        <v>أنثى</v>
      </c>
      <c r="J680" s="25" t="str">
        <f>'Source Table'!$B$10</f>
        <v>Surgeon</v>
      </c>
      <c r="K680" s="25" t="str">
        <f>'Source Table'!$I$10</f>
        <v>جراحة عامة</v>
      </c>
      <c r="L680" s="39">
        <v>13</v>
      </c>
      <c r="M680">
        <v>2019</v>
      </c>
    </row>
    <row r="681" spans="1:13" ht="15">
      <c r="A681" t="s">
        <v>153</v>
      </c>
      <c r="B681" t="s">
        <v>154</v>
      </c>
      <c r="C681" s="15" t="s">
        <v>30</v>
      </c>
      <c r="D681" s="23" t="s">
        <v>81</v>
      </c>
      <c r="E681" s="25" t="s">
        <v>82</v>
      </c>
      <c r="F681" s="16" t="str">
        <f>'Source Table'!$E$6</f>
        <v>Private Sector</v>
      </c>
      <c r="G681" s="16" t="str">
        <f>'Source Table'!$E$5</f>
        <v>القطاع الخاص</v>
      </c>
      <c r="H681" t="str">
        <f>'Source Table'!$G$8</f>
        <v>Female</v>
      </c>
      <c r="I681" s="16" t="str">
        <f>'Source Table'!$G$7</f>
        <v>أنثى</v>
      </c>
      <c r="J681" s="25" t="str">
        <f>'Source Table'!$B$11</f>
        <v>Internist</v>
      </c>
      <c r="K681" s="25" t="str">
        <f>'Source Table'!$I$11</f>
        <v>باطنية</v>
      </c>
      <c r="L681" s="39">
        <v>48</v>
      </c>
      <c r="M681">
        <v>2019</v>
      </c>
    </row>
    <row r="682" spans="1:13" ht="15">
      <c r="A682" t="s">
        <v>153</v>
      </c>
      <c r="B682" t="s">
        <v>154</v>
      </c>
      <c r="C682" s="15" t="s">
        <v>30</v>
      </c>
      <c r="D682" s="23" t="s">
        <v>81</v>
      </c>
      <c r="E682" s="25" t="s">
        <v>82</v>
      </c>
      <c r="F682" s="16" t="str">
        <f>'Source Table'!$E$6</f>
        <v>Private Sector</v>
      </c>
      <c r="G682" s="16" t="str">
        <f>'Source Table'!$E$5</f>
        <v>القطاع الخاص</v>
      </c>
      <c r="H682" t="str">
        <f>'Source Table'!$G$8</f>
        <v>Female</v>
      </c>
      <c r="I682" s="16" t="str">
        <f>'Source Table'!$G$7</f>
        <v>أنثى</v>
      </c>
      <c r="J682" s="25" t="str">
        <f>'Source Table'!$B$12</f>
        <v>Gynecologist and Obst.</v>
      </c>
      <c r="K682" s="25" t="str">
        <f>'Source Table'!$I$12</f>
        <v>نسائية وتوليد</v>
      </c>
      <c r="L682" s="39">
        <v>234</v>
      </c>
      <c r="M682">
        <v>2019</v>
      </c>
    </row>
    <row r="683" spans="1:13" ht="15">
      <c r="A683" t="s">
        <v>153</v>
      </c>
      <c r="B683" t="s">
        <v>154</v>
      </c>
      <c r="C683" s="15" t="s">
        <v>30</v>
      </c>
      <c r="D683" s="23" t="s">
        <v>81</v>
      </c>
      <c r="E683" s="25" t="s">
        <v>82</v>
      </c>
      <c r="F683" s="16" t="str">
        <f>'Source Table'!$E$6</f>
        <v>Private Sector</v>
      </c>
      <c r="G683" s="16" t="str">
        <f>'Source Table'!$E$5</f>
        <v>القطاع الخاص</v>
      </c>
      <c r="H683" t="str">
        <f>'Source Table'!$G$8</f>
        <v>Female</v>
      </c>
      <c r="I683" s="16" t="str">
        <f>'Source Table'!$G$7</f>
        <v>أنثى</v>
      </c>
      <c r="J683" s="25" t="str">
        <f>'Source Table'!$B$13</f>
        <v>Pediatrics</v>
      </c>
      <c r="K683" s="25" t="str">
        <f>'Source Table'!$I$13</f>
        <v>أطفال</v>
      </c>
      <c r="L683" s="39">
        <v>105</v>
      </c>
      <c r="M683">
        <v>2019</v>
      </c>
    </row>
    <row r="684" spans="1:13" ht="15">
      <c r="A684" t="s">
        <v>153</v>
      </c>
      <c r="B684" t="s">
        <v>154</v>
      </c>
      <c r="C684" s="15" t="s">
        <v>30</v>
      </c>
      <c r="D684" s="23" t="s">
        <v>81</v>
      </c>
      <c r="E684" s="25" t="s">
        <v>82</v>
      </c>
      <c r="F684" s="16" t="str">
        <f>'Source Table'!$E$6</f>
        <v>Private Sector</v>
      </c>
      <c r="G684" s="16" t="str">
        <f>'Source Table'!$E$5</f>
        <v>القطاع الخاص</v>
      </c>
      <c r="H684" t="str">
        <f>'Source Table'!$G$8</f>
        <v>Female</v>
      </c>
      <c r="I684" s="16" t="str">
        <f>'Source Table'!$G$7</f>
        <v>أنثى</v>
      </c>
      <c r="J684" s="25" t="str">
        <f>'Source Table'!$B$14</f>
        <v>Ophthalmologist</v>
      </c>
      <c r="K684" s="25" t="str">
        <f>'Source Table'!$I$14</f>
        <v>العيون</v>
      </c>
      <c r="L684" s="39">
        <v>44</v>
      </c>
      <c r="M684">
        <v>2019</v>
      </c>
    </row>
    <row r="685" spans="1:13" ht="15">
      <c r="A685" t="s">
        <v>153</v>
      </c>
      <c r="B685" t="s">
        <v>154</v>
      </c>
      <c r="C685" s="15" t="s">
        <v>30</v>
      </c>
      <c r="D685" s="23" t="s">
        <v>81</v>
      </c>
      <c r="E685" s="25" t="s">
        <v>82</v>
      </c>
      <c r="F685" s="16" t="str">
        <f>'Source Table'!$E$6</f>
        <v>Private Sector</v>
      </c>
      <c r="G685" s="16" t="str">
        <f>'Source Table'!$E$5</f>
        <v>القطاع الخاص</v>
      </c>
      <c r="H685" t="str">
        <f>'Source Table'!$G$8</f>
        <v>Female</v>
      </c>
      <c r="I685" s="16" t="str">
        <f>'Source Table'!$G$7</f>
        <v>أنثى</v>
      </c>
      <c r="J685" s="25" t="str">
        <f>'Source Table'!$B$15</f>
        <v>Orthopedic Surg.</v>
      </c>
      <c r="K685" s="25" t="str">
        <f>'Source Table'!$I$15</f>
        <v>العظام</v>
      </c>
      <c r="L685" s="39">
        <v>2</v>
      </c>
      <c r="M685">
        <v>2019</v>
      </c>
    </row>
    <row r="686" spans="1:13" ht="15">
      <c r="A686" t="s">
        <v>153</v>
      </c>
      <c r="B686" t="s">
        <v>154</v>
      </c>
      <c r="C686" s="15" t="s">
        <v>30</v>
      </c>
      <c r="D686" s="23" t="s">
        <v>81</v>
      </c>
      <c r="E686" s="25" t="s">
        <v>82</v>
      </c>
      <c r="F686" s="16" t="str">
        <f>'Source Table'!$E$6</f>
        <v>Private Sector</v>
      </c>
      <c r="G686" s="16" t="str">
        <f>'Source Table'!$E$5</f>
        <v>القطاع الخاص</v>
      </c>
      <c r="H686" t="str">
        <f>'Source Table'!$G$8</f>
        <v>Female</v>
      </c>
      <c r="I686" s="16" t="str">
        <f>'Source Table'!$G$7</f>
        <v>أنثى</v>
      </c>
      <c r="J686" s="25" t="str">
        <f>'Source Table'!$B$16</f>
        <v>E.N.T.Surg.</v>
      </c>
      <c r="K686" s="25" t="str">
        <f>'Source Table'!$I$16</f>
        <v>أذن وأنف وحنجرة</v>
      </c>
      <c r="L686" s="39">
        <v>7</v>
      </c>
      <c r="M686">
        <v>2019</v>
      </c>
    </row>
    <row r="687" spans="1:13" ht="15">
      <c r="A687" t="s">
        <v>153</v>
      </c>
      <c r="B687" t="s">
        <v>154</v>
      </c>
      <c r="C687" s="15" t="s">
        <v>30</v>
      </c>
      <c r="D687" s="23" t="s">
        <v>81</v>
      </c>
      <c r="E687" s="25" t="s">
        <v>82</v>
      </c>
      <c r="F687" s="16" t="str">
        <f>'Source Table'!$E$6</f>
        <v>Private Sector</v>
      </c>
      <c r="G687" s="16" t="str">
        <f>'Source Table'!$E$5</f>
        <v>القطاع الخاص</v>
      </c>
      <c r="H687" t="str">
        <f>'Source Table'!$G$8</f>
        <v>Female</v>
      </c>
      <c r="I687" s="16" t="str">
        <f>'Source Table'!$G$7</f>
        <v>أنثى</v>
      </c>
      <c r="J687" s="25" t="str">
        <f>'Source Table'!$B$17</f>
        <v>Neurosurgery</v>
      </c>
      <c r="K687" s="25" t="str">
        <f>'Source Table'!$I$17</f>
        <v>جراحةأعصاب</v>
      </c>
      <c r="L687" s="39">
        <v>0</v>
      </c>
      <c r="M687">
        <v>2019</v>
      </c>
    </row>
    <row r="688" spans="1:13" ht="15">
      <c r="A688" t="s">
        <v>153</v>
      </c>
      <c r="B688" t="s">
        <v>154</v>
      </c>
      <c r="C688" s="15" t="s">
        <v>30</v>
      </c>
      <c r="D688" s="23" t="s">
        <v>81</v>
      </c>
      <c r="E688" s="25" t="s">
        <v>82</v>
      </c>
      <c r="F688" s="16" t="str">
        <f>'Source Table'!$E$6</f>
        <v>Private Sector</v>
      </c>
      <c r="G688" s="16" t="str">
        <f>'Source Table'!$E$5</f>
        <v>القطاع الخاص</v>
      </c>
      <c r="H688" t="str">
        <f>'Source Table'!$G$8</f>
        <v>Female</v>
      </c>
      <c r="I688" s="16" t="str">
        <f>'Source Table'!$G$7</f>
        <v>أنثى</v>
      </c>
      <c r="J688" s="25" t="str">
        <f>'Source Table'!$B$18</f>
        <v>Cardiothoracic</v>
      </c>
      <c r="K688" s="25" t="str">
        <f>'Source Table'!$I$18</f>
        <v>جراحة قلب</v>
      </c>
      <c r="L688" s="39">
        <v>0</v>
      </c>
      <c r="M688">
        <v>2019</v>
      </c>
    </row>
    <row r="689" spans="1:13" ht="15">
      <c r="A689" t="s">
        <v>153</v>
      </c>
      <c r="B689" t="s">
        <v>154</v>
      </c>
      <c r="C689" s="15" t="s">
        <v>30</v>
      </c>
      <c r="D689" s="23" t="s">
        <v>81</v>
      </c>
      <c r="E689" s="25" t="s">
        <v>82</v>
      </c>
      <c r="F689" s="16" t="str">
        <f>'Source Table'!$E$6</f>
        <v>Private Sector</v>
      </c>
      <c r="G689" s="16" t="str">
        <f>'Source Table'!$E$5</f>
        <v>القطاع الخاص</v>
      </c>
      <c r="H689" t="str">
        <f>'Source Table'!$G$8</f>
        <v>Female</v>
      </c>
      <c r="I689" s="16" t="str">
        <f>'Source Table'!$G$7</f>
        <v>أنثى</v>
      </c>
      <c r="J689" s="25" t="str">
        <f>'Source Table'!$B$19</f>
        <v>Plastic Surgeon</v>
      </c>
      <c r="K689" s="25" t="str">
        <f>'Source Table'!$I$19</f>
        <v>التجميل</v>
      </c>
      <c r="L689" s="39">
        <v>2</v>
      </c>
      <c r="M689">
        <v>2019</v>
      </c>
    </row>
    <row r="690" spans="1:13" ht="15">
      <c r="A690" t="s">
        <v>153</v>
      </c>
      <c r="B690" t="s">
        <v>154</v>
      </c>
      <c r="C690" s="15" t="s">
        <v>30</v>
      </c>
      <c r="D690" s="23" t="s">
        <v>81</v>
      </c>
      <c r="E690" s="25" t="s">
        <v>82</v>
      </c>
      <c r="F690" s="16" t="str">
        <f>'Source Table'!$E$6</f>
        <v>Private Sector</v>
      </c>
      <c r="G690" s="16" t="str">
        <f>'Source Table'!$E$5</f>
        <v>القطاع الخاص</v>
      </c>
      <c r="H690" t="str">
        <f>'Source Table'!$G$8</f>
        <v>Female</v>
      </c>
      <c r="I690" s="16" t="str">
        <f>'Source Table'!$G$7</f>
        <v>أنثى</v>
      </c>
      <c r="J690" s="25" t="str">
        <f>'Source Table'!$B$20</f>
        <v>Psychiatry</v>
      </c>
      <c r="K690" s="25" t="str">
        <f>'Source Table'!$I$20</f>
        <v>النفسية</v>
      </c>
      <c r="L690" s="39">
        <v>2</v>
      </c>
      <c r="M690">
        <v>2019</v>
      </c>
    </row>
    <row r="691" spans="1:13" ht="15">
      <c r="A691" t="s">
        <v>153</v>
      </c>
      <c r="B691" t="s">
        <v>154</v>
      </c>
      <c r="C691" s="15" t="s">
        <v>30</v>
      </c>
      <c r="D691" s="23" t="s">
        <v>81</v>
      </c>
      <c r="E691" s="25" t="s">
        <v>82</v>
      </c>
      <c r="F691" s="16" t="str">
        <f>'Source Table'!$E$6</f>
        <v>Private Sector</v>
      </c>
      <c r="G691" s="16" t="str">
        <f>'Source Table'!$E$5</f>
        <v>القطاع الخاص</v>
      </c>
      <c r="H691" t="str">
        <f>'Source Table'!$G$8</f>
        <v>Female</v>
      </c>
      <c r="I691" s="16" t="str">
        <f>'Source Table'!$G$7</f>
        <v>أنثى</v>
      </c>
      <c r="J691" s="25" t="str">
        <f>'Source Table'!$B$21</f>
        <v>Dermatologist Venereal</v>
      </c>
      <c r="K691" s="25" t="str">
        <f>'Source Table'!$I$21</f>
        <v>جلدية وتناسلية</v>
      </c>
      <c r="L691" s="39">
        <v>53</v>
      </c>
      <c r="M691">
        <v>2019</v>
      </c>
    </row>
    <row r="692" spans="1:13" ht="15">
      <c r="A692" t="s">
        <v>153</v>
      </c>
      <c r="B692" t="s">
        <v>154</v>
      </c>
      <c r="C692" s="15" t="s">
        <v>30</v>
      </c>
      <c r="D692" s="23" t="s">
        <v>81</v>
      </c>
      <c r="E692" s="25" t="s">
        <v>82</v>
      </c>
      <c r="F692" s="16" t="str">
        <f>'Source Table'!$E$6</f>
        <v>Private Sector</v>
      </c>
      <c r="G692" s="16" t="str">
        <f>'Source Table'!$E$5</f>
        <v>القطاع الخاص</v>
      </c>
      <c r="H692" t="str">
        <f>'Source Table'!$G$8</f>
        <v>Female</v>
      </c>
      <c r="I692" s="16" t="str">
        <f>'Source Table'!$G$7</f>
        <v>أنثى</v>
      </c>
      <c r="J692" s="25" t="str">
        <f>'Source Table'!$B$22</f>
        <v>Neurology/ Nervous</v>
      </c>
      <c r="K692" s="25" t="str">
        <f>'Source Table'!$I$22</f>
        <v>مرض الأعصاب</v>
      </c>
      <c r="L692" s="39">
        <v>3</v>
      </c>
      <c r="M692">
        <v>2019</v>
      </c>
    </row>
    <row r="693" spans="1:13" ht="15">
      <c r="A693" t="s">
        <v>153</v>
      </c>
      <c r="B693" t="s">
        <v>154</v>
      </c>
      <c r="C693" s="15" t="s">
        <v>30</v>
      </c>
      <c r="D693" s="23" t="s">
        <v>81</v>
      </c>
      <c r="E693" s="25" t="s">
        <v>82</v>
      </c>
      <c r="F693" s="16" t="str">
        <f>'Source Table'!$E$6</f>
        <v>Private Sector</v>
      </c>
      <c r="G693" s="16" t="str">
        <f>'Source Table'!$E$5</f>
        <v>القطاع الخاص</v>
      </c>
      <c r="H693" t="str">
        <f>'Source Table'!$G$8</f>
        <v>Female</v>
      </c>
      <c r="I693" s="16" t="str">
        <f>'Source Table'!$G$7</f>
        <v>أنثى</v>
      </c>
      <c r="J693" s="25" t="str">
        <f>'Source Table'!$B$23</f>
        <v>Pumologist</v>
      </c>
      <c r="K693" s="25" t="str">
        <f>'Source Table'!$I$23</f>
        <v>صدرية</v>
      </c>
      <c r="L693" s="39">
        <v>0</v>
      </c>
      <c r="M693">
        <v>2019</v>
      </c>
    </row>
    <row r="694" spans="1:13" ht="15">
      <c r="A694" t="s">
        <v>153</v>
      </c>
      <c r="B694" t="s">
        <v>154</v>
      </c>
      <c r="C694" s="15" t="s">
        <v>30</v>
      </c>
      <c r="D694" s="23" t="s">
        <v>81</v>
      </c>
      <c r="E694" s="25" t="s">
        <v>82</v>
      </c>
      <c r="F694" s="16" t="str">
        <f>'Source Table'!$E$6</f>
        <v>Private Sector</v>
      </c>
      <c r="G694" s="16" t="str">
        <f>'Source Table'!$E$5</f>
        <v>القطاع الخاص</v>
      </c>
      <c r="H694" t="str">
        <f>'Source Table'!$G$8</f>
        <v>Female</v>
      </c>
      <c r="I694" s="16" t="str">
        <f>'Source Table'!$G$7</f>
        <v>أنثى</v>
      </c>
      <c r="J694" s="25" t="str">
        <f>'Source Table'!$B$24</f>
        <v>G.I.T. Specialist</v>
      </c>
      <c r="K694" s="25" t="str">
        <f>'Source Table'!$I$24</f>
        <v>جهاز هضمي</v>
      </c>
      <c r="L694" s="39">
        <v>6</v>
      </c>
      <c r="M694">
        <v>2019</v>
      </c>
    </row>
    <row r="695" spans="1:13" ht="15">
      <c r="A695" t="s">
        <v>153</v>
      </c>
      <c r="B695" t="s">
        <v>154</v>
      </c>
      <c r="C695" s="15" t="s">
        <v>30</v>
      </c>
      <c r="D695" s="23" t="s">
        <v>81</v>
      </c>
      <c r="E695" s="25" t="s">
        <v>82</v>
      </c>
      <c r="F695" s="16" t="str">
        <f>'Source Table'!$E$6</f>
        <v>Private Sector</v>
      </c>
      <c r="G695" s="16" t="str">
        <f>'Source Table'!$E$5</f>
        <v>القطاع الخاص</v>
      </c>
      <c r="H695" t="str">
        <f>'Source Table'!$G$8</f>
        <v>Female</v>
      </c>
      <c r="I695" s="16" t="str">
        <f>'Source Table'!$G$7</f>
        <v>أنثى</v>
      </c>
      <c r="J695" s="25" t="str">
        <f>'Source Table'!$B$25</f>
        <v>Diagnostic Radiology</v>
      </c>
      <c r="K695" s="25" t="str">
        <f>'Source Table'!$I$25</f>
        <v>أشعة تشخيصية</v>
      </c>
      <c r="L695" s="39">
        <v>28</v>
      </c>
      <c r="M695">
        <v>2019</v>
      </c>
    </row>
    <row r="696" spans="1:13" ht="15">
      <c r="A696" t="s">
        <v>153</v>
      </c>
      <c r="B696" t="s">
        <v>154</v>
      </c>
      <c r="C696" s="15" t="s">
        <v>30</v>
      </c>
      <c r="D696" s="23" t="s">
        <v>81</v>
      </c>
      <c r="E696" s="25" t="s">
        <v>82</v>
      </c>
      <c r="F696" s="16" t="str">
        <f>'Source Table'!$E$6</f>
        <v>Private Sector</v>
      </c>
      <c r="G696" s="16" t="str">
        <f>'Source Table'!$E$5</f>
        <v>القطاع الخاص</v>
      </c>
      <c r="H696" t="str">
        <f>'Source Table'!$G$8</f>
        <v>Female</v>
      </c>
      <c r="I696" s="16" t="str">
        <f>'Source Table'!$G$7</f>
        <v>أنثى</v>
      </c>
      <c r="J696" s="25" t="str">
        <f>'Source Table'!$B$26</f>
        <v>Anesthetic</v>
      </c>
      <c r="K696" s="25" t="str">
        <f>'Source Table'!$I$26</f>
        <v>تخدير وإنعاش</v>
      </c>
      <c r="L696" s="39">
        <v>25</v>
      </c>
      <c r="M696">
        <v>2019</v>
      </c>
    </row>
    <row r="697" spans="1:13" ht="15">
      <c r="A697" t="s">
        <v>153</v>
      </c>
      <c r="B697" t="s">
        <v>154</v>
      </c>
      <c r="C697" s="15" t="s">
        <v>30</v>
      </c>
      <c r="D697" s="23" t="s">
        <v>81</v>
      </c>
      <c r="E697" s="25" t="s">
        <v>82</v>
      </c>
      <c r="F697" s="16" t="str">
        <f>'Source Table'!$E$6</f>
        <v>Private Sector</v>
      </c>
      <c r="G697" s="16" t="str">
        <f>'Source Table'!$E$5</f>
        <v>القطاع الخاص</v>
      </c>
      <c r="H697" t="str">
        <f>'Source Table'!$G$8</f>
        <v>Female</v>
      </c>
      <c r="I697" s="16" t="str">
        <f>'Source Table'!$G$7</f>
        <v>أنثى</v>
      </c>
      <c r="J697" s="25" t="str">
        <f>'Source Table'!$B$27</f>
        <v>Physiotherapist</v>
      </c>
      <c r="K697" s="25" t="str">
        <f>'Source Table'!$I$27</f>
        <v>طب طبيعي</v>
      </c>
      <c r="L697" s="39">
        <v>1</v>
      </c>
      <c r="M697">
        <v>2019</v>
      </c>
    </row>
    <row r="698" spans="1:13" ht="15">
      <c r="A698" t="s">
        <v>153</v>
      </c>
      <c r="B698" t="s">
        <v>154</v>
      </c>
      <c r="C698" s="15" t="s">
        <v>30</v>
      </c>
      <c r="D698" s="23" t="s">
        <v>81</v>
      </c>
      <c r="E698" s="25" t="s">
        <v>82</v>
      </c>
      <c r="F698" s="16" t="str">
        <f>'Source Table'!$E$6</f>
        <v>Private Sector</v>
      </c>
      <c r="G698" s="16" t="str">
        <f>'Source Table'!$E$5</f>
        <v>القطاع الخاص</v>
      </c>
      <c r="H698" t="str">
        <f>'Source Table'!$G$8</f>
        <v>Female</v>
      </c>
      <c r="I698" s="16" t="str">
        <f>'Source Table'!$G$7</f>
        <v>أنثى</v>
      </c>
      <c r="J698" s="25" t="str">
        <f>'Source Table'!$B$28</f>
        <v>Forensic</v>
      </c>
      <c r="K698" s="25" t="str">
        <f>'Source Table'!$I$28</f>
        <v>طب شرعي</v>
      </c>
      <c r="L698" s="39">
        <v>0</v>
      </c>
      <c r="M698">
        <v>2019</v>
      </c>
    </row>
    <row r="699" spans="1:13" ht="15">
      <c r="A699" t="s">
        <v>153</v>
      </c>
      <c r="B699" t="s">
        <v>154</v>
      </c>
      <c r="C699" s="15" t="s">
        <v>30</v>
      </c>
      <c r="D699" s="23" t="s">
        <v>81</v>
      </c>
      <c r="E699" s="25" t="s">
        <v>82</v>
      </c>
      <c r="F699" s="16" t="str">
        <f>'Source Table'!$E$6</f>
        <v>Private Sector</v>
      </c>
      <c r="G699" s="16" t="str">
        <f>'Source Table'!$E$5</f>
        <v>القطاع الخاص</v>
      </c>
      <c r="H699" t="str">
        <f>'Source Table'!$G$8</f>
        <v>Female</v>
      </c>
      <c r="I699" s="16" t="str">
        <f>'Source Table'!$G$7</f>
        <v>أنثى</v>
      </c>
      <c r="J699" s="25" t="str">
        <f>'Source Table'!$B$29</f>
        <v xml:space="preserve">Family </v>
      </c>
      <c r="K699" s="25" t="str">
        <f>'Source Table'!$I$29</f>
        <v>طب أسرة</v>
      </c>
      <c r="L699" s="39">
        <v>27</v>
      </c>
      <c r="M699">
        <v>2019</v>
      </c>
    </row>
    <row r="700" spans="1:13" ht="15">
      <c r="A700" t="s">
        <v>153</v>
      </c>
      <c r="B700" t="s">
        <v>154</v>
      </c>
      <c r="C700" s="15" t="s">
        <v>30</v>
      </c>
      <c r="D700" s="23" t="s">
        <v>81</v>
      </c>
      <c r="E700" s="25" t="s">
        <v>82</v>
      </c>
      <c r="F700" s="16" t="str">
        <f>'Source Table'!$E$6</f>
        <v>Private Sector</v>
      </c>
      <c r="G700" s="16" t="str">
        <f>'Source Table'!$E$5</f>
        <v>القطاع الخاص</v>
      </c>
      <c r="H700" t="str">
        <f>'Source Table'!$G$8</f>
        <v>Female</v>
      </c>
      <c r="I700" s="16" t="str">
        <f>'Source Table'!$G$7</f>
        <v>أنثى</v>
      </c>
      <c r="J700" s="25" t="str">
        <f>'Source Table'!$B$30</f>
        <v>Urologist</v>
      </c>
      <c r="K700" s="25" t="str">
        <f>'Source Table'!$I$30</f>
        <v xml:space="preserve">المسالك البولية </v>
      </c>
      <c r="L700" s="39">
        <v>2</v>
      </c>
      <c r="M700">
        <v>2019</v>
      </c>
    </row>
    <row r="701" spans="1:13" ht="15">
      <c r="A701" t="s">
        <v>153</v>
      </c>
      <c r="B701" t="s">
        <v>154</v>
      </c>
      <c r="C701" s="15" t="s">
        <v>30</v>
      </c>
      <c r="D701" s="23" t="s">
        <v>81</v>
      </c>
      <c r="E701" s="25" t="s">
        <v>82</v>
      </c>
      <c r="F701" s="16" t="str">
        <f>'Source Table'!$E$6</f>
        <v>Private Sector</v>
      </c>
      <c r="G701" s="16" t="str">
        <f>'Source Table'!$E$5</f>
        <v>القطاع الخاص</v>
      </c>
      <c r="H701" t="str">
        <f>'Source Table'!$G$8</f>
        <v>Female</v>
      </c>
      <c r="I701" s="16" t="str">
        <f>'Source Table'!$G$7</f>
        <v>أنثى</v>
      </c>
      <c r="J701" s="25" t="str">
        <f>'Source Table'!$B$31</f>
        <v>Cardiology</v>
      </c>
      <c r="K701" s="25" t="str">
        <f>'Source Table'!$I$31</f>
        <v>أمراض القلب</v>
      </c>
      <c r="L701" s="39">
        <v>5</v>
      </c>
      <c r="M701">
        <v>2019</v>
      </c>
    </row>
    <row r="702" spans="1:13" ht="15">
      <c r="A702" t="s">
        <v>153</v>
      </c>
      <c r="B702" t="s">
        <v>154</v>
      </c>
      <c r="C702" s="15" t="s">
        <v>30</v>
      </c>
      <c r="D702" s="23" t="s">
        <v>81</v>
      </c>
      <c r="E702" s="25" t="s">
        <v>82</v>
      </c>
      <c r="F702" s="16" t="str">
        <f>'Source Table'!$E$6</f>
        <v>Private Sector</v>
      </c>
      <c r="G702" s="16" t="str">
        <f>'Source Table'!$E$5</f>
        <v>القطاع الخاص</v>
      </c>
      <c r="H702" t="str">
        <f>'Source Table'!$G$8</f>
        <v>Female</v>
      </c>
      <c r="I702" s="16" t="str">
        <f>'Source Table'!$G$7</f>
        <v>أنثى</v>
      </c>
      <c r="J702" s="25" t="str">
        <f>'Source Table'!$B$32</f>
        <v>Laboratory</v>
      </c>
      <c r="K702" s="25" t="str">
        <f>'Source Table'!$I$32</f>
        <v>مختبرات</v>
      </c>
      <c r="L702" s="39">
        <v>1</v>
      </c>
      <c r="M702">
        <v>2019</v>
      </c>
    </row>
    <row r="703" spans="1:13" ht="15">
      <c r="A703" t="s">
        <v>153</v>
      </c>
      <c r="B703" t="s">
        <v>154</v>
      </c>
      <c r="C703" s="15" t="s">
        <v>30</v>
      </c>
      <c r="D703" s="23" t="s">
        <v>81</v>
      </c>
      <c r="E703" s="25" t="s">
        <v>82</v>
      </c>
      <c r="F703" s="16" t="str">
        <f>'Source Table'!$E$6</f>
        <v>Private Sector</v>
      </c>
      <c r="G703" s="16" t="str">
        <f>'Source Table'!$E$5</f>
        <v>القطاع الخاص</v>
      </c>
      <c r="H703" t="str">
        <f>'Source Table'!$G$8</f>
        <v>Female</v>
      </c>
      <c r="I703" s="16" t="str">
        <f>'Source Table'!$G$7</f>
        <v>أنثى</v>
      </c>
      <c r="J703" s="25" t="str">
        <f>'Source Table'!$B$33</f>
        <v>Others</v>
      </c>
      <c r="K703" s="25" t="str">
        <f>'Source Table'!$I$33</f>
        <v>أخرى</v>
      </c>
      <c r="L703" s="39">
        <v>32</v>
      </c>
      <c r="M703">
        <v>2019</v>
      </c>
    </row>
    <row r="704" spans="1:13" ht="15">
      <c r="A704" t="s">
        <v>153</v>
      </c>
      <c r="B704" t="s">
        <v>154</v>
      </c>
      <c r="C704" s="15" t="s">
        <v>30</v>
      </c>
      <c r="D704" s="23" t="s">
        <v>81</v>
      </c>
      <c r="E704" s="25" t="s">
        <v>82</v>
      </c>
      <c r="F704" t="str">
        <f>'Source Table'!$C$6</f>
        <v>Others</v>
      </c>
      <c r="G704" t="str">
        <f>'Source Table'!$C$5</f>
        <v>آخرون</v>
      </c>
      <c r="H704" t="str">
        <f>'Source Table'!$H$8</f>
        <v>Male</v>
      </c>
      <c r="I704" s="25" t="str">
        <f>'Source Table'!$H$7</f>
        <v>ذكر</v>
      </c>
      <c r="J704" s="25" t="str">
        <f>'Source Table'!$B$9</f>
        <v>General Practitioner</v>
      </c>
      <c r="K704" s="25" t="str">
        <f>'Source Table'!$I$9</f>
        <v>طبيب عام</v>
      </c>
      <c r="L704" s="39">
        <v>8977</v>
      </c>
      <c r="M704">
        <v>2019</v>
      </c>
    </row>
    <row r="705" spans="1:13" ht="15">
      <c r="A705" t="s">
        <v>153</v>
      </c>
      <c r="B705" t="s">
        <v>154</v>
      </c>
      <c r="C705" s="15" t="s">
        <v>30</v>
      </c>
      <c r="D705" s="23" t="s">
        <v>81</v>
      </c>
      <c r="E705" s="25" t="s">
        <v>82</v>
      </c>
      <c r="F705" t="str">
        <f>'Source Table'!$C$6</f>
        <v>Others</v>
      </c>
      <c r="G705" t="str">
        <f>'Source Table'!$C$5</f>
        <v>آخرون</v>
      </c>
      <c r="H705" t="str">
        <f>'Source Table'!$H$8</f>
        <v>Male</v>
      </c>
      <c r="I705" s="25" t="str">
        <f>'Source Table'!$H$7</f>
        <v>ذكر</v>
      </c>
      <c r="J705" s="25" t="str">
        <f>'Source Table'!$B$10</f>
        <v>Surgeon</v>
      </c>
      <c r="K705" s="25" t="str">
        <f>'Source Table'!$I$10</f>
        <v>جراحة عامة</v>
      </c>
      <c r="L705" s="39">
        <v>84</v>
      </c>
      <c r="M705">
        <v>2019</v>
      </c>
    </row>
    <row r="706" spans="1:13" ht="15">
      <c r="A706" t="s">
        <v>153</v>
      </c>
      <c r="B706" t="s">
        <v>154</v>
      </c>
      <c r="C706" s="15" t="s">
        <v>30</v>
      </c>
      <c r="D706" s="23" t="s">
        <v>81</v>
      </c>
      <c r="E706" s="25" t="s">
        <v>82</v>
      </c>
      <c r="F706" t="str">
        <f>'Source Table'!$C$6</f>
        <v>Others</v>
      </c>
      <c r="G706" t="str">
        <f>'Source Table'!$C$5</f>
        <v>آخرون</v>
      </c>
      <c r="H706" t="str">
        <f>'Source Table'!$H$8</f>
        <v>Male</v>
      </c>
      <c r="I706" s="25" t="str">
        <f>'Source Table'!$H$7</f>
        <v>ذكر</v>
      </c>
      <c r="J706" s="25" t="str">
        <f>'Source Table'!$B$11</f>
        <v>Internist</v>
      </c>
      <c r="K706" s="25" t="str">
        <f>'Source Table'!$I$11</f>
        <v>باطنية</v>
      </c>
      <c r="L706" s="39">
        <v>78</v>
      </c>
      <c r="M706">
        <v>2019</v>
      </c>
    </row>
    <row r="707" spans="1:13" ht="15">
      <c r="A707" t="s">
        <v>153</v>
      </c>
      <c r="B707" t="s">
        <v>154</v>
      </c>
      <c r="C707" s="15" t="s">
        <v>30</v>
      </c>
      <c r="D707" s="23" t="s">
        <v>81</v>
      </c>
      <c r="E707" s="25" t="s">
        <v>82</v>
      </c>
      <c r="F707" t="str">
        <f>'Source Table'!$C$6</f>
        <v>Others</v>
      </c>
      <c r="G707" t="str">
        <f>'Source Table'!$C$5</f>
        <v>آخرون</v>
      </c>
      <c r="H707" t="str">
        <f>'Source Table'!$H$8</f>
        <v>Male</v>
      </c>
      <c r="I707" s="25" t="str">
        <f>'Source Table'!$H$7</f>
        <v>ذكر</v>
      </c>
      <c r="J707" s="25" t="str">
        <f>'Source Table'!$B$12</f>
        <v>Gynecologist and Obst.</v>
      </c>
      <c r="K707" s="25" t="str">
        <f>'Source Table'!$I$12</f>
        <v>نسائية وتوليد</v>
      </c>
      <c r="L707" s="39">
        <v>66</v>
      </c>
      <c r="M707">
        <v>2019</v>
      </c>
    </row>
    <row r="708" spans="1:13" ht="15">
      <c r="A708" t="s">
        <v>153</v>
      </c>
      <c r="B708" t="s">
        <v>154</v>
      </c>
      <c r="C708" s="15" t="s">
        <v>30</v>
      </c>
      <c r="D708" s="23" t="s">
        <v>81</v>
      </c>
      <c r="E708" s="25" t="s">
        <v>82</v>
      </c>
      <c r="F708" t="str">
        <f>'Source Table'!$C$6</f>
        <v>Others</v>
      </c>
      <c r="G708" t="str">
        <f>'Source Table'!$C$5</f>
        <v>آخرون</v>
      </c>
      <c r="H708" t="str">
        <f>'Source Table'!$H$8</f>
        <v>Male</v>
      </c>
      <c r="I708" s="25" t="str">
        <f>'Source Table'!$H$7</f>
        <v>ذكر</v>
      </c>
      <c r="J708" s="25" t="str">
        <f>'Source Table'!$B$13</f>
        <v>Pediatrics</v>
      </c>
      <c r="K708" s="25" t="str">
        <f>'Source Table'!$I$13</f>
        <v>أطفال</v>
      </c>
      <c r="L708" s="39">
        <v>69</v>
      </c>
      <c r="M708">
        <v>2019</v>
      </c>
    </row>
    <row r="709" spans="1:13" ht="15">
      <c r="A709" t="s">
        <v>153</v>
      </c>
      <c r="B709" t="s">
        <v>154</v>
      </c>
      <c r="C709" s="15" t="s">
        <v>30</v>
      </c>
      <c r="D709" s="23" t="s">
        <v>81</v>
      </c>
      <c r="E709" s="25" t="s">
        <v>82</v>
      </c>
      <c r="F709" t="str">
        <f>'Source Table'!$C$6</f>
        <v>Others</v>
      </c>
      <c r="G709" t="str">
        <f>'Source Table'!$C$5</f>
        <v>آخرون</v>
      </c>
      <c r="H709" t="str">
        <f>'Source Table'!$H$8</f>
        <v>Male</v>
      </c>
      <c r="I709" s="25" t="str">
        <f>'Source Table'!$H$7</f>
        <v>ذكر</v>
      </c>
      <c r="J709" s="25" t="str">
        <f>'Source Table'!$B$14</f>
        <v>Ophthalmologist</v>
      </c>
      <c r="K709" s="25" t="str">
        <f>'Source Table'!$I$14</f>
        <v>العيون</v>
      </c>
      <c r="L709" s="39">
        <v>37</v>
      </c>
      <c r="M709">
        <v>2019</v>
      </c>
    </row>
    <row r="710" spans="1:13" ht="15">
      <c r="A710" t="s">
        <v>153</v>
      </c>
      <c r="B710" t="s">
        <v>154</v>
      </c>
      <c r="C710" s="15" t="s">
        <v>30</v>
      </c>
      <c r="D710" s="23" t="s">
        <v>81</v>
      </c>
      <c r="E710" s="25" t="s">
        <v>82</v>
      </c>
      <c r="F710" t="str">
        <f>'Source Table'!$C$6</f>
        <v>Others</v>
      </c>
      <c r="G710" t="str">
        <f>'Source Table'!$C$5</f>
        <v>آخرون</v>
      </c>
      <c r="H710" t="str">
        <f>'Source Table'!$H$8</f>
        <v>Male</v>
      </c>
      <c r="I710" s="25" t="str">
        <f>'Source Table'!$H$7</f>
        <v>ذكر</v>
      </c>
      <c r="J710" s="25" t="str">
        <f>'Source Table'!$B$15</f>
        <v>Orthopedic Surg.</v>
      </c>
      <c r="K710" s="25" t="str">
        <f>'Source Table'!$I$15</f>
        <v>العظام</v>
      </c>
      <c r="L710" s="39">
        <v>55</v>
      </c>
      <c r="M710">
        <v>2019</v>
      </c>
    </row>
    <row r="711" spans="1:13" ht="15">
      <c r="A711" t="s">
        <v>153</v>
      </c>
      <c r="B711" t="s">
        <v>154</v>
      </c>
      <c r="C711" s="15" t="s">
        <v>30</v>
      </c>
      <c r="D711" s="23" t="s">
        <v>81</v>
      </c>
      <c r="E711" s="25" t="s">
        <v>82</v>
      </c>
      <c r="F711" t="str">
        <f>'Source Table'!$C$6</f>
        <v>Others</v>
      </c>
      <c r="G711" t="str">
        <f>'Source Table'!$C$5</f>
        <v>آخرون</v>
      </c>
      <c r="H711" t="str">
        <f>'Source Table'!$H$8</f>
        <v>Male</v>
      </c>
      <c r="I711" s="25" t="str">
        <f>'Source Table'!$H$7</f>
        <v>ذكر</v>
      </c>
      <c r="J711" s="25" t="str">
        <f>'Source Table'!$B$16</f>
        <v>E.N.T.Surg.</v>
      </c>
      <c r="K711" s="25" t="str">
        <f>'Source Table'!$I$16</f>
        <v>أذن وأنف وحنجرة</v>
      </c>
      <c r="L711" s="39">
        <v>24</v>
      </c>
      <c r="M711">
        <v>2019</v>
      </c>
    </row>
    <row r="712" spans="1:13" ht="15">
      <c r="A712" t="s">
        <v>153</v>
      </c>
      <c r="B712" t="s">
        <v>154</v>
      </c>
      <c r="C712" s="15" t="s">
        <v>30</v>
      </c>
      <c r="D712" s="23" t="s">
        <v>81</v>
      </c>
      <c r="E712" s="25" t="s">
        <v>82</v>
      </c>
      <c r="F712" t="str">
        <f>'Source Table'!$C$6</f>
        <v>Others</v>
      </c>
      <c r="G712" t="str">
        <f>'Source Table'!$C$5</f>
        <v>آخرون</v>
      </c>
      <c r="H712" t="str">
        <f>'Source Table'!$H$8</f>
        <v>Male</v>
      </c>
      <c r="I712" s="25" t="str">
        <f>'Source Table'!$H$7</f>
        <v>ذكر</v>
      </c>
      <c r="J712" s="25" t="str">
        <f>'Source Table'!$B$17</f>
        <v>Neurosurgery</v>
      </c>
      <c r="K712" s="25" t="str">
        <f>'Source Table'!$I$17</f>
        <v>جراحةأعصاب</v>
      </c>
      <c r="L712" s="39">
        <v>18</v>
      </c>
      <c r="M712">
        <v>2019</v>
      </c>
    </row>
    <row r="713" spans="1:13" ht="15">
      <c r="A713" t="s">
        <v>153</v>
      </c>
      <c r="B713" t="s">
        <v>154</v>
      </c>
      <c r="C713" s="15" t="s">
        <v>30</v>
      </c>
      <c r="D713" s="23" t="s">
        <v>81</v>
      </c>
      <c r="E713" s="25" t="s">
        <v>82</v>
      </c>
      <c r="F713" t="str">
        <f>'Source Table'!$C$6</f>
        <v>Others</v>
      </c>
      <c r="G713" t="str">
        <f>'Source Table'!$C$5</f>
        <v>آخرون</v>
      </c>
      <c r="H713" t="str">
        <f>'Source Table'!$H$8</f>
        <v>Male</v>
      </c>
      <c r="I713" s="25" t="str">
        <f>'Source Table'!$H$7</f>
        <v>ذكر</v>
      </c>
      <c r="J713" s="25" t="str">
        <f>'Source Table'!$B$18</f>
        <v>Cardiothoracic</v>
      </c>
      <c r="K713" s="25" t="str">
        <f>'Source Table'!$I$18</f>
        <v>جراحة قلب</v>
      </c>
      <c r="L713" s="39">
        <v>5</v>
      </c>
      <c r="M713">
        <v>2019</v>
      </c>
    </row>
    <row r="714" spans="1:13" ht="15">
      <c r="A714" t="s">
        <v>153</v>
      </c>
      <c r="B714" t="s">
        <v>154</v>
      </c>
      <c r="C714" s="15" t="s">
        <v>30</v>
      </c>
      <c r="D714" s="23" t="s">
        <v>81</v>
      </c>
      <c r="E714" s="25" t="s">
        <v>82</v>
      </c>
      <c r="F714" t="str">
        <f>'Source Table'!$C$6</f>
        <v>Others</v>
      </c>
      <c r="G714" t="str">
        <f>'Source Table'!$C$5</f>
        <v>آخرون</v>
      </c>
      <c r="H714" t="str">
        <f>'Source Table'!$H$8</f>
        <v>Male</v>
      </c>
      <c r="I714" s="25" t="str">
        <f>'Source Table'!$H$7</f>
        <v>ذكر</v>
      </c>
      <c r="J714" s="25" t="str">
        <f>'Source Table'!$B$19</f>
        <v>Plastic Surgeon</v>
      </c>
      <c r="K714" s="25" t="str">
        <f>'Source Table'!$I$19</f>
        <v>التجميل</v>
      </c>
      <c r="L714" s="39">
        <v>3</v>
      </c>
      <c r="M714">
        <v>2019</v>
      </c>
    </row>
    <row r="715" spans="1:13" ht="15">
      <c r="A715" t="s">
        <v>153</v>
      </c>
      <c r="B715" t="s">
        <v>154</v>
      </c>
      <c r="C715" s="15" t="s">
        <v>30</v>
      </c>
      <c r="D715" s="23" t="s">
        <v>81</v>
      </c>
      <c r="E715" s="25" t="s">
        <v>82</v>
      </c>
      <c r="F715" t="str">
        <f>'Source Table'!$C$6</f>
        <v>Others</v>
      </c>
      <c r="G715" t="str">
        <f>'Source Table'!$C$5</f>
        <v>آخرون</v>
      </c>
      <c r="H715" t="str">
        <f>'Source Table'!$H$8</f>
        <v>Male</v>
      </c>
      <c r="I715" s="25" t="str">
        <f>'Source Table'!$H$7</f>
        <v>ذكر</v>
      </c>
      <c r="J715" s="25" t="str">
        <f>'Source Table'!$B$20</f>
        <v>Psychiatry</v>
      </c>
      <c r="K715" s="25" t="str">
        <f>'Source Table'!$I$20</f>
        <v>النفسية</v>
      </c>
      <c r="L715" s="39">
        <v>11</v>
      </c>
      <c r="M715">
        <v>2019</v>
      </c>
    </row>
    <row r="716" spans="1:13" ht="15">
      <c r="A716" t="s">
        <v>153</v>
      </c>
      <c r="B716" t="s">
        <v>154</v>
      </c>
      <c r="C716" s="15" t="s">
        <v>30</v>
      </c>
      <c r="D716" s="23" t="s">
        <v>81</v>
      </c>
      <c r="E716" s="25" t="s">
        <v>82</v>
      </c>
      <c r="F716" t="str">
        <f>'Source Table'!$C$6</f>
        <v>Others</v>
      </c>
      <c r="G716" t="str">
        <f>'Source Table'!$C$5</f>
        <v>آخرون</v>
      </c>
      <c r="H716" t="str">
        <f>'Source Table'!$H$8</f>
        <v>Male</v>
      </c>
      <c r="I716" s="25" t="str">
        <f>'Source Table'!$H$7</f>
        <v>ذكر</v>
      </c>
      <c r="J716" s="25" t="str">
        <f>'Source Table'!$B$21</f>
        <v>Dermatologist Venereal</v>
      </c>
      <c r="K716" s="25" t="str">
        <f>'Source Table'!$I$21</f>
        <v>جلدية وتناسلية</v>
      </c>
      <c r="L716" s="39">
        <v>24</v>
      </c>
      <c r="M716">
        <v>2019</v>
      </c>
    </row>
    <row r="717" spans="1:13" ht="15">
      <c r="A717" t="s">
        <v>153</v>
      </c>
      <c r="B717" t="s">
        <v>154</v>
      </c>
      <c r="C717" s="15" t="s">
        <v>30</v>
      </c>
      <c r="D717" s="23" t="s">
        <v>81</v>
      </c>
      <c r="E717" s="25" t="s">
        <v>82</v>
      </c>
      <c r="F717" t="str">
        <f>'Source Table'!$C$6</f>
        <v>Others</v>
      </c>
      <c r="G717" t="str">
        <f>'Source Table'!$C$5</f>
        <v>آخرون</v>
      </c>
      <c r="H717" t="str">
        <f>'Source Table'!$H$8</f>
        <v>Male</v>
      </c>
      <c r="I717" s="25" t="str">
        <f>'Source Table'!$H$7</f>
        <v>ذكر</v>
      </c>
      <c r="J717" s="25" t="str">
        <f>'Source Table'!$B$22</f>
        <v>Neurology/ Nervous</v>
      </c>
      <c r="K717" s="25" t="str">
        <f>'Source Table'!$I$22</f>
        <v>مرض الأعصاب</v>
      </c>
      <c r="L717" s="39">
        <v>7</v>
      </c>
      <c r="M717">
        <v>2019</v>
      </c>
    </row>
    <row r="718" spans="1:13" ht="15">
      <c r="A718" t="s">
        <v>153</v>
      </c>
      <c r="B718" t="s">
        <v>154</v>
      </c>
      <c r="C718" s="15" t="s">
        <v>30</v>
      </c>
      <c r="D718" s="23" t="s">
        <v>81</v>
      </c>
      <c r="E718" s="25" t="s">
        <v>82</v>
      </c>
      <c r="F718" t="str">
        <f>'Source Table'!$C$6</f>
        <v>Others</v>
      </c>
      <c r="G718" t="str">
        <f>'Source Table'!$C$5</f>
        <v>آخرون</v>
      </c>
      <c r="H718" t="str">
        <f>'Source Table'!$H$8</f>
        <v>Male</v>
      </c>
      <c r="I718" s="25" t="str">
        <f>'Source Table'!$H$7</f>
        <v>ذكر</v>
      </c>
      <c r="J718" s="25" t="str">
        <f>'Source Table'!$B$23</f>
        <v>Pumologist</v>
      </c>
      <c r="K718" s="25" t="str">
        <f>'Source Table'!$I$23</f>
        <v>صدرية</v>
      </c>
      <c r="L718" s="39">
        <v>6</v>
      </c>
      <c r="M718">
        <v>2019</v>
      </c>
    </row>
    <row r="719" spans="1:13" ht="15">
      <c r="A719" t="s">
        <v>153</v>
      </c>
      <c r="B719" t="s">
        <v>154</v>
      </c>
      <c r="C719" s="15" t="s">
        <v>30</v>
      </c>
      <c r="D719" s="23" t="s">
        <v>81</v>
      </c>
      <c r="E719" s="25" t="s">
        <v>82</v>
      </c>
      <c r="F719" t="str">
        <f>'Source Table'!$C$6</f>
        <v>Others</v>
      </c>
      <c r="G719" t="str">
        <f>'Source Table'!$C$5</f>
        <v>آخرون</v>
      </c>
      <c r="H719" t="str">
        <f>'Source Table'!$H$8</f>
        <v>Male</v>
      </c>
      <c r="I719" s="25" t="str">
        <f>'Source Table'!$H$7</f>
        <v>ذكر</v>
      </c>
      <c r="J719" s="25" t="str">
        <f>'Source Table'!$B$24</f>
        <v>G.I.T. Specialist</v>
      </c>
      <c r="K719" s="25" t="str">
        <f>'Source Table'!$I$24</f>
        <v>جهاز هضمي</v>
      </c>
      <c r="L719" s="39">
        <v>5</v>
      </c>
      <c r="M719">
        <v>2019</v>
      </c>
    </row>
    <row r="720" spans="1:13" ht="15">
      <c r="A720" t="s">
        <v>153</v>
      </c>
      <c r="B720" t="s">
        <v>154</v>
      </c>
      <c r="C720" s="15" t="s">
        <v>30</v>
      </c>
      <c r="D720" s="23" t="s">
        <v>81</v>
      </c>
      <c r="E720" s="25" t="s">
        <v>82</v>
      </c>
      <c r="F720" t="str">
        <f>'Source Table'!$C$6</f>
        <v>Others</v>
      </c>
      <c r="G720" t="str">
        <f>'Source Table'!$C$5</f>
        <v>آخرون</v>
      </c>
      <c r="H720" t="str">
        <f>'Source Table'!$H$8</f>
        <v>Male</v>
      </c>
      <c r="I720" s="25" t="str">
        <f>'Source Table'!$H$7</f>
        <v>ذكر</v>
      </c>
      <c r="J720" s="25" t="str">
        <f>'Source Table'!$B$25</f>
        <v>Diagnostic Radiology</v>
      </c>
      <c r="K720" s="25" t="str">
        <f>'Source Table'!$I$25</f>
        <v>أشعة تشخيصية</v>
      </c>
      <c r="L720" s="39">
        <v>40</v>
      </c>
      <c r="M720">
        <v>2019</v>
      </c>
    </row>
    <row r="721" spans="1:13" ht="15">
      <c r="A721" t="s">
        <v>153</v>
      </c>
      <c r="B721" t="s">
        <v>154</v>
      </c>
      <c r="C721" s="15" t="s">
        <v>30</v>
      </c>
      <c r="D721" s="23" t="s">
        <v>81</v>
      </c>
      <c r="E721" s="25" t="s">
        <v>82</v>
      </c>
      <c r="F721" t="str">
        <f>'Source Table'!$C$6</f>
        <v>Others</v>
      </c>
      <c r="G721" t="str">
        <f>'Source Table'!$C$5</f>
        <v>آخرون</v>
      </c>
      <c r="H721" t="str">
        <f>'Source Table'!$H$8</f>
        <v>Male</v>
      </c>
      <c r="I721" s="25" t="str">
        <f>'Source Table'!$H$7</f>
        <v>ذكر</v>
      </c>
      <c r="J721" s="25" t="str">
        <f>'Source Table'!$B$26</f>
        <v>Anesthetic</v>
      </c>
      <c r="K721" s="25" t="str">
        <f>'Source Table'!$I$26</f>
        <v>تخدير وإنعاش</v>
      </c>
      <c r="L721" s="39">
        <v>46</v>
      </c>
      <c r="M721">
        <v>2019</v>
      </c>
    </row>
    <row r="722" spans="1:13" ht="15">
      <c r="A722" t="s">
        <v>153</v>
      </c>
      <c r="B722" t="s">
        <v>154</v>
      </c>
      <c r="C722" s="15" t="s">
        <v>30</v>
      </c>
      <c r="D722" s="23" t="s">
        <v>81</v>
      </c>
      <c r="E722" s="25" t="s">
        <v>82</v>
      </c>
      <c r="F722" t="str">
        <f>'Source Table'!$C$6</f>
        <v>Others</v>
      </c>
      <c r="G722" t="str">
        <f>'Source Table'!$C$5</f>
        <v>آخرون</v>
      </c>
      <c r="H722" t="str">
        <f>'Source Table'!$H$8</f>
        <v>Male</v>
      </c>
      <c r="I722" s="25" t="str">
        <f>'Source Table'!$H$7</f>
        <v>ذكر</v>
      </c>
      <c r="J722" s="25" t="str">
        <f>'Source Table'!$B$27</f>
        <v>Physiotherapist</v>
      </c>
      <c r="K722" s="25" t="str">
        <f>'Source Table'!$I$27</f>
        <v>طب طبيعي</v>
      </c>
      <c r="L722" s="39">
        <v>0</v>
      </c>
      <c r="M722">
        <v>2019</v>
      </c>
    </row>
    <row r="723" spans="1:13" ht="15">
      <c r="A723" t="s">
        <v>153</v>
      </c>
      <c r="B723" t="s">
        <v>154</v>
      </c>
      <c r="C723" s="15" t="s">
        <v>30</v>
      </c>
      <c r="D723" s="23" t="s">
        <v>81</v>
      </c>
      <c r="E723" s="25" t="s">
        <v>82</v>
      </c>
      <c r="F723" t="str">
        <f>'Source Table'!$C$6</f>
        <v>Others</v>
      </c>
      <c r="G723" t="str">
        <f>'Source Table'!$C$5</f>
        <v>آخرون</v>
      </c>
      <c r="H723" t="str">
        <f>'Source Table'!$H$8</f>
        <v>Male</v>
      </c>
      <c r="I723" s="25" t="str">
        <f>'Source Table'!$H$7</f>
        <v>ذكر</v>
      </c>
      <c r="J723" s="25" t="str">
        <f>'Source Table'!$B$28</f>
        <v>Forensic</v>
      </c>
      <c r="K723" s="25" t="str">
        <f>'Source Table'!$I$28</f>
        <v>طب شرعي</v>
      </c>
      <c r="L723" s="39">
        <v>3</v>
      </c>
      <c r="M723">
        <v>2019</v>
      </c>
    </row>
    <row r="724" spans="1:13" ht="15">
      <c r="A724" t="s">
        <v>153</v>
      </c>
      <c r="B724" t="s">
        <v>154</v>
      </c>
      <c r="C724" s="15" t="s">
        <v>30</v>
      </c>
      <c r="D724" s="23" t="s">
        <v>81</v>
      </c>
      <c r="E724" s="25" t="s">
        <v>82</v>
      </c>
      <c r="F724" t="str">
        <f>'Source Table'!$C$6</f>
        <v>Others</v>
      </c>
      <c r="G724" t="str">
        <f>'Source Table'!$C$5</f>
        <v>آخرون</v>
      </c>
      <c r="H724" t="str">
        <f>'Source Table'!$H$8</f>
        <v>Male</v>
      </c>
      <c r="I724" s="25" t="str">
        <f>'Source Table'!$H$7</f>
        <v>ذكر</v>
      </c>
      <c r="J724" s="25" t="str">
        <f>'Source Table'!$B$29</f>
        <v xml:space="preserve">Family </v>
      </c>
      <c r="K724" s="25" t="str">
        <f>'Source Table'!$I$29</f>
        <v>طب أسرة</v>
      </c>
      <c r="L724" s="39">
        <v>17</v>
      </c>
      <c r="M724">
        <v>2019</v>
      </c>
    </row>
    <row r="725" spans="1:13" ht="15">
      <c r="A725" t="s">
        <v>153</v>
      </c>
      <c r="B725" t="s">
        <v>154</v>
      </c>
      <c r="C725" s="15" t="s">
        <v>30</v>
      </c>
      <c r="D725" s="23" t="s">
        <v>81</v>
      </c>
      <c r="E725" s="25" t="s">
        <v>82</v>
      </c>
      <c r="F725" t="str">
        <f>'Source Table'!$C$6</f>
        <v>Others</v>
      </c>
      <c r="G725" t="str">
        <f>'Source Table'!$C$5</f>
        <v>آخرون</v>
      </c>
      <c r="H725" t="str">
        <f>'Source Table'!$H$8</f>
        <v>Male</v>
      </c>
      <c r="I725" s="25" t="str">
        <f>'Source Table'!$H$7</f>
        <v>ذكر</v>
      </c>
      <c r="J725" s="25" t="str">
        <f>'Source Table'!$B$30</f>
        <v>Urologist</v>
      </c>
      <c r="K725" s="25" t="str">
        <f>'Source Table'!$I$30</f>
        <v xml:space="preserve">المسالك البولية </v>
      </c>
      <c r="L725" s="39">
        <v>26</v>
      </c>
      <c r="M725">
        <v>2019</v>
      </c>
    </row>
    <row r="726" spans="1:13" ht="15">
      <c r="A726" t="s">
        <v>153</v>
      </c>
      <c r="B726" t="s">
        <v>154</v>
      </c>
      <c r="C726" s="15" t="s">
        <v>30</v>
      </c>
      <c r="D726" s="23" t="s">
        <v>81</v>
      </c>
      <c r="E726" s="25" t="s">
        <v>82</v>
      </c>
      <c r="F726" t="str">
        <f>'Source Table'!$C$6</f>
        <v>Others</v>
      </c>
      <c r="G726" t="str">
        <f>'Source Table'!$C$5</f>
        <v>آخرون</v>
      </c>
      <c r="H726" t="str">
        <f>'Source Table'!$H$8</f>
        <v>Male</v>
      </c>
      <c r="I726" s="25" t="str">
        <f>'Source Table'!$H$7</f>
        <v>ذكر</v>
      </c>
      <c r="J726" s="25" t="str">
        <f>'Source Table'!$B$31</f>
        <v>Cardiology</v>
      </c>
      <c r="K726" s="25" t="str">
        <f>'Source Table'!$I$31</f>
        <v>أمراض القلب</v>
      </c>
      <c r="L726" s="39">
        <v>16</v>
      </c>
      <c r="M726">
        <v>2019</v>
      </c>
    </row>
    <row r="727" spans="1:13" ht="15">
      <c r="A727" t="s">
        <v>153</v>
      </c>
      <c r="B727" t="s">
        <v>154</v>
      </c>
      <c r="C727" s="15" t="s">
        <v>30</v>
      </c>
      <c r="D727" s="23" t="s">
        <v>81</v>
      </c>
      <c r="E727" s="25" t="s">
        <v>82</v>
      </c>
      <c r="F727" t="str">
        <f>'Source Table'!$C$6</f>
        <v>Others</v>
      </c>
      <c r="G727" t="str">
        <f>'Source Table'!$C$5</f>
        <v>آخرون</v>
      </c>
      <c r="H727" t="str">
        <f>'Source Table'!$H$8</f>
        <v>Male</v>
      </c>
      <c r="I727" s="25" t="str">
        <f>'Source Table'!$H$7</f>
        <v>ذكر</v>
      </c>
      <c r="J727" s="25" t="str">
        <f>'Source Table'!$B$32</f>
        <v>Laboratory</v>
      </c>
      <c r="K727" s="25" t="str">
        <f>'Source Table'!$I$32</f>
        <v>مختبرات</v>
      </c>
      <c r="L727" s="39">
        <v>7</v>
      </c>
      <c r="M727">
        <v>2019</v>
      </c>
    </row>
    <row r="728" spans="1:13" ht="15">
      <c r="A728" t="s">
        <v>153</v>
      </c>
      <c r="B728" t="s">
        <v>154</v>
      </c>
      <c r="C728" s="15" t="s">
        <v>30</v>
      </c>
      <c r="D728" s="23" t="s">
        <v>81</v>
      </c>
      <c r="E728" s="25" t="s">
        <v>82</v>
      </c>
      <c r="F728" t="str">
        <f>'Source Table'!$C$6</f>
        <v>Others</v>
      </c>
      <c r="G728" t="str">
        <f>'Source Table'!$C$5</f>
        <v>آخرون</v>
      </c>
      <c r="H728" t="str">
        <f>'Source Table'!$H$8</f>
        <v>Male</v>
      </c>
      <c r="I728" s="25" t="str">
        <f>'Source Table'!$H$7</f>
        <v>ذكر</v>
      </c>
      <c r="J728" s="25" t="str">
        <f>'Source Table'!$B$33</f>
        <v>Others</v>
      </c>
      <c r="K728" s="25" t="str">
        <f>'Source Table'!$I$33</f>
        <v>أخرى</v>
      </c>
      <c r="L728" s="39">
        <v>53</v>
      </c>
      <c r="M728">
        <v>2019</v>
      </c>
    </row>
    <row r="729" spans="1:13" ht="15">
      <c r="A729" t="s">
        <v>153</v>
      </c>
      <c r="B729" t="s">
        <v>154</v>
      </c>
      <c r="C729" s="15" t="s">
        <v>30</v>
      </c>
      <c r="D729" s="23" t="s">
        <v>81</v>
      </c>
      <c r="E729" s="25" t="s">
        <v>82</v>
      </c>
      <c r="F729" t="str">
        <f>'Source Table'!$C$6</f>
        <v>Others</v>
      </c>
      <c r="G729" t="str">
        <f>'Source Table'!$C$5</f>
        <v>آخرون</v>
      </c>
      <c r="H729" t="str">
        <f>'Source Table'!$G$8</f>
        <v>Female</v>
      </c>
      <c r="I729" s="16" t="str">
        <f>'Source Table'!$G$7</f>
        <v>أنثى</v>
      </c>
      <c r="J729" s="25" t="str">
        <f>'Source Table'!$B$9</f>
        <v>General Practitioner</v>
      </c>
      <c r="K729" s="25" t="str">
        <f>'Source Table'!$I$9</f>
        <v>طبيب عام</v>
      </c>
      <c r="L729" s="39">
        <v>2688</v>
      </c>
      <c r="M729">
        <v>2019</v>
      </c>
    </row>
    <row r="730" spans="1:13" ht="15">
      <c r="A730" t="s">
        <v>153</v>
      </c>
      <c r="B730" t="s">
        <v>154</v>
      </c>
      <c r="C730" s="15" t="s">
        <v>30</v>
      </c>
      <c r="D730" s="23" t="s">
        <v>81</v>
      </c>
      <c r="E730" s="25" t="s">
        <v>82</v>
      </c>
      <c r="F730" t="str">
        <f>'Source Table'!$C$6</f>
        <v>Others</v>
      </c>
      <c r="G730" t="str">
        <f>'Source Table'!$C$5</f>
        <v>آخرون</v>
      </c>
      <c r="H730" t="str">
        <f>'Source Table'!$G$8</f>
        <v>Female</v>
      </c>
      <c r="I730" s="16" t="str">
        <f>'Source Table'!$G$7</f>
        <v>أنثى</v>
      </c>
      <c r="J730" s="25" t="str">
        <f>'Source Table'!$B$10</f>
        <v>Surgeon</v>
      </c>
      <c r="K730" s="25" t="str">
        <f>'Source Table'!$I$10</f>
        <v>جراحة عامة</v>
      </c>
      <c r="L730" s="40">
        <v>8</v>
      </c>
      <c r="M730">
        <v>2019</v>
      </c>
    </row>
    <row r="731" spans="1:13" ht="15">
      <c r="A731" t="s">
        <v>153</v>
      </c>
      <c r="B731" t="s">
        <v>154</v>
      </c>
      <c r="C731" s="15" t="s">
        <v>30</v>
      </c>
      <c r="D731" s="23" t="s">
        <v>81</v>
      </c>
      <c r="E731" s="25" t="s">
        <v>82</v>
      </c>
      <c r="F731" t="str">
        <f>'Source Table'!$C$6</f>
        <v>Others</v>
      </c>
      <c r="G731" t="str">
        <f>'Source Table'!$C$5</f>
        <v>آخرون</v>
      </c>
      <c r="H731" t="str">
        <f>'Source Table'!$G$8</f>
        <v>Female</v>
      </c>
      <c r="I731" s="16" t="str">
        <f>'Source Table'!$G$7</f>
        <v>أنثى</v>
      </c>
      <c r="J731" s="25" t="str">
        <f>'Source Table'!$B$11</f>
        <v>Internist</v>
      </c>
      <c r="K731" s="25" t="str">
        <f>'Source Table'!$I$11</f>
        <v>باطنية</v>
      </c>
      <c r="L731" s="40">
        <v>35</v>
      </c>
      <c r="M731">
        <v>2019</v>
      </c>
    </row>
    <row r="732" spans="1:13" ht="15">
      <c r="A732" t="s">
        <v>153</v>
      </c>
      <c r="B732" t="s">
        <v>154</v>
      </c>
      <c r="C732" s="15" t="s">
        <v>30</v>
      </c>
      <c r="D732" s="23" t="s">
        <v>81</v>
      </c>
      <c r="E732" s="25" t="s">
        <v>82</v>
      </c>
      <c r="F732" t="str">
        <f>'Source Table'!$C$6</f>
        <v>Others</v>
      </c>
      <c r="G732" t="str">
        <f>'Source Table'!$C$5</f>
        <v>آخرون</v>
      </c>
      <c r="H732" t="str">
        <f>'Source Table'!$G$8</f>
        <v>Female</v>
      </c>
      <c r="I732" s="16" t="str">
        <f>'Source Table'!$G$7</f>
        <v>أنثى</v>
      </c>
      <c r="J732" s="25" t="str">
        <f>'Source Table'!$B$12</f>
        <v>Gynecologist and Obst.</v>
      </c>
      <c r="K732" s="25" t="str">
        <f>'Source Table'!$I$12</f>
        <v>نسائية وتوليد</v>
      </c>
      <c r="L732" s="40">
        <v>82</v>
      </c>
      <c r="M732">
        <v>2019</v>
      </c>
    </row>
    <row r="733" spans="1:13" ht="15">
      <c r="A733" t="s">
        <v>153</v>
      </c>
      <c r="B733" t="s">
        <v>154</v>
      </c>
      <c r="C733" s="15" t="s">
        <v>30</v>
      </c>
      <c r="D733" s="23" t="s">
        <v>81</v>
      </c>
      <c r="E733" s="25" t="s">
        <v>82</v>
      </c>
      <c r="F733" t="str">
        <f>'Source Table'!$C$6</f>
        <v>Others</v>
      </c>
      <c r="G733" t="str">
        <f>'Source Table'!$C$5</f>
        <v>آخرون</v>
      </c>
      <c r="H733" t="str">
        <f>'Source Table'!$G$8</f>
        <v>Female</v>
      </c>
      <c r="I733" s="16" t="str">
        <f>'Source Table'!$G$7</f>
        <v>أنثى</v>
      </c>
      <c r="J733" s="25" t="str">
        <f>'Source Table'!$B$13</f>
        <v>Pediatrics</v>
      </c>
      <c r="K733" s="25" t="str">
        <f>'Source Table'!$I$13</f>
        <v>أطفال</v>
      </c>
      <c r="L733" s="40">
        <v>65</v>
      </c>
      <c r="M733">
        <v>2019</v>
      </c>
    </row>
    <row r="734" spans="1:13" ht="15">
      <c r="A734" t="s">
        <v>153</v>
      </c>
      <c r="B734" t="s">
        <v>154</v>
      </c>
      <c r="C734" s="15" t="s">
        <v>30</v>
      </c>
      <c r="D734" s="23" t="s">
        <v>81</v>
      </c>
      <c r="E734" s="25" t="s">
        <v>82</v>
      </c>
      <c r="F734" t="str">
        <f>'Source Table'!$C$6</f>
        <v>Others</v>
      </c>
      <c r="G734" t="str">
        <f>'Source Table'!$C$5</f>
        <v>آخرون</v>
      </c>
      <c r="H734" t="str">
        <f>'Source Table'!$G$8</f>
        <v>Female</v>
      </c>
      <c r="I734" s="16" t="str">
        <f>'Source Table'!$G$7</f>
        <v>أنثى</v>
      </c>
      <c r="J734" s="25" t="str">
        <f>'Source Table'!$B$14</f>
        <v>Ophthalmologist</v>
      </c>
      <c r="K734" s="25" t="str">
        <f>'Source Table'!$I$14</f>
        <v>العيون</v>
      </c>
      <c r="L734" s="40">
        <v>17</v>
      </c>
      <c r="M734">
        <v>2019</v>
      </c>
    </row>
    <row r="735" spans="1:13" ht="15">
      <c r="A735" t="s">
        <v>153</v>
      </c>
      <c r="B735" t="s">
        <v>154</v>
      </c>
      <c r="C735" s="15" t="s">
        <v>30</v>
      </c>
      <c r="D735" s="23" t="s">
        <v>81</v>
      </c>
      <c r="E735" s="25" t="s">
        <v>82</v>
      </c>
      <c r="F735" t="str">
        <f>'Source Table'!$C$6</f>
        <v>Others</v>
      </c>
      <c r="G735" t="str">
        <f>'Source Table'!$C$5</f>
        <v>آخرون</v>
      </c>
      <c r="H735" t="str">
        <f>'Source Table'!$G$8</f>
        <v>Female</v>
      </c>
      <c r="I735" s="16" t="str">
        <f>'Source Table'!$G$7</f>
        <v>أنثى</v>
      </c>
      <c r="J735" s="25" t="str">
        <f>'Source Table'!$B$15</f>
        <v>Orthopedic Surg.</v>
      </c>
      <c r="K735" s="25" t="str">
        <f>'Source Table'!$I$15</f>
        <v>العظام</v>
      </c>
      <c r="L735" s="40">
        <v>0</v>
      </c>
      <c r="M735">
        <v>2019</v>
      </c>
    </row>
    <row r="736" spans="1:13" ht="15">
      <c r="A736" t="s">
        <v>153</v>
      </c>
      <c r="B736" t="s">
        <v>154</v>
      </c>
      <c r="C736" s="15" t="s">
        <v>30</v>
      </c>
      <c r="D736" s="23" t="s">
        <v>81</v>
      </c>
      <c r="E736" s="25" t="s">
        <v>82</v>
      </c>
      <c r="F736" t="str">
        <f>'Source Table'!$C$6</f>
        <v>Others</v>
      </c>
      <c r="G736" t="str">
        <f>'Source Table'!$C$5</f>
        <v>آخرون</v>
      </c>
      <c r="H736" t="str">
        <f>'Source Table'!$G$8</f>
        <v>Female</v>
      </c>
      <c r="I736" s="16" t="str">
        <f>'Source Table'!$G$7</f>
        <v>أنثى</v>
      </c>
      <c r="J736" s="25" t="str">
        <f>'Source Table'!$B$16</f>
        <v>E.N.T.Surg.</v>
      </c>
      <c r="K736" s="25" t="str">
        <f>'Source Table'!$I$16</f>
        <v>أذن وأنف وحنجرة</v>
      </c>
      <c r="L736" s="40">
        <v>5</v>
      </c>
      <c r="M736">
        <v>2019</v>
      </c>
    </row>
    <row r="737" spans="1:13" ht="15">
      <c r="A737" t="s">
        <v>153</v>
      </c>
      <c r="B737" t="s">
        <v>154</v>
      </c>
      <c r="C737" s="15" t="s">
        <v>30</v>
      </c>
      <c r="D737" s="23" t="s">
        <v>81</v>
      </c>
      <c r="E737" s="25" t="s">
        <v>82</v>
      </c>
      <c r="F737" t="str">
        <f>'Source Table'!$C$6</f>
        <v>Others</v>
      </c>
      <c r="G737" t="str">
        <f>'Source Table'!$C$5</f>
        <v>آخرون</v>
      </c>
      <c r="H737" t="str">
        <f>'Source Table'!$G$8</f>
        <v>Female</v>
      </c>
      <c r="I737" s="16" t="str">
        <f>'Source Table'!$G$7</f>
        <v>أنثى</v>
      </c>
      <c r="J737" s="25" t="str">
        <f>'Source Table'!$B$17</f>
        <v>Neurosurgery</v>
      </c>
      <c r="K737" s="25" t="str">
        <f>'Source Table'!$I$17</f>
        <v>جراحةأعصاب</v>
      </c>
      <c r="L737" s="39">
        <v>0</v>
      </c>
      <c r="M737">
        <v>2019</v>
      </c>
    </row>
    <row r="738" spans="1:13" ht="15">
      <c r="A738" t="s">
        <v>153</v>
      </c>
      <c r="B738" t="s">
        <v>154</v>
      </c>
      <c r="C738" s="15" t="s">
        <v>30</v>
      </c>
      <c r="D738" s="23" t="s">
        <v>81</v>
      </c>
      <c r="E738" s="25" t="s">
        <v>82</v>
      </c>
      <c r="F738" t="str">
        <f>'Source Table'!$C$6</f>
        <v>Others</v>
      </c>
      <c r="G738" t="str">
        <f>'Source Table'!$C$5</f>
        <v>آخرون</v>
      </c>
      <c r="H738" t="str">
        <f>'Source Table'!$G$8</f>
        <v>Female</v>
      </c>
      <c r="I738" s="16" t="str">
        <f>'Source Table'!$G$7</f>
        <v>أنثى</v>
      </c>
      <c r="J738" s="25" t="str">
        <f>'Source Table'!$B$18</f>
        <v>Cardiothoracic</v>
      </c>
      <c r="K738" s="25" t="str">
        <f>'Source Table'!$I$18</f>
        <v>جراحة قلب</v>
      </c>
      <c r="L738" s="39">
        <v>0</v>
      </c>
      <c r="M738">
        <v>2019</v>
      </c>
    </row>
    <row r="739" spans="1:13" ht="15">
      <c r="A739" t="s">
        <v>153</v>
      </c>
      <c r="B739" t="s">
        <v>154</v>
      </c>
      <c r="C739" s="15" t="s">
        <v>30</v>
      </c>
      <c r="D739" s="23" t="s">
        <v>81</v>
      </c>
      <c r="E739" s="25" t="s">
        <v>82</v>
      </c>
      <c r="F739" t="str">
        <f>'Source Table'!$C$6</f>
        <v>Others</v>
      </c>
      <c r="G739" t="str">
        <f>'Source Table'!$C$5</f>
        <v>آخرون</v>
      </c>
      <c r="H739" t="str">
        <f>'Source Table'!$G$8</f>
        <v>Female</v>
      </c>
      <c r="I739" s="16" t="str">
        <f>'Source Table'!$G$7</f>
        <v>أنثى</v>
      </c>
      <c r="J739" s="25" t="str">
        <f>'Source Table'!$B$19</f>
        <v>Plastic Surgeon</v>
      </c>
      <c r="K739" s="25" t="str">
        <f>'Source Table'!$I$19</f>
        <v>التجميل</v>
      </c>
      <c r="L739" s="39">
        <v>0</v>
      </c>
      <c r="M739">
        <v>2019</v>
      </c>
    </row>
    <row r="740" spans="1:13" ht="15">
      <c r="A740" t="s">
        <v>153</v>
      </c>
      <c r="B740" t="s">
        <v>154</v>
      </c>
      <c r="C740" s="15" t="s">
        <v>30</v>
      </c>
      <c r="D740" s="23" t="s">
        <v>81</v>
      </c>
      <c r="E740" s="25" t="s">
        <v>82</v>
      </c>
      <c r="F740" t="str">
        <f>'Source Table'!$C$6</f>
        <v>Others</v>
      </c>
      <c r="G740" t="str">
        <f>'Source Table'!$C$5</f>
        <v>آخرون</v>
      </c>
      <c r="H740" t="str">
        <f>'Source Table'!$G$8</f>
        <v>Female</v>
      </c>
      <c r="I740" s="16" t="str">
        <f>'Source Table'!$G$7</f>
        <v>أنثى</v>
      </c>
      <c r="J740" s="25" t="str">
        <f>'Source Table'!$B$20</f>
        <v>Psychiatry</v>
      </c>
      <c r="K740" s="25" t="str">
        <f>'Source Table'!$I$20</f>
        <v>النفسية</v>
      </c>
      <c r="L740" s="39">
        <v>1</v>
      </c>
      <c r="M740">
        <v>2019</v>
      </c>
    </row>
    <row r="741" spans="1:13" ht="15">
      <c r="A741" t="s">
        <v>153</v>
      </c>
      <c r="B741" t="s">
        <v>154</v>
      </c>
      <c r="C741" s="15" t="s">
        <v>30</v>
      </c>
      <c r="D741" s="23" t="s">
        <v>81</v>
      </c>
      <c r="E741" s="25" t="s">
        <v>82</v>
      </c>
      <c r="F741" t="str">
        <f>'Source Table'!$C$6</f>
        <v>Others</v>
      </c>
      <c r="G741" t="str">
        <f>'Source Table'!$C$5</f>
        <v>آخرون</v>
      </c>
      <c r="H741" t="str">
        <f>'Source Table'!$G$8</f>
        <v>Female</v>
      </c>
      <c r="I741" s="16" t="str">
        <f>'Source Table'!$G$7</f>
        <v>أنثى</v>
      </c>
      <c r="J741" s="25" t="str">
        <f>'Source Table'!$B$21</f>
        <v>Dermatologist Venereal</v>
      </c>
      <c r="K741" s="25" t="str">
        <f>'Source Table'!$I$21</f>
        <v>جلدية وتناسلية</v>
      </c>
      <c r="L741" s="40">
        <v>32</v>
      </c>
      <c r="M741">
        <v>2019</v>
      </c>
    </row>
    <row r="742" spans="1:13" ht="15">
      <c r="A742" t="s">
        <v>153</v>
      </c>
      <c r="B742" t="s">
        <v>154</v>
      </c>
      <c r="C742" s="15" t="s">
        <v>30</v>
      </c>
      <c r="D742" s="23" t="s">
        <v>81</v>
      </c>
      <c r="E742" s="25" t="s">
        <v>82</v>
      </c>
      <c r="F742" t="str">
        <f>'Source Table'!$C$6</f>
        <v>Others</v>
      </c>
      <c r="G742" t="str">
        <f>'Source Table'!$C$5</f>
        <v>آخرون</v>
      </c>
      <c r="H742" t="str">
        <f>'Source Table'!$G$8</f>
        <v>Female</v>
      </c>
      <c r="I742" s="16" t="str">
        <f>'Source Table'!$G$7</f>
        <v>أنثى</v>
      </c>
      <c r="J742" s="25" t="str">
        <f>'Source Table'!$B$22</f>
        <v>Neurology/ Nervous</v>
      </c>
      <c r="K742" s="25" t="str">
        <f>'Source Table'!$I$22</f>
        <v>مرض الأعصاب</v>
      </c>
      <c r="L742" s="40">
        <v>2</v>
      </c>
      <c r="M742">
        <v>2019</v>
      </c>
    </row>
    <row r="743" spans="1:13" ht="15">
      <c r="A743" t="s">
        <v>153</v>
      </c>
      <c r="B743" t="s">
        <v>154</v>
      </c>
      <c r="C743" s="15" t="s">
        <v>30</v>
      </c>
      <c r="D743" s="23" t="s">
        <v>81</v>
      </c>
      <c r="E743" s="25" t="s">
        <v>82</v>
      </c>
      <c r="F743" t="str">
        <f>'Source Table'!$C$6</f>
        <v>Others</v>
      </c>
      <c r="G743" t="str">
        <f>'Source Table'!$C$5</f>
        <v>آخرون</v>
      </c>
      <c r="H743" t="str">
        <f>'Source Table'!$G$8</f>
        <v>Female</v>
      </c>
      <c r="I743" s="16" t="str">
        <f>'Source Table'!$G$7</f>
        <v>أنثى</v>
      </c>
      <c r="J743" s="25" t="str">
        <f>'Source Table'!$B$23</f>
        <v>Pumologist</v>
      </c>
      <c r="K743" s="25" t="str">
        <f>'Source Table'!$I$23</f>
        <v>صدرية</v>
      </c>
      <c r="L743" s="40">
        <v>1</v>
      </c>
      <c r="M743">
        <v>2019</v>
      </c>
    </row>
    <row r="744" spans="1:13" ht="15">
      <c r="A744" t="s">
        <v>153</v>
      </c>
      <c r="B744" t="s">
        <v>154</v>
      </c>
      <c r="C744" s="15" t="s">
        <v>30</v>
      </c>
      <c r="D744" s="23" t="s">
        <v>81</v>
      </c>
      <c r="E744" s="25" t="s">
        <v>82</v>
      </c>
      <c r="F744" t="str">
        <f>'Source Table'!$C$6</f>
        <v>Others</v>
      </c>
      <c r="G744" t="str">
        <f>'Source Table'!$C$5</f>
        <v>آخرون</v>
      </c>
      <c r="H744" t="str">
        <f>'Source Table'!$G$8</f>
        <v>Female</v>
      </c>
      <c r="I744" s="16" t="str">
        <f>'Source Table'!$G$7</f>
        <v>أنثى</v>
      </c>
      <c r="J744" s="25" t="str">
        <f>'Source Table'!$B$24</f>
        <v>G.I.T. Specialist</v>
      </c>
      <c r="K744" s="25" t="str">
        <f>'Source Table'!$I$24</f>
        <v>جهاز هضمي</v>
      </c>
      <c r="L744" s="40">
        <v>1</v>
      </c>
      <c r="M744">
        <v>2019</v>
      </c>
    </row>
    <row r="745" spans="1:13" ht="15">
      <c r="A745" t="s">
        <v>153</v>
      </c>
      <c r="B745" t="s">
        <v>154</v>
      </c>
      <c r="C745" s="15" t="s">
        <v>30</v>
      </c>
      <c r="D745" s="23" t="s">
        <v>81</v>
      </c>
      <c r="E745" s="25" t="s">
        <v>82</v>
      </c>
      <c r="F745" t="str">
        <f>'Source Table'!$C$6</f>
        <v>Others</v>
      </c>
      <c r="G745" t="str">
        <f>'Source Table'!$C$5</f>
        <v>آخرون</v>
      </c>
      <c r="H745" t="str">
        <f>'Source Table'!$G$8</f>
        <v>Female</v>
      </c>
      <c r="I745" s="16" t="str">
        <f>'Source Table'!$G$7</f>
        <v>أنثى</v>
      </c>
      <c r="J745" s="25" t="str">
        <f>'Source Table'!$B$25</f>
        <v>Diagnostic Radiology</v>
      </c>
      <c r="K745" s="25" t="str">
        <f>'Source Table'!$I$25</f>
        <v>أشعة تشخيصية</v>
      </c>
      <c r="L745" s="40">
        <v>24</v>
      </c>
      <c r="M745">
        <v>2019</v>
      </c>
    </row>
    <row r="746" spans="1:13" ht="15">
      <c r="A746" t="s">
        <v>153</v>
      </c>
      <c r="B746" t="s">
        <v>154</v>
      </c>
      <c r="C746" s="15" t="s">
        <v>30</v>
      </c>
      <c r="D746" s="23" t="s">
        <v>81</v>
      </c>
      <c r="E746" s="25" t="s">
        <v>82</v>
      </c>
      <c r="F746" t="str">
        <f>'Source Table'!$C$6</f>
        <v>Others</v>
      </c>
      <c r="G746" t="str">
        <f>'Source Table'!$C$5</f>
        <v>آخرون</v>
      </c>
      <c r="H746" t="str">
        <f>'Source Table'!$G$8</f>
        <v>Female</v>
      </c>
      <c r="I746" s="16" t="str">
        <f>'Source Table'!$G$7</f>
        <v>أنثى</v>
      </c>
      <c r="J746" s="25" t="str">
        <f>'Source Table'!$B$26</f>
        <v>Anesthetic</v>
      </c>
      <c r="K746" s="25" t="str">
        <f>'Source Table'!$I$26</f>
        <v>تخدير وإنعاش</v>
      </c>
      <c r="L746" s="40">
        <v>12</v>
      </c>
      <c r="M746">
        <v>2019</v>
      </c>
    </row>
    <row r="747" spans="1:13" ht="15">
      <c r="A747" t="s">
        <v>153</v>
      </c>
      <c r="B747" t="s">
        <v>154</v>
      </c>
      <c r="C747" s="15" t="s">
        <v>30</v>
      </c>
      <c r="D747" s="23" t="s">
        <v>81</v>
      </c>
      <c r="E747" s="25" t="s">
        <v>82</v>
      </c>
      <c r="F747" t="str">
        <f>'Source Table'!$C$6</f>
        <v>Others</v>
      </c>
      <c r="G747" t="str">
        <f>'Source Table'!$C$5</f>
        <v>آخرون</v>
      </c>
      <c r="H747" t="str">
        <f>'Source Table'!$G$8</f>
        <v>Female</v>
      </c>
      <c r="I747" s="16" t="str">
        <f>'Source Table'!$G$7</f>
        <v>أنثى</v>
      </c>
      <c r="J747" s="25" t="str">
        <f>'Source Table'!$B$27</f>
        <v>Physiotherapist</v>
      </c>
      <c r="K747" s="25" t="str">
        <f>'Source Table'!$I$27</f>
        <v>طب طبيعي</v>
      </c>
      <c r="L747" s="39">
        <v>0</v>
      </c>
      <c r="M747">
        <v>2019</v>
      </c>
    </row>
    <row r="748" spans="1:13" ht="15">
      <c r="A748" t="s">
        <v>153</v>
      </c>
      <c r="B748" t="s">
        <v>154</v>
      </c>
      <c r="C748" s="15" t="s">
        <v>30</v>
      </c>
      <c r="D748" s="23" t="s">
        <v>81</v>
      </c>
      <c r="E748" s="25" t="s">
        <v>82</v>
      </c>
      <c r="F748" t="str">
        <f>'Source Table'!$C$6</f>
        <v>Others</v>
      </c>
      <c r="G748" t="str">
        <f>'Source Table'!$C$5</f>
        <v>آخرون</v>
      </c>
      <c r="H748" t="str">
        <f>'Source Table'!$G$8</f>
        <v>Female</v>
      </c>
      <c r="I748" s="16" t="str">
        <f>'Source Table'!$G$7</f>
        <v>أنثى</v>
      </c>
      <c r="J748" s="25" t="str">
        <f>'Source Table'!$B$28</f>
        <v>Forensic</v>
      </c>
      <c r="K748" s="25" t="str">
        <f>'Source Table'!$I$28</f>
        <v>طب شرعي</v>
      </c>
      <c r="L748" s="39">
        <v>0</v>
      </c>
      <c r="M748">
        <v>2019</v>
      </c>
    </row>
    <row r="749" spans="1:13" ht="15">
      <c r="A749" t="s">
        <v>153</v>
      </c>
      <c r="B749" t="s">
        <v>154</v>
      </c>
      <c r="C749" s="15" t="s">
        <v>30</v>
      </c>
      <c r="D749" s="23" t="s">
        <v>81</v>
      </c>
      <c r="E749" s="25" t="s">
        <v>82</v>
      </c>
      <c r="F749" t="str">
        <f>'Source Table'!$C$6</f>
        <v>Others</v>
      </c>
      <c r="G749" t="str">
        <f>'Source Table'!$C$5</f>
        <v>آخرون</v>
      </c>
      <c r="H749" t="str">
        <f>'Source Table'!$G$8</f>
        <v>Female</v>
      </c>
      <c r="I749" s="16" t="str">
        <f>'Source Table'!$G$7</f>
        <v>أنثى</v>
      </c>
      <c r="J749" s="25" t="str">
        <f>'Source Table'!$B$29</f>
        <v xml:space="preserve">Family </v>
      </c>
      <c r="K749" s="25" t="str">
        <f>'Source Table'!$I$29</f>
        <v>طب أسرة</v>
      </c>
      <c r="L749" s="40">
        <v>24</v>
      </c>
      <c r="M749">
        <v>2019</v>
      </c>
    </row>
    <row r="750" spans="1:13" ht="15">
      <c r="A750" t="s">
        <v>153</v>
      </c>
      <c r="B750" t="s">
        <v>154</v>
      </c>
      <c r="C750" s="15" t="s">
        <v>30</v>
      </c>
      <c r="D750" s="23" t="s">
        <v>81</v>
      </c>
      <c r="E750" s="25" t="s">
        <v>82</v>
      </c>
      <c r="F750" t="str">
        <f>'Source Table'!$C$6</f>
        <v>Others</v>
      </c>
      <c r="G750" t="str">
        <f>'Source Table'!$C$5</f>
        <v>آخرون</v>
      </c>
      <c r="H750" t="str">
        <f>'Source Table'!$G$8</f>
        <v>Female</v>
      </c>
      <c r="I750" s="16" t="str">
        <f>'Source Table'!$G$7</f>
        <v>أنثى</v>
      </c>
      <c r="J750" s="25" t="str">
        <f>'Source Table'!$B$30</f>
        <v>Urologist</v>
      </c>
      <c r="K750" s="25" t="str">
        <f>'Source Table'!$I$30</f>
        <v xml:space="preserve">المسالك البولية </v>
      </c>
      <c r="L750" s="40">
        <v>0</v>
      </c>
      <c r="M750">
        <v>2019</v>
      </c>
    </row>
    <row r="751" spans="1:13" ht="15">
      <c r="A751" t="s">
        <v>153</v>
      </c>
      <c r="B751" t="s">
        <v>154</v>
      </c>
      <c r="C751" s="15" t="s">
        <v>30</v>
      </c>
      <c r="D751" s="23" t="s">
        <v>81</v>
      </c>
      <c r="E751" s="25" t="s">
        <v>82</v>
      </c>
      <c r="F751" t="str">
        <f>'Source Table'!$C$6</f>
        <v>Others</v>
      </c>
      <c r="G751" t="str">
        <f>'Source Table'!$C$5</f>
        <v>آخرون</v>
      </c>
      <c r="H751" t="str">
        <f>'Source Table'!$G$8</f>
        <v>Female</v>
      </c>
      <c r="I751" s="16" t="str">
        <f>'Source Table'!$G$7</f>
        <v>أنثى</v>
      </c>
      <c r="J751" s="25" t="str">
        <f>'Source Table'!$B$31</f>
        <v>Cardiology</v>
      </c>
      <c r="K751" s="25" t="str">
        <f>'Source Table'!$I$31</f>
        <v>أمراض القلب</v>
      </c>
      <c r="L751" s="40">
        <v>1</v>
      </c>
      <c r="M751">
        <v>2019</v>
      </c>
    </row>
    <row r="752" spans="1:13" ht="15">
      <c r="A752" t="s">
        <v>153</v>
      </c>
      <c r="B752" t="s">
        <v>154</v>
      </c>
      <c r="C752" s="15" t="s">
        <v>30</v>
      </c>
      <c r="D752" s="23" t="s">
        <v>81</v>
      </c>
      <c r="E752" s="25" t="s">
        <v>82</v>
      </c>
      <c r="F752" t="str">
        <f>'Source Table'!$C$6</f>
        <v>Others</v>
      </c>
      <c r="G752" t="str">
        <f>'Source Table'!$C$5</f>
        <v>آخرون</v>
      </c>
      <c r="H752" t="str">
        <f>'Source Table'!$G$8</f>
        <v>Female</v>
      </c>
      <c r="I752" s="16" t="str">
        <f>'Source Table'!$G$7</f>
        <v>أنثى</v>
      </c>
      <c r="J752" s="25" t="str">
        <f>'Source Table'!$B$32</f>
        <v>Laboratory</v>
      </c>
      <c r="K752" s="25" t="str">
        <f>'Source Table'!$I$32</f>
        <v>مختبرات</v>
      </c>
      <c r="L752" s="40">
        <v>3</v>
      </c>
      <c r="M752">
        <v>2019</v>
      </c>
    </row>
    <row r="753" spans="1:13" ht="15">
      <c r="A753" t="s">
        <v>153</v>
      </c>
      <c r="B753" t="s">
        <v>154</v>
      </c>
      <c r="C753" s="15" t="s">
        <v>30</v>
      </c>
      <c r="D753" s="23" t="s">
        <v>81</v>
      </c>
      <c r="E753" s="25" t="s">
        <v>82</v>
      </c>
      <c r="F753" t="str">
        <f>'Source Table'!$C$6</f>
        <v>Others</v>
      </c>
      <c r="G753" t="str">
        <f>'Source Table'!$C$5</f>
        <v>آخرون</v>
      </c>
      <c r="H753" t="str">
        <f>'Source Table'!$G$8</f>
        <v>Female</v>
      </c>
      <c r="I753" s="16" t="str">
        <f>'Source Table'!$G$7</f>
        <v>أنثى</v>
      </c>
      <c r="J753" s="25" t="str">
        <f>'Source Table'!$B$33</f>
        <v>Others</v>
      </c>
      <c r="K753" s="25" t="str">
        <f>'Source Table'!$I$33</f>
        <v>أخرى</v>
      </c>
      <c r="L753" s="39">
        <v>29</v>
      </c>
      <c r="M753">
        <v>2019</v>
      </c>
    </row>
    <row r="754" spans="1:13" ht="15">
      <c r="A754" t="s">
        <v>153</v>
      </c>
      <c r="B754" t="s">
        <v>154</v>
      </c>
      <c r="C754" s="15" t="s">
        <v>30</v>
      </c>
      <c r="D754" s="23" t="s">
        <v>81</v>
      </c>
      <c r="E754" s="25" t="s">
        <v>82</v>
      </c>
      <c r="F754" s="25" t="str">
        <f>'Source Table'!$G$6</f>
        <v>Public Sector</v>
      </c>
      <c r="G754" s="25" t="str">
        <f>'Source Table'!$G$5</f>
        <v>القطاع العام</v>
      </c>
      <c r="H754" t="str">
        <f>'Source Table'!$H$8</f>
        <v>Male</v>
      </c>
      <c r="I754" s="25" t="str">
        <f>'Source Table'!$H$7</f>
        <v>ذكر</v>
      </c>
      <c r="J754" s="25" t="str">
        <f>'Source Table'!$B$9</f>
        <v>General Practitioner</v>
      </c>
      <c r="K754" s="25" t="str">
        <f>'Source Table'!$I$9</f>
        <v>طبيب عام</v>
      </c>
      <c r="L754" s="39">
        <v>3298</v>
      </c>
      <c r="M754">
        <v>2018</v>
      </c>
    </row>
    <row r="755" spans="1:13" ht="15">
      <c r="A755" t="s">
        <v>153</v>
      </c>
      <c r="B755" t="s">
        <v>154</v>
      </c>
      <c r="C755" s="15" t="s">
        <v>30</v>
      </c>
      <c r="D755" s="23" t="s">
        <v>81</v>
      </c>
      <c r="E755" s="25" t="s">
        <v>82</v>
      </c>
      <c r="F755" s="25" t="str">
        <f>'Source Table'!$G$6</f>
        <v>Public Sector</v>
      </c>
      <c r="G755" s="25" t="str">
        <f>'Source Table'!$G$5</f>
        <v>القطاع العام</v>
      </c>
      <c r="H755" t="str">
        <f>'Source Table'!$H$8</f>
        <v>Male</v>
      </c>
      <c r="I755" s="25" t="str">
        <f>'Source Table'!$H$7</f>
        <v>ذكر</v>
      </c>
      <c r="J755" s="25" t="str">
        <f>'Source Table'!$B$10</f>
        <v>Surgeon</v>
      </c>
      <c r="K755" s="25" t="str">
        <f>'Source Table'!$I$10</f>
        <v>جراحة عامة</v>
      </c>
      <c r="L755" s="39">
        <v>473</v>
      </c>
      <c r="M755">
        <v>2018</v>
      </c>
    </row>
    <row r="756" spans="1:13" ht="15">
      <c r="A756" t="s">
        <v>153</v>
      </c>
      <c r="B756" t="s">
        <v>154</v>
      </c>
      <c r="C756" s="15" t="s">
        <v>30</v>
      </c>
      <c r="D756" s="23" t="s">
        <v>81</v>
      </c>
      <c r="E756" s="25" t="s">
        <v>82</v>
      </c>
      <c r="F756" s="25" t="str">
        <f>'Source Table'!$G$6</f>
        <v>Public Sector</v>
      </c>
      <c r="G756" s="25" t="str">
        <f>'Source Table'!$G$5</f>
        <v>القطاع العام</v>
      </c>
      <c r="H756" t="str">
        <f>'Source Table'!$H$8</f>
        <v>Male</v>
      </c>
      <c r="I756" s="25" t="str">
        <f>'Source Table'!$H$7</f>
        <v>ذكر</v>
      </c>
      <c r="J756" s="25" t="str">
        <f>'Source Table'!$B$11</f>
        <v>Internist</v>
      </c>
      <c r="K756" s="25" t="str">
        <f>'Source Table'!$I$11</f>
        <v>باطنية</v>
      </c>
      <c r="L756" s="39">
        <v>457</v>
      </c>
      <c r="M756">
        <v>2018</v>
      </c>
    </row>
    <row r="757" spans="1:13" ht="15">
      <c r="A757" t="s">
        <v>153</v>
      </c>
      <c r="B757" t="s">
        <v>154</v>
      </c>
      <c r="C757" s="15" t="s">
        <v>30</v>
      </c>
      <c r="D757" s="23" t="s">
        <v>81</v>
      </c>
      <c r="E757" s="25" t="s">
        <v>82</v>
      </c>
      <c r="F757" s="25" t="str">
        <f>'Source Table'!$G$6</f>
        <v>Public Sector</v>
      </c>
      <c r="G757" s="25" t="str">
        <f>'Source Table'!$G$5</f>
        <v>القطاع العام</v>
      </c>
      <c r="H757" t="str">
        <f>'Source Table'!$H$8</f>
        <v>Male</v>
      </c>
      <c r="I757" s="25" t="str">
        <f>'Source Table'!$H$7</f>
        <v>ذكر</v>
      </c>
      <c r="J757" s="25" t="str">
        <f>'Source Table'!$B$12</f>
        <v>Gynecologist and Obst.</v>
      </c>
      <c r="K757" s="25" t="str">
        <f>'Source Table'!$I$12</f>
        <v>نسائية وتوليد</v>
      </c>
      <c r="L757" s="39">
        <v>311</v>
      </c>
      <c r="M757">
        <v>2018</v>
      </c>
    </row>
    <row r="758" spans="1:13" ht="15">
      <c r="A758" t="s">
        <v>153</v>
      </c>
      <c r="B758" t="s">
        <v>154</v>
      </c>
      <c r="C758" s="15" t="s">
        <v>30</v>
      </c>
      <c r="D758" s="23" t="s">
        <v>81</v>
      </c>
      <c r="E758" s="25" t="s">
        <v>82</v>
      </c>
      <c r="F758" s="25" t="str">
        <f>'Source Table'!$G$6</f>
        <v>Public Sector</v>
      </c>
      <c r="G758" s="25" t="str">
        <f>'Source Table'!$G$5</f>
        <v>القطاع العام</v>
      </c>
      <c r="H758" t="str">
        <f>'Source Table'!$H$8</f>
        <v>Male</v>
      </c>
      <c r="I758" s="25" t="str">
        <f>'Source Table'!$H$7</f>
        <v>ذكر</v>
      </c>
      <c r="J758" s="25" t="str">
        <f>'Source Table'!$B$13</f>
        <v>Pediatrics</v>
      </c>
      <c r="K758" s="25" t="str">
        <f>'Source Table'!$I$13</f>
        <v>أطفال</v>
      </c>
      <c r="L758" s="39">
        <v>354</v>
      </c>
      <c r="M758">
        <v>2018</v>
      </c>
    </row>
    <row r="759" spans="1:13" ht="15">
      <c r="A759" t="s">
        <v>153</v>
      </c>
      <c r="B759" t="s">
        <v>154</v>
      </c>
      <c r="C759" s="15" t="s">
        <v>30</v>
      </c>
      <c r="D759" s="23" t="s">
        <v>81</v>
      </c>
      <c r="E759" s="25" t="s">
        <v>82</v>
      </c>
      <c r="F759" s="25" t="str">
        <f>'Source Table'!$G$6</f>
        <v>Public Sector</v>
      </c>
      <c r="G759" s="25" t="str">
        <f>'Source Table'!$G$5</f>
        <v>القطاع العام</v>
      </c>
      <c r="H759" t="str">
        <f>'Source Table'!$H$8</f>
        <v>Male</v>
      </c>
      <c r="I759" s="25" t="str">
        <f>'Source Table'!$H$7</f>
        <v>ذكر</v>
      </c>
      <c r="J759" s="25" t="str">
        <f>'Source Table'!$B$14</f>
        <v>Ophthalmologist</v>
      </c>
      <c r="K759" s="25" t="str">
        <f>'Source Table'!$I$14</f>
        <v>العيون</v>
      </c>
      <c r="L759" s="39">
        <v>161</v>
      </c>
      <c r="M759">
        <v>2018</v>
      </c>
    </row>
    <row r="760" spans="1:13" ht="15">
      <c r="A760" t="s">
        <v>153</v>
      </c>
      <c r="B760" t="s">
        <v>154</v>
      </c>
      <c r="C760" s="15" t="s">
        <v>30</v>
      </c>
      <c r="D760" s="23" t="s">
        <v>81</v>
      </c>
      <c r="E760" s="25" t="s">
        <v>82</v>
      </c>
      <c r="F760" s="25" t="str">
        <f>'Source Table'!$G$6</f>
        <v>Public Sector</v>
      </c>
      <c r="G760" s="25" t="str">
        <f>'Source Table'!$G$5</f>
        <v>القطاع العام</v>
      </c>
      <c r="H760" t="str">
        <f>'Source Table'!$H$8</f>
        <v>Male</v>
      </c>
      <c r="I760" s="25" t="str">
        <f>'Source Table'!$H$7</f>
        <v>ذكر</v>
      </c>
      <c r="J760" s="25" t="str">
        <f>'Source Table'!$B$15</f>
        <v>Orthopedic Surg.</v>
      </c>
      <c r="K760" s="25" t="str">
        <f>'Source Table'!$I$15</f>
        <v>العظام</v>
      </c>
      <c r="L760" s="39">
        <v>231</v>
      </c>
      <c r="M760">
        <v>2018</v>
      </c>
    </row>
    <row r="761" spans="1:13" ht="15">
      <c r="A761" t="s">
        <v>153</v>
      </c>
      <c r="B761" t="s">
        <v>154</v>
      </c>
      <c r="C761" s="15" t="s">
        <v>30</v>
      </c>
      <c r="D761" s="23" t="s">
        <v>81</v>
      </c>
      <c r="E761" s="25" t="s">
        <v>82</v>
      </c>
      <c r="F761" s="25" t="str">
        <f>'Source Table'!$G$6</f>
        <v>Public Sector</v>
      </c>
      <c r="G761" s="25" t="str">
        <f>'Source Table'!$G$5</f>
        <v>القطاع العام</v>
      </c>
      <c r="H761" t="str">
        <f>'Source Table'!$H$8</f>
        <v>Male</v>
      </c>
      <c r="I761" s="25" t="str">
        <f>'Source Table'!$H$7</f>
        <v>ذكر</v>
      </c>
      <c r="J761" s="25" t="str">
        <f>'Source Table'!$B$16</f>
        <v>E.N.T.Surg.</v>
      </c>
      <c r="K761" s="25" t="str">
        <f>'Source Table'!$I$16</f>
        <v>أذن وأنف وحنجرة</v>
      </c>
      <c r="L761" s="39">
        <v>157</v>
      </c>
      <c r="M761">
        <v>2018</v>
      </c>
    </row>
    <row r="762" spans="1:13" ht="15">
      <c r="A762" t="s">
        <v>153</v>
      </c>
      <c r="B762" t="s">
        <v>154</v>
      </c>
      <c r="C762" s="15" t="s">
        <v>30</v>
      </c>
      <c r="D762" s="23" t="s">
        <v>81</v>
      </c>
      <c r="E762" s="25" t="s">
        <v>82</v>
      </c>
      <c r="F762" s="25" t="str">
        <f>'Source Table'!$G$6</f>
        <v>Public Sector</v>
      </c>
      <c r="G762" s="25" t="str">
        <f>'Source Table'!$G$5</f>
        <v>القطاع العام</v>
      </c>
      <c r="H762" t="str">
        <f>'Source Table'!$H$8</f>
        <v>Male</v>
      </c>
      <c r="I762" s="25" t="str">
        <f>'Source Table'!$H$7</f>
        <v>ذكر</v>
      </c>
      <c r="J762" s="25" t="str">
        <f>'Source Table'!$B$17</f>
        <v>Neurosurgery</v>
      </c>
      <c r="K762" s="25" t="str">
        <f>'Source Table'!$I$17</f>
        <v>جراحةأعصاب</v>
      </c>
      <c r="L762" s="39">
        <v>43</v>
      </c>
      <c r="M762">
        <v>2018</v>
      </c>
    </row>
    <row r="763" spans="1:13" ht="15">
      <c r="A763" t="s">
        <v>153</v>
      </c>
      <c r="B763" t="s">
        <v>154</v>
      </c>
      <c r="C763" s="15" t="s">
        <v>30</v>
      </c>
      <c r="D763" s="23" t="s">
        <v>81</v>
      </c>
      <c r="E763" s="25" t="s">
        <v>82</v>
      </c>
      <c r="F763" s="25" t="str">
        <f>'Source Table'!$G$6</f>
        <v>Public Sector</v>
      </c>
      <c r="G763" s="25" t="str">
        <f>'Source Table'!$G$5</f>
        <v>القطاع العام</v>
      </c>
      <c r="H763" t="str">
        <f>'Source Table'!$H$8</f>
        <v>Male</v>
      </c>
      <c r="I763" s="25" t="str">
        <f>'Source Table'!$H$7</f>
        <v>ذكر</v>
      </c>
      <c r="J763" s="25" t="str">
        <f>'Source Table'!$B$18</f>
        <v>Cardiothoracic</v>
      </c>
      <c r="K763" s="25" t="str">
        <f>'Source Table'!$I$18</f>
        <v>جراحة قلب</v>
      </c>
      <c r="L763" s="39">
        <v>18</v>
      </c>
      <c r="M763">
        <v>2018</v>
      </c>
    </row>
    <row r="764" spans="1:13" ht="15">
      <c r="A764" t="s">
        <v>153</v>
      </c>
      <c r="B764" t="s">
        <v>154</v>
      </c>
      <c r="C764" s="15" t="s">
        <v>30</v>
      </c>
      <c r="D764" s="23" t="s">
        <v>81</v>
      </c>
      <c r="E764" s="25" t="s">
        <v>82</v>
      </c>
      <c r="F764" s="25" t="str">
        <f>'Source Table'!$G$6</f>
        <v>Public Sector</v>
      </c>
      <c r="G764" s="25" t="str">
        <f>'Source Table'!$G$5</f>
        <v>القطاع العام</v>
      </c>
      <c r="H764" t="str">
        <f>'Source Table'!$H$8</f>
        <v>Male</v>
      </c>
      <c r="I764" s="25" t="str">
        <f>'Source Table'!$H$7</f>
        <v>ذكر</v>
      </c>
      <c r="J764" s="25" t="str">
        <f>'Source Table'!$B$19</f>
        <v>Plastic Surgeon</v>
      </c>
      <c r="K764" s="25" t="str">
        <f>'Source Table'!$I$19</f>
        <v>التجميل</v>
      </c>
      <c r="L764" s="39">
        <v>24</v>
      </c>
      <c r="M764">
        <v>2018</v>
      </c>
    </row>
    <row r="765" spans="1:13" ht="15">
      <c r="A765" t="s">
        <v>153</v>
      </c>
      <c r="B765" t="s">
        <v>154</v>
      </c>
      <c r="C765" s="15" t="s">
        <v>30</v>
      </c>
      <c r="D765" s="23" t="s">
        <v>81</v>
      </c>
      <c r="E765" s="25" t="s">
        <v>82</v>
      </c>
      <c r="F765" s="25" t="str">
        <f>'Source Table'!$G$6</f>
        <v>Public Sector</v>
      </c>
      <c r="G765" s="25" t="str">
        <f>'Source Table'!$G$5</f>
        <v>القطاع العام</v>
      </c>
      <c r="H765" t="str">
        <f>'Source Table'!$H$8</f>
        <v>Male</v>
      </c>
      <c r="I765" s="25" t="str">
        <f>'Source Table'!$H$7</f>
        <v>ذكر</v>
      </c>
      <c r="J765" s="25" t="str">
        <f>'Source Table'!$B$20</f>
        <v>Psychiatry</v>
      </c>
      <c r="K765" s="25" t="str">
        <f>'Source Table'!$I$20</f>
        <v>النفسية</v>
      </c>
      <c r="L765" s="39">
        <v>46</v>
      </c>
      <c r="M765">
        <v>2018</v>
      </c>
    </row>
    <row r="766" spans="1:13" ht="15">
      <c r="A766" t="s">
        <v>153</v>
      </c>
      <c r="B766" t="s">
        <v>154</v>
      </c>
      <c r="C766" s="15" t="s">
        <v>30</v>
      </c>
      <c r="D766" s="23" t="s">
        <v>81</v>
      </c>
      <c r="E766" s="25" t="s">
        <v>82</v>
      </c>
      <c r="F766" s="25" t="str">
        <f>'Source Table'!$G$6</f>
        <v>Public Sector</v>
      </c>
      <c r="G766" s="25" t="str">
        <f>'Source Table'!$G$5</f>
        <v>القطاع العام</v>
      </c>
      <c r="H766" t="str">
        <f>'Source Table'!$H$8</f>
        <v>Male</v>
      </c>
      <c r="I766" s="25" t="str">
        <f>'Source Table'!$H$7</f>
        <v>ذكر</v>
      </c>
      <c r="J766" s="25" t="str">
        <f>'Source Table'!$B$21</f>
        <v>Dermatologist Venereal</v>
      </c>
      <c r="K766" s="25" t="str">
        <f>'Source Table'!$I$21</f>
        <v>جلدية وتناسلية</v>
      </c>
      <c r="L766" s="39">
        <v>84</v>
      </c>
      <c r="M766">
        <v>2018</v>
      </c>
    </row>
    <row r="767" spans="1:13" ht="15">
      <c r="A767" t="s">
        <v>153</v>
      </c>
      <c r="B767" t="s">
        <v>154</v>
      </c>
      <c r="C767" s="15" t="s">
        <v>30</v>
      </c>
      <c r="D767" s="23" t="s">
        <v>81</v>
      </c>
      <c r="E767" s="25" t="s">
        <v>82</v>
      </c>
      <c r="F767" s="25" t="str">
        <f>'Source Table'!$G$6</f>
        <v>Public Sector</v>
      </c>
      <c r="G767" s="25" t="str">
        <f>'Source Table'!$G$5</f>
        <v>القطاع العام</v>
      </c>
      <c r="H767" t="str">
        <f>'Source Table'!$H$8</f>
        <v>Male</v>
      </c>
      <c r="I767" s="25" t="str">
        <f>'Source Table'!$H$7</f>
        <v>ذكر</v>
      </c>
      <c r="J767" s="25" t="str">
        <f>'Source Table'!$B$22</f>
        <v>Neurology/ Nervous</v>
      </c>
      <c r="K767" s="25" t="str">
        <f>'Source Table'!$I$22</f>
        <v>مرض الأعصاب</v>
      </c>
      <c r="L767" s="39">
        <v>21</v>
      </c>
      <c r="M767">
        <v>2018</v>
      </c>
    </row>
    <row r="768" spans="1:13" ht="15">
      <c r="A768" t="s">
        <v>153</v>
      </c>
      <c r="B768" t="s">
        <v>154</v>
      </c>
      <c r="C768" s="15" t="s">
        <v>30</v>
      </c>
      <c r="D768" s="23" t="s">
        <v>81</v>
      </c>
      <c r="E768" s="25" t="s">
        <v>82</v>
      </c>
      <c r="F768" s="25" t="str">
        <f>'Source Table'!$G$6</f>
        <v>Public Sector</v>
      </c>
      <c r="G768" s="25" t="str">
        <f>'Source Table'!$G$5</f>
        <v>القطاع العام</v>
      </c>
      <c r="H768" t="str">
        <f>'Source Table'!$H$8</f>
        <v>Male</v>
      </c>
      <c r="I768" s="25" t="str">
        <f>'Source Table'!$H$7</f>
        <v>ذكر</v>
      </c>
      <c r="J768" s="25" t="str">
        <f>'Source Table'!$B$23</f>
        <v>Pumologist</v>
      </c>
      <c r="K768" s="25" t="str">
        <f>'Source Table'!$I$23</f>
        <v>صدرية</v>
      </c>
      <c r="L768" s="39">
        <v>24</v>
      </c>
      <c r="M768">
        <v>2018</v>
      </c>
    </row>
    <row r="769" spans="1:13" ht="15">
      <c r="A769" t="s">
        <v>153</v>
      </c>
      <c r="B769" t="s">
        <v>154</v>
      </c>
      <c r="C769" s="15" t="s">
        <v>30</v>
      </c>
      <c r="D769" s="23" t="s">
        <v>81</v>
      </c>
      <c r="E769" s="25" t="s">
        <v>82</v>
      </c>
      <c r="F769" s="25" t="str">
        <f>'Source Table'!$G$6</f>
        <v>Public Sector</v>
      </c>
      <c r="G769" s="25" t="str">
        <f>'Source Table'!$G$5</f>
        <v>القطاع العام</v>
      </c>
      <c r="H769" t="str">
        <f>'Source Table'!$H$8</f>
        <v>Male</v>
      </c>
      <c r="I769" s="25" t="str">
        <f>'Source Table'!$H$7</f>
        <v>ذكر</v>
      </c>
      <c r="J769" s="25" t="str">
        <f>'Source Table'!$B$24</f>
        <v>G.I.T. Specialist</v>
      </c>
      <c r="K769" s="25" t="str">
        <f>'Source Table'!$I$24</f>
        <v>جهاز هضمي</v>
      </c>
      <c r="L769" s="39">
        <v>31</v>
      </c>
      <c r="M769">
        <v>2018</v>
      </c>
    </row>
    <row r="770" spans="1:13" ht="15">
      <c r="A770" t="s">
        <v>153</v>
      </c>
      <c r="B770" t="s">
        <v>154</v>
      </c>
      <c r="C770" s="15" t="s">
        <v>30</v>
      </c>
      <c r="D770" s="23" t="s">
        <v>81</v>
      </c>
      <c r="E770" s="25" t="s">
        <v>82</v>
      </c>
      <c r="F770" s="25" t="str">
        <f>'Source Table'!$G$6</f>
        <v>Public Sector</v>
      </c>
      <c r="G770" s="25" t="str">
        <f>'Source Table'!$G$5</f>
        <v>القطاع العام</v>
      </c>
      <c r="H770" t="str">
        <f>'Source Table'!$H$8</f>
        <v>Male</v>
      </c>
      <c r="I770" s="25" t="str">
        <f>'Source Table'!$H$7</f>
        <v>ذكر</v>
      </c>
      <c r="J770" s="25" t="str">
        <f>'Source Table'!$B$25</f>
        <v>Diagnostic Radiology</v>
      </c>
      <c r="K770" s="25" t="str">
        <f>'Source Table'!$I$25</f>
        <v>أشعة تشخيصية</v>
      </c>
      <c r="L770" s="39">
        <v>117</v>
      </c>
      <c r="M770">
        <v>2018</v>
      </c>
    </row>
    <row r="771" spans="1:13" ht="15">
      <c r="A771" t="s">
        <v>153</v>
      </c>
      <c r="B771" t="s">
        <v>154</v>
      </c>
      <c r="C771" s="15" t="s">
        <v>30</v>
      </c>
      <c r="D771" s="23" t="s">
        <v>81</v>
      </c>
      <c r="E771" s="25" t="s">
        <v>82</v>
      </c>
      <c r="F771" s="25" t="str">
        <f>'Source Table'!$G$6</f>
        <v>Public Sector</v>
      </c>
      <c r="G771" s="25" t="str">
        <f>'Source Table'!$G$5</f>
        <v>القطاع العام</v>
      </c>
      <c r="H771" t="str">
        <f>'Source Table'!$H$8</f>
        <v>Male</v>
      </c>
      <c r="I771" s="25" t="str">
        <f>'Source Table'!$H$7</f>
        <v>ذكر</v>
      </c>
      <c r="J771" s="25" t="str">
        <f>'Source Table'!$B$26</f>
        <v>Anesthetic</v>
      </c>
      <c r="K771" s="25" t="str">
        <f>'Source Table'!$I$26</f>
        <v>تخدير وإنعاش</v>
      </c>
      <c r="L771" s="39">
        <v>243</v>
      </c>
      <c r="M771">
        <v>2018</v>
      </c>
    </row>
    <row r="772" spans="1:13" ht="15">
      <c r="A772" t="s">
        <v>153</v>
      </c>
      <c r="B772" t="s">
        <v>154</v>
      </c>
      <c r="C772" s="15" t="s">
        <v>30</v>
      </c>
      <c r="D772" s="23" t="s">
        <v>81</v>
      </c>
      <c r="E772" s="25" t="s">
        <v>82</v>
      </c>
      <c r="F772" s="25" t="str">
        <f>'Source Table'!$G$6</f>
        <v>Public Sector</v>
      </c>
      <c r="G772" s="25" t="str">
        <f>'Source Table'!$G$5</f>
        <v>القطاع العام</v>
      </c>
      <c r="H772" t="str">
        <f>'Source Table'!$H$8</f>
        <v>Male</v>
      </c>
      <c r="I772" s="25" t="str">
        <f>'Source Table'!$H$7</f>
        <v>ذكر</v>
      </c>
      <c r="J772" s="25" t="str">
        <f>'Source Table'!$B$27</f>
        <v>Physiotherapist</v>
      </c>
      <c r="K772" s="25" t="str">
        <f>'Source Table'!$I$27</f>
        <v>طب طبيعي</v>
      </c>
      <c r="L772" s="39">
        <v>52</v>
      </c>
      <c r="M772">
        <v>2018</v>
      </c>
    </row>
    <row r="773" spans="1:13" ht="15">
      <c r="A773" t="s">
        <v>153</v>
      </c>
      <c r="B773" t="s">
        <v>154</v>
      </c>
      <c r="C773" s="15" t="s">
        <v>30</v>
      </c>
      <c r="D773" s="23" t="s">
        <v>81</v>
      </c>
      <c r="E773" s="25" t="s">
        <v>82</v>
      </c>
      <c r="F773" s="25" t="str">
        <f>'Source Table'!$G$6</f>
        <v>Public Sector</v>
      </c>
      <c r="G773" s="25" t="str">
        <f>'Source Table'!$G$5</f>
        <v>القطاع العام</v>
      </c>
      <c r="H773" t="str">
        <f>'Source Table'!$H$8</f>
        <v>Male</v>
      </c>
      <c r="I773" s="25" t="str">
        <f>'Source Table'!$H$7</f>
        <v>ذكر</v>
      </c>
      <c r="J773" s="25" t="str">
        <f>'Source Table'!$B$28</f>
        <v>Forensic</v>
      </c>
      <c r="K773" s="25" t="str">
        <f>'Source Table'!$I$28</f>
        <v>طب شرعي</v>
      </c>
      <c r="L773" s="39">
        <v>41</v>
      </c>
      <c r="M773">
        <v>2018</v>
      </c>
    </row>
    <row r="774" spans="1:13" ht="15">
      <c r="A774" t="s">
        <v>153</v>
      </c>
      <c r="B774" t="s">
        <v>154</v>
      </c>
      <c r="C774" s="15" t="s">
        <v>30</v>
      </c>
      <c r="D774" s="23" t="s">
        <v>81</v>
      </c>
      <c r="E774" s="25" t="s">
        <v>82</v>
      </c>
      <c r="F774" s="25" t="str">
        <f>'Source Table'!$G$6</f>
        <v>Public Sector</v>
      </c>
      <c r="G774" s="25" t="str">
        <f>'Source Table'!$G$5</f>
        <v>القطاع العام</v>
      </c>
      <c r="H774" t="str">
        <f>'Source Table'!$H$8</f>
        <v>Male</v>
      </c>
      <c r="I774" s="25" t="str">
        <f>'Source Table'!$H$7</f>
        <v>ذكر</v>
      </c>
      <c r="J774" s="25" t="str">
        <f>'Source Table'!$B$29</f>
        <v xml:space="preserve">Family </v>
      </c>
      <c r="K774" s="25" t="str">
        <f>'Source Table'!$I$29</f>
        <v>طب أسرة</v>
      </c>
      <c r="L774" s="39">
        <v>112</v>
      </c>
      <c r="M774">
        <v>2018</v>
      </c>
    </row>
    <row r="775" spans="1:13" ht="15">
      <c r="A775" t="s">
        <v>153</v>
      </c>
      <c r="B775" t="s">
        <v>154</v>
      </c>
      <c r="C775" s="15" t="s">
        <v>30</v>
      </c>
      <c r="D775" s="23" t="s">
        <v>81</v>
      </c>
      <c r="E775" s="25" t="s">
        <v>82</v>
      </c>
      <c r="F775" s="25" t="str">
        <f>'Source Table'!$G$6</f>
        <v>Public Sector</v>
      </c>
      <c r="G775" s="25" t="str">
        <f>'Source Table'!$G$5</f>
        <v>القطاع العام</v>
      </c>
      <c r="H775" t="str">
        <f>'Source Table'!$H$8</f>
        <v>Male</v>
      </c>
      <c r="I775" s="25" t="str">
        <f>'Source Table'!$H$7</f>
        <v>ذكر</v>
      </c>
      <c r="J775" s="25" t="str">
        <f>'Source Table'!$B$30</f>
        <v>Urologist</v>
      </c>
      <c r="K775" s="25" t="str">
        <f>'Source Table'!$I$30</f>
        <v xml:space="preserve">المسالك البولية </v>
      </c>
      <c r="L775" s="39">
        <v>111</v>
      </c>
      <c r="M775">
        <v>2018</v>
      </c>
    </row>
    <row r="776" spans="1:13" ht="15">
      <c r="A776" t="s">
        <v>153</v>
      </c>
      <c r="B776" t="s">
        <v>154</v>
      </c>
      <c r="C776" s="15" t="s">
        <v>30</v>
      </c>
      <c r="D776" s="23" t="s">
        <v>81</v>
      </c>
      <c r="E776" s="25" t="s">
        <v>82</v>
      </c>
      <c r="F776" s="25" t="str">
        <f>'Source Table'!$G$6</f>
        <v>Public Sector</v>
      </c>
      <c r="G776" s="25" t="str">
        <f>'Source Table'!$G$5</f>
        <v>القطاع العام</v>
      </c>
      <c r="H776" t="str">
        <f>'Source Table'!$H$8</f>
        <v>Male</v>
      </c>
      <c r="I776" s="25" t="str">
        <f>'Source Table'!$H$7</f>
        <v>ذكر</v>
      </c>
      <c r="J776" s="25" t="str">
        <f>'Source Table'!$B$31</f>
        <v>Cardiology</v>
      </c>
      <c r="K776" s="25" t="str">
        <f>'Source Table'!$I$31</f>
        <v>أمراض القلب</v>
      </c>
      <c r="L776" s="39">
        <v>35</v>
      </c>
      <c r="M776">
        <v>2018</v>
      </c>
    </row>
    <row r="777" spans="1:13" ht="15">
      <c r="A777" t="s">
        <v>153</v>
      </c>
      <c r="B777" t="s">
        <v>154</v>
      </c>
      <c r="C777" s="15" t="s">
        <v>30</v>
      </c>
      <c r="D777" s="23" t="s">
        <v>81</v>
      </c>
      <c r="E777" s="25" t="s">
        <v>82</v>
      </c>
      <c r="F777" s="25" t="str">
        <f>'Source Table'!$G$6</f>
        <v>Public Sector</v>
      </c>
      <c r="G777" s="25" t="str">
        <f>'Source Table'!$G$5</f>
        <v>القطاع العام</v>
      </c>
      <c r="H777" t="str">
        <f>'Source Table'!$H$8</f>
        <v>Male</v>
      </c>
      <c r="I777" s="25" t="str">
        <f>'Source Table'!$H$7</f>
        <v>ذكر</v>
      </c>
      <c r="J777" s="25" t="str">
        <f>'Source Table'!$B$32</f>
        <v>Laboratory</v>
      </c>
      <c r="K777" s="25" t="str">
        <f>'Source Table'!$I$32</f>
        <v>مختبرات</v>
      </c>
      <c r="L777" s="39">
        <v>20</v>
      </c>
      <c r="M777">
        <v>2018</v>
      </c>
    </row>
    <row r="778" spans="1:13" ht="15">
      <c r="A778" t="s">
        <v>153</v>
      </c>
      <c r="B778" t="s">
        <v>154</v>
      </c>
      <c r="C778" s="15" t="s">
        <v>30</v>
      </c>
      <c r="D778" s="23" t="s">
        <v>81</v>
      </c>
      <c r="E778" s="25" t="s">
        <v>82</v>
      </c>
      <c r="F778" s="25" t="str">
        <f>'Source Table'!$G$6</f>
        <v>Public Sector</v>
      </c>
      <c r="G778" s="25" t="str">
        <f>'Source Table'!$G$5</f>
        <v>القطاع العام</v>
      </c>
      <c r="H778" t="str">
        <f>'Source Table'!$H$8</f>
        <v>Male</v>
      </c>
      <c r="I778" s="25" t="str">
        <f>'Source Table'!$H$7</f>
        <v>ذكر</v>
      </c>
      <c r="J778" s="25" t="str">
        <f>'Source Table'!$B$33</f>
        <v>Others</v>
      </c>
      <c r="K778" s="25" t="str">
        <f>'Source Table'!$I$33</f>
        <v>أخرى</v>
      </c>
      <c r="L778" s="42">
        <v>408</v>
      </c>
      <c r="M778">
        <v>2018</v>
      </c>
    </row>
    <row r="779" spans="1:13" ht="15">
      <c r="A779" t="s">
        <v>153</v>
      </c>
      <c r="B779" t="s">
        <v>154</v>
      </c>
      <c r="C779" s="15" t="s">
        <v>30</v>
      </c>
      <c r="D779" s="23" t="s">
        <v>81</v>
      </c>
      <c r="E779" s="25" t="s">
        <v>82</v>
      </c>
      <c r="F779" s="25" t="str">
        <f>'Source Table'!$G$6</f>
        <v>Public Sector</v>
      </c>
      <c r="G779" s="25" t="str">
        <f>'Source Table'!$G$5</f>
        <v>القطاع العام</v>
      </c>
      <c r="H779" t="str">
        <f>'Source Table'!$G$8</f>
        <v>Female</v>
      </c>
      <c r="I779" s="16" t="str">
        <f>'Source Table'!$G$7</f>
        <v>أنثى</v>
      </c>
      <c r="J779" s="25" t="str">
        <f>'Source Table'!$B$9</f>
        <v>General Practitioner</v>
      </c>
      <c r="K779" s="25" t="str">
        <f>'Source Table'!$I$9</f>
        <v>طبيب عام</v>
      </c>
      <c r="L779" s="39">
        <v>660</v>
      </c>
      <c r="M779">
        <v>2018</v>
      </c>
    </row>
    <row r="780" spans="1:13" ht="15">
      <c r="A780" t="s">
        <v>153</v>
      </c>
      <c r="B780" t="s">
        <v>154</v>
      </c>
      <c r="C780" s="15" t="s">
        <v>30</v>
      </c>
      <c r="D780" s="23" t="s">
        <v>81</v>
      </c>
      <c r="E780" s="25" t="s">
        <v>82</v>
      </c>
      <c r="F780" s="25" t="str">
        <f>'Source Table'!$G$6</f>
        <v>Public Sector</v>
      </c>
      <c r="G780" s="25" t="str">
        <f>'Source Table'!$G$5</f>
        <v>القطاع العام</v>
      </c>
      <c r="H780" t="str">
        <f>'Source Table'!$G$8</f>
        <v>Female</v>
      </c>
      <c r="I780" s="16" t="str">
        <f>'Source Table'!$G$7</f>
        <v>أنثى</v>
      </c>
      <c r="J780" s="25" t="str">
        <f>'Source Table'!$B$10</f>
        <v>Surgeon</v>
      </c>
      <c r="K780" s="25" t="str">
        <f>'Source Table'!$I$10</f>
        <v>جراحة عامة</v>
      </c>
      <c r="L780" s="39">
        <v>15</v>
      </c>
      <c r="M780">
        <v>2018</v>
      </c>
    </row>
    <row r="781" spans="1:13" ht="15">
      <c r="A781" t="s">
        <v>153</v>
      </c>
      <c r="B781" t="s">
        <v>154</v>
      </c>
      <c r="C781" s="15" t="s">
        <v>30</v>
      </c>
      <c r="D781" s="23" t="s">
        <v>81</v>
      </c>
      <c r="E781" s="25" t="s">
        <v>82</v>
      </c>
      <c r="F781" s="25" t="str">
        <f>'Source Table'!$G$6</f>
        <v>Public Sector</v>
      </c>
      <c r="G781" s="25" t="str">
        <f>'Source Table'!$G$5</f>
        <v>القطاع العام</v>
      </c>
      <c r="H781" t="str">
        <f>'Source Table'!$G$8</f>
        <v>Female</v>
      </c>
      <c r="I781" s="16" t="str">
        <f>'Source Table'!$G$7</f>
        <v>أنثى</v>
      </c>
      <c r="J781" s="25" t="str">
        <f>'Source Table'!$B$11</f>
        <v>Internist</v>
      </c>
      <c r="K781" s="25" t="str">
        <f>'Source Table'!$I$11</f>
        <v>باطنية</v>
      </c>
      <c r="L781" s="39">
        <v>47</v>
      </c>
      <c r="M781">
        <v>2018</v>
      </c>
    </row>
    <row r="782" spans="1:13" ht="15">
      <c r="A782" t="s">
        <v>153</v>
      </c>
      <c r="B782" t="s">
        <v>154</v>
      </c>
      <c r="C782" s="15" t="s">
        <v>30</v>
      </c>
      <c r="D782" s="23" t="s">
        <v>81</v>
      </c>
      <c r="E782" s="25" t="s">
        <v>82</v>
      </c>
      <c r="F782" s="25" t="str">
        <f>'Source Table'!$G$6</f>
        <v>Public Sector</v>
      </c>
      <c r="G782" s="25" t="str">
        <f>'Source Table'!$G$5</f>
        <v>القطاع العام</v>
      </c>
      <c r="H782" t="str">
        <f>'Source Table'!$G$8</f>
        <v>Female</v>
      </c>
      <c r="I782" s="16" t="str">
        <f>'Source Table'!$G$7</f>
        <v>أنثى</v>
      </c>
      <c r="J782" s="25" t="str">
        <f>'Source Table'!$B$12</f>
        <v>Gynecologist and Obst.</v>
      </c>
      <c r="K782" s="25" t="str">
        <f>'Source Table'!$I$12</f>
        <v>نسائية وتوليد</v>
      </c>
      <c r="L782" s="39">
        <v>133</v>
      </c>
      <c r="M782">
        <v>2018</v>
      </c>
    </row>
    <row r="783" spans="1:13" ht="15">
      <c r="A783" t="s">
        <v>153</v>
      </c>
      <c r="B783" t="s">
        <v>154</v>
      </c>
      <c r="C783" s="15" t="s">
        <v>30</v>
      </c>
      <c r="D783" s="23" t="s">
        <v>81</v>
      </c>
      <c r="E783" s="25" t="s">
        <v>82</v>
      </c>
      <c r="F783" s="25" t="str">
        <f>'Source Table'!$G$6</f>
        <v>Public Sector</v>
      </c>
      <c r="G783" s="25" t="str">
        <f>'Source Table'!$G$5</f>
        <v>القطاع العام</v>
      </c>
      <c r="H783" t="str">
        <f>'Source Table'!$G$8</f>
        <v>Female</v>
      </c>
      <c r="I783" s="16" t="str">
        <f>'Source Table'!$G$7</f>
        <v>أنثى</v>
      </c>
      <c r="J783" s="25" t="str">
        <f>'Source Table'!$B$13</f>
        <v>Pediatrics</v>
      </c>
      <c r="K783" s="25" t="str">
        <f>'Source Table'!$I$13</f>
        <v>أطفال</v>
      </c>
      <c r="L783" s="39">
        <v>142</v>
      </c>
      <c r="M783">
        <v>2018</v>
      </c>
    </row>
    <row r="784" spans="1:13" ht="15">
      <c r="A784" t="s">
        <v>153</v>
      </c>
      <c r="B784" t="s">
        <v>154</v>
      </c>
      <c r="C784" s="15" t="s">
        <v>30</v>
      </c>
      <c r="D784" s="23" t="s">
        <v>81</v>
      </c>
      <c r="E784" s="25" t="s">
        <v>82</v>
      </c>
      <c r="F784" s="25" t="str">
        <f>'Source Table'!$G$6</f>
        <v>Public Sector</v>
      </c>
      <c r="G784" s="25" t="str">
        <f>'Source Table'!$G$5</f>
        <v>القطاع العام</v>
      </c>
      <c r="H784" t="str">
        <f>'Source Table'!$G$8</f>
        <v>Female</v>
      </c>
      <c r="I784" s="16" t="str">
        <f>'Source Table'!$G$7</f>
        <v>أنثى</v>
      </c>
      <c r="J784" s="25" t="str">
        <f>'Source Table'!$B$14</f>
        <v>Ophthalmologist</v>
      </c>
      <c r="K784" s="25" t="str">
        <f>'Source Table'!$I$14</f>
        <v>العيون</v>
      </c>
      <c r="L784" s="39">
        <v>41</v>
      </c>
      <c r="M784">
        <v>2018</v>
      </c>
    </row>
    <row r="785" spans="1:13" ht="15">
      <c r="A785" t="s">
        <v>153</v>
      </c>
      <c r="B785" t="s">
        <v>154</v>
      </c>
      <c r="C785" s="15" t="s">
        <v>30</v>
      </c>
      <c r="D785" s="23" t="s">
        <v>81</v>
      </c>
      <c r="E785" s="25" t="s">
        <v>82</v>
      </c>
      <c r="F785" s="25" t="str">
        <f>'Source Table'!$G$6</f>
        <v>Public Sector</v>
      </c>
      <c r="G785" s="25" t="str">
        <f>'Source Table'!$G$5</f>
        <v>القطاع العام</v>
      </c>
      <c r="H785" t="str">
        <f>'Source Table'!$G$8</f>
        <v>Female</v>
      </c>
      <c r="I785" s="16" t="str">
        <f>'Source Table'!$G$7</f>
        <v>أنثى</v>
      </c>
      <c r="J785" s="25" t="str">
        <f>'Source Table'!$B$15</f>
        <v>Orthopedic Surg.</v>
      </c>
      <c r="K785" s="25" t="str">
        <f>'Source Table'!$I$15</f>
        <v>العظام</v>
      </c>
      <c r="L785" s="39">
        <v>0</v>
      </c>
      <c r="M785">
        <v>2018</v>
      </c>
    </row>
    <row r="786" spans="1:13" ht="15">
      <c r="A786" t="s">
        <v>153</v>
      </c>
      <c r="B786" t="s">
        <v>154</v>
      </c>
      <c r="C786" s="15" t="s">
        <v>30</v>
      </c>
      <c r="D786" s="23" t="s">
        <v>81</v>
      </c>
      <c r="E786" s="25" t="s">
        <v>82</v>
      </c>
      <c r="F786" s="25" t="str">
        <f>'Source Table'!$G$6</f>
        <v>Public Sector</v>
      </c>
      <c r="G786" s="25" t="str">
        <f>'Source Table'!$G$5</f>
        <v>القطاع العام</v>
      </c>
      <c r="H786" t="str">
        <f>'Source Table'!$G$8</f>
        <v>Female</v>
      </c>
      <c r="I786" s="16" t="str">
        <f>'Source Table'!$G$7</f>
        <v>أنثى</v>
      </c>
      <c r="J786" s="25" t="str">
        <f>'Source Table'!$B$16</f>
        <v>E.N.T.Surg.</v>
      </c>
      <c r="K786" s="25" t="str">
        <f>'Source Table'!$I$16</f>
        <v>أذن وأنف وحنجرة</v>
      </c>
      <c r="L786" s="39">
        <v>24</v>
      </c>
      <c r="M786">
        <v>2018</v>
      </c>
    </row>
    <row r="787" spans="1:13" ht="15">
      <c r="A787" t="s">
        <v>153</v>
      </c>
      <c r="B787" t="s">
        <v>154</v>
      </c>
      <c r="C787" s="15" t="s">
        <v>30</v>
      </c>
      <c r="D787" s="23" t="s">
        <v>81</v>
      </c>
      <c r="E787" s="25" t="s">
        <v>82</v>
      </c>
      <c r="F787" s="25" t="str">
        <f>'Source Table'!$G$6</f>
        <v>Public Sector</v>
      </c>
      <c r="G787" s="25" t="str">
        <f>'Source Table'!$G$5</f>
        <v>القطاع العام</v>
      </c>
      <c r="H787" t="str">
        <f>'Source Table'!$G$8</f>
        <v>Female</v>
      </c>
      <c r="I787" s="16" t="str">
        <f>'Source Table'!$G$7</f>
        <v>أنثى</v>
      </c>
      <c r="J787" s="25" t="str">
        <f>'Source Table'!$B$17</f>
        <v>Neurosurgery</v>
      </c>
      <c r="K787" s="25" t="str">
        <f>'Source Table'!$I$17</f>
        <v>جراحةأعصاب</v>
      </c>
      <c r="L787" s="39">
        <v>0</v>
      </c>
      <c r="M787">
        <v>2018</v>
      </c>
    </row>
    <row r="788" spans="1:13" ht="15">
      <c r="A788" t="s">
        <v>153</v>
      </c>
      <c r="B788" t="s">
        <v>154</v>
      </c>
      <c r="C788" s="15" t="s">
        <v>30</v>
      </c>
      <c r="D788" s="23" t="s">
        <v>81</v>
      </c>
      <c r="E788" s="25" t="s">
        <v>82</v>
      </c>
      <c r="F788" s="25" t="str">
        <f>'Source Table'!$G$6</f>
        <v>Public Sector</v>
      </c>
      <c r="G788" s="25" t="str">
        <f>'Source Table'!$G$5</f>
        <v>القطاع العام</v>
      </c>
      <c r="H788" t="str">
        <f>'Source Table'!$G$8</f>
        <v>Female</v>
      </c>
      <c r="I788" s="16" t="str">
        <f>'Source Table'!$G$7</f>
        <v>أنثى</v>
      </c>
      <c r="J788" s="25" t="str">
        <f>'Source Table'!$B$18</f>
        <v>Cardiothoracic</v>
      </c>
      <c r="K788" s="25" t="str">
        <f>'Source Table'!$I$18</f>
        <v>جراحة قلب</v>
      </c>
      <c r="L788" s="39">
        <v>0</v>
      </c>
      <c r="M788">
        <v>2018</v>
      </c>
    </row>
    <row r="789" spans="1:13" ht="15">
      <c r="A789" t="s">
        <v>153</v>
      </c>
      <c r="B789" t="s">
        <v>154</v>
      </c>
      <c r="C789" s="15" t="s">
        <v>30</v>
      </c>
      <c r="D789" s="23" t="s">
        <v>81</v>
      </c>
      <c r="E789" s="25" t="s">
        <v>82</v>
      </c>
      <c r="F789" s="25" t="str">
        <f>'Source Table'!$G$6</f>
        <v>Public Sector</v>
      </c>
      <c r="G789" s="25" t="str">
        <f>'Source Table'!$G$5</f>
        <v>القطاع العام</v>
      </c>
      <c r="H789" t="str">
        <f>'Source Table'!$G$8</f>
        <v>Female</v>
      </c>
      <c r="I789" s="16" t="str">
        <f>'Source Table'!$G$7</f>
        <v>أنثى</v>
      </c>
      <c r="J789" s="25" t="str">
        <f>'Source Table'!$B$19</f>
        <v>Plastic Surgeon</v>
      </c>
      <c r="K789" s="25" t="str">
        <f>'Source Table'!$I$19</f>
        <v>التجميل</v>
      </c>
      <c r="L789" s="39">
        <v>2</v>
      </c>
      <c r="M789">
        <v>2018</v>
      </c>
    </row>
    <row r="790" spans="1:13" ht="15">
      <c r="A790" t="s">
        <v>153</v>
      </c>
      <c r="B790" t="s">
        <v>154</v>
      </c>
      <c r="C790" s="15" t="s">
        <v>30</v>
      </c>
      <c r="D790" s="23" t="s">
        <v>81</v>
      </c>
      <c r="E790" s="25" t="s">
        <v>82</v>
      </c>
      <c r="F790" s="25" t="str">
        <f>'Source Table'!$G$6</f>
        <v>Public Sector</v>
      </c>
      <c r="G790" s="25" t="str">
        <f>'Source Table'!$G$5</f>
        <v>القطاع العام</v>
      </c>
      <c r="H790" t="str">
        <f>'Source Table'!$G$8</f>
        <v>Female</v>
      </c>
      <c r="I790" s="16" t="str">
        <f>'Source Table'!$G$7</f>
        <v>أنثى</v>
      </c>
      <c r="J790" s="25" t="str">
        <f>'Source Table'!$B$20</f>
        <v>Psychiatry</v>
      </c>
      <c r="K790" s="25" t="str">
        <f>'Source Table'!$I$20</f>
        <v>النفسية</v>
      </c>
      <c r="L790" s="39">
        <v>6</v>
      </c>
      <c r="M790">
        <v>2018</v>
      </c>
    </row>
    <row r="791" spans="1:13" ht="15">
      <c r="A791" t="s">
        <v>153</v>
      </c>
      <c r="B791" t="s">
        <v>154</v>
      </c>
      <c r="C791" s="15" t="s">
        <v>30</v>
      </c>
      <c r="D791" s="23" t="s">
        <v>81</v>
      </c>
      <c r="E791" s="25" t="s">
        <v>82</v>
      </c>
      <c r="F791" s="25" t="str">
        <f>'Source Table'!$G$6</f>
        <v>Public Sector</v>
      </c>
      <c r="G791" s="25" t="str">
        <f>'Source Table'!$G$5</f>
        <v>القطاع العام</v>
      </c>
      <c r="H791" t="str">
        <f>'Source Table'!$G$8</f>
        <v>Female</v>
      </c>
      <c r="I791" s="16" t="str">
        <f>'Source Table'!$G$7</f>
        <v>أنثى</v>
      </c>
      <c r="J791" s="25" t="str">
        <f>'Source Table'!$B$21</f>
        <v>Dermatologist Venereal</v>
      </c>
      <c r="K791" s="25" t="str">
        <f>'Source Table'!$I$21</f>
        <v>جلدية وتناسلية</v>
      </c>
      <c r="L791" s="39">
        <v>32</v>
      </c>
      <c r="M791">
        <v>2018</v>
      </c>
    </row>
    <row r="792" spans="1:13" ht="15">
      <c r="A792" t="s">
        <v>153</v>
      </c>
      <c r="B792" t="s">
        <v>154</v>
      </c>
      <c r="C792" s="15" t="s">
        <v>30</v>
      </c>
      <c r="D792" s="23" t="s">
        <v>81</v>
      </c>
      <c r="E792" s="25" t="s">
        <v>82</v>
      </c>
      <c r="F792" s="25" t="str">
        <f>'Source Table'!$G$6</f>
        <v>Public Sector</v>
      </c>
      <c r="G792" s="25" t="str">
        <f>'Source Table'!$G$5</f>
        <v>القطاع العام</v>
      </c>
      <c r="H792" t="str">
        <f>'Source Table'!$G$8</f>
        <v>Female</v>
      </c>
      <c r="I792" s="16" t="str">
        <f>'Source Table'!$G$7</f>
        <v>أنثى</v>
      </c>
      <c r="J792" s="25" t="str">
        <f>'Source Table'!$B$22</f>
        <v>Neurology/ Nervous</v>
      </c>
      <c r="K792" s="25" t="str">
        <f>'Source Table'!$I$22</f>
        <v>مرض الأعصاب</v>
      </c>
      <c r="L792" s="39">
        <v>4</v>
      </c>
      <c r="M792">
        <v>2018</v>
      </c>
    </row>
    <row r="793" spans="1:13" ht="15">
      <c r="A793" t="s">
        <v>153</v>
      </c>
      <c r="B793" t="s">
        <v>154</v>
      </c>
      <c r="C793" s="15" t="s">
        <v>30</v>
      </c>
      <c r="D793" s="23" t="s">
        <v>81</v>
      </c>
      <c r="E793" s="25" t="s">
        <v>82</v>
      </c>
      <c r="F793" s="25" t="str">
        <f>'Source Table'!$G$6</f>
        <v>Public Sector</v>
      </c>
      <c r="G793" s="25" t="str">
        <f>'Source Table'!$G$5</f>
        <v>القطاع العام</v>
      </c>
      <c r="H793" t="str">
        <f>'Source Table'!$G$8</f>
        <v>Female</v>
      </c>
      <c r="I793" s="16" t="str">
        <f>'Source Table'!$G$7</f>
        <v>أنثى</v>
      </c>
      <c r="J793" s="25" t="str">
        <f>'Source Table'!$B$23</f>
        <v>Pumologist</v>
      </c>
      <c r="K793" s="25" t="str">
        <f>'Source Table'!$I$23</f>
        <v>صدرية</v>
      </c>
      <c r="L793" s="39">
        <v>2</v>
      </c>
      <c r="M793">
        <v>2018</v>
      </c>
    </row>
    <row r="794" spans="1:13" ht="15">
      <c r="A794" t="s">
        <v>153</v>
      </c>
      <c r="B794" t="s">
        <v>154</v>
      </c>
      <c r="C794" s="15" t="s">
        <v>30</v>
      </c>
      <c r="D794" s="23" t="s">
        <v>81</v>
      </c>
      <c r="E794" s="25" t="s">
        <v>82</v>
      </c>
      <c r="F794" s="25" t="str">
        <f>'Source Table'!$G$6</f>
        <v>Public Sector</v>
      </c>
      <c r="G794" s="25" t="str">
        <f>'Source Table'!$G$5</f>
        <v>القطاع العام</v>
      </c>
      <c r="H794" t="str">
        <f>'Source Table'!$G$8</f>
        <v>Female</v>
      </c>
      <c r="I794" s="16" t="str">
        <f>'Source Table'!$G$7</f>
        <v>أنثى</v>
      </c>
      <c r="J794" s="25" t="str">
        <f>'Source Table'!$B$24</f>
        <v>G.I.T. Specialist</v>
      </c>
      <c r="K794" s="25" t="str">
        <f>'Source Table'!$I$24</f>
        <v>جهاز هضمي</v>
      </c>
      <c r="L794" s="39">
        <v>4</v>
      </c>
      <c r="M794">
        <v>2018</v>
      </c>
    </row>
    <row r="795" spans="1:13" ht="15">
      <c r="A795" t="s">
        <v>153</v>
      </c>
      <c r="B795" t="s">
        <v>154</v>
      </c>
      <c r="C795" s="15" t="s">
        <v>30</v>
      </c>
      <c r="D795" s="23" t="s">
        <v>81</v>
      </c>
      <c r="E795" s="25" t="s">
        <v>82</v>
      </c>
      <c r="F795" s="25" t="str">
        <f>'Source Table'!$G$6</f>
        <v>Public Sector</v>
      </c>
      <c r="G795" s="25" t="str">
        <f>'Source Table'!$G$5</f>
        <v>القطاع العام</v>
      </c>
      <c r="H795" t="str">
        <f>'Source Table'!$G$8</f>
        <v>Female</v>
      </c>
      <c r="I795" s="16" t="str">
        <f>'Source Table'!$G$7</f>
        <v>أنثى</v>
      </c>
      <c r="J795" s="25" t="str">
        <f>'Source Table'!$B$25</f>
        <v>Diagnostic Radiology</v>
      </c>
      <c r="K795" s="25" t="str">
        <f>'Source Table'!$I$25</f>
        <v>أشعة تشخيصية</v>
      </c>
      <c r="L795" s="39">
        <v>24</v>
      </c>
      <c r="M795">
        <v>2018</v>
      </c>
    </row>
    <row r="796" spans="1:13" ht="15">
      <c r="A796" t="s">
        <v>153</v>
      </c>
      <c r="B796" t="s">
        <v>154</v>
      </c>
      <c r="C796" s="15" t="s">
        <v>30</v>
      </c>
      <c r="D796" s="23" t="s">
        <v>81</v>
      </c>
      <c r="E796" s="25" t="s">
        <v>82</v>
      </c>
      <c r="F796" s="25" t="str">
        <f>'Source Table'!$G$6</f>
        <v>Public Sector</v>
      </c>
      <c r="G796" s="25" t="str">
        <f>'Source Table'!$G$5</f>
        <v>القطاع العام</v>
      </c>
      <c r="H796" t="str">
        <f>'Source Table'!$G$8</f>
        <v>Female</v>
      </c>
      <c r="I796" s="16" t="str">
        <f>'Source Table'!$G$7</f>
        <v>أنثى</v>
      </c>
      <c r="J796" s="25" t="str">
        <f>'Source Table'!$B$26</f>
        <v>Anesthetic</v>
      </c>
      <c r="K796" s="25" t="str">
        <f>'Source Table'!$I$26</f>
        <v>تخدير وإنعاش</v>
      </c>
      <c r="L796" s="39">
        <v>11</v>
      </c>
      <c r="M796">
        <v>2018</v>
      </c>
    </row>
    <row r="797" spans="1:13" ht="15">
      <c r="A797" t="s">
        <v>153</v>
      </c>
      <c r="B797" t="s">
        <v>154</v>
      </c>
      <c r="C797" s="15" t="s">
        <v>30</v>
      </c>
      <c r="D797" s="23" t="s">
        <v>81</v>
      </c>
      <c r="E797" s="25" t="s">
        <v>82</v>
      </c>
      <c r="F797" s="25" t="str">
        <f>'Source Table'!$G$6</f>
        <v>Public Sector</v>
      </c>
      <c r="G797" s="25" t="str">
        <f>'Source Table'!$G$5</f>
        <v>القطاع العام</v>
      </c>
      <c r="H797" t="str">
        <f>'Source Table'!$G$8</f>
        <v>Female</v>
      </c>
      <c r="I797" s="16" t="str">
        <f>'Source Table'!$G$7</f>
        <v>أنثى</v>
      </c>
      <c r="J797" s="25" t="str">
        <f>'Source Table'!$B$27</f>
        <v>Physiotherapist</v>
      </c>
      <c r="K797" s="25" t="str">
        <f>'Source Table'!$I$27</f>
        <v>طب طبيعي</v>
      </c>
      <c r="L797" s="39">
        <v>10</v>
      </c>
      <c r="M797">
        <v>2018</v>
      </c>
    </row>
    <row r="798" spans="1:13" ht="15">
      <c r="A798" t="s">
        <v>153</v>
      </c>
      <c r="B798" t="s">
        <v>154</v>
      </c>
      <c r="C798" s="15" t="s">
        <v>30</v>
      </c>
      <c r="D798" s="23" t="s">
        <v>81</v>
      </c>
      <c r="E798" s="25" t="s">
        <v>82</v>
      </c>
      <c r="F798" s="25" t="str">
        <f>'Source Table'!$G$6</f>
        <v>Public Sector</v>
      </c>
      <c r="G798" s="25" t="str">
        <f>'Source Table'!$G$5</f>
        <v>القطاع العام</v>
      </c>
      <c r="H798" t="str">
        <f>'Source Table'!$G$8</f>
        <v>Female</v>
      </c>
      <c r="I798" s="16" t="str">
        <f>'Source Table'!$G$7</f>
        <v>أنثى</v>
      </c>
      <c r="J798" s="25" t="str">
        <f>'Source Table'!$B$28</f>
        <v>Forensic</v>
      </c>
      <c r="K798" s="25" t="str">
        <f>'Source Table'!$I$28</f>
        <v>طب شرعي</v>
      </c>
      <c r="L798" s="39">
        <v>3</v>
      </c>
      <c r="M798">
        <v>2018</v>
      </c>
    </row>
    <row r="799" spans="1:13" ht="15">
      <c r="A799" t="s">
        <v>153</v>
      </c>
      <c r="B799" t="s">
        <v>154</v>
      </c>
      <c r="C799" s="15" t="s">
        <v>30</v>
      </c>
      <c r="D799" s="23" t="s">
        <v>81</v>
      </c>
      <c r="E799" s="25" t="s">
        <v>82</v>
      </c>
      <c r="F799" s="25" t="str">
        <f>'Source Table'!$G$6</f>
        <v>Public Sector</v>
      </c>
      <c r="G799" s="25" t="str">
        <f>'Source Table'!$G$5</f>
        <v>القطاع العام</v>
      </c>
      <c r="H799" t="str">
        <f>'Source Table'!$G$8</f>
        <v>Female</v>
      </c>
      <c r="I799" s="16" t="str">
        <f>'Source Table'!$G$7</f>
        <v>أنثى</v>
      </c>
      <c r="J799" s="25" t="str">
        <f>'Source Table'!$B$29</f>
        <v xml:space="preserve">Family </v>
      </c>
      <c r="K799" s="25" t="str">
        <f>'Source Table'!$I$29</f>
        <v>طب أسرة</v>
      </c>
      <c r="L799" s="39">
        <v>77</v>
      </c>
      <c r="M799">
        <v>2018</v>
      </c>
    </row>
    <row r="800" spans="1:13" ht="15">
      <c r="A800" t="s">
        <v>153</v>
      </c>
      <c r="B800" t="s">
        <v>154</v>
      </c>
      <c r="C800" s="15" t="s">
        <v>30</v>
      </c>
      <c r="D800" s="23" t="s">
        <v>81</v>
      </c>
      <c r="E800" s="25" t="s">
        <v>82</v>
      </c>
      <c r="F800" s="25" t="str">
        <f>'Source Table'!$G$6</f>
        <v>Public Sector</v>
      </c>
      <c r="G800" s="25" t="str">
        <f>'Source Table'!$G$5</f>
        <v>القطاع العام</v>
      </c>
      <c r="H800" t="str">
        <f>'Source Table'!$G$8</f>
        <v>Female</v>
      </c>
      <c r="I800" s="16" t="str">
        <f>'Source Table'!$G$7</f>
        <v>أنثى</v>
      </c>
      <c r="J800" s="25" t="str">
        <f>'Source Table'!$B$30</f>
        <v>Urologist</v>
      </c>
      <c r="K800" s="25" t="str">
        <f>'Source Table'!$I$30</f>
        <v xml:space="preserve">المسالك البولية </v>
      </c>
      <c r="L800" s="39">
        <v>1</v>
      </c>
      <c r="M800">
        <v>2018</v>
      </c>
    </row>
    <row r="801" spans="1:13" ht="15">
      <c r="A801" t="s">
        <v>153</v>
      </c>
      <c r="B801" t="s">
        <v>154</v>
      </c>
      <c r="C801" s="15" t="s">
        <v>30</v>
      </c>
      <c r="D801" s="23" t="s">
        <v>81</v>
      </c>
      <c r="E801" s="25" t="s">
        <v>82</v>
      </c>
      <c r="F801" s="25" t="str">
        <f>'Source Table'!$G$6</f>
        <v>Public Sector</v>
      </c>
      <c r="G801" s="25" t="str">
        <f>'Source Table'!$G$5</f>
        <v>القطاع العام</v>
      </c>
      <c r="H801" t="str">
        <f>'Source Table'!$G$8</f>
        <v>Female</v>
      </c>
      <c r="I801" s="16" t="str">
        <f>'Source Table'!$G$7</f>
        <v>أنثى</v>
      </c>
      <c r="J801" s="25" t="str">
        <f>'Source Table'!$B$31</f>
        <v>Cardiology</v>
      </c>
      <c r="K801" s="25" t="str">
        <f>'Source Table'!$I$31</f>
        <v>أمراض القلب</v>
      </c>
      <c r="L801" s="39">
        <v>1</v>
      </c>
      <c r="M801">
        <v>2018</v>
      </c>
    </row>
    <row r="802" spans="1:13" ht="15">
      <c r="A802" t="s">
        <v>153</v>
      </c>
      <c r="B802" t="s">
        <v>154</v>
      </c>
      <c r="C802" s="15" t="s">
        <v>30</v>
      </c>
      <c r="D802" s="23" t="s">
        <v>81</v>
      </c>
      <c r="E802" s="25" t="s">
        <v>82</v>
      </c>
      <c r="F802" s="25" t="str">
        <f>'Source Table'!$G$6</f>
        <v>Public Sector</v>
      </c>
      <c r="G802" s="25" t="str">
        <f>'Source Table'!$G$5</f>
        <v>القطاع العام</v>
      </c>
      <c r="H802" t="str">
        <f>'Source Table'!$G$8</f>
        <v>Female</v>
      </c>
      <c r="I802" s="16" t="str">
        <f>'Source Table'!$G$7</f>
        <v>أنثى</v>
      </c>
      <c r="J802" s="25" t="str">
        <f>'Source Table'!$B$32</f>
        <v>Laboratory</v>
      </c>
      <c r="K802" s="25" t="str">
        <f>'Source Table'!$I$32</f>
        <v>مختبرات</v>
      </c>
      <c r="L802" s="39">
        <v>14</v>
      </c>
      <c r="M802">
        <v>2018</v>
      </c>
    </row>
    <row r="803" spans="1:13" ht="15">
      <c r="A803" t="s">
        <v>153</v>
      </c>
      <c r="B803" t="s">
        <v>154</v>
      </c>
      <c r="C803" s="15" t="s">
        <v>30</v>
      </c>
      <c r="D803" s="23" t="s">
        <v>81</v>
      </c>
      <c r="E803" s="25" t="s">
        <v>82</v>
      </c>
      <c r="F803" s="25" t="str">
        <f>'Source Table'!$G$6</f>
        <v>Public Sector</v>
      </c>
      <c r="G803" s="25" t="str">
        <f>'Source Table'!$G$5</f>
        <v>القطاع العام</v>
      </c>
      <c r="H803" t="str">
        <f>'Source Table'!$G$8</f>
        <v>Female</v>
      </c>
      <c r="I803" s="16" t="str">
        <f>'Source Table'!$G$7</f>
        <v>أنثى</v>
      </c>
      <c r="J803" s="25" t="str">
        <f>'Source Table'!$B$33</f>
        <v>Others</v>
      </c>
      <c r="K803" s="25" t="str">
        <f>'Source Table'!$I$33</f>
        <v>أخرى</v>
      </c>
      <c r="L803" s="42">
        <v>99</v>
      </c>
      <c r="M803">
        <v>2018</v>
      </c>
    </row>
    <row r="804" spans="1:13" ht="15">
      <c r="A804" t="s">
        <v>153</v>
      </c>
      <c r="B804" t="s">
        <v>154</v>
      </c>
      <c r="C804" s="15" t="s">
        <v>30</v>
      </c>
      <c r="D804" s="23" t="s">
        <v>81</v>
      </c>
      <c r="E804" s="25" t="s">
        <v>82</v>
      </c>
      <c r="F804" s="16" t="str">
        <f>'Source Table'!$E$6</f>
        <v>Private Sector</v>
      </c>
      <c r="G804" s="16" t="str">
        <f>'Source Table'!$E$5</f>
        <v>القطاع الخاص</v>
      </c>
      <c r="H804" t="str">
        <f>'Source Table'!$H$8</f>
        <v>Male</v>
      </c>
      <c r="I804" s="25" t="str">
        <f>'Source Table'!$H$7</f>
        <v>ذكر</v>
      </c>
      <c r="J804" s="25" t="str">
        <f>'Source Table'!$B$9</f>
        <v>General Practitioner</v>
      </c>
      <c r="K804" s="25" t="str">
        <f>'Source Table'!$I$9</f>
        <v>طبيب عام</v>
      </c>
      <c r="L804" s="39">
        <v>2785</v>
      </c>
      <c r="M804">
        <v>2018</v>
      </c>
    </row>
    <row r="805" spans="1:13" ht="15">
      <c r="A805" t="s">
        <v>153</v>
      </c>
      <c r="B805" t="s">
        <v>154</v>
      </c>
      <c r="C805" s="15" t="s">
        <v>30</v>
      </c>
      <c r="D805" s="23" t="s">
        <v>81</v>
      </c>
      <c r="E805" s="25" t="s">
        <v>82</v>
      </c>
      <c r="F805" s="16" t="str">
        <f>'Source Table'!$E$6</f>
        <v>Private Sector</v>
      </c>
      <c r="G805" s="16" t="str">
        <f>'Source Table'!$E$5</f>
        <v>القطاع الخاص</v>
      </c>
      <c r="H805" t="str">
        <f>'Source Table'!$H$8</f>
        <v>Male</v>
      </c>
      <c r="I805" s="25" t="str">
        <f>'Source Table'!$H$7</f>
        <v>ذكر</v>
      </c>
      <c r="J805" s="25" t="str">
        <f>'Source Table'!$B$10</f>
        <v>Surgeon</v>
      </c>
      <c r="K805" s="25" t="str">
        <f>'Source Table'!$I$10</f>
        <v>جراحة عامة</v>
      </c>
      <c r="L805" s="39">
        <v>217</v>
      </c>
      <c r="M805">
        <v>2018</v>
      </c>
    </row>
    <row r="806" spans="1:13" ht="15">
      <c r="A806" t="s">
        <v>153</v>
      </c>
      <c r="B806" t="s">
        <v>154</v>
      </c>
      <c r="C806" s="15" t="s">
        <v>30</v>
      </c>
      <c r="D806" s="23" t="s">
        <v>81</v>
      </c>
      <c r="E806" s="25" t="s">
        <v>82</v>
      </c>
      <c r="F806" s="16" t="str">
        <f>'Source Table'!$E$6</f>
        <v>Private Sector</v>
      </c>
      <c r="G806" s="16" t="str">
        <f>'Source Table'!$E$5</f>
        <v>القطاع الخاص</v>
      </c>
      <c r="H806" t="str">
        <f>'Source Table'!$H$8</f>
        <v>Male</v>
      </c>
      <c r="I806" s="25" t="str">
        <f>'Source Table'!$H$7</f>
        <v>ذكر</v>
      </c>
      <c r="J806" s="25" t="str">
        <f>'Source Table'!$B$11</f>
        <v>Internist</v>
      </c>
      <c r="K806" s="25" t="str">
        <f>'Source Table'!$I$11</f>
        <v>باطنية</v>
      </c>
      <c r="L806" s="39">
        <v>361</v>
      </c>
      <c r="M806">
        <v>2018</v>
      </c>
    </row>
    <row r="807" spans="1:13" ht="15">
      <c r="A807" t="s">
        <v>153</v>
      </c>
      <c r="B807" t="s">
        <v>154</v>
      </c>
      <c r="C807" s="15" t="s">
        <v>30</v>
      </c>
      <c r="D807" s="23" t="s">
        <v>81</v>
      </c>
      <c r="E807" s="25" t="s">
        <v>82</v>
      </c>
      <c r="F807" s="16" t="str">
        <f>'Source Table'!$E$6</f>
        <v>Private Sector</v>
      </c>
      <c r="G807" s="16" t="str">
        <f>'Source Table'!$E$5</f>
        <v>القطاع الخاص</v>
      </c>
      <c r="H807" t="str">
        <f>'Source Table'!$H$8</f>
        <v>Male</v>
      </c>
      <c r="I807" s="25" t="str">
        <f>'Source Table'!$H$7</f>
        <v>ذكر</v>
      </c>
      <c r="J807" s="25" t="str">
        <f>'Source Table'!$B$12</f>
        <v>Gynecologist and Obst.</v>
      </c>
      <c r="K807" s="25" t="str">
        <f>'Source Table'!$I$12</f>
        <v>نسائية وتوليد</v>
      </c>
      <c r="L807" s="39">
        <v>303</v>
      </c>
      <c r="M807">
        <v>2018</v>
      </c>
    </row>
    <row r="808" spans="1:13" ht="15">
      <c r="A808" t="s">
        <v>153</v>
      </c>
      <c r="B808" t="s">
        <v>154</v>
      </c>
      <c r="C808" s="15" t="s">
        <v>30</v>
      </c>
      <c r="D808" s="23" t="s">
        <v>81</v>
      </c>
      <c r="E808" s="25" t="s">
        <v>82</v>
      </c>
      <c r="F808" s="16" t="str">
        <f>'Source Table'!$E$6</f>
        <v>Private Sector</v>
      </c>
      <c r="G808" s="16" t="str">
        <f>'Source Table'!$E$5</f>
        <v>القطاع الخاص</v>
      </c>
      <c r="H808" t="str">
        <f>'Source Table'!$H$8</f>
        <v>Male</v>
      </c>
      <c r="I808" s="25" t="str">
        <f>'Source Table'!$H$7</f>
        <v>ذكر</v>
      </c>
      <c r="J808" s="25" t="str">
        <f>'Source Table'!$B$13</f>
        <v>Pediatrics</v>
      </c>
      <c r="K808" s="25" t="str">
        <f>'Source Table'!$I$13</f>
        <v>أطفال</v>
      </c>
      <c r="L808" s="39">
        <v>267</v>
      </c>
      <c r="M808">
        <v>2018</v>
      </c>
    </row>
    <row r="809" spans="1:13" ht="15">
      <c r="A809" t="s">
        <v>153</v>
      </c>
      <c r="B809" t="s">
        <v>154</v>
      </c>
      <c r="C809" s="15" t="s">
        <v>30</v>
      </c>
      <c r="D809" s="23" t="s">
        <v>81</v>
      </c>
      <c r="E809" s="25" t="s">
        <v>82</v>
      </c>
      <c r="F809" s="16" t="str">
        <f>'Source Table'!$E$6</f>
        <v>Private Sector</v>
      </c>
      <c r="G809" s="16" t="str">
        <f>'Source Table'!$E$5</f>
        <v>القطاع الخاص</v>
      </c>
      <c r="H809" t="str">
        <f>'Source Table'!$H$8</f>
        <v>Male</v>
      </c>
      <c r="I809" s="25" t="str">
        <f>'Source Table'!$H$7</f>
        <v>ذكر</v>
      </c>
      <c r="J809" s="25" t="str">
        <f>'Source Table'!$B$14</f>
        <v>Ophthalmologist</v>
      </c>
      <c r="K809" s="25" t="str">
        <f>'Source Table'!$I$14</f>
        <v>العيون</v>
      </c>
      <c r="L809" s="39">
        <v>162</v>
      </c>
      <c r="M809">
        <v>2018</v>
      </c>
    </row>
    <row r="810" spans="1:13" ht="15">
      <c r="A810" t="s">
        <v>153</v>
      </c>
      <c r="B810" t="s">
        <v>154</v>
      </c>
      <c r="C810" s="15" t="s">
        <v>30</v>
      </c>
      <c r="D810" s="23" t="s">
        <v>81</v>
      </c>
      <c r="E810" s="25" t="s">
        <v>82</v>
      </c>
      <c r="F810" s="16" t="str">
        <f>'Source Table'!$E$6</f>
        <v>Private Sector</v>
      </c>
      <c r="G810" s="16" t="str">
        <f>'Source Table'!$E$5</f>
        <v>القطاع الخاص</v>
      </c>
      <c r="H810" t="str">
        <f>'Source Table'!$H$8</f>
        <v>Male</v>
      </c>
      <c r="I810" s="25" t="str">
        <f>'Source Table'!$H$7</f>
        <v>ذكر</v>
      </c>
      <c r="J810" s="25" t="str">
        <f>'Source Table'!$B$15</f>
        <v>Orthopedic Surg.</v>
      </c>
      <c r="K810" s="25" t="str">
        <f>'Source Table'!$I$15</f>
        <v>العظام</v>
      </c>
      <c r="L810" s="39">
        <v>211</v>
      </c>
      <c r="M810">
        <v>2018</v>
      </c>
    </row>
    <row r="811" spans="1:13" ht="15">
      <c r="A811" t="s">
        <v>153</v>
      </c>
      <c r="B811" t="s">
        <v>154</v>
      </c>
      <c r="C811" s="15" t="s">
        <v>30</v>
      </c>
      <c r="D811" s="23" t="s">
        <v>81</v>
      </c>
      <c r="E811" s="25" t="s">
        <v>82</v>
      </c>
      <c r="F811" s="16" t="str">
        <f>'Source Table'!$E$6</f>
        <v>Private Sector</v>
      </c>
      <c r="G811" s="16" t="str">
        <f>'Source Table'!$E$5</f>
        <v>القطاع الخاص</v>
      </c>
      <c r="H811" t="str">
        <f>'Source Table'!$H$8</f>
        <v>Male</v>
      </c>
      <c r="I811" s="25" t="str">
        <f>'Source Table'!$H$7</f>
        <v>ذكر</v>
      </c>
      <c r="J811" s="25" t="str">
        <f>'Source Table'!$B$16</f>
        <v>E.N.T.Surg.</v>
      </c>
      <c r="K811" s="25" t="str">
        <f>'Source Table'!$I$16</f>
        <v>أذن وأنف وحنجرة</v>
      </c>
      <c r="L811" s="39">
        <v>118</v>
      </c>
      <c r="M811">
        <v>2018</v>
      </c>
    </row>
    <row r="812" spans="1:13" ht="15">
      <c r="A812" t="s">
        <v>153</v>
      </c>
      <c r="B812" t="s">
        <v>154</v>
      </c>
      <c r="C812" s="15" t="s">
        <v>30</v>
      </c>
      <c r="D812" s="23" t="s">
        <v>81</v>
      </c>
      <c r="E812" s="25" t="s">
        <v>82</v>
      </c>
      <c r="F812" s="16" t="str">
        <f>'Source Table'!$E$6</f>
        <v>Private Sector</v>
      </c>
      <c r="G812" s="16" t="str">
        <f>'Source Table'!$E$5</f>
        <v>القطاع الخاص</v>
      </c>
      <c r="H812" t="str">
        <f>'Source Table'!$H$8</f>
        <v>Male</v>
      </c>
      <c r="I812" s="25" t="str">
        <f>'Source Table'!$H$7</f>
        <v>ذكر</v>
      </c>
      <c r="J812" s="25" t="str">
        <f>'Source Table'!$B$17</f>
        <v>Neurosurgery</v>
      </c>
      <c r="K812" s="25" t="str">
        <f>'Source Table'!$I$17</f>
        <v>جراحةأعصاب</v>
      </c>
      <c r="L812" s="39">
        <v>45</v>
      </c>
      <c r="M812">
        <v>2018</v>
      </c>
    </row>
    <row r="813" spans="1:13" ht="15">
      <c r="A813" t="s">
        <v>153</v>
      </c>
      <c r="B813" t="s">
        <v>154</v>
      </c>
      <c r="C813" s="15" t="s">
        <v>30</v>
      </c>
      <c r="D813" s="23" t="s">
        <v>81</v>
      </c>
      <c r="E813" s="25" t="s">
        <v>82</v>
      </c>
      <c r="F813" s="16" t="str">
        <f>'Source Table'!$E$6</f>
        <v>Private Sector</v>
      </c>
      <c r="G813" s="16" t="str">
        <f>'Source Table'!$E$5</f>
        <v>القطاع الخاص</v>
      </c>
      <c r="H813" t="str">
        <f>'Source Table'!$H$8</f>
        <v>Male</v>
      </c>
      <c r="I813" s="25" t="str">
        <f>'Source Table'!$H$7</f>
        <v>ذكر</v>
      </c>
      <c r="J813" s="25" t="str">
        <f>'Source Table'!$B$18</f>
        <v>Cardiothoracic</v>
      </c>
      <c r="K813" s="25" t="str">
        <f>'Source Table'!$I$18</f>
        <v>جراحة قلب</v>
      </c>
      <c r="L813" s="39">
        <v>20</v>
      </c>
      <c r="M813">
        <v>2018</v>
      </c>
    </row>
    <row r="814" spans="1:13" ht="15">
      <c r="A814" t="s">
        <v>153</v>
      </c>
      <c r="B814" t="s">
        <v>154</v>
      </c>
      <c r="C814" s="15" t="s">
        <v>30</v>
      </c>
      <c r="D814" s="23" t="s">
        <v>81</v>
      </c>
      <c r="E814" s="25" t="s">
        <v>82</v>
      </c>
      <c r="F814" s="16" t="str">
        <f>'Source Table'!$E$6</f>
        <v>Private Sector</v>
      </c>
      <c r="G814" s="16" t="str">
        <f>'Source Table'!$E$5</f>
        <v>القطاع الخاص</v>
      </c>
      <c r="H814" t="str">
        <f>'Source Table'!$H$8</f>
        <v>Male</v>
      </c>
      <c r="I814" s="25" t="str">
        <f>'Source Table'!$H$7</f>
        <v>ذكر</v>
      </c>
      <c r="J814" s="25" t="str">
        <f>'Source Table'!$B$19</f>
        <v>Plastic Surgeon</v>
      </c>
      <c r="K814" s="25" t="str">
        <f>'Source Table'!$I$19</f>
        <v>التجميل</v>
      </c>
      <c r="L814" s="39">
        <v>30</v>
      </c>
      <c r="M814">
        <v>2018</v>
      </c>
    </row>
    <row r="815" spans="1:13" ht="15">
      <c r="A815" t="s">
        <v>153</v>
      </c>
      <c r="B815" t="s">
        <v>154</v>
      </c>
      <c r="C815" s="15" t="s">
        <v>30</v>
      </c>
      <c r="D815" s="23" t="s">
        <v>81</v>
      </c>
      <c r="E815" s="25" t="s">
        <v>82</v>
      </c>
      <c r="F815" s="16" t="str">
        <f>'Source Table'!$E$6</f>
        <v>Private Sector</v>
      </c>
      <c r="G815" s="16" t="str">
        <f>'Source Table'!$E$5</f>
        <v>القطاع الخاص</v>
      </c>
      <c r="H815" t="str">
        <f>'Source Table'!$H$8</f>
        <v>Male</v>
      </c>
      <c r="I815" s="25" t="str">
        <f>'Source Table'!$H$7</f>
        <v>ذكر</v>
      </c>
      <c r="J815" s="25" t="str">
        <f>'Source Table'!$B$20</f>
        <v>Psychiatry</v>
      </c>
      <c r="K815" s="25" t="str">
        <f>'Source Table'!$I$20</f>
        <v>النفسية</v>
      </c>
      <c r="L815" s="39">
        <v>48</v>
      </c>
      <c r="M815">
        <v>2018</v>
      </c>
    </row>
    <row r="816" spans="1:13" ht="15">
      <c r="A816" t="s">
        <v>153</v>
      </c>
      <c r="B816" t="s">
        <v>154</v>
      </c>
      <c r="C816" s="15" t="s">
        <v>30</v>
      </c>
      <c r="D816" s="23" t="s">
        <v>81</v>
      </c>
      <c r="E816" s="25" t="s">
        <v>82</v>
      </c>
      <c r="F816" s="16" t="str">
        <f>'Source Table'!$E$6</f>
        <v>Private Sector</v>
      </c>
      <c r="G816" s="16" t="str">
        <f>'Source Table'!$E$5</f>
        <v>القطاع الخاص</v>
      </c>
      <c r="H816" t="str">
        <f>'Source Table'!$H$8</f>
        <v>Male</v>
      </c>
      <c r="I816" s="25" t="str">
        <f>'Source Table'!$H$7</f>
        <v>ذكر</v>
      </c>
      <c r="J816" s="25" t="str">
        <f>'Source Table'!$B$21</f>
        <v>Dermatologist Venereal</v>
      </c>
      <c r="K816" s="25" t="str">
        <f>'Source Table'!$I$21</f>
        <v>جلدية وتناسلية</v>
      </c>
      <c r="L816" s="39">
        <v>109</v>
      </c>
      <c r="M816">
        <v>2018</v>
      </c>
    </row>
    <row r="817" spans="1:13" ht="15">
      <c r="A817" t="s">
        <v>153</v>
      </c>
      <c r="B817" t="s">
        <v>154</v>
      </c>
      <c r="C817" s="15" t="s">
        <v>30</v>
      </c>
      <c r="D817" s="23" t="s">
        <v>81</v>
      </c>
      <c r="E817" s="25" t="s">
        <v>82</v>
      </c>
      <c r="F817" s="16" t="str">
        <f>'Source Table'!$E$6</f>
        <v>Private Sector</v>
      </c>
      <c r="G817" s="16" t="str">
        <f>'Source Table'!$E$5</f>
        <v>القطاع الخاص</v>
      </c>
      <c r="H817" t="str">
        <f>'Source Table'!$H$8</f>
        <v>Male</v>
      </c>
      <c r="I817" s="25" t="str">
        <f>'Source Table'!$H$7</f>
        <v>ذكر</v>
      </c>
      <c r="J817" s="25" t="str">
        <f>'Source Table'!$B$22</f>
        <v>Neurology/ Nervous</v>
      </c>
      <c r="K817" s="25" t="str">
        <f>'Source Table'!$I$22</f>
        <v>مرض الأعصاب</v>
      </c>
      <c r="L817" s="39">
        <v>32</v>
      </c>
      <c r="M817">
        <v>2018</v>
      </c>
    </row>
    <row r="818" spans="1:13" ht="15">
      <c r="A818" t="s">
        <v>153</v>
      </c>
      <c r="B818" t="s">
        <v>154</v>
      </c>
      <c r="C818" s="15" t="s">
        <v>30</v>
      </c>
      <c r="D818" s="23" t="s">
        <v>81</v>
      </c>
      <c r="E818" s="25" t="s">
        <v>82</v>
      </c>
      <c r="F818" s="16" t="str">
        <f>'Source Table'!$E$6</f>
        <v>Private Sector</v>
      </c>
      <c r="G818" s="16" t="str">
        <f>'Source Table'!$E$5</f>
        <v>القطاع الخاص</v>
      </c>
      <c r="H818" t="str">
        <f>'Source Table'!$H$8</f>
        <v>Male</v>
      </c>
      <c r="I818" s="25" t="str">
        <f>'Source Table'!$H$7</f>
        <v>ذكر</v>
      </c>
      <c r="J818" s="25" t="str">
        <f>'Source Table'!$B$23</f>
        <v>Pumologist</v>
      </c>
      <c r="K818" s="25" t="str">
        <f>'Source Table'!$I$23</f>
        <v>صدرية</v>
      </c>
      <c r="L818" s="39">
        <v>31</v>
      </c>
      <c r="M818">
        <v>2018</v>
      </c>
    </row>
    <row r="819" spans="1:13" ht="15">
      <c r="A819" t="s">
        <v>153</v>
      </c>
      <c r="B819" t="s">
        <v>154</v>
      </c>
      <c r="C819" s="15" t="s">
        <v>30</v>
      </c>
      <c r="D819" s="23" t="s">
        <v>81</v>
      </c>
      <c r="E819" s="25" t="s">
        <v>82</v>
      </c>
      <c r="F819" s="16" t="str">
        <f>'Source Table'!$E$6</f>
        <v>Private Sector</v>
      </c>
      <c r="G819" s="16" t="str">
        <f>'Source Table'!$E$5</f>
        <v>القطاع الخاص</v>
      </c>
      <c r="H819" t="str">
        <f>'Source Table'!$H$8</f>
        <v>Male</v>
      </c>
      <c r="I819" s="25" t="str">
        <f>'Source Table'!$H$7</f>
        <v>ذكر</v>
      </c>
      <c r="J819" s="25" t="str">
        <f>'Source Table'!$B$24</f>
        <v>G.I.T. Specialist</v>
      </c>
      <c r="K819" s="25" t="str">
        <f>'Source Table'!$I$24</f>
        <v>جهاز هضمي</v>
      </c>
      <c r="L819" s="39">
        <v>43</v>
      </c>
      <c r="M819">
        <v>2018</v>
      </c>
    </row>
    <row r="820" spans="1:13" ht="15">
      <c r="A820" t="s">
        <v>153</v>
      </c>
      <c r="B820" t="s">
        <v>154</v>
      </c>
      <c r="C820" s="15" t="s">
        <v>30</v>
      </c>
      <c r="D820" s="23" t="s">
        <v>81</v>
      </c>
      <c r="E820" s="25" t="s">
        <v>82</v>
      </c>
      <c r="F820" s="16" t="str">
        <f>'Source Table'!$E$6</f>
        <v>Private Sector</v>
      </c>
      <c r="G820" s="16" t="str">
        <f>'Source Table'!$E$5</f>
        <v>القطاع الخاص</v>
      </c>
      <c r="H820" t="str">
        <f>'Source Table'!$H$8</f>
        <v>Male</v>
      </c>
      <c r="I820" s="25" t="str">
        <f>'Source Table'!$H$7</f>
        <v>ذكر</v>
      </c>
      <c r="J820" s="25" t="str">
        <f>'Source Table'!$B$25</f>
        <v>Diagnostic Radiology</v>
      </c>
      <c r="K820" s="25" t="str">
        <f>'Source Table'!$I$25</f>
        <v>أشعة تشخيصية</v>
      </c>
      <c r="L820" s="39">
        <v>121</v>
      </c>
      <c r="M820">
        <v>2018</v>
      </c>
    </row>
    <row r="821" spans="1:13" ht="15">
      <c r="A821" t="s">
        <v>153</v>
      </c>
      <c r="B821" t="s">
        <v>154</v>
      </c>
      <c r="C821" s="15" t="s">
        <v>30</v>
      </c>
      <c r="D821" s="23" t="s">
        <v>81</v>
      </c>
      <c r="E821" s="25" t="s">
        <v>82</v>
      </c>
      <c r="F821" s="16" t="str">
        <f>'Source Table'!$E$6</f>
        <v>Private Sector</v>
      </c>
      <c r="G821" s="16" t="str">
        <f>'Source Table'!$E$5</f>
        <v>القطاع الخاص</v>
      </c>
      <c r="H821" t="str">
        <f>'Source Table'!$H$8</f>
        <v>Male</v>
      </c>
      <c r="I821" s="25" t="str">
        <f>'Source Table'!$H$7</f>
        <v>ذكر</v>
      </c>
      <c r="J821" s="25" t="str">
        <f>'Source Table'!$B$26</f>
        <v>Anesthetic</v>
      </c>
      <c r="K821" s="25" t="str">
        <f>'Source Table'!$I$26</f>
        <v>تخدير وإنعاش</v>
      </c>
      <c r="L821" s="39">
        <v>184</v>
      </c>
      <c r="M821">
        <v>2018</v>
      </c>
    </row>
    <row r="822" spans="1:13" ht="15">
      <c r="A822" t="s">
        <v>153</v>
      </c>
      <c r="B822" t="s">
        <v>154</v>
      </c>
      <c r="C822" s="15" t="s">
        <v>30</v>
      </c>
      <c r="D822" s="23" t="s">
        <v>81</v>
      </c>
      <c r="E822" s="25" t="s">
        <v>82</v>
      </c>
      <c r="F822" s="16" t="str">
        <f>'Source Table'!$E$6</f>
        <v>Private Sector</v>
      </c>
      <c r="G822" s="16" t="str">
        <f>'Source Table'!$E$5</f>
        <v>القطاع الخاص</v>
      </c>
      <c r="H822" t="str">
        <f>'Source Table'!$H$8</f>
        <v>Male</v>
      </c>
      <c r="I822" s="25" t="str">
        <f>'Source Table'!$H$7</f>
        <v>ذكر</v>
      </c>
      <c r="J822" s="25" t="str">
        <f>'Source Table'!$B$27</f>
        <v>Physiotherapist</v>
      </c>
      <c r="K822" s="25" t="str">
        <f>'Source Table'!$I$27</f>
        <v>طب طبيعي</v>
      </c>
      <c r="L822" s="39">
        <v>16</v>
      </c>
      <c r="M822">
        <v>2018</v>
      </c>
    </row>
    <row r="823" spans="1:13" ht="15">
      <c r="A823" t="s">
        <v>153</v>
      </c>
      <c r="B823" t="s">
        <v>154</v>
      </c>
      <c r="C823" s="15" t="s">
        <v>30</v>
      </c>
      <c r="D823" s="23" t="s">
        <v>81</v>
      </c>
      <c r="E823" s="25" t="s">
        <v>82</v>
      </c>
      <c r="F823" s="16" t="str">
        <f>'Source Table'!$E$6</f>
        <v>Private Sector</v>
      </c>
      <c r="G823" s="16" t="str">
        <f>'Source Table'!$E$5</f>
        <v>القطاع الخاص</v>
      </c>
      <c r="H823" t="str">
        <f>'Source Table'!$H$8</f>
        <v>Male</v>
      </c>
      <c r="I823" s="25" t="str">
        <f>'Source Table'!$H$7</f>
        <v>ذكر</v>
      </c>
      <c r="J823" s="25" t="str">
        <f>'Source Table'!$B$28</f>
        <v>Forensic</v>
      </c>
      <c r="K823" s="25" t="str">
        <f>'Source Table'!$I$28</f>
        <v>طب شرعي</v>
      </c>
      <c r="L823" s="39">
        <v>2</v>
      </c>
      <c r="M823">
        <v>2018</v>
      </c>
    </row>
    <row r="824" spans="1:13" ht="15">
      <c r="A824" t="s">
        <v>153</v>
      </c>
      <c r="B824" t="s">
        <v>154</v>
      </c>
      <c r="C824" s="15" t="s">
        <v>30</v>
      </c>
      <c r="D824" s="23" t="s">
        <v>81</v>
      </c>
      <c r="E824" s="25" t="s">
        <v>82</v>
      </c>
      <c r="F824" s="16" t="str">
        <f>'Source Table'!$E$6</f>
        <v>Private Sector</v>
      </c>
      <c r="G824" s="16" t="str">
        <f>'Source Table'!$E$5</f>
        <v>القطاع الخاص</v>
      </c>
      <c r="H824" t="str">
        <f>'Source Table'!$H$8</f>
        <v>Male</v>
      </c>
      <c r="I824" s="25" t="str">
        <f>'Source Table'!$H$7</f>
        <v>ذكر</v>
      </c>
      <c r="J824" s="25" t="str">
        <f>'Source Table'!$B$29</f>
        <v xml:space="preserve">Family </v>
      </c>
      <c r="K824" s="25" t="str">
        <f>'Source Table'!$I$29</f>
        <v>طب أسرة</v>
      </c>
      <c r="L824" s="39">
        <v>28</v>
      </c>
      <c r="M824">
        <v>2018</v>
      </c>
    </row>
    <row r="825" spans="1:13" ht="15">
      <c r="A825" t="s">
        <v>153</v>
      </c>
      <c r="B825" t="s">
        <v>154</v>
      </c>
      <c r="C825" s="15" t="s">
        <v>30</v>
      </c>
      <c r="D825" s="23" t="s">
        <v>81</v>
      </c>
      <c r="E825" s="25" t="s">
        <v>82</v>
      </c>
      <c r="F825" s="16" t="str">
        <f>'Source Table'!$E$6</f>
        <v>Private Sector</v>
      </c>
      <c r="G825" s="16" t="str">
        <f>'Source Table'!$E$5</f>
        <v>القطاع الخاص</v>
      </c>
      <c r="H825" t="str">
        <f>'Source Table'!$H$8</f>
        <v>Male</v>
      </c>
      <c r="I825" s="25" t="str">
        <f>'Source Table'!$H$7</f>
        <v>ذكر</v>
      </c>
      <c r="J825" s="25" t="str">
        <f>'Source Table'!$B$30</f>
        <v>Urologist</v>
      </c>
      <c r="K825" s="25" t="str">
        <f>'Source Table'!$I$30</f>
        <v xml:space="preserve">المسالك البولية </v>
      </c>
      <c r="L825" s="39">
        <v>87</v>
      </c>
      <c r="M825">
        <v>2018</v>
      </c>
    </row>
    <row r="826" spans="1:13" ht="15">
      <c r="A826" t="s">
        <v>153</v>
      </c>
      <c r="B826" t="s">
        <v>154</v>
      </c>
      <c r="C826" s="15" t="s">
        <v>30</v>
      </c>
      <c r="D826" s="23" t="s">
        <v>81</v>
      </c>
      <c r="E826" s="25" t="s">
        <v>82</v>
      </c>
      <c r="F826" s="16" t="str">
        <f>'Source Table'!$E$6</f>
        <v>Private Sector</v>
      </c>
      <c r="G826" s="16" t="str">
        <f>'Source Table'!$E$5</f>
        <v>القطاع الخاص</v>
      </c>
      <c r="H826" t="str">
        <f>'Source Table'!$H$8</f>
        <v>Male</v>
      </c>
      <c r="I826" s="25" t="str">
        <f>'Source Table'!$H$7</f>
        <v>ذكر</v>
      </c>
      <c r="J826" s="25" t="str">
        <f>'Source Table'!$B$31</f>
        <v>Cardiology</v>
      </c>
      <c r="K826" s="25" t="str">
        <f>'Source Table'!$I$31</f>
        <v>أمراض القلب</v>
      </c>
      <c r="L826" s="39">
        <v>70</v>
      </c>
      <c r="M826">
        <v>2018</v>
      </c>
    </row>
    <row r="827" spans="1:13" ht="15">
      <c r="A827" t="s">
        <v>153</v>
      </c>
      <c r="B827" t="s">
        <v>154</v>
      </c>
      <c r="C827" s="15" t="s">
        <v>30</v>
      </c>
      <c r="D827" s="23" t="s">
        <v>81</v>
      </c>
      <c r="E827" s="25" t="s">
        <v>82</v>
      </c>
      <c r="F827" s="16" t="str">
        <f>'Source Table'!$E$6</f>
        <v>Private Sector</v>
      </c>
      <c r="G827" s="16" t="str">
        <f>'Source Table'!$E$5</f>
        <v>القطاع الخاص</v>
      </c>
      <c r="H827" t="str">
        <f>'Source Table'!$H$8</f>
        <v>Male</v>
      </c>
      <c r="I827" s="25" t="str">
        <f>'Source Table'!$H$7</f>
        <v>ذكر</v>
      </c>
      <c r="J827" s="25" t="str">
        <f>'Source Table'!$B$32</f>
        <v>Laboratory</v>
      </c>
      <c r="K827" s="25" t="str">
        <f>'Source Table'!$I$32</f>
        <v>مختبرات</v>
      </c>
      <c r="L827" s="39">
        <v>5</v>
      </c>
      <c r="M827">
        <v>2018</v>
      </c>
    </row>
    <row r="828" spans="1:13" ht="15">
      <c r="A828" t="s">
        <v>153</v>
      </c>
      <c r="B828" t="s">
        <v>154</v>
      </c>
      <c r="C828" s="15" t="s">
        <v>30</v>
      </c>
      <c r="D828" s="23" t="s">
        <v>81</v>
      </c>
      <c r="E828" s="25" t="s">
        <v>82</v>
      </c>
      <c r="F828" s="16" t="str">
        <f>'Source Table'!$E$6</f>
        <v>Private Sector</v>
      </c>
      <c r="G828" s="16" t="str">
        <f>'Source Table'!$E$5</f>
        <v>القطاع الخاص</v>
      </c>
      <c r="H828" t="str">
        <f>'Source Table'!$H$8</f>
        <v>Male</v>
      </c>
      <c r="I828" s="25" t="str">
        <f>'Source Table'!$H$7</f>
        <v>ذكر</v>
      </c>
      <c r="J828" s="25" t="str">
        <f>'Source Table'!$B$33</f>
        <v>Others</v>
      </c>
      <c r="K828" s="25" t="str">
        <f>'Source Table'!$I$33</f>
        <v>أخرى</v>
      </c>
      <c r="L828" s="42">
        <v>218</v>
      </c>
      <c r="M828">
        <v>2018</v>
      </c>
    </row>
    <row r="829" spans="1:13" ht="15">
      <c r="A829" t="s">
        <v>153</v>
      </c>
      <c r="B829" t="s">
        <v>154</v>
      </c>
      <c r="C829" s="15" t="s">
        <v>30</v>
      </c>
      <c r="D829" s="23" t="s">
        <v>81</v>
      </c>
      <c r="E829" s="25" t="s">
        <v>82</v>
      </c>
      <c r="F829" s="16" t="str">
        <f>'Source Table'!$E$6</f>
        <v>Private Sector</v>
      </c>
      <c r="G829" s="16" t="str">
        <f>'Source Table'!$E$5</f>
        <v>القطاع الخاص</v>
      </c>
      <c r="H829" t="str">
        <f>'Source Table'!$G$8</f>
        <v>Female</v>
      </c>
      <c r="I829" s="16" t="str">
        <f>'Source Table'!$G$7</f>
        <v>أنثى</v>
      </c>
      <c r="J829" s="25" t="str">
        <f>'Source Table'!$B$9</f>
        <v>General Practitioner</v>
      </c>
      <c r="K829" s="25" t="str">
        <f>'Source Table'!$I$9</f>
        <v>طبيب عام</v>
      </c>
      <c r="L829" s="39">
        <v>677</v>
      </c>
      <c r="M829">
        <v>2018</v>
      </c>
    </row>
    <row r="830" spans="1:13" ht="15">
      <c r="A830" t="s">
        <v>153</v>
      </c>
      <c r="B830" t="s">
        <v>154</v>
      </c>
      <c r="C830" s="15" t="s">
        <v>30</v>
      </c>
      <c r="D830" s="23" t="s">
        <v>81</v>
      </c>
      <c r="E830" s="25" t="s">
        <v>82</v>
      </c>
      <c r="F830" s="16" t="str">
        <f>'Source Table'!$E$6</f>
        <v>Private Sector</v>
      </c>
      <c r="G830" s="16" t="str">
        <f>'Source Table'!$E$5</f>
        <v>القطاع الخاص</v>
      </c>
      <c r="H830" t="str">
        <f>'Source Table'!$G$8</f>
        <v>Female</v>
      </c>
      <c r="I830" s="16" t="str">
        <f>'Source Table'!$G$7</f>
        <v>أنثى</v>
      </c>
      <c r="J830" s="25" t="str">
        <f>'Source Table'!$B$10</f>
        <v>Surgeon</v>
      </c>
      <c r="K830" s="25" t="str">
        <f>'Source Table'!$I$10</f>
        <v>جراحة عامة</v>
      </c>
      <c r="L830" s="39">
        <v>8</v>
      </c>
      <c r="M830">
        <v>2018</v>
      </c>
    </row>
    <row r="831" spans="1:13" ht="15">
      <c r="A831" t="s">
        <v>153</v>
      </c>
      <c r="B831" t="s">
        <v>154</v>
      </c>
      <c r="C831" s="15" t="s">
        <v>30</v>
      </c>
      <c r="D831" s="23" t="s">
        <v>81</v>
      </c>
      <c r="E831" s="25" t="s">
        <v>82</v>
      </c>
      <c r="F831" s="16" t="str">
        <f>'Source Table'!$E$6</f>
        <v>Private Sector</v>
      </c>
      <c r="G831" s="16" t="str">
        <f>'Source Table'!$E$5</f>
        <v>القطاع الخاص</v>
      </c>
      <c r="H831" t="str">
        <f>'Source Table'!$G$8</f>
        <v>Female</v>
      </c>
      <c r="I831" s="16" t="str">
        <f>'Source Table'!$G$7</f>
        <v>أنثى</v>
      </c>
      <c r="J831" s="25" t="str">
        <f>'Source Table'!$B$11</f>
        <v>Internist</v>
      </c>
      <c r="K831" s="25" t="str">
        <f>'Source Table'!$I$11</f>
        <v>باطنية</v>
      </c>
      <c r="L831" s="39">
        <v>42</v>
      </c>
      <c r="M831">
        <v>2018</v>
      </c>
    </row>
    <row r="832" spans="1:13" ht="15">
      <c r="A832" t="s">
        <v>153</v>
      </c>
      <c r="B832" t="s">
        <v>154</v>
      </c>
      <c r="C832" s="15" t="s">
        <v>30</v>
      </c>
      <c r="D832" s="23" t="s">
        <v>81</v>
      </c>
      <c r="E832" s="25" t="s">
        <v>82</v>
      </c>
      <c r="F832" s="16" t="str">
        <f>'Source Table'!$E$6</f>
        <v>Private Sector</v>
      </c>
      <c r="G832" s="16" t="str">
        <f>'Source Table'!$E$5</f>
        <v>القطاع الخاص</v>
      </c>
      <c r="H832" t="str">
        <f>'Source Table'!$G$8</f>
        <v>Female</v>
      </c>
      <c r="I832" s="16" t="str">
        <f>'Source Table'!$G$7</f>
        <v>أنثى</v>
      </c>
      <c r="J832" s="25" t="str">
        <f>'Source Table'!$B$12</f>
        <v>Gynecologist and Obst.</v>
      </c>
      <c r="K832" s="25" t="str">
        <f>'Source Table'!$I$12</f>
        <v>نسائية وتوليد</v>
      </c>
      <c r="L832" s="39">
        <v>187</v>
      </c>
      <c r="M832">
        <v>2018</v>
      </c>
    </row>
    <row r="833" spans="1:13" ht="15">
      <c r="A833" t="s">
        <v>153</v>
      </c>
      <c r="B833" t="s">
        <v>154</v>
      </c>
      <c r="C833" s="15" t="s">
        <v>30</v>
      </c>
      <c r="D833" s="23" t="s">
        <v>81</v>
      </c>
      <c r="E833" s="25" t="s">
        <v>82</v>
      </c>
      <c r="F833" s="16" t="str">
        <f>'Source Table'!$E$6</f>
        <v>Private Sector</v>
      </c>
      <c r="G833" s="16" t="str">
        <f>'Source Table'!$E$5</f>
        <v>القطاع الخاص</v>
      </c>
      <c r="H833" t="str">
        <f>'Source Table'!$G$8</f>
        <v>Female</v>
      </c>
      <c r="I833" s="16" t="str">
        <f>'Source Table'!$G$7</f>
        <v>أنثى</v>
      </c>
      <c r="J833" s="25" t="str">
        <f>'Source Table'!$B$13</f>
        <v>Pediatrics</v>
      </c>
      <c r="K833" s="25" t="str">
        <f>'Source Table'!$I$13</f>
        <v>أطفال</v>
      </c>
      <c r="L833" s="39">
        <v>86</v>
      </c>
      <c r="M833">
        <v>2018</v>
      </c>
    </row>
    <row r="834" spans="1:13" ht="15">
      <c r="A834" t="s">
        <v>153</v>
      </c>
      <c r="B834" t="s">
        <v>154</v>
      </c>
      <c r="C834" s="15" t="s">
        <v>30</v>
      </c>
      <c r="D834" s="23" t="s">
        <v>81</v>
      </c>
      <c r="E834" s="25" t="s">
        <v>82</v>
      </c>
      <c r="F834" s="16" t="str">
        <f>'Source Table'!$E$6</f>
        <v>Private Sector</v>
      </c>
      <c r="G834" s="16" t="str">
        <f>'Source Table'!$E$5</f>
        <v>القطاع الخاص</v>
      </c>
      <c r="H834" t="str">
        <f>'Source Table'!$G$8</f>
        <v>Female</v>
      </c>
      <c r="I834" s="16" t="str">
        <f>'Source Table'!$G$7</f>
        <v>أنثى</v>
      </c>
      <c r="J834" s="25" t="str">
        <f>'Source Table'!$B$14</f>
        <v>Ophthalmologist</v>
      </c>
      <c r="K834" s="25" t="str">
        <f>'Source Table'!$I$14</f>
        <v>العيون</v>
      </c>
      <c r="L834" s="39">
        <v>36</v>
      </c>
      <c r="M834">
        <v>2018</v>
      </c>
    </row>
    <row r="835" spans="1:13" ht="15">
      <c r="A835" t="s">
        <v>153</v>
      </c>
      <c r="B835" t="s">
        <v>154</v>
      </c>
      <c r="C835" s="15" t="s">
        <v>30</v>
      </c>
      <c r="D835" s="23" t="s">
        <v>81</v>
      </c>
      <c r="E835" s="25" t="s">
        <v>82</v>
      </c>
      <c r="F835" s="16" t="str">
        <f>'Source Table'!$E$6</f>
        <v>Private Sector</v>
      </c>
      <c r="G835" s="16" t="str">
        <f>'Source Table'!$E$5</f>
        <v>القطاع الخاص</v>
      </c>
      <c r="H835" t="str">
        <f>'Source Table'!$G$8</f>
        <v>Female</v>
      </c>
      <c r="I835" s="16" t="str">
        <f>'Source Table'!$G$7</f>
        <v>أنثى</v>
      </c>
      <c r="J835" s="25" t="str">
        <f>'Source Table'!$B$15</f>
        <v>Orthopedic Surg.</v>
      </c>
      <c r="K835" s="25" t="str">
        <f>'Source Table'!$I$15</f>
        <v>العظام</v>
      </c>
      <c r="L835" s="39">
        <v>2</v>
      </c>
      <c r="M835">
        <v>2018</v>
      </c>
    </row>
    <row r="836" spans="1:13" ht="15">
      <c r="A836" t="s">
        <v>153</v>
      </c>
      <c r="B836" t="s">
        <v>154</v>
      </c>
      <c r="C836" s="15" t="s">
        <v>30</v>
      </c>
      <c r="D836" s="23" t="s">
        <v>81</v>
      </c>
      <c r="E836" s="25" t="s">
        <v>82</v>
      </c>
      <c r="F836" s="16" t="str">
        <f>'Source Table'!$E$6</f>
        <v>Private Sector</v>
      </c>
      <c r="G836" s="16" t="str">
        <f>'Source Table'!$E$5</f>
        <v>القطاع الخاص</v>
      </c>
      <c r="H836" t="str">
        <f>'Source Table'!$G$8</f>
        <v>Female</v>
      </c>
      <c r="I836" s="16" t="str">
        <f>'Source Table'!$G$7</f>
        <v>أنثى</v>
      </c>
      <c r="J836" s="25" t="str">
        <f>'Source Table'!$B$16</f>
        <v>E.N.T.Surg.</v>
      </c>
      <c r="K836" s="25" t="str">
        <f>'Source Table'!$I$16</f>
        <v>أذن وأنف وحنجرة</v>
      </c>
      <c r="L836" s="39">
        <v>7</v>
      </c>
      <c r="M836">
        <v>2018</v>
      </c>
    </row>
    <row r="837" spans="1:13" ht="15">
      <c r="A837" t="s">
        <v>153</v>
      </c>
      <c r="B837" t="s">
        <v>154</v>
      </c>
      <c r="C837" s="15" t="s">
        <v>30</v>
      </c>
      <c r="D837" s="23" t="s">
        <v>81</v>
      </c>
      <c r="E837" s="25" t="s">
        <v>82</v>
      </c>
      <c r="F837" s="16" t="str">
        <f>'Source Table'!$E$6</f>
        <v>Private Sector</v>
      </c>
      <c r="G837" s="16" t="str">
        <f>'Source Table'!$E$5</f>
        <v>القطاع الخاص</v>
      </c>
      <c r="H837" t="str">
        <f>'Source Table'!$G$8</f>
        <v>Female</v>
      </c>
      <c r="I837" s="16" t="str">
        <f>'Source Table'!$G$7</f>
        <v>أنثى</v>
      </c>
      <c r="J837" s="25" t="str">
        <f>'Source Table'!$B$17</f>
        <v>Neurosurgery</v>
      </c>
      <c r="K837" s="25" t="str">
        <f>'Source Table'!$I$17</f>
        <v>جراحةأعصاب</v>
      </c>
      <c r="L837" s="39">
        <v>0</v>
      </c>
      <c r="M837">
        <v>2018</v>
      </c>
    </row>
    <row r="838" spans="1:13" ht="15">
      <c r="A838" t="s">
        <v>153</v>
      </c>
      <c r="B838" t="s">
        <v>154</v>
      </c>
      <c r="C838" s="15" t="s">
        <v>30</v>
      </c>
      <c r="D838" s="23" t="s">
        <v>81</v>
      </c>
      <c r="E838" s="25" t="s">
        <v>82</v>
      </c>
      <c r="F838" s="16" t="str">
        <f>'Source Table'!$E$6</f>
        <v>Private Sector</v>
      </c>
      <c r="G838" s="16" t="str">
        <f>'Source Table'!$E$5</f>
        <v>القطاع الخاص</v>
      </c>
      <c r="H838" t="str">
        <f>'Source Table'!$G$8</f>
        <v>Female</v>
      </c>
      <c r="I838" s="16" t="str">
        <f>'Source Table'!$G$7</f>
        <v>أنثى</v>
      </c>
      <c r="J838" s="25" t="str">
        <f>'Source Table'!$B$18</f>
        <v>Cardiothoracic</v>
      </c>
      <c r="K838" s="25" t="str">
        <f>'Source Table'!$I$18</f>
        <v>جراحة قلب</v>
      </c>
      <c r="L838" s="39">
        <v>0</v>
      </c>
      <c r="M838">
        <v>2018</v>
      </c>
    </row>
    <row r="839" spans="1:13" ht="15">
      <c r="A839" t="s">
        <v>153</v>
      </c>
      <c r="B839" t="s">
        <v>154</v>
      </c>
      <c r="C839" s="15" t="s">
        <v>30</v>
      </c>
      <c r="D839" s="23" t="s">
        <v>81</v>
      </c>
      <c r="E839" s="25" t="s">
        <v>82</v>
      </c>
      <c r="F839" s="16" t="str">
        <f>'Source Table'!$E$6</f>
        <v>Private Sector</v>
      </c>
      <c r="G839" s="16" t="str">
        <f>'Source Table'!$E$5</f>
        <v>القطاع الخاص</v>
      </c>
      <c r="H839" t="str">
        <f>'Source Table'!$G$8</f>
        <v>Female</v>
      </c>
      <c r="I839" s="16" t="str">
        <f>'Source Table'!$G$7</f>
        <v>أنثى</v>
      </c>
      <c r="J839" s="25" t="str">
        <f>'Source Table'!$B$19</f>
        <v>Plastic Surgeon</v>
      </c>
      <c r="K839" s="25" t="str">
        <f>'Source Table'!$I$19</f>
        <v>التجميل</v>
      </c>
      <c r="L839" s="39">
        <v>1</v>
      </c>
      <c r="M839">
        <v>2018</v>
      </c>
    </row>
    <row r="840" spans="1:13" ht="15">
      <c r="A840" t="s">
        <v>153</v>
      </c>
      <c r="B840" t="s">
        <v>154</v>
      </c>
      <c r="C840" s="15" t="s">
        <v>30</v>
      </c>
      <c r="D840" s="23" t="s">
        <v>81</v>
      </c>
      <c r="E840" s="25" t="s">
        <v>82</v>
      </c>
      <c r="F840" s="16" t="str">
        <f>'Source Table'!$E$6</f>
        <v>Private Sector</v>
      </c>
      <c r="G840" s="16" t="str">
        <f>'Source Table'!$E$5</f>
        <v>القطاع الخاص</v>
      </c>
      <c r="H840" t="str">
        <f>'Source Table'!$G$8</f>
        <v>Female</v>
      </c>
      <c r="I840" s="16" t="str">
        <f>'Source Table'!$G$7</f>
        <v>أنثى</v>
      </c>
      <c r="J840" s="25" t="str">
        <f>'Source Table'!$B$20</f>
        <v>Psychiatry</v>
      </c>
      <c r="K840" s="25" t="str">
        <f>'Source Table'!$I$20</f>
        <v>النفسية</v>
      </c>
      <c r="L840" s="39">
        <v>2</v>
      </c>
      <c r="M840">
        <v>2018</v>
      </c>
    </row>
    <row r="841" spans="1:13" ht="15">
      <c r="A841" t="s">
        <v>153</v>
      </c>
      <c r="B841" t="s">
        <v>154</v>
      </c>
      <c r="C841" s="15" t="s">
        <v>30</v>
      </c>
      <c r="D841" s="23" t="s">
        <v>81</v>
      </c>
      <c r="E841" s="25" t="s">
        <v>82</v>
      </c>
      <c r="F841" s="16" t="str">
        <f>'Source Table'!$E$6</f>
        <v>Private Sector</v>
      </c>
      <c r="G841" s="16" t="str">
        <f>'Source Table'!$E$5</f>
        <v>القطاع الخاص</v>
      </c>
      <c r="H841" t="str">
        <f>'Source Table'!$G$8</f>
        <v>Female</v>
      </c>
      <c r="I841" s="16" t="str">
        <f>'Source Table'!$G$7</f>
        <v>أنثى</v>
      </c>
      <c r="J841" s="25" t="str">
        <f>'Source Table'!$B$21</f>
        <v>Dermatologist Venereal</v>
      </c>
      <c r="K841" s="25" t="str">
        <f>'Source Table'!$I$21</f>
        <v>جلدية وتناسلية</v>
      </c>
      <c r="L841" s="39">
        <v>44</v>
      </c>
      <c r="M841">
        <v>2018</v>
      </c>
    </row>
    <row r="842" spans="1:13" ht="15">
      <c r="A842" t="s">
        <v>153</v>
      </c>
      <c r="B842" t="s">
        <v>154</v>
      </c>
      <c r="C842" s="15" t="s">
        <v>30</v>
      </c>
      <c r="D842" s="23" t="s">
        <v>81</v>
      </c>
      <c r="E842" s="25" t="s">
        <v>82</v>
      </c>
      <c r="F842" s="16" t="str">
        <f>'Source Table'!$E$6</f>
        <v>Private Sector</v>
      </c>
      <c r="G842" s="16" t="str">
        <f>'Source Table'!$E$5</f>
        <v>القطاع الخاص</v>
      </c>
      <c r="H842" t="str">
        <f>'Source Table'!$G$8</f>
        <v>Female</v>
      </c>
      <c r="I842" s="16" t="str">
        <f>'Source Table'!$G$7</f>
        <v>أنثى</v>
      </c>
      <c r="J842" s="25" t="str">
        <f>'Source Table'!$B$22</f>
        <v>Neurology/ Nervous</v>
      </c>
      <c r="K842" s="25" t="str">
        <f>'Source Table'!$I$22</f>
        <v>مرض الأعصاب</v>
      </c>
      <c r="L842" s="39">
        <v>1</v>
      </c>
      <c r="M842">
        <v>2018</v>
      </c>
    </row>
    <row r="843" spans="1:13" ht="15">
      <c r="A843" t="s">
        <v>153</v>
      </c>
      <c r="B843" t="s">
        <v>154</v>
      </c>
      <c r="C843" s="15" t="s">
        <v>30</v>
      </c>
      <c r="D843" s="23" t="s">
        <v>81</v>
      </c>
      <c r="E843" s="25" t="s">
        <v>82</v>
      </c>
      <c r="F843" s="16" t="str">
        <f>'Source Table'!$E$6</f>
        <v>Private Sector</v>
      </c>
      <c r="G843" s="16" t="str">
        <f>'Source Table'!$E$5</f>
        <v>القطاع الخاص</v>
      </c>
      <c r="H843" t="str">
        <f>'Source Table'!$G$8</f>
        <v>Female</v>
      </c>
      <c r="I843" s="16" t="str">
        <f>'Source Table'!$G$7</f>
        <v>أنثى</v>
      </c>
      <c r="J843" s="25" t="str">
        <f>'Source Table'!$B$23</f>
        <v>Pumologist</v>
      </c>
      <c r="K843" s="25" t="str">
        <f>'Source Table'!$I$23</f>
        <v>صدرية</v>
      </c>
      <c r="L843" s="39">
        <v>0</v>
      </c>
      <c r="M843">
        <v>2018</v>
      </c>
    </row>
    <row r="844" spans="1:13" ht="15">
      <c r="A844" t="s">
        <v>153</v>
      </c>
      <c r="B844" t="s">
        <v>154</v>
      </c>
      <c r="C844" s="15" t="s">
        <v>30</v>
      </c>
      <c r="D844" s="23" t="s">
        <v>81</v>
      </c>
      <c r="E844" s="25" t="s">
        <v>82</v>
      </c>
      <c r="F844" s="16" t="str">
        <f>'Source Table'!$E$6</f>
        <v>Private Sector</v>
      </c>
      <c r="G844" s="16" t="str">
        <f>'Source Table'!$E$5</f>
        <v>القطاع الخاص</v>
      </c>
      <c r="H844" t="str">
        <f>'Source Table'!$G$8</f>
        <v>Female</v>
      </c>
      <c r="I844" s="16" t="str">
        <f>'Source Table'!$G$7</f>
        <v>أنثى</v>
      </c>
      <c r="J844" s="25" t="str">
        <f>'Source Table'!$B$24</f>
        <v>G.I.T. Specialist</v>
      </c>
      <c r="K844" s="25" t="str">
        <f>'Source Table'!$I$24</f>
        <v>جهاز هضمي</v>
      </c>
      <c r="L844" s="39">
        <v>6</v>
      </c>
      <c r="M844">
        <v>2018</v>
      </c>
    </row>
    <row r="845" spans="1:13" ht="15">
      <c r="A845" t="s">
        <v>153</v>
      </c>
      <c r="B845" t="s">
        <v>154</v>
      </c>
      <c r="C845" s="15" t="s">
        <v>30</v>
      </c>
      <c r="D845" s="23" t="s">
        <v>81</v>
      </c>
      <c r="E845" s="25" t="s">
        <v>82</v>
      </c>
      <c r="F845" s="16" t="str">
        <f>'Source Table'!$E$6</f>
        <v>Private Sector</v>
      </c>
      <c r="G845" s="16" t="str">
        <f>'Source Table'!$E$5</f>
        <v>القطاع الخاص</v>
      </c>
      <c r="H845" t="str">
        <f>'Source Table'!$G$8</f>
        <v>Female</v>
      </c>
      <c r="I845" s="16" t="str">
        <f>'Source Table'!$G$7</f>
        <v>أنثى</v>
      </c>
      <c r="J845" s="25" t="str">
        <f>'Source Table'!$B$25</f>
        <v>Diagnostic Radiology</v>
      </c>
      <c r="K845" s="25" t="str">
        <f>'Source Table'!$I$25</f>
        <v>أشعة تشخيصية</v>
      </c>
      <c r="L845" s="39">
        <v>15</v>
      </c>
      <c r="M845">
        <v>2018</v>
      </c>
    </row>
    <row r="846" spans="1:13" ht="15">
      <c r="A846" t="s">
        <v>153</v>
      </c>
      <c r="B846" t="s">
        <v>154</v>
      </c>
      <c r="C846" s="15" t="s">
        <v>30</v>
      </c>
      <c r="D846" s="23" t="s">
        <v>81</v>
      </c>
      <c r="E846" s="25" t="s">
        <v>82</v>
      </c>
      <c r="F846" s="16" t="str">
        <f>'Source Table'!$E$6</f>
        <v>Private Sector</v>
      </c>
      <c r="G846" s="16" t="str">
        <f>'Source Table'!$E$5</f>
        <v>القطاع الخاص</v>
      </c>
      <c r="H846" t="str">
        <f>'Source Table'!$G$8</f>
        <v>Female</v>
      </c>
      <c r="I846" s="16" t="str">
        <f>'Source Table'!$G$7</f>
        <v>أنثى</v>
      </c>
      <c r="J846" s="25" t="str">
        <f>'Source Table'!$B$26</f>
        <v>Anesthetic</v>
      </c>
      <c r="K846" s="25" t="str">
        <f>'Source Table'!$I$26</f>
        <v>تخدير وإنعاش</v>
      </c>
      <c r="L846" s="39">
        <v>15</v>
      </c>
      <c r="M846">
        <v>2018</v>
      </c>
    </row>
    <row r="847" spans="1:13" ht="15">
      <c r="A847" t="s">
        <v>153</v>
      </c>
      <c r="B847" t="s">
        <v>154</v>
      </c>
      <c r="C847" s="15" t="s">
        <v>30</v>
      </c>
      <c r="D847" s="23" t="s">
        <v>81</v>
      </c>
      <c r="E847" s="25" t="s">
        <v>82</v>
      </c>
      <c r="F847" s="16" t="str">
        <f>'Source Table'!$E$6</f>
        <v>Private Sector</v>
      </c>
      <c r="G847" s="16" t="str">
        <f>'Source Table'!$E$5</f>
        <v>القطاع الخاص</v>
      </c>
      <c r="H847" t="str">
        <f>'Source Table'!$G$8</f>
        <v>Female</v>
      </c>
      <c r="I847" s="16" t="str">
        <f>'Source Table'!$G$7</f>
        <v>أنثى</v>
      </c>
      <c r="J847" s="25" t="str">
        <f>'Source Table'!$B$27</f>
        <v>Physiotherapist</v>
      </c>
      <c r="K847" s="25" t="str">
        <f>'Source Table'!$I$27</f>
        <v>طب طبيعي</v>
      </c>
      <c r="L847" s="39">
        <v>1</v>
      </c>
      <c r="M847">
        <v>2018</v>
      </c>
    </row>
    <row r="848" spans="1:13" ht="15">
      <c r="A848" t="s">
        <v>153</v>
      </c>
      <c r="B848" t="s">
        <v>154</v>
      </c>
      <c r="C848" s="15" t="s">
        <v>30</v>
      </c>
      <c r="D848" s="23" t="s">
        <v>81</v>
      </c>
      <c r="E848" s="25" t="s">
        <v>82</v>
      </c>
      <c r="F848" s="16" t="str">
        <f>'Source Table'!$E$6</f>
        <v>Private Sector</v>
      </c>
      <c r="G848" s="16" t="str">
        <f>'Source Table'!$E$5</f>
        <v>القطاع الخاص</v>
      </c>
      <c r="H848" t="str">
        <f>'Source Table'!$G$8</f>
        <v>Female</v>
      </c>
      <c r="I848" s="16" t="str">
        <f>'Source Table'!$G$7</f>
        <v>أنثى</v>
      </c>
      <c r="J848" s="25" t="str">
        <f>'Source Table'!$B$28</f>
        <v>Forensic</v>
      </c>
      <c r="K848" s="25" t="str">
        <f>'Source Table'!$I$28</f>
        <v>طب شرعي</v>
      </c>
      <c r="L848" s="39">
        <v>0</v>
      </c>
      <c r="M848">
        <v>2018</v>
      </c>
    </row>
    <row r="849" spans="1:13" ht="15">
      <c r="A849" t="s">
        <v>153</v>
      </c>
      <c r="B849" t="s">
        <v>154</v>
      </c>
      <c r="C849" s="15" t="s">
        <v>30</v>
      </c>
      <c r="D849" s="23" t="s">
        <v>81</v>
      </c>
      <c r="E849" s="25" t="s">
        <v>82</v>
      </c>
      <c r="F849" s="16" t="str">
        <f>'Source Table'!$E$6</f>
        <v>Private Sector</v>
      </c>
      <c r="G849" s="16" t="str">
        <f>'Source Table'!$E$5</f>
        <v>القطاع الخاص</v>
      </c>
      <c r="H849" t="str">
        <f>'Source Table'!$G$8</f>
        <v>Female</v>
      </c>
      <c r="I849" s="16" t="str">
        <f>'Source Table'!$G$7</f>
        <v>أنثى</v>
      </c>
      <c r="J849" s="25" t="str">
        <f>'Source Table'!$B$29</f>
        <v xml:space="preserve">Family </v>
      </c>
      <c r="K849" s="25" t="str">
        <f>'Source Table'!$I$29</f>
        <v>طب أسرة</v>
      </c>
      <c r="L849" s="39">
        <v>21</v>
      </c>
      <c r="M849">
        <v>2018</v>
      </c>
    </row>
    <row r="850" spans="1:13" ht="15">
      <c r="A850" t="s">
        <v>153</v>
      </c>
      <c r="B850" t="s">
        <v>154</v>
      </c>
      <c r="C850" s="15" t="s">
        <v>30</v>
      </c>
      <c r="D850" s="23" t="s">
        <v>81</v>
      </c>
      <c r="E850" s="25" t="s">
        <v>82</v>
      </c>
      <c r="F850" s="16" t="str">
        <f>'Source Table'!$E$6</f>
        <v>Private Sector</v>
      </c>
      <c r="G850" s="16" t="str">
        <f>'Source Table'!$E$5</f>
        <v>القطاع الخاص</v>
      </c>
      <c r="H850" t="str">
        <f>'Source Table'!$G$8</f>
        <v>Female</v>
      </c>
      <c r="I850" s="16" t="str">
        <f>'Source Table'!$G$7</f>
        <v>أنثى</v>
      </c>
      <c r="J850" s="25" t="str">
        <f>'Source Table'!$B$30</f>
        <v>Urologist</v>
      </c>
      <c r="K850" s="25" t="str">
        <f>'Source Table'!$I$30</f>
        <v xml:space="preserve">المسالك البولية </v>
      </c>
      <c r="L850" s="39">
        <v>2</v>
      </c>
      <c r="M850">
        <v>2018</v>
      </c>
    </row>
    <row r="851" spans="1:13" ht="15">
      <c r="A851" t="s">
        <v>153</v>
      </c>
      <c r="B851" t="s">
        <v>154</v>
      </c>
      <c r="C851" s="15" t="s">
        <v>30</v>
      </c>
      <c r="D851" s="23" t="s">
        <v>81</v>
      </c>
      <c r="E851" s="25" t="s">
        <v>82</v>
      </c>
      <c r="F851" s="16" t="str">
        <f>'Source Table'!$E$6</f>
        <v>Private Sector</v>
      </c>
      <c r="G851" s="16" t="str">
        <f>'Source Table'!$E$5</f>
        <v>القطاع الخاص</v>
      </c>
      <c r="H851" t="str">
        <f>'Source Table'!$G$8</f>
        <v>Female</v>
      </c>
      <c r="I851" s="16" t="str">
        <f>'Source Table'!$G$7</f>
        <v>أنثى</v>
      </c>
      <c r="J851" s="25" t="str">
        <f>'Source Table'!$B$31</f>
        <v>Cardiology</v>
      </c>
      <c r="K851" s="25" t="str">
        <f>'Source Table'!$I$31</f>
        <v>أمراض القلب</v>
      </c>
      <c r="L851" s="39">
        <v>5</v>
      </c>
      <c r="M851">
        <v>2018</v>
      </c>
    </row>
    <row r="852" spans="1:13" ht="15">
      <c r="A852" t="s">
        <v>153</v>
      </c>
      <c r="B852" t="s">
        <v>154</v>
      </c>
      <c r="C852" s="15" t="s">
        <v>30</v>
      </c>
      <c r="D852" s="23" t="s">
        <v>81</v>
      </c>
      <c r="E852" s="25" t="s">
        <v>82</v>
      </c>
      <c r="F852" s="16" t="str">
        <f>'Source Table'!$E$6</f>
        <v>Private Sector</v>
      </c>
      <c r="G852" s="16" t="str">
        <f>'Source Table'!$E$5</f>
        <v>القطاع الخاص</v>
      </c>
      <c r="H852" t="str">
        <f>'Source Table'!$G$8</f>
        <v>Female</v>
      </c>
      <c r="I852" s="16" t="str">
        <f>'Source Table'!$G$7</f>
        <v>أنثى</v>
      </c>
      <c r="J852" s="25" t="str">
        <f>'Source Table'!$B$32</f>
        <v>Laboratory</v>
      </c>
      <c r="K852" s="25" t="str">
        <f>'Source Table'!$I$32</f>
        <v>مختبرات</v>
      </c>
      <c r="L852" s="39">
        <v>1</v>
      </c>
      <c r="M852">
        <v>2018</v>
      </c>
    </row>
    <row r="853" spans="1:13" ht="15">
      <c r="A853" t="s">
        <v>153</v>
      </c>
      <c r="B853" t="s">
        <v>154</v>
      </c>
      <c r="C853" s="15" t="s">
        <v>30</v>
      </c>
      <c r="D853" s="23" t="s">
        <v>81</v>
      </c>
      <c r="E853" s="25" t="s">
        <v>82</v>
      </c>
      <c r="F853" s="16" t="str">
        <f>'Source Table'!$E$6</f>
        <v>Private Sector</v>
      </c>
      <c r="G853" s="16" t="str">
        <f>'Source Table'!$E$5</f>
        <v>القطاع الخاص</v>
      </c>
      <c r="H853" t="str">
        <f>'Source Table'!$G$8</f>
        <v>Female</v>
      </c>
      <c r="I853" s="16" t="str">
        <f>'Source Table'!$G$7</f>
        <v>أنثى</v>
      </c>
      <c r="J853" s="25" t="str">
        <f>'Source Table'!$B$33</f>
        <v>Others</v>
      </c>
      <c r="K853" s="25" t="str">
        <f>'Source Table'!$I$33</f>
        <v>أخرى</v>
      </c>
      <c r="L853" s="42">
        <v>25</v>
      </c>
      <c r="M853">
        <v>2018</v>
      </c>
    </row>
    <row r="854" spans="1:13" ht="15">
      <c r="A854" t="s">
        <v>153</v>
      </c>
      <c r="B854" t="s">
        <v>154</v>
      </c>
      <c r="C854" s="15" t="s">
        <v>30</v>
      </c>
      <c r="D854" s="23" t="s">
        <v>81</v>
      </c>
      <c r="E854" s="25" t="s">
        <v>82</v>
      </c>
      <c r="F854" t="str">
        <f>'Source Table'!$C$6</f>
        <v>Others</v>
      </c>
      <c r="G854" t="str">
        <f>'Source Table'!$C$5</f>
        <v>آخرون</v>
      </c>
      <c r="H854" t="str">
        <f>'Source Table'!$H$8</f>
        <v>Male</v>
      </c>
      <c r="I854" s="25" t="str">
        <f>'Source Table'!$H$7</f>
        <v>ذكر</v>
      </c>
      <c r="J854" s="25" t="str">
        <f>'Source Table'!$B$9</f>
        <v>General Practitioner</v>
      </c>
      <c r="K854" s="25" t="str">
        <f>'Source Table'!$I$9</f>
        <v>طبيب عام</v>
      </c>
      <c r="L854" s="39">
        <v>1214</v>
      </c>
      <c r="M854">
        <v>2018</v>
      </c>
    </row>
    <row r="855" spans="1:13" ht="15">
      <c r="A855" t="s">
        <v>153</v>
      </c>
      <c r="B855" t="s">
        <v>154</v>
      </c>
      <c r="C855" s="15" t="s">
        <v>30</v>
      </c>
      <c r="D855" s="23" t="s">
        <v>81</v>
      </c>
      <c r="E855" s="25" t="s">
        <v>82</v>
      </c>
      <c r="F855" t="str">
        <f>'Source Table'!$C$6</f>
        <v>Others</v>
      </c>
      <c r="G855" t="str">
        <f>'Source Table'!$C$5</f>
        <v>آخرون</v>
      </c>
      <c r="H855" t="str">
        <f>'Source Table'!$H$8</f>
        <v>Male</v>
      </c>
      <c r="I855" s="25" t="str">
        <f>'Source Table'!$H$7</f>
        <v>ذكر</v>
      </c>
      <c r="J855" s="25" t="str">
        <f>'Source Table'!$B$10</f>
        <v>Surgeon</v>
      </c>
      <c r="K855" s="25" t="str">
        <f>'Source Table'!$I$10</f>
        <v>جراحة عامة</v>
      </c>
      <c r="L855" s="39">
        <v>83</v>
      </c>
      <c r="M855">
        <v>2018</v>
      </c>
    </row>
    <row r="856" spans="1:13" ht="15">
      <c r="A856" t="s">
        <v>153</v>
      </c>
      <c r="B856" t="s">
        <v>154</v>
      </c>
      <c r="C856" s="15" t="s">
        <v>30</v>
      </c>
      <c r="D856" s="23" t="s">
        <v>81</v>
      </c>
      <c r="E856" s="25" t="s">
        <v>82</v>
      </c>
      <c r="F856" t="str">
        <f>'Source Table'!$C$6</f>
        <v>Others</v>
      </c>
      <c r="G856" t="str">
        <f>'Source Table'!$C$5</f>
        <v>آخرون</v>
      </c>
      <c r="H856" t="str">
        <f>'Source Table'!$H$8</f>
        <v>Male</v>
      </c>
      <c r="I856" s="25" t="str">
        <f>'Source Table'!$H$7</f>
        <v>ذكر</v>
      </c>
      <c r="J856" s="25" t="str">
        <f>'Source Table'!$B$11</f>
        <v>Internist</v>
      </c>
      <c r="K856" s="25" t="str">
        <f>'Source Table'!$I$11</f>
        <v>باطنية</v>
      </c>
      <c r="L856" s="39">
        <v>63</v>
      </c>
      <c r="M856">
        <v>2018</v>
      </c>
    </row>
    <row r="857" spans="1:13" ht="15">
      <c r="A857" t="s">
        <v>153</v>
      </c>
      <c r="B857" t="s">
        <v>154</v>
      </c>
      <c r="C857" s="15" t="s">
        <v>30</v>
      </c>
      <c r="D857" s="23" t="s">
        <v>81</v>
      </c>
      <c r="E857" s="25" t="s">
        <v>82</v>
      </c>
      <c r="F857" t="str">
        <f>'Source Table'!$C$6</f>
        <v>Others</v>
      </c>
      <c r="G857" t="str">
        <f>'Source Table'!$C$5</f>
        <v>آخرون</v>
      </c>
      <c r="H857" t="str">
        <f>'Source Table'!$H$8</f>
        <v>Male</v>
      </c>
      <c r="I857" s="25" t="str">
        <f>'Source Table'!$H$7</f>
        <v>ذكر</v>
      </c>
      <c r="J857" s="25" t="str">
        <f>'Source Table'!$B$12</f>
        <v>Gynecologist and Obst.</v>
      </c>
      <c r="K857" s="25" t="str">
        <f>'Source Table'!$I$12</f>
        <v>نسائية وتوليد</v>
      </c>
      <c r="L857" s="39">
        <v>59</v>
      </c>
      <c r="M857">
        <v>2018</v>
      </c>
    </row>
    <row r="858" spans="1:13" ht="15">
      <c r="A858" t="s">
        <v>153</v>
      </c>
      <c r="B858" t="s">
        <v>154</v>
      </c>
      <c r="C858" s="15" t="s">
        <v>30</v>
      </c>
      <c r="D858" s="23" t="s">
        <v>81</v>
      </c>
      <c r="E858" s="25" t="s">
        <v>82</v>
      </c>
      <c r="F858" t="str">
        <f>'Source Table'!$C$6</f>
        <v>Others</v>
      </c>
      <c r="G858" t="str">
        <f>'Source Table'!$C$5</f>
        <v>آخرون</v>
      </c>
      <c r="H858" t="str">
        <f>'Source Table'!$H$8</f>
        <v>Male</v>
      </c>
      <c r="I858" s="25" t="str">
        <f>'Source Table'!$H$7</f>
        <v>ذكر</v>
      </c>
      <c r="J858" s="25" t="str">
        <f>'Source Table'!$B$13</f>
        <v>Pediatrics</v>
      </c>
      <c r="K858" s="25" t="str">
        <f>'Source Table'!$I$13</f>
        <v>أطفال</v>
      </c>
      <c r="L858" s="39">
        <v>62</v>
      </c>
      <c r="M858">
        <v>2018</v>
      </c>
    </row>
    <row r="859" spans="1:13" ht="15">
      <c r="A859" t="s">
        <v>153</v>
      </c>
      <c r="B859" t="s">
        <v>154</v>
      </c>
      <c r="C859" s="15" t="s">
        <v>30</v>
      </c>
      <c r="D859" s="23" t="s">
        <v>81</v>
      </c>
      <c r="E859" s="25" t="s">
        <v>82</v>
      </c>
      <c r="F859" t="str">
        <f>'Source Table'!$C$6</f>
        <v>Others</v>
      </c>
      <c r="G859" t="str">
        <f>'Source Table'!$C$5</f>
        <v>آخرون</v>
      </c>
      <c r="H859" t="str">
        <f>'Source Table'!$H$8</f>
        <v>Male</v>
      </c>
      <c r="I859" s="25" t="str">
        <f>'Source Table'!$H$7</f>
        <v>ذكر</v>
      </c>
      <c r="J859" s="25" t="str">
        <f>'Source Table'!$B$14</f>
        <v>Ophthalmologist</v>
      </c>
      <c r="K859" s="25" t="str">
        <f>'Source Table'!$I$14</f>
        <v>العيون</v>
      </c>
      <c r="L859" s="39">
        <v>24</v>
      </c>
      <c r="M859">
        <v>2018</v>
      </c>
    </row>
    <row r="860" spans="1:13" ht="15">
      <c r="A860" t="s">
        <v>153</v>
      </c>
      <c r="B860" t="s">
        <v>154</v>
      </c>
      <c r="C860" s="15" t="s">
        <v>30</v>
      </c>
      <c r="D860" s="23" t="s">
        <v>81</v>
      </c>
      <c r="E860" s="25" t="s">
        <v>82</v>
      </c>
      <c r="F860" t="str">
        <f>'Source Table'!$C$6</f>
        <v>Others</v>
      </c>
      <c r="G860" t="str">
        <f>'Source Table'!$C$5</f>
        <v>آخرون</v>
      </c>
      <c r="H860" t="str">
        <f>'Source Table'!$H$8</f>
        <v>Male</v>
      </c>
      <c r="I860" s="25" t="str">
        <f>'Source Table'!$H$7</f>
        <v>ذكر</v>
      </c>
      <c r="J860" s="25" t="str">
        <f>'Source Table'!$B$15</f>
        <v>Orthopedic Surg.</v>
      </c>
      <c r="K860" s="25" t="str">
        <f>'Source Table'!$I$15</f>
        <v>العظام</v>
      </c>
      <c r="L860" s="39">
        <v>46</v>
      </c>
      <c r="M860">
        <v>2018</v>
      </c>
    </row>
    <row r="861" spans="1:13" ht="15">
      <c r="A861" t="s">
        <v>153</v>
      </c>
      <c r="B861" t="s">
        <v>154</v>
      </c>
      <c r="C861" s="15" t="s">
        <v>30</v>
      </c>
      <c r="D861" s="23" t="s">
        <v>81</v>
      </c>
      <c r="E861" s="25" t="s">
        <v>82</v>
      </c>
      <c r="F861" t="str">
        <f>'Source Table'!$C$6</f>
        <v>Others</v>
      </c>
      <c r="G861" t="str">
        <f>'Source Table'!$C$5</f>
        <v>آخرون</v>
      </c>
      <c r="H861" t="str">
        <f>'Source Table'!$H$8</f>
        <v>Male</v>
      </c>
      <c r="I861" s="25" t="str">
        <f>'Source Table'!$H$7</f>
        <v>ذكر</v>
      </c>
      <c r="J861" s="25" t="str">
        <f>'Source Table'!$B$16</f>
        <v>E.N.T.Surg.</v>
      </c>
      <c r="K861" s="25" t="str">
        <f>'Source Table'!$I$16</f>
        <v>أذن وأنف وحنجرة</v>
      </c>
      <c r="L861" s="39">
        <v>14</v>
      </c>
      <c r="M861">
        <v>2018</v>
      </c>
    </row>
    <row r="862" spans="1:13" ht="15">
      <c r="A862" t="s">
        <v>153</v>
      </c>
      <c r="B862" t="s">
        <v>154</v>
      </c>
      <c r="C862" s="15" t="s">
        <v>30</v>
      </c>
      <c r="D862" s="23" t="s">
        <v>81</v>
      </c>
      <c r="E862" s="25" t="s">
        <v>82</v>
      </c>
      <c r="F862" t="str">
        <f>'Source Table'!$C$6</f>
        <v>Others</v>
      </c>
      <c r="G862" t="str">
        <f>'Source Table'!$C$5</f>
        <v>آخرون</v>
      </c>
      <c r="H862" t="str">
        <f>'Source Table'!$H$8</f>
        <v>Male</v>
      </c>
      <c r="I862" s="25" t="str">
        <f>'Source Table'!$H$7</f>
        <v>ذكر</v>
      </c>
      <c r="J862" s="25" t="str">
        <f>'Source Table'!$B$17</f>
        <v>Neurosurgery</v>
      </c>
      <c r="K862" s="25" t="str">
        <f>'Source Table'!$I$17</f>
        <v>جراحةأعصاب</v>
      </c>
      <c r="L862" s="39">
        <v>12</v>
      </c>
      <c r="M862">
        <v>2018</v>
      </c>
    </row>
    <row r="863" spans="1:13" ht="15">
      <c r="A863" t="s">
        <v>153</v>
      </c>
      <c r="B863" t="s">
        <v>154</v>
      </c>
      <c r="C863" s="15" t="s">
        <v>30</v>
      </c>
      <c r="D863" s="23" t="s">
        <v>81</v>
      </c>
      <c r="E863" s="25" t="s">
        <v>82</v>
      </c>
      <c r="F863" t="str">
        <f>'Source Table'!$C$6</f>
        <v>Others</v>
      </c>
      <c r="G863" t="str">
        <f>'Source Table'!$C$5</f>
        <v>آخرون</v>
      </c>
      <c r="H863" t="str">
        <f>'Source Table'!$H$8</f>
        <v>Male</v>
      </c>
      <c r="I863" s="25" t="str">
        <f>'Source Table'!$H$7</f>
        <v>ذكر</v>
      </c>
      <c r="J863" s="25" t="str">
        <f>'Source Table'!$B$18</f>
        <v>Cardiothoracic</v>
      </c>
      <c r="K863" s="25" t="str">
        <f>'Source Table'!$I$18</f>
        <v>جراحة قلب</v>
      </c>
      <c r="L863" s="39">
        <v>4</v>
      </c>
      <c r="M863">
        <v>2018</v>
      </c>
    </row>
    <row r="864" spans="1:13" ht="15">
      <c r="A864" t="s">
        <v>153</v>
      </c>
      <c r="B864" t="s">
        <v>154</v>
      </c>
      <c r="C864" s="15" t="s">
        <v>30</v>
      </c>
      <c r="D864" s="23" t="s">
        <v>81</v>
      </c>
      <c r="E864" s="25" t="s">
        <v>82</v>
      </c>
      <c r="F864" t="str">
        <f>'Source Table'!$C$6</f>
        <v>Others</v>
      </c>
      <c r="G864" t="str">
        <f>'Source Table'!$C$5</f>
        <v>آخرون</v>
      </c>
      <c r="H864" t="str">
        <f>'Source Table'!$H$8</f>
        <v>Male</v>
      </c>
      <c r="I864" s="25" t="str">
        <f>'Source Table'!$H$7</f>
        <v>ذكر</v>
      </c>
      <c r="J864" s="25" t="str">
        <f>'Source Table'!$B$19</f>
        <v>Plastic Surgeon</v>
      </c>
      <c r="K864" s="25" t="str">
        <f>'Source Table'!$I$19</f>
        <v>التجميل</v>
      </c>
      <c r="L864" s="39">
        <v>3</v>
      </c>
      <c r="M864">
        <v>2018</v>
      </c>
    </row>
    <row r="865" spans="1:13" ht="15">
      <c r="A865" t="s">
        <v>153</v>
      </c>
      <c r="B865" t="s">
        <v>154</v>
      </c>
      <c r="C865" s="15" t="s">
        <v>30</v>
      </c>
      <c r="D865" s="23" t="s">
        <v>81</v>
      </c>
      <c r="E865" s="25" t="s">
        <v>82</v>
      </c>
      <c r="F865" t="str">
        <f>'Source Table'!$C$6</f>
        <v>Others</v>
      </c>
      <c r="G865" t="str">
        <f>'Source Table'!$C$5</f>
        <v>آخرون</v>
      </c>
      <c r="H865" t="str">
        <f>'Source Table'!$H$8</f>
        <v>Male</v>
      </c>
      <c r="I865" s="25" t="str">
        <f>'Source Table'!$H$7</f>
        <v>ذكر</v>
      </c>
      <c r="J865" s="25" t="str">
        <f>'Source Table'!$B$20</f>
        <v>Psychiatry</v>
      </c>
      <c r="K865" s="25" t="str">
        <f>'Source Table'!$I$20</f>
        <v>النفسية</v>
      </c>
      <c r="L865" s="39">
        <v>7</v>
      </c>
      <c r="M865">
        <v>2018</v>
      </c>
    </row>
    <row r="866" spans="1:13" ht="15">
      <c r="A866" t="s">
        <v>153</v>
      </c>
      <c r="B866" t="s">
        <v>154</v>
      </c>
      <c r="C866" s="15" t="s">
        <v>30</v>
      </c>
      <c r="D866" s="23" t="s">
        <v>81</v>
      </c>
      <c r="E866" s="25" t="s">
        <v>82</v>
      </c>
      <c r="F866" t="str">
        <f>'Source Table'!$C$6</f>
        <v>Others</v>
      </c>
      <c r="G866" t="str">
        <f>'Source Table'!$C$5</f>
        <v>آخرون</v>
      </c>
      <c r="H866" t="str">
        <f>'Source Table'!$H$8</f>
        <v>Male</v>
      </c>
      <c r="I866" s="25" t="str">
        <f>'Source Table'!$H$7</f>
        <v>ذكر</v>
      </c>
      <c r="J866" s="25" t="str">
        <f>'Source Table'!$B$21</f>
        <v>Dermatologist Venereal</v>
      </c>
      <c r="K866" s="25" t="str">
        <f>'Source Table'!$I$21</f>
        <v>جلدية وتناسلية</v>
      </c>
      <c r="L866" s="39">
        <v>18</v>
      </c>
      <c r="M866">
        <v>2018</v>
      </c>
    </row>
    <row r="867" spans="1:13" ht="15">
      <c r="A867" t="s">
        <v>153</v>
      </c>
      <c r="B867" t="s">
        <v>154</v>
      </c>
      <c r="C867" s="15" t="s">
        <v>30</v>
      </c>
      <c r="D867" s="23" t="s">
        <v>81</v>
      </c>
      <c r="E867" s="25" t="s">
        <v>82</v>
      </c>
      <c r="F867" t="str">
        <f>'Source Table'!$C$6</f>
        <v>Others</v>
      </c>
      <c r="G867" t="str">
        <f>'Source Table'!$C$5</f>
        <v>آخرون</v>
      </c>
      <c r="H867" t="str">
        <f>'Source Table'!$H$8</f>
        <v>Male</v>
      </c>
      <c r="I867" s="25" t="str">
        <f>'Source Table'!$H$7</f>
        <v>ذكر</v>
      </c>
      <c r="J867" s="25" t="str">
        <f>'Source Table'!$B$22</f>
        <v>Neurology/ Nervous</v>
      </c>
      <c r="K867" s="25" t="str">
        <f>'Source Table'!$I$22</f>
        <v>مرض الأعصاب</v>
      </c>
      <c r="L867" s="39">
        <v>3</v>
      </c>
      <c r="M867">
        <v>2018</v>
      </c>
    </row>
    <row r="868" spans="1:13" ht="15">
      <c r="A868" t="s">
        <v>153</v>
      </c>
      <c r="B868" t="s">
        <v>154</v>
      </c>
      <c r="C868" s="15" t="s">
        <v>30</v>
      </c>
      <c r="D868" s="23" t="s">
        <v>81</v>
      </c>
      <c r="E868" s="25" t="s">
        <v>82</v>
      </c>
      <c r="F868" t="str">
        <f>'Source Table'!$C$6</f>
        <v>Others</v>
      </c>
      <c r="G868" t="str">
        <f>'Source Table'!$C$5</f>
        <v>آخرون</v>
      </c>
      <c r="H868" t="str">
        <f>'Source Table'!$H$8</f>
        <v>Male</v>
      </c>
      <c r="I868" s="25" t="str">
        <f>'Source Table'!$H$7</f>
        <v>ذكر</v>
      </c>
      <c r="J868" s="25" t="str">
        <f>'Source Table'!$B$23</f>
        <v>Pumologist</v>
      </c>
      <c r="K868" s="25" t="str">
        <f>'Source Table'!$I$23</f>
        <v>صدرية</v>
      </c>
      <c r="L868" s="39">
        <v>6</v>
      </c>
      <c r="M868">
        <v>2018</v>
      </c>
    </row>
    <row r="869" spans="1:13" ht="15">
      <c r="A869" t="s">
        <v>153</v>
      </c>
      <c r="B869" t="s">
        <v>154</v>
      </c>
      <c r="C869" s="15" t="s">
        <v>30</v>
      </c>
      <c r="D869" s="23" t="s">
        <v>81</v>
      </c>
      <c r="E869" s="25" t="s">
        <v>82</v>
      </c>
      <c r="F869" t="str">
        <f>'Source Table'!$C$6</f>
        <v>Others</v>
      </c>
      <c r="G869" t="str">
        <f>'Source Table'!$C$5</f>
        <v>آخرون</v>
      </c>
      <c r="H869" t="str">
        <f>'Source Table'!$H$8</f>
        <v>Male</v>
      </c>
      <c r="I869" s="25" t="str">
        <f>'Source Table'!$H$7</f>
        <v>ذكر</v>
      </c>
      <c r="J869" s="25" t="str">
        <f>'Source Table'!$B$24</f>
        <v>G.I.T. Specialist</v>
      </c>
      <c r="K869" s="25" t="str">
        <f>'Source Table'!$I$24</f>
        <v>جهاز هضمي</v>
      </c>
      <c r="L869" s="39">
        <v>3</v>
      </c>
      <c r="M869">
        <v>2018</v>
      </c>
    </row>
    <row r="870" spans="1:13" ht="15">
      <c r="A870" t="s">
        <v>153</v>
      </c>
      <c r="B870" t="s">
        <v>154</v>
      </c>
      <c r="C870" s="15" t="s">
        <v>30</v>
      </c>
      <c r="D870" s="23" t="s">
        <v>81</v>
      </c>
      <c r="E870" s="25" t="s">
        <v>82</v>
      </c>
      <c r="F870" t="str">
        <f>'Source Table'!$C$6</f>
        <v>Others</v>
      </c>
      <c r="G870" t="str">
        <f>'Source Table'!$C$5</f>
        <v>آخرون</v>
      </c>
      <c r="H870" t="str">
        <f>'Source Table'!$H$8</f>
        <v>Male</v>
      </c>
      <c r="I870" s="25" t="str">
        <f>'Source Table'!$H$7</f>
        <v>ذكر</v>
      </c>
      <c r="J870" s="25" t="str">
        <f>'Source Table'!$B$25</f>
        <v>Diagnostic Radiology</v>
      </c>
      <c r="K870" s="25" t="str">
        <f>'Source Table'!$I$25</f>
        <v>أشعة تشخيصية</v>
      </c>
      <c r="L870" s="39">
        <v>32</v>
      </c>
      <c r="M870">
        <v>2018</v>
      </c>
    </row>
    <row r="871" spans="1:13" ht="15">
      <c r="A871" t="s">
        <v>153</v>
      </c>
      <c r="B871" t="s">
        <v>154</v>
      </c>
      <c r="C871" s="15" t="s">
        <v>30</v>
      </c>
      <c r="D871" s="23" t="s">
        <v>81</v>
      </c>
      <c r="E871" s="25" t="s">
        <v>82</v>
      </c>
      <c r="F871" t="str">
        <f>'Source Table'!$C$6</f>
        <v>Others</v>
      </c>
      <c r="G871" t="str">
        <f>'Source Table'!$C$5</f>
        <v>آخرون</v>
      </c>
      <c r="H871" t="str">
        <f>'Source Table'!$H$8</f>
        <v>Male</v>
      </c>
      <c r="I871" s="25" t="str">
        <f>'Source Table'!$H$7</f>
        <v>ذكر</v>
      </c>
      <c r="J871" s="25" t="str">
        <f>'Source Table'!$B$26</f>
        <v>Anesthetic</v>
      </c>
      <c r="K871" s="25" t="str">
        <f>'Source Table'!$I$26</f>
        <v>تخدير وإنعاش</v>
      </c>
      <c r="L871" s="39">
        <v>36</v>
      </c>
      <c r="M871">
        <v>2018</v>
      </c>
    </row>
    <row r="872" spans="1:13" ht="15">
      <c r="A872" t="s">
        <v>153</v>
      </c>
      <c r="B872" t="s">
        <v>154</v>
      </c>
      <c r="C872" s="15" t="s">
        <v>30</v>
      </c>
      <c r="D872" s="23" t="s">
        <v>81</v>
      </c>
      <c r="E872" s="25" t="s">
        <v>82</v>
      </c>
      <c r="F872" t="str">
        <f>'Source Table'!$C$6</f>
        <v>Others</v>
      </c>
      <c r="G872" t="str">
        <f>'Source Table'!$C$5</f>
        <v>آخرون</v>
      </c>
      <c r="H872" t="str">
        <f>'Source Table'!$H$8</f>
        <v>Male</v>
      </c>
      <c r="I872" s="25" t="str">
        <f>'Source Table'!$H$7</f>
        <v>ذكر</v>
      </c>
      <c r="J872" s="25" t="str">
        <f>'Source Table'!$B$27</f>
        <v>Physiotherapist</v>
      </c>
      <c r="K872" s="25" t="str">
        <f>'Source Table'!$I$27</f>
        <v>طب طبيعي</v>
      </c>
      <c r="L872" s="39">
        <v>0</v>
      </c>
      <c r="M872">
        <v>2018</v>
      </c>
    </row>
    <row r="873" spans="1:13" ht="15">
      <c r="A873" t="s">
        <v>153</v>
      </c>
      <c r="B873" t="s">
        <v>154</v>
      </c>
      <c r="C873" s="15" t="s">
        <v>30</v>
      </c>
      <c r="D873" s="23" t="s">
        <v>81</v>
      </c>
      <c r="E873" s="25" t="s">
        <v>82</v>
      </c>
      <c r="F873" t="str">
        <f>'Source Table'!$C$6</f>
        <v>Others</v>
      </c>
      <c r="G873" t="str">
        <f>'Source Table'!$C$5</f>
        <v>آخرون</v>
      </c>
      <c r="H873" t="str">
        <f>'Source Table'!$H$8</f>
        <v>Male</v>
      </c>
      <c r="I873" s="25" t="str">
        <f>'Source Table'!$H$7</f>
        <v>ذكر</v>
      </c>
      <c r="J873" s="25" t="str">
        <f>'Source Table'!$B$28</f>
        <v>Forensic</v>
      </c>
      <c r="K873" s="25" t="str">
        <f>'Source Table'!$I$28</f>
        <v>طب شرعي</v>
      </c>
      <c r="L873" s="39">
        <v>1</v>
      </c>
      <c r="M873">
        <v>2018</v>
      </c>
    </row>
    <row r="874" spans="1:13" ht="15">
      <c r="A874" t="s">
        <v>153</v>
      </c>
      <c r="B874" t="s">
        <v>154</v>
      </c>
      <c r="C874" s="15" t="s">
        <v>30</v>
      </c>
      <c r="D874" s="23" t="s">
        <v>81</v>
      </c>
      <c r="E874" s="25" t="s">
        <v>82</v>
      </c>
      <c r="F874" t="str">
        <f>'Source Table'!$C$6</f>
        <v>Others</v>
      </c>
      <c r="G874" t="str">
        <f>'Source Table'!$C$5</f>
        <v>آخرون</v>
      </c>
      <c r="H874" t="str">
        <f>'Source Table'!$H$8</f>
        <v>Male</v>
      </c>
      <c r="I874" s="25" t="str">
        <f>'Source Table'!$H$7</f>
        <v>ذكر</v>
      </c>
      <c r="J874" s="25" t="str">
        <f>'Source Table'!$B$29</f>
        <v xml:space="preserve">Family </v>
      </c>
      <c r="K874" s="25" t="str">
        <f>'Source Table'!$I$29</f>
        <v>طب أسرة</v>
      </c>
      <c r="L874" s="39">
        <v>16</v>
      </c>
      <c r="M874">
        <v>2018</v>
      </c>
    </row>
    <row r="875" spans="1:13" ht="15">
      <c r="A875" t="s">
        <v>153</v>
      </c>
      <c r="B875" t="s">
        <v>154</v>
      </c>
      <c r="C875" s="15" t="s">
        <v>30</v>
      </c>
      <c r="D875" s="23" t="s">
        <v>81</v>
      </c>
      <c r="E875" s="25" t="s">
        <v>82</v>
      </c>
      <c r="F875" t="str">
        <f>'Source Table'!$C$6</f>
        <v>Others</v>
      </c>
      <c r="G875" t="str">
        <f>'Source Table'!$C$5</f>
        <v>آخرون</v>
      </c>
      <c r="H875" t="str">
        <f>'Source Table'!$H$8</f>
        <v>Male</v>
      </c>
      <c r="I875" s="25" t="str">
        <f>'Source Table'!$H$7</f>
        <v>ذكر</v>
      </c>
      <c r="J875" s="25" t="str">
        <f>'Source Table'!$B$30</f>
        <v>Urologist</v>
      </c>
      <c r="K875" s="25" t="str">
        <f>'Source Table'!$I$30</f>
        <v xml:space="preserve">المسالك البولية </v>
      </c>
      <c r="L875" s="39">
        <v>22</v>
      </c>
      <c r="M875">
        <v>2018</v>
      </c>
    </row>
    <row r="876" spans="1:13" ht="15">
      <c r="A876" t="s">
        <v>153</v>
      </c>
      <c r="B876" t="s">
        <v>154</v>
      </c>
      <c r="C876" s="15" t="s">
        <v>30</v>
      </c>
      <c r="D876" s="23" t="s">
        <v>81</v>
      </c>
      <c r="E876" s="25" t="s">
        <v>82</v>
      </c>
      <c r="F876" t="str">
        <f>'Source Table'!$C$6</f>
        <v>Others</v>
      </c>
      <c r="G876" t="str">
        <f>'Source Table'!$C$5</f>
        <v>آخرون</v>
      </c>
      <c r="H876" t="str">
        <f>'Source Table'!$H$8</f>
        <v>Male</v>
      </c>
      <c r="I876" s="25" t="str">
        <f>'Source Table'!$H$7</f>
        <v>ذكر</v>
      </c>
      <c r="J876" s="25" t="str">
        <f>'Source Table'!$B$31</f>
        <v>Cardiology</v>
      </c>
      <c r="K876" s="25" t="str">
        <f>'Source Table'!$I$31</f>
        <v>أمراض القلب</v>
      </c>
      <c r="L876" s="39">
        <v>15</v>
      </c>
      <c r="M876">
        <v>2018</v>
      </c>
    </row>
    <row r="877" spans="1:13" ht="15">
      <c r="A877" t="s">
        <v>153</v>
      </c>
      <c r="B877" t="s">
        <v>154</v>
      </c>
      <c r="C877" s="15" t="s">
        <v>30</v>
      </c>
      <c r="D877" s="23" t="s">
        <v>81</v>
      </c>
      <c r="E877" s="25" t="s">
        <v>82</v>
      </c>
      <c r="F877" t="str">
        <f>'Source Table'!$C$6</f>
        <v>Others</v>
      </c>
      <c r="G877" t="str">
        <f>'Source Table'!$C$5</f>
        <v>آخرون</v>
      </c>
      <c r="H877" t="str">
        <f>'Source Table'!$H$8</f>
        <v>Male</v>
      </c>
      <c r="I877" s="25" t="str">
        <f>'Source Table'!$H$7</f>
        <v>ذكر</v>
      </c>
      <c r="J877" s="25" t="str">
        <f>'Source Table'!$B$32</f>
        <v>Laboratory</v>
      </c>
      <c r="K877" s="25" t="str">
        <f>'Source Table'!$I$32</f>
        <v>مختبرات</v>
      </c>
      <c r="L877" s="39">
        <v>7</v>
      </c>
      <c r="M877">
        <v>2018</v>
      </c>
    </row>
    <row r="878" spans="1:13" ht="15">
      <c r="A878" t="s">
        <v>153</v>
      </c>
      <c r="B878" t="s">
        <v>154</v>
      </c>
      <c r="C878" s="15" t="s">
        <v>30</v>
      </c>
      <c r="D878" s="23" t="s">
        <v>81</v>
      </c>
      <c r="E878" s="25" t="s">
        <v>82</v>
      </c>
      <c r="F878" t="str">
        <f>'Source Table'!$C$6</f>
        <v>Others</v>
      </c>
      <c r="G878" t="str">
        <f>'Source Table'!$C$5</f>
        <v>آخرون</v>
      </c>
      <c r="H878" t="str">
        <f>'Source Table'!$H$8</f>
        <v>Male</v>
      </c>
      <c r="I878" s="25" t="str">
        <f>'Source Table'!$H$7</f>
        <v>ذكر</v>
      </c>
      <c r="J878" s="25" t="str">
        <f>'Source Table'!$B$33</f>
        <v>Others</v>
      </c>
      <c r="K878" s="25" t="str">
        <f>'Source Table'!$I$33</f>
        <v>أخرى</v>
      </c>
      <c r="L878" s="42">
        <v>43</v>
      </c>
      <c r="M878">
        <v>2018</v>
      </c>
    </row>
    <row r="879" spans="1:13" ht="15">
      <c r="A879" t="s">
        <v>153</v>
      </c>
      <c r="B879" t="s">
        <v>154</v>
      </c>
      <c r="C879" s="15" t="s">
        <v>30</v>
      </c>
      <c r="D879" s="23" t="s">
        <v>81</v>
      </c>
      <c r="E879" s="25" t="s">
        <v>82</v>
      </c>
      <c r="F879" t="str">
        <f>'Source Table'!$C$6</f>
        <v>Others</v>
      </c>
      <c r="G879" t="str">
        <f>'Source Table'!$C$5</f>
        <v>آخرون</v>
      </c>
      <c r="H879" t="str">
        <f>'Source Table'!$G$8</f>
        <v>Female</v>
      </c>
      <c r="I879" s="16" t="str">
        <f>'Source Table'!$G$7</f>
        <v>أنثى</v>
      </c>
      <c r="J879" s="25" t="str">
        <f>'Source Table'!$B$9</f>
        <v>General Practitioner</v>
      </c>
      <c r="K879" s="25" t="str">
        <f>'Source Table'!$I$9</f>
        <v>طبيب عام</v>
      </c>
      <c r="L879" s="39">
        <v>3297</v>
      </c>
      <c r="M879">
        <v>2018</v>
      </c>
    </row>
    <row r="880" spans="1:13" ht="15">
      <c r="A880" t="s">
        <v>153</v>
      </c>
      <c r="B880" t="s">
        <v>154</v>
      </c>
      <c r="C880" s="15" t="s">
        <v>30</v>
      </c>
      <c r="D880" s="23" t="s">
        <v>81</v>
      </c>
      <c r="E880" s="25" t="s">
        <v>82</v>
      </c>
      <c r="F880" t="str">
        <f>'Source Table'!$C$6</f>
        <v>Others</v>
      </c>
      <c r="G880" t="str">
        <f>'Source Table'!$C$5</f>
        <v>آخرون</v>
      </c>
      <c r="H880" t="str">
        <f>'Source Table'!$G$8</f>
        <v>Female</v>
      </c>
      <c r="I880" s="16" t="str">
        <f>'Source Table'!$G$7</f>
        <v>أنثى</v>
      </c>
      <c r="J880" s="25" t="str">
        <f>'Source Table'!$B$10</f>
        <v>Surgeon</v>
      </c>
      <c r="K880" s="25" t="str">
        <f>'Source Table'!$I$10</f>
        <v>جراحة عامة</v>
      </c>
      <c r="L880" s="40">
        <v>7</v>
      </c>
      <c r="M880">
        <v>2018</v>
      </c>
    </row>
    <row r="881" spans="1:13" ht="15">
      <c r="A881" t="s">
        <v>153</v>
      </c>
      <c r="B881" t="s">
        <v>154</v>
      </c>
      <c r="C881" s="15" t="s">
        <v>30</v>
      </c>
      <c r="D881" s="23" t="s">
        <v>81</v>
      </c>
      <c r="E881" s="25" t="s">
        <v>82</v>
      </c>
      <c r="F881" t="str">
        <f>'Source Table'!$C$6</f>
        <v>Others</v>
      </c>
      <c r="G881" t="str">
        <f>'Source Table'!$C$5</f>
        <v>آخرون</v>
      </c>
      <c r="H881" t="str">
        <f>'Source Table'!$G$8</f>
        <v>Female</v>
      </c>
      <c r="I881" s="16" t="str">
        <f>'Source Table'!$G$7</f>
        <v>أنثى</v>
      </c>
      <c r="J881" s="25" t="str">
        <f>'Source Table'!$B$11</f>
        <v>Internist</v>
      </c>
      <c r="K881" s="25" t="str">
        <f>'Source Table'!$I$11</f>
        <v>باطنية</v>
      </c>
      <c r="L881" s="40">
        <v>26</v>
      </c>
      <c r="M881">
        <v>2018</v>
      </c>
    </row>
    <row r="882" spans="1:13" ht="15">
      <c r="A882" t="s">
        <v>153</v>
      </c>
      <c r="B882" t="s">
        <v>154</v>
      </c>
      <c r="C882" s="15" t="s">
        <v>30</v>
      </c>
      <c r="D882" s="23" t="s">
        <v>81</v>
      </c>
      <c r="E882" s="25" t="s">
        <v>82</v>
      </c>
      <c r="F882" t="str">
        <f>'Source Table'!$C$6</f>
        <v>Others</v>
      </c>
      <c r="G882" t="str">
        <f>'Source Table'!$C$5</f>
        <v>آخرون</v>
      </c>
      <c r="H882" t="str">
        <f>'Source Table'!$G$8</f>
        <v>Female</v>
      </c>
      <c r="I882" s="16" t="str">
        <f>'Source Table'!$G$7</f>
        <v>أنثى</v>
      </c>
      <c r="J882" s="25" t="str">
        <f>'Source Table'!$B$12</f>
        <v>Gynecologist and Obst.</v>
      </c>
      <c r="K882" s="25" t="str">
        <f>'Source Table'!$I$12</f>
        <v>نسائية وتوليد</v>
      </c>
      <c r="L882" s="40">
        <v>67</v>
      </c>
      <c r="M882">
        <v>2018</v>
      </c>
    </row>
    <row r="883" spans="1:13" ht="15">
      <c r="A883" t="s">
        <v>153</v>
      </c>
      <c r="B883" t="s">
        <v>154</v>
      </c>
      <c r="C883" s="15" t="s">
        <v>30</v>
      </c>
      <c r="D883" s="23" t="s">
        <v>81</v>
      </c>
      <c r="E883" s="25" t="s">
        <v>82</v>
      </c>
      <c r="F883" t="str">
        <f>'Source Table'!$C$6</f>
        <v>Others</v>
      </c>
      <c r="G883" t="str">
        <f>'Source Table'!$C$5</f>
        <v>آخرون</v>
      </c>
      <c r="H883" t="str">
        <f>'Source Table'!$G$8</f>
        <v>Female</v>
      </c>
      <c r="I883" s="16" t="str">
        <f>'Source Table'!$G$7</f>
        <v>أنثى</v>
      </c>
      <c r="J883" s="25" t="str">
        <f>'Source Table'!$B$13</f>
        <v>Pediatrics</v>
      </c>
      <c r="K883" s="25" t="str">
        <f>'Source Table'!$I$13</f>
        <v>أطفال</v>
      </c>
      <c r="L883" s="40">
        <v>54</v>
      </c>
      <c r="M883">
        <v>2018</v>
      </c>
    </row>
    <row r="884" spans="1:13" ht="15">
      <c r="A884" t="s">
        <v>153</v>
      </c>
      <c r="B884" t="s">
        <v>154</v>
      </c>
      <c r="C884" s="15" t="s">
        <v>30</v>
      </c>
      <c r="D884" s="23" t="s">
        <v>81</v>
      </c>
      <c r="E884" s="25" t="s">
        <v>82</v>
      </c>
      <c r="F884" t="str">
        <f>'Source Table'!$C$6</f>
        <v>Others</v>
      </c>
      <c r="G884" t="str">
        <f>'Source Table'!$C$5</f>
        <v>آخرون</v>
      </c>
      <c r="H884" t="str">
        <f>'Source Table'!$G$8</f>
        <v>Female</v>
      </c>
      <c r="I884" s="16" t="str">
        <f>'Source Table'!$G$7</f>
        <v>أنثى</v>
      </c>
      <c r="J884" s="25" t="str">
        <f>'Source Table'!$B$14</f>
        <v>Ophthalmologist</v>
      </c>
      <c r="K884" s="25" t="str">
        <f>'Source Table'!$I$14</f>
        <v>العيون</v>
      </c>
      <c r="L884" s="40">
        <v>12</v>
      </c>
      <c r="M884">
        <v>2018</v>
      </c>
    </row>
    <row r="885" spans="1:13" ht="15">
      <c r="A885" t="s">
        <v>153</v>
      </c>
      <c r="B885" t="s">
        <v>154</v>
      </c>
      <c r="C885" s="15" t="s">
        <v>30</v>
      </c>
      <c r="D885" s="23" t="s">
        <v>81</v>
      </c>
      <c r="E885" s="25" t="s">
        <v>82</v>
      </c>
      <c r="F885" t="str">
        <f>'Source Table'!$C$6</f>
        <v>Others</v>
      </c>
      <c r="G885" t="str">
        <f>'Source Table'!$C$5</f>
        <v>آخرون</v>
      </c>
      <c r="H885" t="str">
        <f>'Source Table'!$G$8</f>
        <v>Female</v>
      </c>
      <c r="I885" s="16" t="str">
        <f>'Source Table'!$G$7</f>
        <v>أنثى</v>
      </c>
      <c r="J885" s="25" t="str">
        <f>'Source Table'!$B$15</f>
        <v>Orthopedic Surg.</v>
      </c>
      <c r="K885" s="25" t="str">
        <f>'Source Table'!$I$15</f>
        <v>العظام</v>
      </c>
      <c r="L885" s="40">
        <v>0</v>
      </c>
      <c r="M885">
        <v>2018</v>
      </c>
    </row>
    <row r="886" spans="1:13" ht="15">
      <c r="A886" t="s">
        <v>153</v>
      </c>
      <c r="B886" t="s">
        <v>154</v>
      </c>
      <c r="C886" s="15" t="s">
        <v>30</v>
      </c>
      <c r="D886" s="23" t="s">
        <v>81</v>
      </c>
      <c r="E886" s="25" t="s">
        <v>82</v>
      </c>
      <c r="F886" t="str">
        <f>'Source Table'!$C$6</f>
        <v>Others</v>
      </c>
      <c r="G886" t="str">
        <f>'Source Table'!$C$5</f>
        <v>آخرون</v>
      </c>
      <c r="H886" t="str">
        <f>'Source Table'!$G$8</f>
        <v>Female</v>
      </c>
      <c r="I886" s="16" t="str">
        <f>'Source Table'!$G$7</f>
        <v>أنثى</v>
      </c>
      <c r="J886" s="25" t="str">
        <f>'Source Table'!$B$16</f>
        <v>E.N.T.Surg.</v>
      </c>
      <c r="K886" s="25" t="str">
        <f>'Source Table'!$I$16</f>
        <v>أذن وأنف وحنجرة</v>
      </c>
      <c r="L886" s="40">
        <v>5</v>
      </c>
      <c r="M886">
        <v>2018</v>
      </c>
    </row>
    <row r="887" spans="1:13" ht="15">
      <c r="A887" t="s">
        <v>153</v>
      </c>
      <c r="B887" t="s">
        <v>154</v>
      </c>
      <c r="C887" s="15" t="s">
        <v>30</v>
      </c>
      <c r="D887" s="23" t="s">
        <v>81</v>
      </c>
      <c r="E887" s="25" t="s">
        <v>82</v>
      </c>
      <c r="F887" t="str">
        <f>'Source Table'!$C$6</f>
        <v>Others</v>
      </c>
      <c r="G887" t="str">
        <f>'Source Table'!$C$5</f>
        <v>آخرون</v>
      </c>
      <c r="H887" t="str">
        <f>'Source Table'!$G$8</f>
        <v>Female</v>
      </c>
      <c r="I887" s="16" t="str">
        <f>'Source Table'!$G$7</f>
        <v>أنثى</v>
      </c>
      <c r="J887" s="25" t="str">
        <f>'Source Table'!$B$17</f>
        <v>Neurosurgery</v>
      </c>
      <c r="K887" s="25" t="str">
        <f>'Source Table'!$I$17</f>
        <v>جراحةأعصاب</v>
      </c>
      <c r="L887" s="39">
        <v>0</v>
      </c>
      <c r="M887">
        <v>2018</v>
      </c>
    </row>
    <row r="888" spans="1:13" ht="15">
      <c r="A888" t="s">
        <v>153</v>
      </c>
      <c r="B888" t="s">
        <v>154</v>
      </c>
      <c r="C888" s="15" t="s">
        <v>30</v>
      </c>
      <c r="D888" s="23" t="s">
        <v>81</v>
      </c>
      <c r="E888" s="25" t="s">
        <v>82</v>
      </c>
      <c r="F888" t="str">
        <f>'Source Table'!$C$6</f>
        <v>Others</v>
      </c>
      <c r="G888" t="str">
        <f>'Source Table'!$C$5</f>
        <v>آخرون</v>
      </c>
      <c r="H888" t="str">
        <f>'Source Table'!$G$8</f>
        <v>Female</v>
      </c>
      <c r="I888" s="16" t="str">
        <f>'Source Table'!$G$7</f>
        <v>أنثى</v>
      </c>
      <c r="J888" s="25" t="str">
        <f>'Source Table'!$B$18</f>
        <v>Cardiothoracic</v>
      </c>
      <c r="K888" s="25" t="str">
        <f>'Source Table'!$I$18</f>
        <v>جراحة قلب</v>
      </c>
      <c r="L888" s="39">
        <v>0</v>
      </c>
      <c r="M888">
        <v>2018</v>
      </c>
    </row>
    <row r="889" spans="1:13" ht="15">
      <c r="A889" t="s">
        <v>153</v>
      </c>
      <c r="B889" t="s">
        <v>154</v>
      </c>
      <c r="C889" s="15" t="s">
        <v>30</v>
      </c>
      <c r="D889" s="23" t="s">
        <v>81</v>
      </c>
      <c r="E889" s="25" t="s">
        <v>82</v>
      </c>
      <c r="F889" t="str">
        <f>'Source Table'!$C$6</f>
        <v>Others</v>
      </c>
      <c r="G889" t="str">
        <f>'Source Table'!$C$5</f>
        <v>آخرون</v>
      </c>
      <c r="H889" t="str">
        <f>'Source Table'!$G$8</f>
        <v>Female</v>
      </c>
      <c r="I889" s="16" t="str">
        <f>'Source Table'!$G$7</f>
        <v>أنثى</v>
      </c>
      <c r="J889" s="25" t="str">
        <f>'Source Table'!$B$19</f>
        <v>Plastic Surgeon</v>
      </c>
      <c r="K889" s="25" t="str">
        <f>'Source Table'!$I$19</f>
        <v>التجميل</v>
      </c>
      <c r="L889" s="39">
        <v>0</v>
      </c>
      <c r="M889">
        <v>2018</v>
      </c>
    </row>
    <row r="890" spans="1:13" ht="15">
      <c r="A890" t="s">
        <v>153</v>
      </c>
      <c r="B890" t="s">
        <v>154</v>
      </c>
      <c r="C890" s="15" t="s">
        <v>30</v>
      </c>
      <c r="D890" s="23" t="s">
        <v>81</v>
      </c>
      <c r="E890" s="25" t="s">
        <v>82</v>
      </c>
      <c r="F890" t="str">
        <f>'Source Table'!$C$6</f>
        <v>Others</v>
      </c>
      <c r="G890" t="str">
        <f>'Source Table'!$C$5</f>
        <v>آخرون</v>
      </c>
      <c r="H890" t="str">
        <f>'Source Table'!$G$8</f>
        <v>Female</v>
      </c>
      <c r="I890" s="16" t="str">
        <f>'Source Table'!$G$7</f>
        <v>أنثى</v>
      </c>
      <c r="J890" s="25" t="str">
        <f>'Source Table'!$B$20</f>
        <v>Psychiatry</v>
      </c>
      <c r="K890" s="25" t="str">
        <f>'Source Table'!$I$20</f>
        <v>النفسية</v>
      </c>
      <c r="L890" s="39">
        <v>1</v>
      </c>
      <c r="M890">
        <v>2018</v>
      </c>
    </row>
    <row r="891" spans="1:13" ht="15">
      <c r="A891" t="s">
        <v>153</v>
      </c>
      <c r="B891" t="s">
        <v>154</v>
      </c>
      <c r="C891" s="15" t="s">
        <v>30</v>
      </c>
      <c r="D891" s="23" t="s">
        <v>81</v>
      </c>
      <c r="E891" s="25" t="s">
        <v>82</v>
      </c>
      <c r="F891" t="str">
        <f>'Source Table'!$C$6</f>
        <v>Others</v>
      </c>
      <c r="G891" t="str">
        <f>'Source Table'!$C$5</f>
        <v>آخرون</v>
      </c>
      <c r="H891" t="str">
        <f>'Source Table'!$G$8</f>
        <v>Female</v>
      </c>
      <c r="I891" s="16" t="str">
        <f>'Source Table'!$G$7</f>
        <v>أنثى</v>
      </c>
      <c r="J891" s="25" t="str">
        <f>'Source Table'!$B$21</f>
        <v>Dermatologist Venereal</v>
      </c>
      <c r="K891" s="25" t="str">
        <f>'Source Table'!$I$21</f>
        <v>جلدية وتناسلية</v>
      </c>
      <c r="L891" s="40">
        <v>24</v>
      </c>
      <c r="M891">
        <v>2018</v>
      </c>
    </row>
    <row r="892" spans="1:13" ht="15">
      <c r="A892" t="s">
        <v>153</v>
      </c>
      <c r="B892" t="s">
        <v>154</v>
      </c>
      <c r="C892" s="15" t="s">
        <v>30</v>
      </c>
      <c r="D892" s="23" t="s">
        <v>81</v>
      </c>
      <c r="E892" s="25" t="s">
        <v>82</v>
      </c>
      <c r="F892" t="str">
        <f>'Source Table'!$C$6</f>
        <v>Others</v>
      </c>
      <c r="G892" t="str">
        <f>'Source Table'!$C$5</f>
        <v>آخرون</v>
      </c>
      <c r="H892" t="str">
        <f>'Source Table'!$G$8</f>
        <v>Female</v>
      </c>
      <c r="I892" s="16" t="str">
        <f>'Source Table'!$G$7</f>
        <v>أنثى</v>
      </c>
      <c r="J892" s="25" t="str">
        <f>'Source Table'!$B$22</f>
        <v>Neurology/ Nervous</v>
      </c>
      <c r="K892" s="25" t="str">
        <f>'Source Table'!$I$22</f>
        <v>مرض الأعصاب</v>
      </c>
      <c r="L892" s="40">
        <v>0</v>
      </c>
      <c r="M892">
        <v>2018</v>
      </c>
    </row>
    <row r="893" spans="1:13" ht="15">
      <c r="A893" t="s">
        <v>153</v>
      </c>
      <c r="B893" t="s">
        <v>154</v>
      </c>
      <c r="C893" s="15" t="s">
        <v>30</v>
      </c>
      <c r="D893" s="23" t="s">
        <v>81</v>
      </c>
      <c r="E893" s="25" t="s">
        <v>82</v>
      </c>
      <c r="F893" t="str">
        <f>'Source Table'!$C$6</f>
        <v>Others</v>
      </c>
      <c r="G893" t="str">
        <f>'Source Table'!$C$5</f>
        <v>آخرون</v>
      </c>
      <c r="H893" t="str">
        <f>'Source Table'!$G$8</f>
        <v>Female</v>
      </c>
      <c r="I893" s="16" t="str">
        <f>'Source Table'!$G$7</f>
        <v>أنثى</v>
      </c>
      <c r="J893" s="25" t="str">
        <f>'Source Table'!$B$23</f>
        <v>Pumologist</v>
      </c>
      <c r="K893" s="25" t="str">
        <f>'Source Table'!$I$23</f>
        <v>صدرية</v>
      </c>
      <c r="L893" s="40">
        <v>1</v>
      </c>
      <c r="M893">
        <v>2018</v>
      </c>
    </row>
    <row r="894" spans="1:13" ht="15">
      <c r="A894" t="s">
        <v>153</v>
      </c>
      <c r="B894" t="s">
        <v>154</v>
      </c>
      <c r="C894" s="15" t="s">
        <v>30</v>
      </c>
      <c r="D894" s="23" t="s">
        <v>81</v>
      </c>
      <c r="E894" s="25" t="s">
        <v>82</v>
      </c>
      <c r="F894" t="str">
        <f>'Source Table'!$C$6</f>
        <v>Others</v>
      </c>
      <c r="G894" t="str">
        <f>'Source Table'!$C$5</f>
        <v>آخرون</v>
      </c>
      <c r="H894" t="str">
        <f>'Source Table'!$G$8</f>
        <v>Female</v>
      </c>
      <c r="I894" s="16" t="str">
        <f>'Source Table'!$G$7</f>
        <v>أنثى</v>
      </c>
      <c r="J894" s="25" t="str">
        <f>'Source Table'!$B$24</f>
        <v>G.I.T. Specialist</v>
      </c>
      <c r="K894" s="25" t="str">
        <f>'Source Table'!$I$24</f>
        <v>جهاز هضمي</v>
      </c>
      <c r="L894" s="40">
        <v>1</v>
      </c>
      <c r="M894">
        <v>2018</v>
      </c>
    </row>
    <row r="895" spans="1:13" ht="15">
      <c r="A895" t="s">
        <v>153</v>
      </c>
      <c r="B895" t="s">
        <v>154</v>
      </c>
      <c r="C895" s="15" t="s">
        <v>30</v>
      </c>
      <c r="D895" s="23" t="s">
        <v>81</v>
      </c>
      <c r="E895" s="25" t="s">
        <v>82</v>
      </c>
      <c r="F895" t="str">
        <f>'Source Table'!$C$6</f>
        <v>Others</v>
      </c>
      <c r="G895" t="str">
        <f>'Source Table'!$C$5</f>
        <v>آخرون</v>
      </c>
      <c r="H895" t="str">
        <f>'Source Table'!$G$8</f>
        <v>Female</v>
      </c>
      <c r="I895" s="16" t="str">
        <f>'Source Table'!$G$7</f>
        <v>أنثى</v>
      </c>
      <c r="J895" s="25" t="str">
        <f>'Source Table'!$B$25</f>
        <v>Diagnostic Radiology</v>
      </c>
      <c r="K895" s="25" t="str">
        <f>'Source Table'!$I$25</f>
        <v>أشعة تشخيصية</v>
      </c>
      <c r="L895" s="40">
        <v>16</v>
      </c>
      <c r="M895">
        <v>2018</v>
      </c>
    </row>
    <row r="896" spans="1:13" ht="15">
      <c r="A896" t="s">
        <v>153</v>
      </c>
      <c r="B896" t="s">
        <v>154</v>
      </c>
      <c r="C896" s="15" t="s">
        <v>30</v>
      </c>
      <c r="D896" s="23" t="s">
        <v>81</v>
      </c>
      <c r="E896" s="25" t="s">
        <v>82</v>
      </c>
      <c r="F896" t="str">
        <f>'Source Table'!$C$6</f>
        <v>Others</v>
      </c>
      <c r="G896" t="str">
        <f>'Source Table'!$C$5</f>
        <v>آخرون</v>
      </c>
      <c r="H896" t="str">
        <f>'Source Table'!$G$8</f>
        <v>Female</v>
      </c>
      <c r="I896" s="16" t="str">
        <f>'Source Table'!$G$7</f>
        <v>أنثى</v>
      </c>
      <c r="J896" s="25" t="str">
        <f>'Source Table'!$B$26</f>
        <v>Anesthetic</v>
      </c>
      <c r="K896" s="25" t="str">
        <f>'Source Table'!$I$26</f>
        <v>تخدير وإنعاش</v>
      </c>
      <c r="L896" s="40">
        <v>5</v>
      </c>
      <c r="M896">
        <v>2018</v>
      </c>
    </row>
    <row r="897" spans="1:13" ht="15">
      <c r="A897" t="s">
        <v>153</v>
      </c>
      <c r="B897" t="s">
        <v>154</v>
      </c>
      <c r="C897" s="15" t="s">
        <v>30</v>
      </c>
      <c r="D897" s="23" t="s">
        <v>81</v>
      </c>
      <c r="E897" s="25" t="s">
        <v>82</v>
      </c>
      <c r="F897" t="str">
        <f>'Source Table'!$C$6</f>
        <v>Others</v>
      </c>
      <c r="G897" t="str">
        <f>'Source Table'!$C$5</f>
        <v>آخرون</v>
      </c>
      <c r="H897" t="str">
        <f>'Source Table'!$G$8</f>
        <v>Female</v>
      </c>
      <c r="I897" s="16" t="str">
        <f>'Source Table'!$G$7</f>
        <v>أنثى</v>
      </c>
      <c r="J897" s="25" t="str">
        <f>'Source Table'!$B$27</f>
        <v>Physiotherapist</v>
      </c>
      <c r="K897" s="25" t="str">
        <f>'Source Table'!$I$27</f>
        <v>طب طبيعي</v>
      </c>
      <c r="L897" s="39">
        <v>0</v>
      </c>
      <c r="M897">
        <v>2018</v>
      </c>
    </row>
    <row r="898" spans="1:13" ht="15">
      <c r="A898" t="s">
        <v>153</v>
      </c>
      <c r="B898" t="s">
        <v>154</v>
      </c>
      <c r="C898" s="15" t="s">
        <v>30</v>
      </c>
      <c r="D898" s="23" t="s">
        <v>81</v>
      </c>
      <c r="E898" s="25" t="s">
        <v>82</v>
      </c>
      <c r="F898" t="str">
        <f>'Source Table'!$C$6</f>
        <v>Others</v>
      </c>
      <c r="G898" t="str">
        <f>'Source Table'!$C$5</f>
        <v>آخرون</v>
      </c>
      <c r="H898" t="str">
        <f>'Source Table'!$G$8</f>
        <v>Female</v>
      </c>
      <c r="I898" s="16" t="str">
        <f>'Source Table'!$G$7</f>
        <v>أنثى</v>
      </c>
      <c r="J898" s="25" t="str">
        <f>'Source Table'!$B$28</f>
        <v>Forensic</v>
      </c>
      <c r="K898" s="25" t="str">
        <f>'Source Table'!$I$28</f>
        <v>طب شرعي</v>
      </c>
      <c r="L898" s="39">
        <v>0</v>
      </c>
      <c r="M898">
        <v>2018</v>
      </c>
    </row>
    <row r="899" spans="1:13" ht="15">
      <c r="A899" t="s">
        <v>153</v>
      </c>
      <c r="B899" t="s">
        <v>154</v>
      </c>
      <c r="C899" s="15" t="s">
        <v>30</v>
      </c>
      <c r="D899" s="23" t="s">
        <v>81</v>
      </c>
      <c r="E899" s="25" t="s">
        <v>82</v>
      </c>
      <c r="F899" t="str">
        <f>'Source Table'!$C$6</f>
        <v>Others</v>
      </c>
      <c r="G899" t="str">
        <f>'Source Table'!$C$5</f>
        <v>آخرون</v>
      </c>
      <c r="H899" t="str">
        <f>'Source Table'!$G$8</f>
        <v>Female</v>
      </c>
      <c r="I899" s="16" t="str">
        <f>'Source Table'!$G$7</f>
        <v>أنثى</v>
      </c>
      <c r="J899" s="25" t="str">
        <f>'Source Table'!$B$29</f>
        <v xml:space="preserve">Family </v>
      </c>
      <c r="K899" s="25" t="str">
        <f>'Source Table'!$I$29</f>
        <v>طب أسرة</v>
      </c>
      <c r="L899" s="40">
        <v>17</v>
      </c>
      <c r="M899">
        <v>2018</v>
      </c>
    </row>
    <row r="900" spans="1:13" ht="15">
      <c r="A900" t="s">
        <v>153</v>
      </c>
      <c r="B900" t="s">
        <v>154</v>
      </c>
      <c r="C900" s="15" t="s">
        <v>30</v>
      </c>
      <c r="D900" s="23" t="s">
        <v>81</v>
      </c>
      <c r="E900" s="25" t="s">
        <v>82</v>
      </c>
      <c r="F900" t="str">
        <f>'Source Table'!$C$6</f>
        <v>Others</v>
      </c>
      <c r="G900" t="str">
        <f>'Source Table'!$C$5</f>
        <v>آخرون</v>
      </c>
      <c r="H900" t="str">
        <f>'Source Table'!$G$8</f>
        <v>Female</v>
      </c>
      <c r="I900" s="16" t="str">
        <f>'Source Table'!$G$7</f>
        <v>أنثى</v>
      </c>
      <c r="J900" s="25" t="str">
        <f>'Source Table'!$B$30</f>
        <v>Urologist</v>
      </c>
      <c r="K900" s="25" t="str">
        <f>'Source Table'!$I$30</f>
        <v xml:space="preserve">المسالك البولية </v>
      </c>
      <c r="L900" s="40">
        <v>0</v>
      </c>
      <c r="M900">
        <v>2018</v>
      </c>
    </row>
    <row r="901" spans="1:13" ht="15">
      <c r="A901" t="s">
        <v>153</v>
      </c>
      <c r="B901" t="s">
        <v>154</v>
      </c>
      <c r="C901" s="15" t="s">
        <v>30</v>
      </c>
      <c r="D901" s="23" t="s">
        <v>81</v>
      </c>
      <c r="E901" s="25" t="s">
        <v>82</v>
      </c>
      <c r="F901" t="str">
        <f>'Source Table'!$C$6</f>
        <v>Others</v>
      </c>
      <c r="G901" t="str">
        <f>'Source Table'!$C$5</f>
        <v>آخرون</v>
      </c>
      <c r="H901" t="str">
        <f>'Source Table'!$G$8</f>
        <v>Female</v>
      </c>
      <c r="I901" s="16" t="str">
        <f>'Source Table'!$G$7</f>
        <v>أنثى</v>
      </c>
      <c r="J901" s="25" t="str">
        <f>'Source Table'!$B$31</f>
        <v>Cardiology</v>
      </c>
      <c r="K901" s="25" t="str">
        <f>'Source Table'!$I$31</f>
        <v>أمراض القلب</v>
      </c>
      <c r="L901" s="40">
        <v>1</v>
      </c>
      <c r="M901">
        <v>2018</v>
      </c>
    </row>
    <row r="902" spans="1:13" ht="15">
      <c r="A902" t="s">
        <v>153</v>
      </c>
      <c r="B902" t="s">
        <v>154</v>
      </c>
      <c r="C902" s="15" t="s">
        <v>30</v>
      </c>
      <c r="D902" s="23" t="s">
        <v>81</v>
      </c>
      <c r="E902" s="25" t="s">
        <v>82</v>
      </c>
      <c r="F902" t="str">
        <f>'Source Table'!$C$6</f>
        <v>Others</v>
      </c>
      <c r="G902" t="str">
        <f>'Source Table'!$C$5</f>
        <v>آخرون</v>
      </c>
      <c r="H902" t="str">
        <f>'Source Table'!$G$8</f>
        <v>Female</v>
      </c>
      <c r="I902" s="16" t="str">
        <f>'Source Table'!$G$7</f>
        <v>أنثى</v>
      </c>
      <c r="J902" s="25" t="str">
        <f>'Source Table'!$B$32</f>
        <v>Laboratory</v>
      </c>
      <c r="K902" s="25" t="str">
        <f>'Source Table'!$I$32</f>
        <v>مختبرات</v>
      </c>
      <c r="L902" s="40">
        <v>2</v>
      </c>
      <c r="M902">
        <v>2018</v>
      </c>
    </row>
    <row r="903" spans="1:13" ht="15">
      <c r="A903" t="s">
        <v>153</v>
      </c>
      <c r="B903" t="s">
        <v>154</v>
      </c>
      <c r="C903" s="15" t="s">
        <v>30</v>
      </c>
      <c r="D903" s="23" t="s">
        <v>81</v>
      </c>
      <c r="E903" s="25" t="s">
        <v>82</v>
      </c>
      <c r="F903" t="str">
        <f>'Source Table'!$C$6</f>
        <v>Others</v>
      </c>
      <c r="G903" t="str">
        <f>'Source Table'!$C$5</f>
        <v>آخرون</v>
      </c>
      <c r="H903" t="str">
        <f>'Source Table'!$G$8</f>
        <v>Female</v>
      </c>
      <c r="I903" s="16" t="str">
        <f>'Source Table'!$G$7</f>
        <v>أنثى</v>
      </c>
      <c r="J903" s="25" t="str">
        <f>'Source Table'!$B$33</f>
        <v>Others</v>
      </c>
      <c r="K903" s="25" t="str">
        <f>'Source Table'!$I$33</f>
        <v>أخرى</v>
      </c>
      <c r="L903" s="42">
        <v>21</v>
      </c>
      <c r="M903">
        <v>2018</v>
      </c>
    </row>
    <row r="904" spans="1:13" ht="15">
      <c r="A904" t="s">
        <v>153</v>
      </c>
      <c r="B904" t="s">
        <v>154</v>
      </c>
      <c r="C904" s="15" t="s">
        <v>30</v>
      </c>
      <c r="D904" s="23" t="s">
        <v>81</v>
      </c>
      <c r="E904" s="25" t="s">
        <v>82</v>
      </c>
      <c r="F904" s="25" t="str">
        <f>'Source Table'!$G$6</f>
        <v>Public Sector</v>
      </c>
      <c r="G904" s="25" t="str">
        <f>'Source Table'!$G$5</f>
        <v>القطاع العام</v>
      </c>
      <c r="H904" t="str">
        <f>'Source Table'!$H$8</f>
        <v>Male</v>
      </c>
      <c r="I904" s="25" t="str">
        <f>'Source Table'!$H$7</f>
        <v>ذكر</v>
      </c>
      <c r="J904" s="25" t="str">
        <f>'Source Table'!$B$9</f>
        <v>General Practitioner</v>
      </c>
      <c r="K904" s="25" t="str">
        <f>'Source Table'!$I$9</f>
        <v>طبيب عام</v>
      </c>
      <c r="L904" s="39">
        <v>2535</v>
      </c>
      <c r="M904">
        <v>2017</v>
      </c>
    </row>
    <row r="905" spans="1:13" ht="15">
      <c r="A905" t="s">
        <v>153</v>
      </c>
      <c r="B905" t="s">
        <v>154</v>
      </c>
      <c r="C905" s="15" t="s">
        <v>30</v>
      </c>
      <c r="D905" s="23" t="s">
        <v>81</v>
      </c>
      <c r="E905" s="25" t="s">
        <v>82</v>
      </c>
      <c r="F905" s="25" t="str">
        <f>'Source Table'!$G$6</f>
        <v>Public Sector</v>
      </c>
      <c r="G905" s="25" t="str">
        <f>'Source Table'!$G$5</f>
        <v>القطاع العام</v>
      </c>
      <c r="H905" t="str">
        <f>'Source Table'!$H$8</f>
        <v>Male</v>
      </c>
      <c r="I905" s="25" t="str">
        <f>'Source Table'!$H$7</f>
        <v>ذكر</v>
      </c>
      <c r="J905" s="25" t="str">
        <f>'Source Table'!$B$10</f>
        <v>Surgeon</v>
      </c>
      <c r="K905" s="25" t="str">
        <f>'Source Table'!$I$10</f>
        <v>جراحة عامة</v>
      </c>
      <c r="L905" s="39">
        <v>428</v>
      </c>
      <c r="M905">
        <v>2017</v>
      </c>
    </row>
    <row r="906" spans="1:13" ht="15">
      <c r="A906" t="s">
        <v>153</v>
      </c>
      <c r="B906" t="s">
        <v>154</v>
      </c>
      <c r="C906" s="15" t="s">
        <v>30</v>
      </c>
      <c r="D906" s="23" t="s">
        <v>81</v>
      </c>
      <c r="E906" s="25" t="s">
        <v>82</v>
      </c>
      <c r="F906" s="25" t="str">
        <f>'Source Table'!$G$6</f>
        <v>Public Sector</v>
      </c>
      <c r="G906" s="25" t="str">
        <f>'Source Table'!$G$5</f>
        <v>القطاع العام</v>
      </c>
      <c r="H906" t="str">
        <f>'Source Table'!$H$8</f>
        <v>Male</v>
      </c>
      <c r="I906" s="25" t="str">
        <f>'Source Table'!$H$7</f>
        <v>ذكر</v>
      </c>
      <c r="J906" s="25" t="str">
        <f>'Source Table'!$B$11</f>
        <v>Internist</v>
      </c>
      <c r="K906" s="25" t="str">
        <f>'Source Table'!$I$11</f>
        <v>باطنية</v>
      </c>
      <c r="L906" s="39">
        <v>413</v>
      </c>
      <c r="M906">
        <v>2017</v>
      </c>
    </row>
    <row r="907" spans="1:13" ht="15">
      <c r="A907" t="s">
        <v>153</v>
      </c>
      <c r="B907" t="s">
        <v>154</v>
      </c>
      <c r="C907" s="15" t="s">
        <v>30</v>
      </c>
      <c r="D907" s="23" t="s">
        <v>81</v>
      </c>
      <c r="E907" s="25" t="s">
        <v>82</v>
      </c>
      <c r="F907" s="25" t="str">
        <f>'Source Table'!$G$6</f>
        <v>Public Sector</v>
      </c>
      <c r="G907" s="25" t="str">
        <f>'Source Table'!$G$5</f>
        <v>القطاع العام</v>
      </c>
      <c r="H907" t="str">
        <f>'Source Table'!$H$8</f>
        <v>Male</v>
      </c>
      <c r="I907" s="25" t="str">
        <f>'Source Table'!$H$7</f>
        <v>ذكر</v>
      </c>
      <c r="J907" s="25" t="str">
        <f>'Source Table'!$B$12</f>
        <v>Gynecologist and Obst.</v>
      </c>
      <c r="K907" s="25" t="str">
        <f>'Source Table'!$I$12</f>
        <v>نسائية وتوليد</v>
      </c>
      <c r="L907" s="39">
        <v>306</v>
      </c>
      <c r="M907">
        <v>2017</v>
      </c>
    </row>
    <row r="908" spans="1:13" ht="15">
      <c r="A908" t="s">
        <v>153</v>
      </c>
      <c r="B908" t="s">
        <v>154</v>
      </c>
      <c r="C908" s="15" t="s">
        <v>30</v>
      </c>
      <c r="D908" s="23" t="s">
        <v>81</v>
      </c>
      <c r="E908" s="25" t="s">
        <v>82</v>
      </c>
      <c r="F908" s="25" t="str">
        <f>'Source Table'!$G$6</f>
        <v>Public Sector</v>
      </c>
      <c r="G908" s="25" t="str">
        <f>'Source Table'!$G$5</f>
        <v>القطاع العام</v>
      </c>
      <c r="H908" t="str">
        <f>'Source Table'!$H$8</f>
        <v>Male</v>
      </c>
      <c r="I908" s="25" t="str">
        <f>'Source Table'!$H$7</f>
        <v>ذكر</v>
      </c>
      <c r="J908" s="25" t="str">
        <f>'Source Table'!$B$13</f>
        <v>Pediatrics</v>
      </c>
      <c r="K908" s="25" t="str">
        <f>'Source Table'!$I$13</f>
        <v>أطفال</v>
      </c>
      <c r="L908" s="39">
        <v>325</v>
      </c>
      <c r="M908">
        <v>2017</v>
      </c>
    </row>
    <row r="909" spans="1:13" ht="15">
      <c r="A909" t="s">
        <v>153</v>
      </c>
      <c r="B909" t="s">
        <v>154</v>
      </c>
      <c r="C909" s="15" t="s">
        <v>30</v>
      </c>
      <c r="D909" s="23" t="s">
        <v>81</v>
      </c>
      <c r="E909" s="25" t="s">
        <v>82</v>
      </c>
      <c r="F909" s="25" t="str">
        <f>'Source Table'!$G$6</f>
        <v>Public Sector</v>
      </c>
      <c r="G909" s="25" t="str">
        <f>'Source Table'!$G$5</f>
        <v>القطاع العام</v>
      </c>
      <c r="H909" t="str">
        <f>'Source Table'!$H$8</f>
        <v>Male</v>
      </c>
      <c r="I909" s="25" t="str">
        <f>'Source Table'!$H$7</f>
        <v>ذكر</v>
      </c>
      <c r="J909" s="25" t="str">
        <f>'Source Table'!$B$14</f>
        <v>Ophthalmologist</v>
      </c>
      <c r="K909" s="25" t="str">
        <f>'Source Table'!$I$14</f>
        <v>العيون</v>
      </c>
      <c r="L909" s="39">
        <v>149</v>
      </c>
      <c r="M909">
        <v>2017</v>
      </c>
    </row>
    <row r="910" spans="1:13" ht="15">
      <c r="A910" t="s">
        <v>153</v>
      </c>
      <c r="B910" t="s">
        <v>154</v>
      </c>
      <c r="C910" s="15" t="s">
        <v>30</v>
      </c>
      <c r="D910" s="23" t="s">
        <v>81</v>
      </c>
      <c r="E910" s="25" t="s">
        <v>82</v>
      </c>
      <c r="F910" s="25" t="str">
        <f>'Source Table'!$G$6</f>
        <v>Public Sector</v>
      </c>
      <c r="G910" s="25" t="str">
        <f>'Source Table'!$G$5</f>
        <v>القطاع العام</v>
      </c>
      <c r="H910" t="str">
        <f>'Source Table'!$H$8</f>
        <v>Male</v>
      </c>
      <c r="I910" s="25" t="str">
        <f>'Source Table'!$H$7</f>
        <v>ذكر</v>
      </c>
      <c r="J910" s="25" t="str">
        <f>'Source Table'!$B$15</f>
        <v>Orthopedic Surg.</v>
      </c>
      <c r="K910" s="25" t="str">
        <f>'Source Table'!$I$15</f>
        <v>العظام</v>
      </c>
      <c r="L910" s="39">
        <v>219</v>
      </c>
      <c r="M910">
        <v>2017</v>
      </c>
    </row>
    <row r="911" spans="1:13" ht="15">
      <c r="A911" t="s">
        <v>153</v>
      </c>
      <c r="B911" t="s">
        <v>154</v>
      </c>
      <c r="C911" s="15" t="s">
        <v>30</v>
      </c>
      <c r="D911" s="23" t="s">
        <v>81</v>
      </c>
      <c r="E911" s="25" t="s">
        <v>82</v>
      </c>
      <c r="F911" s="25" t="str">
        <f>'Source Table'!$G$6</f>
        <v>Public Sector</v>
      </c>
      <c r="G911" s="25" t="str">
        <f>'Source Table'!$G$5</f>
        <v>القطاع العام</v>
      </c>
      <c r="H911" t="str">
        <f>'Source Table'!$H$8</f>
        <v>Male</v>
      </c>
      <c r="I911" s="25" t="str">
        <f>'Source Table'!$H$7</f>
        <v>ذكر</v>
      </c>
      <c r="J911" s="25" t="str">
        <f>'Source Table'!$B$16</f>
        <v>E.N.T.Surg.</v>
      </c>
      <c r="K911" s="25" t="str">
        <f>'Source Table'!$I$16</f>
        <v>أذن وأنف وحنجرة</v>
      </c>
      <c r="L911" s="39">
        <v>152</v>
      </c>
      <c r="M911">
        <v>2017</v>
      </c>
    </row>
    <row r="912" spans="1:13" ht="15">
      <c r="A912" t="s">
        <v>153</v>
      </c>
      <c r="B912" t="s">
        <v>154</v>
      </c>
      <c r="C912" s="15" t="s">
        <v>30</v>
      </c>
      <c r="D912" s="23" t="s">
        <v>81</v>
      </c>
      <c r="E912" s="25" t="s">
        <v>82</v>
      </c>
      <c r="F912" s="25" t="str">
        <f>'Source Table'!$G$6</f>
        <v>Public Sector</v>
      </c>
      <c r="G912" s="25" t="str">
        <f>'Source Table'!$G$5</f>
        <v>القطاع العام</v>
      </c>
      <c r="H912" t="str">
        <f>'Source Table'!$H$8</f>
        <v>Male</v>
      </c>
      <c r="I912" s="25" t="str">
        <f>'Source Table'!$H$7</f>
        <v>ذكر</v>
      </c>
      <c r="J912" s="25" t="str">
        <f>'Source Table'!$B$17</f>
        <v>Neurosurgery</v>
      </c>
      <c r="K912" s="25" t="str">
        <f>'Source Table'!$I$17</f>
        <v>جراحةأعصاب</v>
      </c>
      <c r="L912" s="39">
        <v>41</v>
      </c>
      <c r="M912">
        <v>2017</v>
      </c>
    </row>
    <row r="913" spans="1:13" ht="15">
      <c r="A913" t="s">
        <v>153</v>
      </c>
      <c r="B913" t="s">
        <v>154</v>
      </c>
      <c r="C913" s="15" t="s">
        <v>30</v>
      </c>
      <c r="D913" s="23" t="s">
        <v>81</v>
      </c>
      <c r="E913" s="25" t="s">
        <v>82</v>
      </c>
      <c r="F913" s="25" t="str">
        <f>'Source Table'!$G$6</f>
        <v>Public Sector</v>
      </c>
      <c r="G913" s="25" t="str">
        <f>'Source Table'!$G$5</f>
        <v>القطاع العام</v>
      </c>
      <c r="H913" t="str">
        <f>'Source Table'!$H$8</f>
        <v>Male</v>
      </c>
      <c r="I913" s="25" t="str">
        <f>'Source Table'!$H$7</f>
        <v>ذكر</v>
      </c>
      <c r="J913" s="25" t="str">
        <f>'Source Table'!$B$18</f>
        <v>Cardiothoracic</v>
      </c>
      <c r="K913" s="25" t="str">
        <f>'Source Table'!$I$18</f>
        <v>جراحة قلب</v>
      </c>
      <c r="L913" s="39">
        <v>18</v>
      </c>
      <c r="M913">
        <v>2017</v>
      </c>
    </row>
    <row r="914" spans="1:13" ht="15">
      <c r="A914" t="s">
        <v>153</v>
      </c>
      <c r="B914" t="s">
        <v>154</v>
      </c>
      <c r="C914" s="15" t="s">
        <v>30</v>
      </c>
      <c r="D914" s="23" t="s">
        <v>81</v>
      </c>
      <c r="E914" s="25" t="s">
        <v>82</v>
      </c>
      <c r="F914" s="25" t="str">
        <f>'Source Table'!$G$6</f>
        <v>Public Sector</v>
      </c>
      <c r="G914" s="25" t="str">
        <f>'Source Table'!$G$5</f>
        <v>القطاع العام</v>
      </c>
      <c r="H914" t="str">
        <f>'Source Table'!$H$8</f>
        <v>Male</v>
      </c>
      <c r="I914" s="25" t="str">
        <f>'Source Table'!$H$7</f>
        <v>ذكر</v>
      </c>
      <c r="J914" s="25" t="str">
        <f>'Source Table'!$B$19</f>
        <v>Plastic Surgeon</v>
      </c>
      <c r="K914" s="25" t="str">
        <f>'Source Table'!$I$19</f>
        <v>التجميل</v>
      </c>
      <c r="L914" s="39">
        <v>22</v>
      </c>
      <c r="M914">
        <v>2017</v>
      </c>
    </row>
    <row r="915" spans="1:13" ht="15">
      <c r="A915" t="s">
        <v>153</v>
      </c>
      <c r="B915" t="s">
        <v>154</v>
      </c>
      <c r="C915" s="15" t="s">
        <v>30</v>
      </c>
      <c r="D915" s="23" t="s">
        <v>81</v>
      </c>
      <c r="E915" s="25" t="s">
        <v>82</v>
      </c>
      <c r="F915" s="25" t="str">
        <f>'Source Table'!$G$6</f>
        <v>Public Sector</v>
      </c>
      <c r="G915" s="25" t="str">
        <f>'Source Table'!$G$5</f>
        <v>القطاع العام</v>
      </c>
      <c r="H915" t="str">
        <f>'Source Table'!$H$8</f>
        <v>Male</v>
      </c>
      <c r="I915" s="25" t="str">
        <f>'Source Table'!$H$7</f>
        <v>ذكر</v>
      </c>
      <c r="J915" s="25" t="str">
        <f>'Source Table'!$B$20</f>
        <v>Psychiatry</v>
      </c>
      <c r="K915" s="25" t="str">
        <f>'Source Table'!$I$20</f>
        <v>النفسية</v>
      </c>
      <c r="L915" s="39">
        <v>42</v>
      </c>
      <c r="M915">
        <v>2017</v>
      </c>
    </row>
    <row r="916" spans="1:13" ht="15">
      <c r="A916" t="s">
        <v>153</v>
      </c>
      <c r="B916" t="s">
        <v>154</v>
      </c>
      <c r="C916" s="15" t="s">
        <v>30</v>
      </c>
      <c r="D916" s="23" t="s">
        <v>81</v>
      </c>
      <c r="E916" s="25" t="s">
        <v>82</v>
      </c>
      <c r="F916" s="25" t="str">
        <f>'Source Table'!$G$6</f>
        <v>Public Sector</v>
      </c>
      <c r="G916" s="25" t="str">
        <f>'Source Table'!$G$5</f>
        <v>القطاع العام</v>
      </c>
      <c r="H916" t="str">
        <f>'Source Table'!$H$8</f>
        <v>Male</v>
      </c>
      <c r="I916" s="25" t="str">
        <f>'Source Table'!$H$7</f>
        <v>ذكر</v>
      </c>
      <c r="J916" s="25" t="str">
        <f>'Source Table'!$B$21</f>
        <v>Dermatologist Venereal</v>
      </c>
      <c r="K916" s="25" t="str">
        <f>'Source Table'!$I$21</f>
        <v>جلدية وتناسلية</v>
      </c>
      <c r="L916" s="39">
        <v>77</v>
      </c>
      <c r="M916">
        <v>2017</v>
      </c>
    </row>
    <row r="917" spans="1:13" ht="15">
      <c r="A917" t="s">
        <v>153</v>
      </c>
      <c r="B917" t="s">
        <v>154</v>
      </c>
      <c r="C917" s="15" t="s">
        <v>30</v>
      </c>
      <c r="D917" s="23" t="s">
        <v>81</v>
      </c>
      <c r="E917" s="25" t="s">
        <v>82</v>
      </c>
      <c r="F917" s="25" t="str">
        <f>'Source Table'!$G$6</f>
        <v>Public Sector</v>
      </c>
      <c r="G917" s="25" t="str">
        <f>'Source Table'!$G$5</f>
        <v>القطاع العام</v>
      </c>
      <c r="H917" t="str">
        <f>'Source Table'!$H$8</f>
        <v>Male</v>
      </c>
      <c r="I917" s="25" t="str">
        <f>'Source Table'!$H$7</f>
        <v>ذكر</v>
      </c>
      <c r="J917" s="25" t="str">
        <f>'Source Table'!$B$22</f>
        <v>Neurology/ Nervous</v>
      </c>
      <c r="K917" s="25" t="str">
        <f>'Source Table'!$I$22</f>
        <v>مرض الأعصاب</v>
      </c>
      <c r="L917" s="39">
        <v>20</v>
      </c>
      <c r="M917">
        <v>2017</v>
      </c>
    </row>
    <row r="918" spans="1:13" ht="15">
      <c r="A918" t="s">
        <v>153</v>
      </c>
      <c r="B918" t="s">
        <v>154</v>
      </c>
      <c r="C918" s="15" t="s">
        <v>30</v>
      </c>
      <c r="D918" s="23" t="s">
        <v>81</v>
      </c>
      <c r="E918" s="25" t="s">
        <v>82</v>
      </c>
      <c r="F918" s="25" t="str">
        <f>'Source Table'!$G$6</f>
        <v>Public Sector</v>
      </c>
      <c r="G918" s="25" t="str">
        <f>'Source Table'!$G$5</f>
        <v>القطاع العام</v>
      </c>
      <c r="H918" t="str">
        <f>'Source Table'!$H$8</f>
        <v>Male</v>
      </c>
      <c r="I918" s="25" t="str">
        <f>'Source Table'!$H$7</f>
        <v>ذكر</v>
      </c>
      <c r="J918" s="25" t="str">
        <f>'Source Table'!$B$23</f>
        <v>Pumologist</v>
      </c>
      <c r="K918" s="25" t="str">
        <f>'Source Table'!$I$23</f>
        <v>صدرية</v>
      </c>
      <c r="L918" s="39">
        <v>22</v>
      </c>
      <c r="M918">
        <v>2017</v>
      </c>
    </row>
    <row r="919" spans="1:13" ht="15">
      <c r="A919" t="s">
        <v>153</v>
      </c>
      <c r="B919" t="s">
        <v>154</v>
      </c>
      <c r="C919" s="15" t="s">
        <v>30</v>
      </c>
      <c r="D919" s="23" t="s">
        <v>81</v>
      </c>
      <c r="E919" s="25" t="s">
        <v>82</v>
      </c>
      <c r="F919" s="25" t="str">
        <f>'Source Table'!$G$6</f>
        <v>Public Sector</v>
      </c>
      <c r="G919" s="25" t="str">
        <f>'Source Table'!$G$5</f>
        <v>القطاع العام</v>
      </c>
      <c r="H919" t="str">
        <f>'Source Table'!$H$8</f>
        <v>Male</v>
      </c>
      <c r="I919" s="25" t="str">
        <f>'Source Table'!$H$7</f>
        <v>ذكر</v>
      </c>
      <c r="J919" s="25" t="str">
        <f>'Source Table'!$B$24</f>
        <v>G.I.T. Specialist</v>
      </c>
      <c r="K919" s="25" t="str">
        <f>'Source Table'!$I$24</f>
        <v>جهاز هضمي</v>
      </c>
      <c r="L919" s="39">
        <v>26</v>
      </c>
      <c r="M919">
        <v>2017</v>
      </c>
    </row>
    <row r="920" spans="1:13" ht="15">
      <c r="A920" t="s">
        <v>153</v>
      </c>
      <c r="B920" t="s">
        <v>154</v>
      </c>
      <c r="C920" s="15" t="s">
        <v>30</v>
      </c>
      <c r="D920" s="23" t="s">
        <v>81</v>
      </c>
      <c r="E920" s="25" t="s">
        <v>82</v>
      </c>
      <c r="F920" s="25" t="str">
        <f>'Source Table'!$G$6</f>
        <v>Public Sector</v>
      </c>
      <c r="G920" s="25" t="str">
        <f>'Source Table'!$G$5</f>
        <v>القطاع العام</v>
      </c>
      <c r="H920" t="str">
        <f>'Source Table'!$H$8</f>
        <v>Male</v>
      </c>
      <c r="I920" s="25" t="str">
        <f>'Source Table'!$H$7</f>
        <v>ذكر</v>
      </c>
      <c r="J920" s="25" t="str">
        <f>'Source Table'!$B$25</f>
        <v>Diagnostic Radiology</v>
      </c>
      <c r="K920" s="25" t="str">
        <f>'Source Table'!$I$25</f>
        <v>أشعة تشخيصية</v>
      </c>
      <c r="L920" s="39">
        <v>103</v>
      </c>
      <c r="M920">
        <v>2017</v>
      </c>
    </row>
    <row r="921" spans="1:13" ht="15">
      <c r="A921" t="s">
        <v>153</v>
      </c>
      <c r="B921" t="s">
        <v>154</v>
      </c>
      <c r="C921" s="15" t="s">
        <v>30</v>
      </c>
      <c r="D921" s="23" t="s">
        <v>81</v>
      </c>
      <c r="E921" s="25" t="s">
        <v>82</v>
      </c>
      <c r="F921" s="25" t="str">
        <f>'Source Table'!$G$6</f>
        <v>Public Sector</v>
      </c>
      <c r="G921" s="25" t="str">
        <f>'Source Table'!$G$5</f>
        <v>القطاع العام</v>
      </c>
      <c r="H921" t="str">
        <f>'Source Table'!$H$8</f>
        <v>Male</v>
      </c>
      <c r="I921" s="25" t="str">
        <f>'Source Table'!$H$7</f>
        <v>ذكر</v>
      </c>
      <c r="J921" s="25" t="str">
        <f>'Source Table'!$B$26</f>
        <v>Anesthetic</v>
      </c>
      <c r="K921" s="25" t="str">
        <f>'Source Table'!$I$26</f>
        <v>تخدير وإنعاش</v>
      </c>
      <c r="L921" s="39">
        <v>210</v>
      </c>
      <c r="M921">
        <v>2017</v>
      </c>
    </row>
    <row r="922" spans="1:13" ht="15">
      <c r="A922" t="s">
        <v>153</v>
      </c>
      <c r="B922" t="s">
        <v>154</v>
      </c>
      <c r="C922" s="15" t="s">
        <v>30</v>
      </c>
      <c r="D922" s="23" t="s">
        <v>81</v>
      </c>
      <c r="E922" s="25" t="s">
        <v>82</v>
      </c>
      <c r="F922" s="25" t="str">
        <f>'Source Table'!$G$6</f>
        <v>Public Sector</v>
      </c>
      <c r="G922" s="25" t="str">
        <f>'Source Table'!$G$5</f>
        <v>القطاع العام</v>
      </c>
      <c r="H922" t="str">
        <f>'Source Table'!$H$8</f>
        <v>Male</v>
      </c>
      <c r="I922" s="25" t="str">
        <f>'Source Table'!$H$7</f>
        <v>ذكر</v>
      </c>
      <c r="J922" s="25" t="str">
        <f>'Source Table'!$B$27</f>
        <v>Physiotherapist</v>
      </c>
      <c r="K922" s="25" t="str">
        <f>'Source Table'!$I$27</f>
        <v>طب طبيعي</v>
      </c>
      <c r="L922" s="39">
        <v>46</v>
      </c>
      <c r="M922">
        <v>2017</v>
      </c>
    </row>
    <row r="923" spans="1:13" ht="15">
      <c r="A923" t="s">
        <v>153</v>
      </c>
      <c r="B923" t="s">
        <v>154</v>
      </c>
      <c r="C923" s="15" t="s">
        <v>30</v>
      </c>
      <c r="D923" s="23" t="s">
        <v>81</v>
      </c>
      <c r="E923" s="25" t="s">
        <v>82</v>
      </c>
      <c r="F923" s="25" t="str">
        <f>'Source Table'!$G$6</f>
        <v>Public Sector</v>
      </c>
      <c r="G923" s="25" t="str">
        <f>'Source Table'!$G$5</f>
        <v>القطاع العام</v>
      </c>
      <c r="H923" t="str">
        <f>'Source Table'!$H$8</f>
        <v>Male</v>
      </c>
      <c r="I923" s="25" t="str">
        <f>'Source Table'!$H$7</f>
        <v>ذكر</v>
      </c>
      <c r="J923" s="25" t="str">
        <f>'Source Table'!$B$28</f>
        <v>Forensic</v>
      </c>
      <c r="K923" s="25" t="str">
        <f>'Source Table'!$I$28</f>
        <v>طب شرعي</v>
      </c>
      <c r="L923" s="39">
        <v>39</v>
      </c>
      <c r="M923">
        <v>2017</v>
      </c>
    </row>
    <row r="924" spans="1:13" ht="15">
      <c r="A924" t="s">
        <v>153</v>
      </c>
      <c r="B924" t="s">
        <v>154</v>
      </c>
      <c r="C924" s="15" t="s">
        <v>30</v>
      </c>
      <c r="D924" s="23" t="s">
        <v>81</v>
      </c>
      <c r="E924" s="25" t="s">
        <v>82</v>
      </c>
      <c r="F924" s="25" t="str">
        <f>'Source Table'!$G$6</f>
        <v>Public Sector</v>
      </c>
      <c r="G924" s="25" t="str">
        <f>'Source Table'!$G$5</f>
        <v>القطاع العام</v>
      </c>
      <c r="H924" t="str">
        <f>'Source Table'!$H$8</f>
        <v>Male</v>
      </c>
      <c r="I924" s="25" t="str">
        <f>'Source Table'!$H$7</f>
        <v>ذكر</v>
      </c>
      <c r="J924" s="25" t="str">
        <f>'Source Table'!$B$29</f>
        <v xml:space="preserve">Family </v>
      </c>
      <c r="K924" s="25" t="str">
        <f>'Source Table'!$I$29</f>
        <v>طب أسرة</v>
      </c>
      <c r="L924" s="39">
        <v>102</v>
      </c>
      <c r="M924">
        <v>2017</v>
      </c>
    </row>
    <row r="925" spans="1:13" ht="15">
      <c r="A925" t="s">
        <v>153</v>
      </c>
      <c r="B925" t="s">
        <v>154</v>
      </c>
      <c r="C925" s="15" t="s">
        <v>30</v>
      </c>
      <c r="D925" s="23" t="s">
        <v>81</v>
      </c>
      <c r="E925" s="25" t="s">
        <v>82</v>
      </c>
      <c r="F925" s="25" t="str">
        <f>'Source Table'!$G$6</f>
        <v>Public Sector</v>
      </c>
      <c r="G925" s="25" t="str">
        <f>'Source Table'!$G$5</f>
        <v>القطاع العام</v>
      </c>
      <c r="H925" t="str">
        <f>'Source Table'!$H$8</f>
        <v>Male</v>
      </c>
      <c r="I925" s="25" t="str">
        <f>'Source Table'!$H$7</f>
        <v>ذكر</v>
      </c>
      <c r="J925" s="25" t="str">
        <f>'Source Table'!$B$30</f>
        <v>Urologist</v>
      </c>
      <c r="K925" s="25" t="str">
        <f>'Source Table'!$I$30</f>
        <v xml:space="preserve">المسالك البولية </v>
      </c>
      <c r="L925" s="39">
        <v>100</v>
      </c>
      <c r="M925">
        <v>2017</v>
      </c>
    </row>
    <row r="926" spans="1:13" ht="15">
      <c r="A926" t="s">
        <v>153</v>
      </c>
      <c r="B926" t="s">
        <v>154</v>
      </c>
      <c r="C926" s="15" t="s">
        <v>30</v>
      </c>
      <c r="D926" s="23" t="s">
        <v>81</v>
      </c>
      <c r="E926" s="25" t="s">
        <v>82</v>
      </c>
      <c r="F926" s="25" t="str">
        <f>'Source Table'!$G$6</f>
        <v>Public Sector</v>
      </c>
      <c r="G926" s="25" t="str">
        <f>'Source Table'!$G$5</f>
        <v>القطاع العام</v>
      </c>
      <c r="H926" t="str">
        <f>'Source Table'!$H$8</f>
        <v>Male</v>
      </c>
      <c r="I926" s="25" t="str">
        <f>'Source Table'!$H$7</f>
        <v>ذكر</v>
      </c>
      <c r="J926" s="25" t="str">
        <f>'Source Table'!$B$31</f>
        <v>Cardiology</v>
      </c>
      <c r="K926" s="25" t="str">
        <f>'Source Table'!$I$31</f>
        <v>أمراض القلب</v>
      </c>
      <c r="L926" s="39">
        <v>32</v>
      </c>
      <c r="M926">
        <v>2017</v>
      </c>
    </row>
    <row r="927" spans="1:13" ht="15">
      <c r="A927" t="s">
        <v>153</v>
      </c>
      <c r="B927" t="s">
        <v>154</v>
      </c>
      <c r="C927" s="15" t="s">
        <v>30</v>
      </c>
      <c r="D927" s="23" t="s">
        <v>81</v>
      </c>
      <c r="E927" s="25" t="s">
        <v>82</v>
      </c>
      <c r="F927" s="25" t="str">
        <f>'Source Table'!$G$6</f>
        <v>Public Sector</v>
      </c>
      <c r="G927" s="25" t="str">
        <f>'Source Table'!$G$5</f>
        <v>القطاع العام</v>
      </c>
      <c r="H927" t="str">
        <f>'Source Table'!$H$8</f>
        <v>Male</v>
      </c>
      <c r="I927" s="25" t="str">
        <f>'Source Table'!$H$7</f>
        <v>ذكر</v>
      </c>
      <c r="J927" s="25" t="str">
        <f>'Source Table'!$B$32</f>
        <v>Laboratory</v>
      </c>
      <c r="K927" s="25" t="str">
        <f>'Source Table'!$I$32</f>
        <v>مختبرات</v>
      </c>
      <c r="L927" s="39">
        <v>20</v>
      </c>
      <c r="M927">
        <v>2017</v>
      </c>
    </row>
    <row r="928" spans="1:13" ht="15">
      <c r="A928" t="s">
        <v>153</v>
      </c>
      <c r="B928" t="s">
        <v>154</v>
      </c>
      <c r="C928" s="15" t="s">
        <v>30</v>
      </c>
      <c r="D928" s="23" t="s">
        <v>81</v>
      </c>
      <c r="E928" s="25" t="s">
        <v>82</v>
      </c>
      <c r="F928" s="25" t="str">
        <f>'Source Table'!$G$6</f>
        <v>Public Sector</v>
      </c>
      <c r="G928" s="25" t="str">
        <f>'Source Table'!$G$5</f>
        <v>القطاع العام</v>
      </c>
      <c r="H928" t="str">
        <f>'Source Table'!$H$8</f>
        <v>Male</v>
      </c>
      <c r="I928" s="25" t="str">
        <f>'Source Table'!$H$7</f>
        <v>ذكر</v>
      </c>
      <c r="J928" s="25" t="str">
        <f>'Source Table'!$B$33</f>
        <v>Others</v>
      </c>
      <c r="K928" s="25" t="str">
        <f>'Source Table'!$I$33</f>
        <v>أخرى</v>
      </c>
      <c r="L928" s="39">
        <v>345</v>
      </c>
      <c r="M928">
        <v>2017</v>
      </c>
    </row>
    <row r="929" spans="1:13" ht="15">
      <c r="A929" t="s">
        <v>153</v>
      </c>
      <c r="B929" t="s">
        <v>154</v>
      </c>
      <c r="C929" s="15" t="s">
        <v>30</v>
      </c>
      <c r="D929" s="23" t="s">
        <v>81</v>
      </c>
      <c r="E929" s="25" t="s">
        <v>82</v>
      </c>
      <c r="F929" s="25" t="str">
        <f>'Source Table'!$G$6</f>
        <v>Public Sector</v>
      </c>
      <c r="G929" s="25" t="str">
        <f>'Source Table'!$G$5</f>
        <v>القطاع العام</v>
      </c>
      <c r="H929" t="str">
        <f>'Source Table'!$G$8</f>
        <v>Female</v>
      </c>
      <c r="I929" s="16" t="str">
        <f>'Source Table'!$G$7</f>
        <v>أنثى</v>
      </c>
      <c r="J929" s="25" t="str">
        <f>'Source Table'!$B$9</f>
        <v>General Practitioner</v>
      </c>
      <c r="K929" s="25" t="str">
        <f>'Source Table'!$I$9</f>
        <v>طبيب عام</v>
      </c>
      <c r="L929" s="39">
        <v>472</v>
      </c>
      <c r="M929">
        <v>2017</v>
      </c>
    </row>
    <row r="930" spans="1:13" ht="15">
      <c r="A930" t="s">
        <v>153</v>
      </c>
      <c r="B930" t="s">
        <v>154</v>
      </c>
      <c r="C930" s="15" t="s">
        <v>30</v>
      </c>
      <c r="D930" s="23" t="s">
        <v>81</v>
      </c>
      <c r="E930" s="25" t="s">
        <v>82</v>
      </c>
      <c r="F930" s="25" t="str">
        <f>'Source Table'!$G$6</f>
        <v>Public Sector</v>
      </c>
      <c r="G930" s="25" t="str">
        <f>'Source Table'!$G$5</f>
        <v>القطاع العام</v>
      </c>
      <c r="H930" t="str">
        <f>'Source Table'!$G$8</f>
        <v>Female</v>
      </c>
      <c r="I930" s="16" t="str">
        <f>'Source Table'!$G$7</f>
        <v>أنثى</v>
      </c>
      <c r="J930" s="25" t="str">
        <f>'Source Table'!$B$10</f>
        <v>Surgeon</v>
      </c>
      <c r="K930" s="25" t="str">
        <f>'Source Table'!$I$10</f>
        <v>جراحة عامة</v>
      </c>
      <c r="L930" s="39">
        <v>13</v>
      </c>
      <c r="M930">
        <v>2017</v>
      </c>
    </row>
    <row r="931" spans="1:13" ht="15">
      <c r="A931" t="s">
        <v>153</v>
      </c>
      <c r="B931" t="s">
        <v>154</v>
      </c>
      <c r="C931" s="15" t="s">
        <v>30</v>
      </c>
      <c r="D931" s="23" t="s">
        <v>81</v>
      </c>
      <c r="E931" s="25" t="s">
        <v>82</v>
      </c>
      <c r="F931" s="25" t="str">
        <f>'Source Table'!$G$6</f>
        <v>Public Sector</v>
      </c>
      <c r="G931" s="25" t="str">
        <f>'Source Table'!$G$5</f>
        <v>القطاع العام</v>
      </c>
      <c r="H931" t="str">
        <f>'Source Table'!$G$8</f>
        <v>Female</v>
      </c>
      <c r="I931" s="16" t="str">
        <f>'Source Table'!$G$7</f>
        <v>أنثى</v>
      </c>
      <c r="J931" s="25" t="str">
        <f>'Source Table'!$B$11</f>
        <v>Internist</v>
      </c>
      <c r="K931" s="25" t="str">
        <f>'Source Table'!$I$11</f>
        <v>باطنية</v>
      </c>
      <c r="L931" s="39">
        <v>35</v>
      </c>
      <c r="M931">
        <v>2017</v>
      </c>
    </row>
    <row r="932" spans="1:13" ht="15">
      <c r="A932" t="s">
        <v>153</v>
      </c>
      <c r="B932" t="s">
        <v>154</v>
      </c>
      <c r="C932" s="15" t="s">
        <v>30</v>
      </c>
      <c r="D932" s="23" t="s">
        <v>81</v>
      </c>
      <c r="E932" s="25" t="s">
        <v>82</v>
      </c>
      <c r="F932" s="25" t="str">
        <f>'Source Table'!$G$6</f>
        <v>Public Sector</v>
      </c>
      <c r="G932" s="25" t="str">
        <f>'Source Table'!$G$5</f>
        <v>القطاع العام</v>
      </c>
      <c r="H932" t="str">
        <f>'Source Table'!$G$8</f>
        <v>Female</v>
      </c>
      <c r="I932" s="16" t="str">
        <f>'Source Table'!$G$7</f>
        <v>أنثى</v>
      </c>
      <c r="J932" s="25" t="str">
        <f>'Source Table'!$B$12</f>
        <v>Gynecologist and Obst.</v>
      </c>
      <c r="K932" s="25" t="str">
        <f>'Source Table'!$I$12</f>
        <v>نسائية وتوليد</v>
      </c>
      <c r="L932" s="39">
        <v>126</v>
      </c>
      <c r="M932">
        <v>2017</v>
      </c>
    </row>
    <row r="933" spans="1:13" ht="15">
      <c r="A933" t="s">
        <v>153</v>
      </c>
      <c r="B933" t="s">
        <v>154</v>
      </c>
      <c r="C933" s="15" t="s">
        <v>30</v>
      </c>
      <c r="D933" s="23" t="s">
        <v>81</v>
      </c>
      <c r="E933" s="25" t="s">
        <v>82</v>
      </c>
      <c r="F933" s="25" t="str">
        <f>'Source Table'!$G$6</f>
        <v>Public Sector</v>
      </c>
      <c r="G933" s="25" t="str">
        <f>'Source Table'!$G$5</f>
        <v>القطاع العام</v>
      </c>
      <c r="H933" t="str">
        <f>'Source Table'!$G$8</f>
        <v>Female</v>
      </c>
      <c r="I933" s="16" t="str">
        <f>'Source Table'!$G$7</f>
        <v>أنثى</v>
      </c>
      <c r="J933" s="25" t="str">
        <f>'Source Table'!$B$13</f>
        <v>Pediatrics</v>
      </c>
      <c r="K933" s="25" t="str">
        <f>'Source Table'!$I$13</f>
        <v>أطفال</v>
      </c>
      <c r="L933" s="39">
        <v>103</v>
      </c>
      <c r="M933">
        <v>2017</v>
      </c>
    </row>
    <row r="934" spans="1:13" ht="15">
      <c r="A934" t="s">
        <v>153</v>
      </c>
      <c r="B934" t="s">
        <v>154</v>
      </c>
      <c r="C934" s="15" t="s">
        <v>30</v>
      </c>
      <c r="D934" s="23" t="s">
        <v>81</v>
      </c>
      <c r="E934" s="25" t="s">
        <v>82</v>
      </c>
      <c r="F934" s="25" t="str">
        <f>'Source Table'!$G$6</f>
        <v>Public Sector</v>
      </c>
      <c r="G934" s="25" t="str">
        <f>'Source Table'!$G$5</f>
        <v>القطاع العام</v>
      </c>
      <c r="H934" t="str">
        <f>'Source Table'!$G$8</f>
        <v>Female</v>
      </c>
      <c r="I934" s="16" t="str">
        <f>'Source Table'!$G$7</f>
        <v>أنثى</v>
      </c>
      <c r="J934" s="25" t="str">
        <f>'Source Table'!$B$14</f>
        <v>Ophthalmologist</v>
      </c>
      <c r="K934" s="25" t="str">
        <f>'Source Table'!$I$14</f>
        <v>العيون</v>
      </c>
      <c r="L934" s="39">
        <v>38</v>
      </c>
      <c r="M934">
        <v>2017</v>
      </c>
    </row>
    <row r="935" spans="1:13" ht="15">
      <c r="A935" t="s">
        <v>153</v>
      </c>
      <c r="B935" t="s">
        <v>154</v>
      </c>
      <c r="C935" s="15" t="s">
        <v>30</v>
      </c>
      <c r="D935" s="23" t="s">
        <v>81</v>
      </c>
      <c r="E935" s="25" t="s">
        <v>82</v>
      </c>
      <c r="F935" s="25" t="str">
        <f>'Source Table'!$G$6</f>
        <v>Public Sector</v>
      </c>
      <c r="G935" s="25" t="str">
        <f>'Source Table'!$G$5</f>
        <v>القطاع العام</v>
      </c>
      <c r="H935" t="str">
        <f>'Source Table'!$G$8</f>
        <v>Female</v>
      </c>
      <c r="I935" s="16" t="str">
        <f>'Source Table'!$G$7</f>
        <v>أنثى</v>
      </c>
      <c r="J935" s="25" t="str">
        <f>'Source Table'!$B$15</f>
        <v>Orthopedic Surg.</v>
      </c>
      <c r="K935" s="25" t="str">
        <f>'Source Table'!$I$15</f>
        <v>العظام</v>
      </c>
      <c r="L935" s="39">
        <v>0</v>
      </c>
      <c r="M935">
        <v>2017</v>
      </c>
    </row>
    <row r="936" spans="1:13" ht="15">
      <c r="A936" t="s">
        <v>153</v>
      </c>
      <c r="B936" t="s">
        <v>154</v>
      </c>
      <c r="C936" s="15" t="s">
        <v>30</v>
      </c>
      <c r="D936" s="23" t="s">
        <v>81</v>
      </c>
      <c r="E936" s="25" t="s">
        <v>82</v>
      </c>
      <c r="F936" s="25" t="str">
        <f>'Source Table'!$G$6</f>
        <v>Public Sector</v>
      </c>
      <c r="G936" s="25" t="str">
        <f>'Source Table'!$G$5</f>
        <v>القطاع العام</v>
      </c>
      <c r="H936" t="str">
        <f>'Source Table'!$G$8</f>
        <v>Female</v>
      </c>
      <c r="I936" s="16" t="str">
        <f>'Source Table'!$G$7</f>
        <v>أنثى</v>
      </c>
      <c r="J936" s="25" t="str">
        <f>'Source Table'!$B$16</f>
        <v>E.N.T.Surg.</v>
      </c>
      <c r="K936" s="25" t="str">
        <f>'Source Table'!$I$16</f>
        <v>أذن وأنف وحنجرة</v>
      </c>
      <c r="L936" s="39">
        <v>20</v>
      </c>
      <c r="M936">
        <v>2017</v>
      </c>
    </row>
    <row r="937" spans="1:13" ht="15">
      <c r="A937" t="s">
        <v>153</v>
      </c>
      <c r="B937" t="s">
        <v>154</v>
      </c>
      <c r="C937" s="15" t="s">
        <v>30</v>
      </c>
      <c r="D937" s="23" t="s">
        <v>81</v>
      </c>
      <c r="E937" s="25" t="s">
        <v>82</v>
      </c>
      <c r="F937" s="25" t="str">
        <f>'Source Table'!$G$6</f>
        <v>Public Sector</v>
      </c>
      <c r="G937" s="25" t="str">
        <f>'Source Table'!$G$5</f>
        <v>القطاع العام</v>
      </c>
      <c r="H937" t="str">
        <f>'Source Table'!$G$8</f>
        <v>Female</v>
      </c>
      <c r="I937" s="16" t="str">
        <f>'Source Table'!$G$7</f>
        <v>أنثى</v>
      </c>
      <c r="J937" s="25" t="str">
        <f>'Source Table'!$B$17</f>
        <v>Neurosurgery</v>
      </c>
      <c r="K937" s="25" t="str">
        <f>'Source Table'!$I$17</f>
        <v>جراحةأعصاب</v>
      </c>
      <c r="L937" s="39">
        <v>0</v>
      </c>
      <c r="M937">
        <v>2017</v>
      </c>
    </row>
    <row r="938" spans="1:13" ht="15">
      <c r="A938" t="s">
        <v>153</v>
      </c>
      <c r="B938" t="s">
        <v>154</v>
      </c>
      <c r="C938" s="15" t="s">
        <v>30</v>
      </c>
      <c r="D938" s="23" t="s">
        <v>81</v>
      </c>
      <c r="E938" s="25" t="s">
        <v>82</v>
      </c>
      <c r="F938" s="25" t="str">
        <f>'Source Table'!$G$6</f>
        <v>Public Sector</v>
      </c>
      <c r="G938" s="25" t="str">
        <f>'Source Table'!$G$5</f>
        <v>القطاع العام</v>
      </c>
      <c r="H938" t="str">
        <f>'Source Table'!$G$8</f>
        <v>Female</v>
      </c>
      <c r="I938" s="16" t="str">
        <f>'Source Table'!$G$7</f>
        <v>أنثى</v>
      </c>
      <c r="J938" s="25" t="str">
        <f>'Source Table'!$B$18</f>
        <v>Cardiothoracic</v>
      </c>
      <c r="K938" s="25" t="str">
        <f>'Source Table'!$I$18</f>
        <v>جراحة قلب</v>
      </c>
      <c r="L938" s="39">
        <v>0</v>
      </c>
      <c r="M938">
        <v>2017</v>
      </c>
    </row>
    <row r="939" spans="1:13" ht="15">
      <c r="A939" t="s">
        <v>153</v>
      </c>
      <c r="B939" t="s">
        <v>154</v>
      </c>
      <c r="C939" s="15" t="s">
        <v>30</v>
      </c>
      <c r="D939" s="23" t="s">
        <v>81</v>
      </c>
      <c r="E939" s="25" t="s">
        <v>82</v>
      </c>
      <c r="F939" s="25" t="str">
        <f>'Source Table'!$G$6</f>
        <v>Public Sector</v>
      </c>
      <c r="G939" s="25" t="str">
        <f>'Source Table'!$G$5</f>
        <v>القطاع العام</v>
      </c>
      <c r="H939" t="str">
        <f>'Source Table'!$G$8</f>
        <v>Female</v>
      </c>
      <c r="I939" s="16" t="str">
        <f>'Source Table'!$G$7</f>
        <v>أنثى</v>
      </c>
      <c r="J939" s="25" t="str">
        <f>'Source Table'!$B$19</f>
        <v>Plastic Surgeon</v>
      </c>
      <c r="K939" s="25" t="str">
        <f>'Source Table'!$I$19</f>
        <v>التجميل</v>
      </c>
      <c r="L939" s="39">
        <v>2</v>
      </c>
      <c r="M939">
        <v>2017</v>
      </c>
    </row>
    <row r="940" spans="1:13" ht="15">
      <c r="A940" t="s">
        <v>153</v>
      </c>
      <c r="B940" t="s">
        <v>154</v>
      </c>
      <c r="C940" s="15" t="s">
        <v>30</v>
      </c>
      <c r="D940" s="23" t="s">
        <v>81</v>
      </c>
      <c r="E940" s="25" t="s">
        <v>82</v>
      </c>
      <c r="F940" s="25" t="str">
        <f>'Source Table'!$G$6</f>
        <v>Public Sector</v>
      </c>
      <c r="G940" s="25" t="str">
        <f>'Source Table'!$G$5</f>
        <v>القطاع العام</v>
      </c>
      <c r="H940" t="str">
        <f>'Source Table'!$G$8</f>
        <v>Female</v>
      </c>
      <c r="I940" s="16" t="str">
        <f>'Source Table'!$G$7</f>
        <v>أنثى</v>
      </c>
      <c r="J940" s="25" t="str">
        <f>'Source Table'!$B$20</f>
        <v>Psychiatry</v>
      </c>
      <c r="K940" s="25" t="str">
        <f>'Source Table'!$I$20</f>
        <v>النفسية</v>
      </c>
      <c r="L940" s="39">
        <v>6</v>
      </c>
      <c r="M940">
        <v>2017</v>
      </c>
    </row>
    <row r="941" spans="1:13" ht="15">
      <c r="A941" t="s">
        <v>153</v>
      </c>
      <c r="B941" t="s">
        <v>154</v>
      </c>
      <c r="C941" s="15" t="s">
        <v>30</v>
      </c>
      <c r="D941" s="23" t="s">
        <v>81</v>
      </c>
      <c r="E941" s="25" t="s">
        <v>82</v>
      </c>
      <c r="F941" s="25" t="str">
        <f>'Source Table'!$G$6</f>
        <v>Public Sector</v>
      </c>
      <c r="G941" s="25" t="str">
        <f>'Source Table'!$G$5</f>
        <v>القطاع العام</v>
      </c>
      <c r="H941" t="str">
        <f>'Source Table'!$G$8</f>
        <v>Female</v>
      </c>
      <c r="I941" s="16" t="str">
        <f>'Source Table'!$G$7</f>
        <v>أنثى</v>
      </c>
      <c r="J941" s="25" t="str">
        <f>'Source Table'!$B$21</f>
        <v>Dermatologist Venereal</v>
      </c>
      <c r="K941" s="25" t="str">
        <f>'Source Table'!$I$21</f>
        <v>جلدية وتناسلية</v>
      </c>
      <c r="L941" s="39">
        <v>28</v>
      </c>
      <c r="M941">
        <v>2017</v>
      </c>
    </row>
    <row r="942" spans="1:13" ht="15">
      <c r="A942" t="s">
        <v>153</v>
      </c>
      <c r="B942" t="s">
        <v>154</v>
      </c>
      <c r="C942" s="15" t="s">
        <v>30</v>
      </c>
      <c r="D942" s="23" t="s">
        <v>81</v>
      </c>
      <c r="E942" s="25" t="s">
        <v>82</v>
      </c>
      <c r="F942" s="25" t="str">
        <f>'Source Table'!$G$6</f>
        <v>Public Sector</v>
      </c>
      <c r="G942" s="25" t="str">
        <f>'Source Table'!$G$5</f>
        <v>القطاع العام</v>
      </c>
      <c r="H942" t="str">
        <f>'Source Table'!$G$8</f>
        <v>Female</v>
      </c>
      <c r="I942" s="16" t="str">
        <f>'Source Table'!$G$7</f>
        <v>أنثى</v>
      </c>
      <c r="J942" s="25" t="str">
        <f>'Source Table'!$B$22</f>
        <v>Neurology/ Nervous</v>
      </c>
      <c r="K942" s="25" t="str">
        <f>'Source Table'!$I$22</f>
        <v>مرض الأعصاب</v>
      </c>
      <c r="L942" s="39">
        <v>4</v>
      </c>
      <c r="M942">
        <v>2017</v>
      </c>
    </row>
    <row r="943" spans="1:13" ht="15">
      <c r="A943" t="s">
        <v>153</v>
      </c>
      <c r="B943" t="s">
        <v>154</v>
      </c>
      <c r="C943" s="15" t="s">
        <v>30</v>
      </c>
      <c r="D943" s="23" t="s">
        <v>81</v>
      </c>
      <c r="E943" s="25" t="s">
        <v>82</v>
      </c>
      <c r="F943" s="25" t="str">
        <f>'Source Table'!$G$6</f>
        <v>Public Sector</v>
      </c>
      <c r="G943" s="25" t="str">
        <f>'Source Table'!$G$5</f>
        <v>القطاع العام</v>
      </c>
      <c r="H943" t="str">
        <f>'Source Table'!$G$8</f>
        <v>Female</v>
      </c>
      <c r="I943" s="16" t="str">
        <f>'Source Table'!$G$7</f>
        <v>أنثى</v>
      </c>
      <c r="J943" s="25" t="str">
        <f>'Source Table'!$B$23</f>
        <v>Pumologist</v>
      </c>
      <c r="K943" s="25" t="str">
        <f>'Source Table'!$I$23</f>
        <v>صدرية</v>
      </c>
      <c r="L943" s="39">
        <v>2</v>
      </c>
      <c r="M943">
        <v>2017</v>
      </c>
    </row>
    <row r="944" spans="1:13" ht="15">
      <c r="A944" t="s">
        <v>153</v>
      </c>
      <c r="B944" t="s">
        <v>154</v>
      </c>
      <c r="C944" s="15" t="s">
        <v>30</v>
      </c>
      <c r="D944" s="23" t="s">
        <v>81</v>
      </c>
      <c r="E944" s="25" t="s">
        <v>82</v>
      </c>
      <c r="F944" s="25" t="str">
        <f>'Source Table'!$G$6</f>
        <v>Public Sector</v>
      </c>
      <c r="G944" s="25" t="str">
        <f>'Source Table'!$G$5</f>
        <v>القطاع العام</v>
      </c>
      <c r="H944" t="str">
        <f>'Source Table'!$G$8</f>
        <v>Female</v>
      </c>
      <c r="I944" s="16" t="str">
        <f>'Source Table'!$G$7</f>
        <v>أنثى</v>
      </c>
      <c r="J944" s="25" t="str">
        <f>'Source Table'!$B$24</f>
        <v>G.I.T. Specialist</v>
      </c>
      <c r="K944" s="25" t="str">
        <f>'Source Table'!$I$24</f>
        <v>جهاز هضمي</v>
      </c>
      <c r="L944" s="39">
        <v>4</v>
      </c>
      <c r="M944">
        <v>2017</v>
      </c>
    </row>
    <row r="945" spans="1:13" ht="15">
      <c r="A945" t="s">
        <v>153</v>
      </c>
      <c r="B945" t="s">
        <v>154</v>
      </c>
      <c r="C945" s="15" t="s">
        <v>30</v>
      </c>
      <c r="D945" s="23" t="s">
        <v>81</v>
      </c>
      <c r="E945" s="25" t="s">
        <v>82</v>
      </c>
      <c r="F945" s="25" t="str">
        <f>'Source Table'!$G$6</f>
        <v>Public Sector</v>
      </c>
      <c r="G945" s="25" t="str">
        <f>'Source Table'!$G$5</f>
        <v>القطاع العام</v>
      </c>
      <c r="H945" t="str">
        <f>'Source Table'!$G$8</f>
        <v>Female</v>
      </c>
      <c r="I945" s="16" t="str">
        <f>'Source Table'!$G$7</f>
        <v>أنثى</v>
      </c>
      <c r="J945" s="25" t="str">
        <f>'Source Table'!$B$25</f>
        <v>Diagnostic Radiology</v>
      </c>
      <c r="K945" s="25" t="str">
        <f>'Source Table'!$I$25</f>
        <v>أشعة تشخيصية</v>
      </c>
      <c r="L945" s="39">
        <v>24</v>
      </c>
      <c r="M945">
        <v>2017</v>
      </c>
    </row>
    <row r="946" spans="1:13" ht="15">
      <c r="A946" t="s">
        <v>153</v>
      </c>
      <c r="B946" t="s">
        <v>154</v>
      </c>
      <c r="C946" s="15" t="s">
        <v>30</v>
      </c>
      <c r="D946" s="23" t="s">
        <v>81</v>
      </c>
      <c r="E946" s="25" t="s">
        <v>82</v>
      </c>
      <c r="F946" s="25" t="str">
        <f>'Source Table'!$G$6</f>
        <v>Public Sector</v>
      </c>
      <c r="G946" s="25" t="str">
        <f>'Source Table'!$G$5</f>
        <v>القطاع العام</v>
      </c>
      <c r="H946" t="str">
        <f>'Source Table'!$G$8</f>
        <v>Female</v>
      </c>
      <c r="I946" s="16" t="str">
        <f>'Source Table'!$G$7</f>
        <v>أنثى</v>
      </c>
      <c r="J946" s="25" t="str">
        <f>'Source Table'!$B$26</f>
        <v>Anesthetic</v>
      </c>
      <c r="K946" s="25" t="str">
        <f>'Source Table'!$I$26</f>
        <v>تخدير وإنعاش</v>
      </c>
      <c r="L946" s="39">
        <v>12</v>
      </c>
      <c r="M946">
        <v>2017</v>
      </c>
    </row>
    <row r="947" spans="1:13" ht="15">
      <c r="A947" t="s">
        <v>153</v>
      </c>
      <c r="B947" t="s">
        <v>154</v>
      </c>
      <c r="C947" s="15" t="s">
        <v>30</v>
      </c>
      <c r="D947" s="23" t="s">
        <v>81</v>
      </c>
      <c r="E947" s="25" t="s">
        <v>82</v>
      </c>
      <c r="F947" s="25" t="str">
        <f>'Source Table'!$G$6</f>
        <v>Public Sector</v>
      </c>
      <c r="G947" s="25" t="str">
        <f>'Source Table'!$G$5</f>
        <v>القطاع العام</v>
      </c>
      <c r="H947" t="str">
        <f>'Source Table'!$G$8</f>
        <v>Female</v>
      </c>
      <c r="I947" s="16" t="str">
        <f>'Source Table'!$G$7</f>
        <v>أنثى</v>
      </c>
      <c r="J947" s="25" t="str">
        <f>'Source Table'!$B$27</f>
        <v>Physiotherapist</v>
      </c>
      <c r="K947" s="25" t="str">
        <f>'Source Table'!$I$27</f>
        <v>طب طبيعي</v>
      </c>
      <c r="L947" s="39">
        <v>9</v>
      </c>
      <c r="M947">
        <v>2017</v>
      </c>
    </row>
    <row r="948" spans="1:13" ht="15">
      <c r="A948" t="s">
        <v>153</v>
      </c>
      <c r="B948" t="s">
        <v>154</v>
      </c>
      <c r="C948" s="15" t="s">
        <v>30</v>
      </c>
      <c r="D948" s="23" t="s">
        <v>81</v>
      </c>
      <c r="E948" s="25" t="s">
        <v>82</v>
      </c>
      <c r="F948" s="25" t="str">
        <f>'Source Table'!$G$6</f>
        <v>Public Sector</v>
      </c>
      <c r="G948" s="25" t="str">
        <f>'Source Table'!$G$5</f>
        <v>القطاع العام</v>
      </c>
      <c r="H948" t="str">
        <f>'Source Table'!$G$8</f>
        <v>Female</v>
      </c>
      <c r="I948" s="16" t="str">
        <f>'Source Table'!$G$7</f>
        <v>أنثى</v>
      </c>
      <c r="J948" s="25" t="str">
        <f>'Source Table'!$B$28</f>
        <v>Forensic</v>
      </c>
      <c r="K948" s="25" t="str">
        <f>'Source Table'!$I$28</f>
        <v>طب شرعي</v>
      </c>
      <c r="L948" s="39">
        <v>1</v>
      </c>
      <c r="M948">
        <v>2017</v>
      </c>
    </row>
    <row r="949" spans="1:13" ht="15">
      <c r="A949" t="s">
        <v>153</v>
      </c>
      <c r="B949" t="s">
        <v>154</v>
      </c>
      <c r="C949" s="15" t="s">
        <v>30</v>
      </c>
      <c r="D949" s="23" t="s">
        <v>81</v>
      </c>
      <c r="E949" s="25" t="s">
        <v>82</v>
      </c>
      <c r="F949" s="25" t="str">
        <f>'Source Table'!$G$6</f>
        <v>Public Sector</v>
      </c>
      <c r="G949" s="25" t="str">
        <f>'Source Table'!$G$5</f>
        <v>القطاع العام</v>
      </c>
      <c r="H949" t="str">
        <f>'Source Table'!$G$8</f>
        <v>Female</v>
      </c>
      <c r="I949" s="16" t="str">
        <f>'Source Table'!$G$7</f>
        <v>أنثى</v>
      </c>
      <c r="J949" s="25" t="str">
        <f>'Source Table'!$B$29</f>
        <v xml:space="preserve">Family </v>
      </c>
      <c r="K949" s="25" t="str">
        <f>'Source Table'!$I$29</f>
        <v>طب أسرة</v>
      </c>
      <c r="L949" s="39">
        <v>72</v>
      </c>
      <c r="M949">
        <v>2017</v>
      </c>
    </row>
    <row r="950" spans="1:13" ht="15">
      <c r="A950" t="s">
        <v>153</v>
      </c>
      <c r="B950" t="s">
        <v>154</v>
      </c>
      <c r="C950" s="15" t="s">
        <v>30</v>
      </c>
      <c r="D950" s="23" t="s">
        <v>81</v>
      </c>
      <c r="E950" s="25" t="s">
        <v>82</v>
      </c>
      <c r="F950" s="25" t="str">
        <f>'Source Table'!$G$6</f>
        <v>Public Sector</v>
      </c>
      <c r="G950" s="25" t="str">
        <f>'Source Table'!$G$5</f>
        <v>القطاع العام</v>
      </c>
      <c r="H950" t="str">
        <f>'Source Table'!$G$8</f>
        <v>Female</v>
      </c>
      <c r="I950" s="16" t="str">
        <f>'Source Table'!$G$7</f>
        <v>أنثى</v>
      </c>
      <c r="J950" s="25" t="str">
        <f>'Source Table'!$B$30</f>
        <v>Urologist</v>
      </c>
      <c r="K950" s="25" t="str">
        <f>'Source Table'!$I$30</f>
        <v xml:space="preserve">المسالك البولية </v>
      </c>
      <c r="L950" s="39">
        <v>1</v>
      </c>
      <c r="M950">
        <v>2017</v>
      </c>
    </row>
    <row r="951" spans="1:13" ht="15">
      <c r="A951" t="s">
        <v>153</v>
      </c>
      <c r="B951" t="s">
        <v>154</v>
      </c>
      <c r="C951" s="15" t="s">
        <v>30</v>
      </c>
      <c r="D951" s="23" t="s">
        <v>81</v>
      </c>
      <c r="E951" s="25" t="s">
        <v>82</v>
      </c>
      <c r="F951" s="25" t="str">
        <f>'Source Table'!$G$6</f>
        <v>Public Sector</v>
      </c>
      <c r="G951" s="25" t="str">
        <f>'Source Table'!$G$5</f>
        <v>القطاع العام</v>
      </c>
      <c r="H951" t="str">
        <f>'Source Table'!$G$8</f>
        <v>Female</v>
      </c>
      <c r="I951" s="16" t="str">
        <f>'Source Table'!$G$7</f>
        <v>أنثى</v>
      </c>
      <c r="J951" s="25" t="str">
        <f>'Source Table'!$B$31</f>
        <v>Cardiology</v>
      </c>
      <c r="K951" s="25" t="str">
        <f>'Source Table'!$I$31</f>
        <v>أمراض القلب</v>
      </c>
      <c r="L951" s="39">
        <v>1</v>
      </c>
      <c r="M951">
        <v>2017</v>
      </c>
    </row>
    <row r="952" spans="1:13" ht="15">
      <c r="A952" t="s">
        <v>153</v>
      </c>
      <c r="B952" t="s">
        <v>154</v>
      </c>
      <c r="C952" s="15" t="s">
        <v>30</v>
      </c>
      <c r="D952" s="23" t="s">
        <v>81</v>
      </c>
      <c r="E952" s="25" t="s">
        <v>82</v>
      </c>
      <c r="F952" s="25" t="str">
        <f>'Source Table'!$G$6</f>
        <v>Public Sector</v>
      </c>
      <c r="G952" s="25" t="str">
        <f>'Source Table'!$G$5</f>
        <v>القطاع العام</v>
      </c>
      <c r="H952" t="str">
        <f>'Source Table'!$G$8</f>
        <v>Female</v>
      </c>
      <c r="I952" s="16" t="str">
        <f>'Source Table'!$G$7</f>
        <v>أنثى</v>
      </c>
      <c r="J952" s="25" t="str">
        <f>'Source Table'!$B$32</f>
        <v>Laboratory</v>
      </c>
      <c r="K952" s="25" t="str">
        <f>'Source Table'!$I$32</f>
        <v>مختبرات</v>
      </c>
      <c r="L952" s="39">
        <v>11</v>
      </c>
      <c r="M952">
        <v>2017</v>
      </c>
    </row>
    <row r="953" spans="1:13" ht="15">
      <c r="A953" t="s">
        <v>153</v>
      </c>
      <c r="B953" t="s">
        <v>154</v>
      </c>
      <c r="C953" s="15" t="s">
        <v>30</v>
      </c>
      <c r="D953" s="23" t="s">
        <v>81</v>
      </c>
      <c r="E953" s="25" t="s">
        <v>82</v>
      </c>
      <c r="F953" s="25" t="str">
        <f>'Source Table'!$G$6</f>
        <v>Public Sector</v>
      </c>
      <c r="G953" s="25" t="str">
        <f>'Source Table'!$G$5</f>
        <v>القطاع العام</v>
      </c>
      <c r="H953" t="str">
        <f>'Source Table'!$G$8</f>
        <v>Female</v>
      </c>
      <c r="I953" s="16" t="str">
        <f>'Source Table'!$G$7</f>
        <v>أنثى</v>
      </c>
      <c r="J953" s="25" t="str">
        <f>'Source Table'!$B$33</f>
        <v>Others</v>
      </c>
      <c r="K953" s="25" t="str">
        <f>'Source Table'!$I$33</f>
        <v>أخرى</v>
      </c>
      <c r="L953" s="39">
        <v>72</v>
      </c>
      <c r="M953">
        <v>2017</v>
      </c>
    </row>
    <row r="954" spans="1:13" ht="15">
      <c r="A954" t="s">
        <v>153</v>
      </c>
      <c r="B954" t="s">
        <v>154</v>
      </c>
      <c r="C954" s="15" t="s">
        <v>30</v>
      </c>
      <c r="D954" s="23" t="s">
        <v>81</v>
      </c>
      <c r="E954" s="25" t="s">
        <v>82</v>
      </c>
      <c r="F954" s="16" t="str">
        <f>'Source Table'!$E$6</f>
        <v>Private Sector</v>
      </c>
      <c r="G954" s="16" t="str">
        <f>'Source Table'!$E$5</f>
        <v>القطاع الخاص</v>
      </c>
      <c r="H954" t="str">
        <f>'Source Table'!$H$8</f>
        <v>Male</v>
      </c>
      <c r="I954" s="25" t="str">
        <f>'Source Table'!$H$7</f>
        <v>ذكر</v>
      </c>
      <c r="J954" s="25" t="str">
        <f>'Source Table'!$B$9</f>
        <v>General Practitioner</v>
      </c>
      <c r="K954" s="25" t="str">
        <f>'Source Table'!$I$9</f>
        <v>طبيب عام</v>
      </c>
      <c r="L954" s="39">
        <v>1851</v>
      </c>
      <c r="M954">
        <v>2017</v>
      </c>
    </row>
    <row r="955" spans="1:13" ht="15">
      <c r="A955" t="s">
        <v>153</v>
      </c>
      <c r="B955" t="s">
        <v>154</v>
      </c>
      <c r="C955" s="15" t="s">
        <v>30</v>
      </c>
      <c r="D955" s="23" t="s">
        <v>81</v>
      </c>
      <c r="E955" s="25" t="s">
        <v>82</v>
      </c>
      <c r="F955" s="16" t="str">
        <f>'Source Table'!$E$6</f>
        <v>Private Sector</v>
      </c>
      <c r="G955" s="16" t="str">
        <f>'Source Table'!$E$5</f>
        <v>القطاع الخاص</v>
      </c>
      <c r="H955" t="str">
        <f>'Source Table'!$H$8</f>
        <v>Male</v>
      </c>
      <c r="I955" s="25" t="str">
        <f>'Source Table'!$H$7</f>
        <v>ذكر</v>
      </c>
      <c r="J955" s="25" t="str">
        <f>'Source Table'!$B$10</f>
        <v>Surgeon</v>
      </c>
      <c r="K955" s="25" t="str">
        <f>'Source Table'!$I$10</f>
        <v>جراحة عامة</v>
      </c>
      <c r="L955" s="39">
        <v>313</v>
      </c>
      <c r="M955">
        <v>2017</v>
      </c>
    </row>
    <row r="956" spans="1:13" ht="15">
      <c r="A956" t="s">
        <v>153</v>
      </c>
      <c r="B956" t="s">
        <v>154</v>
      </c>
      <c r="C956" s="15" t="s">
        <v>30</v>
      </c>
      <c r="D956" s="23" t="s">
        <v>81</v>
      </c>
      <c r="E956" s="25" t="s">
        <v>82</v>
      </c>
      <c r="F956" s="16" t="str">
        <f>'Source Table'!$E$6</f>
        <v>Private Sector</v>
      </c>
      <c r="G956" s="16" t="str">
        <f>'Source Table'!$E$5</f>
        <v>القطاع الخاص</v>
      </c>
      <c r="H956" t="str">
        <f>'Source Table'!$H$8</f>
        <v>Male</v>
      </c>
      <c r="I956" s="25" t="str">
        <f>'Source Table'!$H$7</f>
        <v>ذكر</v>
      </c>
      <c r="J956" s="25" t="str">
        <f>'Source Table'!$B$11</f>
        <v>Internist</v>
      </c>
      <c r="K956" s="25" t="str">
        <f>'Source Table'!$I$11</f>
        <v>باطنية</v>
      </c>
      <c r="L956" s="39">
        <v>364</v>
      </c>
      <c r="M956">
        <v>2017</v>
      </c>
    </row>
    <row r="957" spans="1:13" ht="15">
      <c r="A957" t="s">
        <v>153</v>
      </c>
      <c r="B957" t="s">
        <v>154</v>
      </c>
      <c r="C957" s="15" t="s">
        <v>30</v>
      </c>
      <c r="D957" s="23" t="s">
        <v>81</v>
      </c>
      <c r="E957" s="25" t="s">
        <v>82</v>
      </c>
      <c r="F957" s="16" t="str">
        <f>'Source Table'!$E$6</f>
        <v>Private Sector</v>
      </c>
      <c r="G957" s="16" t="str">
        <f>'Source Table'!$E$5</f>
        <v>القطاع الخاص</v>
      </c>
      <c r="H957" t="str">
        <f>'Source Table'!$H$8</f>
        <v>Male</v>
      </c>
      <c r="I957" s="25" t="str">
        <f>'Source Table'!$H$7</f>
        <v>ذكر</v>
      </c>
      <c r="J957" s="25" t="str">
        <f>'Source Table'!$B$12</f>
        <v>Gynecologist and Obst.</v>
      </c>
      <c r="K957" s="25" t="str">
        <f>'Source Table'!$I$12</f>
        <v>نسائية وتوليد</v>
      </c>
      <c r="L957" s="39">
        <v>289</v>
      </c>
      <c r="M957">
        <v>2017</v>
      </c>
    </row>
    <row r="958" spans="1:13" ht="15">
      <c r="A958" t="s">
        <v>153</v>
      </c>
      <c r="B958" t="s">
        <v>154</v>
      </c>
      <c r="C958" s="15" t="s">
        <v>30</v>
      </c>
      <c r="D958" s="23" t="s">
        <v>81</v>
      </c>
      <c r="E958" s="25" t="s">
        <v>82</v>
      </c>
      <c r="F958" s="16" t="str">
        <f>'Source Table'!$E$6</f>
        <v>Private Sector</v>
      </c>
      <c r="G958" s="16" t="str">
        <f>'Source Table'!$E$5</f>
        <v>القطاع الخاص</v>
      </c>
      <c r="H958" t="str">
        <f>'Source Table'!$H$8</f>
        <v>Male</v>
      </c>
      <c r="I958" s="25" t="str">
        <f>'Source Table'!$H$7</f>
        <v>ذكر</v>
      </c>
      <c r="J958" s="25" t="str">
        <f>'Source Table'!$B$13</f>
        <v>Pediatrics</v>
      </c>
      <c r="K958" s="25" t="str">
        <f>'Source Table'!$I$13</f>
        <v>أطفال</v>
      </c>
      <c r="L958" s="39">
        <v>260</v>
      </c>
      <c r="M958">
        <v>2017</v>
      </c>
    </row>
    <row r="959" spans="1:13" ht="15">
      <c r="A959" t="s">
        <v>153</v>
      </c>
      <c r="B959" t="s">
        <v>154</v>
      </c>
      <c r="C959" s="15" t="s">
        <v>30</v>
      </c>
      <c r="D959" s="23" t="s">
        <v>81</v>
      </c>
      <c r="E959" s="25" t="s">
        <v>82</v>
      </c>
      <c r="F959" s="16" t="str">
        <f>'Source Table'!$E$6</f>
        <v>Private Sector</v>
      </c>
      <c r="G959" s="16" t="str">
        <f>'Source Table'!$E$5</f>
        <v>القطاع الخاص</v>
      </c>
      <c r="H959" t="str">
        <f>'Source Table'!$H$8</f>
        <v>Male</v>
      </c>
      <c r="I959" s="25" t="str">
        <f>'Source Table'!$H$7</f>
        <v>ذكر</v>
      </c>
      <c r="J959" s="25" t="str">
        <f>'Source Table'!$B$14</f>
        <v>Ophthalmologist</v>
      </c>
      <c r="K959" s="25" t="str">
        <f>'Source Table'!$I$14</f>
        <v>العيون</v>
      </c>
      <c r="L959" s="39">
        <v>151</v>
      </c>
      <c r="M959">
        <v>2017</v>
      </c>
    </row>
    <row r="960" spans="1:13" ht="15">
      <c r="A960" t="s">
        <v>153</v>
      </c>
      <c r="B960" t="s">
        <v>154</v>
      </c>
      <c r="C960" s="15" t="s">
        <v>30</v>
      </c>
      <c r="D960" s="23" t="s">
        <v>81</v>
      </c>
      <c r="E960" s="25" t="s">
        <v>82</v>
      </c>
      <c r="F960" s="16" t="str">
        <f>'Source Table'!$E$6</f>
        <v>Private Sector</v>
      </c>
      <c r="G960" s="16" t="str">
        <f>'Source Table'!$E$5</f>
        <v>القطاع الخاص</v>
      </c>
      <c r="H960" t="str">
        <f>'Source Table'!$H$8</f>
        <v>Male</v>
      </c>
      <c r="I960" s="25" t="str">
        <f>'Source Table'!$H$7</f>
        <v>ذكر</v>
      </c>
      <c r="J960" s="25" t="str">
        <f>'Source Table'!$B$15</f>
        <v>Orthopedic Surg.</v>
      </c>
      <c r="K960" s="25" t="str">
        <f>'Source Table'!$I$15</f>
        <v>العظام</v>
      </c>
      <c r="L960" s="39">
        <v>180</v>
      </c>
      <c r="M960">
        <v>2017</v>
      </c>
    </row>
    <row r="961" spans="1:13" ht="15">
      <c r="A961" t="s">
        <v>153</v>
      </c>
      <c r="B961" t="s">
        <v>154</v>
      </c>
      <c r="C961" s="15" t="s">
        <v>30</v>
      </c>
      <c r="D961" s="23" t="s">
        <v>81</v>
      </c>
      <c r="E961" s="25" t="s">
        <v>82</v>
      </c>
      <c r="F961" s="16" t="str">
        <f>'Source Table'!$E$6</f>
        <v>Private Sector</v>
      </c>
      <c r="G961" s="16" t="str">
        <f>'Source Table'!$E$5</f>
        <v>القطاع الخاص</v>
      </c>
      <c r="H961" t="str">
        <f>'Source Table'!$H$8</f>
        <v>Male</v>
      </c>
      <c r="I961" s="25" t="str">
        <f>'Source Table'!$H$7</f>
        <v>ذكر</v>
      </c>
      <c r="J961" s="25" t="str">
        <f>'Source Table'!$B$16</f>
        <v>E.N.T.Surg.</v>
      </c>
      <c r="K961" s="25" t="str">
        <f>'Source Table'!$I$16</f>
        <v>أذن وأنف وحنجرة</v>
      </c>
      <c r="L961" s="39">
        <v>111</v>
      </c>
      <c r="M961">
        <v>2017</v>
      </c>
    </row>
    <row r="962" spans="1:13" ht="15">
      <c r="A962" t="s">
        <v>153</v>
      </c>
      <c r="B962" t="s">
        <v>154</v>
      </c>
      <c r="C962" s="15" t="s">
        <v>30</v>
      </c>
      <c r="D962" s="23" t="s">
        <v>81</v>
      </c>
      <c r="E962" s="25" t="s">
        <v>82</v>
      </c>
      <c r="F962" s="16" t="str">
        <f>'Source Table'!$E$6</f>
        <v>Private Sector</v>
      </c>
      <c r="G962" s="16" t="str">
        <f>'Source Table'!$E$5</f>
        <v>القطاع الخاص</v>
      </c>
      <c r="H962" t="str">
        <f>'Source Table'!$H$8</f>
        <v>Male</v>
      </c>
      <c r="I962" s="25" t="str">
        <f>'Source Table'!$H$7</f>
        <v>ذكر</v>
      </c>
      <c r="J962" s="25" t="str">
        <f>'Source Table'!$B$17</f>
        <v>Neurosurgery</v>
      </c>
      <c r="K962" s="25" t="str">
        <f>'Source Table'!$I$17</f>
        <v>جراحةأعصاب</v>
      </c>
      <c r="L962" s="39">
        <v>45</v>
      </c>
      <c r="M962">
        <v>2017</v>
      </c>
    </row>
    <row r="963" spans="1:13" ht="15">
      <c r="A963" t="s">
        <v>153</v>
      </c>
      <c r="B963" t="s">
        <v>154</v>
      </c>
      <c r="C963" s="15" t="s">
        <v>30</v>
      </c>
      <c r="D963" s="23" t="s">
        <v>81</v>
      </c>
      <c r="E963" s="25" t="s">
        <v>82</v>
      </c>
      <c r="F963" s="16" t="str">
        <f>'Source Table'!$E$6</f>
        <v>Private Sector</v>
      </c>
      <c r="G963" s="16" t="str">
        <f>'Source Table'!$E$5</f>
        <v>القطاع الخاص</v>
      </c>
      <c r="H963" t="str">
        <f>'Source Table'!$H$8</f>
        <v>Male</v>
      </c>
      <c r="I963" s="25" t="str">
        <f>'Source Table'!$H$7</f>
        <v>ذكر</v>
      </c>
      <c r="J963" s="25" t="str">
        <f>'Source Table'!$B$18</f>
        <v>Cardiothoracic</v>
      </c>
      <c r="K963" s="25" t="str">
        <f>'Source Table'!$I$18</f>
        <v>جراحة قلب</v>
      </c>
      <c r="L963" s="39">
        <v>20</v>
      </c>
      <c r="M963">
        <v>2017</v>
      </c>
    </row>
    <row r="964" spans="1:13" ht="15">
      <c r="A964" t="s">
        <v>153</v>
      </c>
      <c r="B964" t="s">
        <v>154</v>
      </c>
      <c r="C964" s="15" t="s">
        <v>30</v>
      </c>
      <c r="D964" s="23" t="s">
        <v>81</v>
      </c>
      <c r="E964" s="25" t="s">
        <v>82</v>
      </c>
      <c r="F964" s="16" t="str">
        <f>'Source Table'!$E$6</f>
        <v>Private Sector</v>
      </c>
      <c r="G964" s="16" t="str">
        <f>'Source Table'!$E$5</f>
        <v>القطاع الخاص</v>
      </c>
      <c r="H964" t="str">
        <f>'Source Table'!$H$8</f>
        <v>Male</v>
      </c>
      <c r="I964" s="25" t="str">
        <f>'Source Table'!$H$7</f>
        <v>ذكر</v>
      </c>
      <c r="J964" s="25" t="str">
        <f>'Source Table'!$B$19</f>
        <v>Plastic Surgeon</v>
      </c>
      <c r="K964" s="25" t="str">
        <f>'Source Table'!$I$19</f>
        <v>التجميل</v>
      </c>
      <c r="L964" s="39">
        <v>35</v>
      </c>
      <c r="M964">
        <v>2017</v>
      </c>
    </row>
    <row r="965" spans="1:13" ht="15">
      <c r="A965" t="s">
        <v>153</v>
      </c>
      <c r="B965" t="s">
        <v>154</v>
      </c>
      <c r="C965" s="15" t="s">
        <v>30</v>
      </c>
      <c r="D965" s="23" t="s">
        <v>81</v>
      </c>
      <c r="E965" s="25" t="s">
        <v>82</v>
      </c>
      <c r="F965" s="16" t="str">
        <f>'Source Table'!$E$6</f>
        <v>Private Sector</v>
      </c>
      <c r="G965" s="16" t="str">
        <f>'Source Table'!$E$5</f>
        <v>القطاع الخاص</v>
      </c>
      <c r="H965" t="str">
        <f>'Source Table'!$H$8</f>
        <v>Male</v>
      </c>
      <c r="I965" s="25" t="str">
        <f>'Source Table'!$H$7</f>
        <v>ذكر</v>
      </c>
      <c r="J965" s="25" t="str">
        <f>'Source Table'!$B$20</f>
        <v>Psychiatry</v>
      </c>
      <c r="K965" s="25" t="str">
        <f>'Source Table'!$I$20</f>
        <v>النفسية</v>
      </c>
      <c r="L965" s="39">
        <v>44</v>
      </c>
      <c r="M965">
        <v>2017</v>
      </c>
    </row>
    <row r="966" spans="1:13" ht="15">
      <c r="A966" t="s">
        <v>153</v>
      </c>
      <c r="B966" t="s">
        <v>154</v>
      </c>
      <c r="C966" s="15" t="s">
        <v>30</v>
      </c>
      <c r="D966" s="23" t="s">
        <v>81</v>
      </c>
      <c r="E966" s="25" t="s">
        <v>82</v>
      </c>
      <c r="F966" s="16" t="str">
        <f>'Source Table'!$E$6</f>
        <v>Private Sector</v>
      </c>
      <c r="G966" s="16" t="str">
        <f>'Source Table'!$E$5</f>
        <v>القطاع الخاص</v>
      </c>
      <c r="H966" t="str">
        <f>'Source Table'!$H$8</f>
        <v>Male</v>
      </c>
      <c r="I966" s="25" t="str">
        <f>'Source Table'!$H$7</f>
        <v>ذكر</v>
      </c>
      <c r="J966" s="25" t="str">
        <f>'Source Table'!$B$21</f>
        <v>Dermatologist Venereal</v>
      </c>
      <c r="K966" s="25" t="str">
        <f>'Source Table'!$I$21</f>
        <v>جلدية وتناسلية</v>
      </c>
      <c r="L966" s="39">
        <v>101</v>
      </c>
      <c r="M966">
        <v>2017</v>
      </c>
    </row>
    <row r="967" spans="1:13" ht="15">
      <c r="A967" t="s">
        <v>153</v>
      </c>
      <c r="B967" t="s">
        <v>154</v>
      </c>
      <c r="C967" s="15" t="s">
        <v>30</v>
      </c>
      <c r="D967" s="23" t="s">
        <v>81</v>
      </c>
      <c r="E967" s="25" t="s">
        <v>82</v>
      </c>
      <c r="F967" s="16" t="str">
        <f>'Source Table'!$E$6</f>
        <v>Private Sector</v>
      </c>
      <c r="G967" s="16" t="str">
        <f>'Source Table'!$E$5</f>
        <v>القطاع الخاص</v>
      </c>
      <c r="H967" t="str">
        <f>'Source Table'!$H$8</f>
        <v>Male</v>
      </c>
      <c r="I967" s="25" t="str">
        <f>'Source Table'!$H$7</f>
        <v>ذكر</v>
      </c>
      <c r="J967" s="25" t="str">
        <f>'Source Table'!$B$22</f>
        <v>Neurology/ Nervous</v>
      </c>
      <c r="K967" s="25" t="str">
        <f>'Source Table'!$I$22</f>
        <v>مرض الأعصاب</v>
      </c>
      <c r="L967" s="39">
        <v>26</v>
      </c>
      <c r="M967">
        <v>2017</v>
      </c>
    </row>
    <row r="968" spans="1:13" ht="15">
      <c r="A968" t="s">
        <v>153</v>
      </c>
      <c r="B968" t="s">
        <v>154</v>
      </c>
      <c r="C968" s="15" t="s">
        <v>30</v>
      </c>
      <c r="D968" s="23" t="s">
        <v>81</v>
      </c>
      <c r="E968" s="25" t="s">
        <v>82</v>
      </c>
      <c r="F968" s="16" t="str">
        <f>'Source Table'!$E$6</f>
        <v>Private Sector</v>
      </c>
      <c r="G968" s="16" t="str">
        <f>'Source Table'!$E$5</f>
        <v>القطاع الخاص</v>
      </c>
      <c r="H968" t="str">
        <f>'Source Table'!$H$8</f>
        <v>Male</v>
      </c>
      <c r="I968" s="25" t="str">
        <f>'Source Table'!$H$7</f>
        <v>ذكر</v>
      </c>
      <c r="J968" s="25" t="str">
        <f>'Source Table'!$B$23</f>
        <v>Pumologist</v>
      </c>
      <c r="K968" s="25" t="str">
        <f>'Source Table'!$I$23</f>
        <v>صدرية</v>
      </c>
      <c r="L968" s="39">
        <v>30</v>
      </c>
      <c r="M968">
        <v>2017</v>
      </c>
    </row>
    <row r="969" spans="1:13" ht="15">
      <c r="A969" t="s">
        <v>153</v>
      </c>
      <c r="B969" t="s">
        <v>154</v>
      </c>
      <c r="C969" s="15" t="s">
        <v>30</v>
      </c>
      <c r="D969" s="23" t="s">
        <v>81</v>
      </c>
      <c r="E969" s="25" t="s">
        <v>82</v>
      </c>
      <c r="F969" s="16" t="str">
        <f>'Source Table'!$E$6</f>
        <v>Private Sector</v>
      </c>
      <c r="G969" s="16" t="str">
        <f>'Source Table'!$E$5</f>
        <v>القطاع الخاص</v>
      </c>
      <c r="H969" t="str">
        <f>'Source Table'!$H$8</f>
        <v>Male</v>
      </c>
      <c r="I969" s="25" t="str">
        <f>'Source Table'!$H$7</f>
        <v>ذكر</v>
      </c>
      <c r="J969" s="25" t="str">
        <f>'Source Table'!$B$24</f>
        <v>G.I.T. Specialist</v>
      </c>
      <c r="K969" s="25" t="str">
        <f>'Source Table'!$I$24</f>
        <v>جهاز هضمي</v>
      </c>
      <c r="L969" s="39">
        <v>45</v>
      </c>
      <c r="M969">
        <v>2017</v>
      </c>
    </row>
    <row r="970" spans="1:13" ht="15">
      <c r="A970" t="s">
        <v>153</v>
      </c>
      <c r="B970" t="s">
        <v>154</v>
      </c>
      <c r="C970" s="15" t="s">
        <v>30</v>
      </c>
      <c r="D970" s="23" t="s">
        <v>81</v>
      </c>
      <c r="E970" s="25" t="s">
        <v>82</v>
      </c>
      <c r="F970" s="16" t="str">
        <f>'Source Table'!$E$6</f>
        <v>Private Sector</v>
      </c>
      <c r="G970" s="16" t="str">
        <f>'Source Table'!$E$5</f>
        <v>القطاع الخاص</v>
      </c>
      <c r="H970" t="str">
        <f>'Source Table'!$H$8</f>
        <v>Male</v>
      </c>
      <c r="I970" s="25" t="str">
        <f>'Source Table'!$H$7</f>
        <v>ذكر</v>
      </c>
      <c r="J970" s="25" t="str">
        <f>'Source Table'!$B$25</f>
        <v>Diagnostic Radiology</v>
      </c>
      <c r="K970" s="25" t="str">
        <f>'Source Table'!$I$25</f>
        <v>أشعة تشخيصية</v>
      </c>
      <c r="L970" s="39">
        <v>127</v>
      </c>
      <c r="M970">
        <v>2017</v>
      </c>
    </row>
    <row r="971" spans="1:13" ht="15">
      <c r="A971" t="s">
        <v>153</v>
      </c>
      <c r="B971" t="s">
        <v>154</v>
      </c>
      <c r="C971" s="15" t="s">
        <v>30</v>
      </c>
      <c r="D971" s="23" t="s">
        <v>81</v>
      </c>
      <c r="E971" s="25" t="s">
        <v>82</v>
      </c>
      <c r="F971" s="16" t="str">
        <f>'Source Table'!$E$6</f>
        <v>Private Sector</v>
      </c>
      <c r="G971" s="16" t="str">
        <f>'Source Table'!$E$5</f>
        <v>القطاع الخاص</v>
      </c>
      <c r="H971" t="str">
        <f>'Source Table'!$H$8</f>
        <v>Male</v>
      </c>
      <c r="I971" s="25" t="str">
        <f>'Source Table'!$H$7</f>
        <v>ذكر</v>
      </c>
      <c r="J971" s="25" t="str">
        <f>'Source Table'!$B$26</f>
        <v>Anesthetic</v>
      </c>
      <c r="K971" s="25" t="str">
        <f>'Source Table'!$I$26</f>
        <v>تخدير وإنعاش</v>
      </c>
      <c r="L971" s="39">
        <v>179</v>
      </c>
      <c r="M971">
        <v>2017</v>
      </c>
    </row>
    <row r="972" spans="1:13" ht="15">
      <c r="A972" t="s">
        <v>153</v>
      </c>
      <c r="B972" t="s">
        <v>154</v>
      </c>
      <c r="C972" s="15" t="s">
        <v>30</v>
      </c>
      <c r="D972" s="23" t="s">
        <v>81</v>
      </c>
      <c r="E972" s="25" t="s">
        <v>82</v>
      </c>
      <c r="F972" s="16" t="str">
        <f>'Source Table'!$E$6</f>
        <v>Private Sector</v>
      </c>
      <c r="G972" s="16" t="str">
        <f>'Source Table'!$E$5</f>
        <v>القطاع الخاص</v>
      </c>
      <c r="H972" t="str">
        <f>'Source Table'!$H$8</f>
        <v>Male</v>
      </c>
      <c r="I972" s="25" t="str">
        <f>'Source Table'!$H$7</f>
        <v>ذكر</v>
      </c>
      <c r="J972" s="25" t="str">
        <f>'Source Table'!$B$27</f>
        <v>Physiotherapist</v>
      </c>
      <c r="K972" s="25" t="str">
        <f>'Source Table'!$I$27</f>
        <v>طب طبيعي</v>
      </c>
      <c r="L972" s="39">
        <v>16</v>
      </c>
      <c r="M972">
        <v>2017</v>
      </c>
    </row>
    <row r="973" spans="1:13" ht="15">
      <c r="A973" t="s">
        <v>153</v>
      </c>
      <c r="B973" t="s">
        <v>154</v>
      </c>
      <c r="C973" s="15" t="s">
        <v>30</v>
      </c>
      <c r="D973" s="23" t="s">
        <v>81</v>
      </c>
      <c r="E973" s="25" t="s">
        <v>82</v>
      </c>
      <c r="F973" s="16" t="str">
        <f>'Source Table'!$E$6</f>
        <v>Private Sector</v>
      </c>
      <c r="G973" s="16" t="str">
        <f>'Source Table'!$E$5</f>
        <v>القطاع الخاص</v>
      </c>
      <c r="H973" t="str">
        <f>'Source Table'!$H$8</f>
        <v>Male</v>
      </c>
      <c r="I973" s="25" t="str">
        <f>'Source Table'!$H$7</f>
        <v>ذكر</v>
      </c>
      <c r="J973" s="25" t="str">
        <f>'Source Table'!$B$28</f>
        <v>Forensic</v>
      </c>
      <c r="K973" s="25" t="str">
        <f>'Source Table'!$I$28</f>
        <v>طب شرعي</v>
      </c>
      <c r="L973" s="39">
        <v>1</v>
      </c>
      <c r="M973">
        <v>2017</v>
      </c>
    </row>
    <row r="974" spans="1:13" ht="15">
      <c r="A974" t="s">
        <v>153</v>
      </c>
      <c r="B974" t="s">
        <v>154</v>
      </c>
      <c r="C974" s="15" t="s">
        <v>30</v>
      </c>
      <c r="D974" s="23" t="s">
        <v>81</v>
      </c>
      <c r="E974" s="25" t="s">
        <v>82</v>
      </c>
      <c r="F974" s="16" t="str">
        <f>'Source Table'!$E$6</f>
        <v>Private Sector</v>
      </c>
      <c r="G974" s="16" t="str">
        <f>'Source Table'!$E$5</f>
        <v>القطاع الخاص</v>
      </c>
      <c r="H974" t="str">
        <f>'Source Table'!$H$8</f>
        <v>Male</v>
      </c>
      <c r="I974" s="25" t="str">
        <f>'Source Table'!$H$7</f>
        <v>ذكر</v>
      </c>
      <c r="J974" s="25" t="str">
        <f>'Source Table'!$B$29</f>
        <v xml:space="preserve">Family </v>
      </c>
      <c r="K974" s="25" t="str">
        <f>'Source Table'!$I$29</f>
        <v>طب أسرة</v>
      </c>
      <c r="L974" s="39">
        <v>19</v>
      </c>
      <c r="M974">
        <v>2017</v>
      </c>
    </row>
    <row r="975" spans="1:13" ht="15">
      <c r="A975" t="s">
        <v>153</v>
      </c>
      <c r="B975" t="s">
        <v>154</v>
      </c>
      <c r="C975" s="15" t="s">
        <v>30</v>
      </c>
      <c r="D975" s="23" t="s">
        <v>81</v>
      </c>
      <c r="E975" s="25" t="s">
        <v>82</v>
      </c>
      <c r="F975" s="16" t="str">
        <f>'Source Table'!$E$6</f>
        <v>Private Sector</v>
      </c>
      <c r="G975" s="16" t="str">
        <f>'Source Table'!$E$5</f>
        <v>القطاع الخاص</v>
      </c>
      <c r="H975" t="str">
        <f>'Source Table'!$H$8</f>
        <v>Male</v>
      </c>
      <c r="I975" s="25" t="str">
        <f>'Source Table'!$H$7</f>
        <v>ذكر</v>
      </c>
      <c r="J975" s="25" t="str">
        <f>'Source Table'!$B$30</f>
        <v>Urologist</v>
      </c>
      <c r="K975" s="25" t="str">
        <f>'Source Table'!$I$30</f>
        <v xml:space="preserve">المسالك البولية </v>
      </c>
      <c r="L975" s="39">
        <v>77</v>
      </c>
      <c r="M975">
        <v>2017</v>
      </c>
    </row>
    <row r="976" spans="1:13" ht="15">
      <c r="A976" t="s">
        <v>153</v>
      </c>
      <c r="B976" t="s">
        <v>154</v>
      </c>
      <c r="C976" s="15" t="s">
        <v>30</v>
      </c>
      <c r="D976" s="23" t="s">
        <v>81</v>
      </c>
      <c r="E976" s="25" t="s">
        <v>82</v>
      </c>
      <c r="F976" s="16" t="str">
        <f>'Source Table'!$E$6</f>
        <v>Private Sector</v>
      </c>
      <c r="G976" s="16" t="str">
        <f>'Source Table'!$E$5</f>
        <v>القطاع الخاص</v>
      </c>
      <c r="H976" t="str">
        <f>'Source Table'!$H$8</f>
        <v>Male</v>
      </c>
      <c r="I976" s="25" t="str">
        <f>'Source Table'!$H$7</f>
        <v>ذكر</v>
      </c>
      <c r="J976" s="25" t="str">
        <f>'Source Table'!$B$31</f>
        <v>Cardiology</v>
      </c>
      <c r="K976" s="25" t="str">
        <f>'Source Table'!$I$31</f>
        <v>أمراض القلب</v>
      </c>
      <c r="L976" s="39">
        <v>66</v>
      </c>
      <c r="M976">
        <v>2017</v>
      </c>
    </row>
    <row r="977" spans="1:13" ht="15">
      <c r="A977" t="s">
        <v>153</v>
      </c>
      <c r="B977" t="s">
        <v>154</v>
      </c>
      <c r="C977" s="15" t="s">
        <v>30</v>
      </c>
      <c r="D977" s="23" t="s">
        <v>81</v>
      </c>
      <c r="E977" s="25" t="s">
        <v>82</v>
      </c>
      <c r="F977" s="16" t="str">
        <f>'Source Table'!$E$6</f>
        <v>Private Sector</v>
      </c>
      <c r="G977" s="16" t="str">
        <f>'Source Table'!$E$5</f>
        <v>القطاع الخاص</v>
      </c>
      <c r="H977" t="str">
        <f>'Source Table'!$H$8</f>
        <v>Male</v>
      </c>
      <c r="I977" s="25" t="str">
        <f>'Source Table'!$H$7</f>
        <v>ذكر</v>
      </c>
      <c r="J977" s="25" t="str">
        <f>'Source Table'!$B$32</f>
        <v>Laboratory</v>
      </c>
      <c r="K977" s="25" t="str">
        <f>'Source Table'!$I$32</f>
        <v>مختبرات</v>
      </c>
      <c r="L977" s="39">
        <v>10</v>
      </c>
      <c r="M977">
        <v>2017</v>
      </c>
    </row>
    <row r="978" spans="1:13" ht="15">
      <c r="A978" t="s">
        <v>153</v>
      </c>
      <c r="B978" t="s">
        <v>154</v>
      </c>
      <c r="C978" s="15" t="s">
        <v>30</v>
      </c>
      <c r="D978" s="23" t="s">
        <v>81</v>
      </c>
      <c r="E978" s="25" t="s">
        <v>82</v>
      </c>
      <c r="F978" s="16" t="str">
        <f>'Source Table'!$E$6</f>
        <v>Private Sector</v>
      </c>
      <c r="G978" s="16" t="str">
        <f>'Source Table'!$E$5</f>
        <v>القطاع الخاص</v>
      </c>
      <c r="H978" t="str">
        <f>'Source Table'!$H$8</f>
        <v>Male</v>
      </c>
      <c r="I978" s="25" t="str">
        <f>'Source Table'!$H$7</f>
        <v>ذكر</v>
      </c>
      <c r="J978" s="25" t="str">
        <f>'Source Table'!$B$33</f>
        <v>Others</v>
      </c>
      <c r="K978" s="25" t="str">
        <f>'Source Table'!$I$33</f>
        <v>أخرى</v>
      </c>
      <c r="L978" s="39">
        <v>247</v>
      </c>
      <c r="M978">
        <v>2017</v>
      </c>
    </row>
    <row r="979" spans="1:13" ht="15">
      <c r="A979" t="s">
        <v>153</v>
      </c>
      <c r="B979" t="s">
        <v>154</v>
      </c>
      <c r="C979" s="15" t="s">
        <v>30</v>
      </c>
      <c r="D979" s="23" t="s">
        <v>81</v>
      </c>
      <c r="E979" s="25" t="s">
        <v>82</v>
      </c>
      <c r="F979" s="16" t="str">
        <f>'Source Table'!$E$6</f>
        <v>Private Sector</v>
      </c>
      <c r="G979" s="16" t="str">
        <f>'Source Table'!$E$5</f>
        <v>القطاع الخاص</v>
      </c>
      <c r="H979" t="str">
        <f>'Source Table'!$G$8</f>
        <v>Female</v>
      </c>
      <c r="I979" s="16" t="str">
        <f>'Source Table'!$G$7</f>
        <v>أنثى</v>
      </c>
      <c r="J979" s="25" t="str">
        <f>'Source Table'!$B$9</f>
        <v>General Practitioner</v>
      </c>
      <c r="K979" s="25" t="str">
        <f>'Source Table'!$I$9</f>
        <v>طبيب عام</v>
      </c>
      <c r="L979" s="39">
        <v>404</v>
      </c>
      <c r="M979">
        <v>2017</v>
      </c>
    </row>
    <row r="980" spans="1:13" ht="15">
      <c r="A980" t="s">
        <v>153</v>
      </c>
      <c r="B980" t="s">
        <v>154</v>
      </c>
      <c r="C980" s="15" t="s">
        <v>30</v>
      </c>
      <c r="D980" s="23" t="s">
        <v>81</v>
      </c>
      <c r="E980" s="25" t="s">
        <v>82</v>
      </c>
      <c r="F980" s="16" t="str">
        <f>'Source Table'!$E$6</f>
        <v>Private Sector</v>
      </c>
      <c r="G980" s="16" t="str">
        <f>'Source Table'!$E$5</f>
        <v>القطاع الخاص</v>
      </c>
      <c r="H980" t="str">
        <f>'Source Table'!$G$8</f>
        <v>Female</v>
      </c>
      <c r="I980" s="16" t="str">
        <f>'Source Table'!$G$7</f>
        <v>أنثى</v>
      </c>
      <c r="J980" s="25" t="str">
        <f>'Source Table'!$B$10</f>
        <v>Surgeon</v>
      </c>
      <c r="K980" s="25" t="str">
        <f>'Source Table'!$I$10</f>
        <v>جراحة عامة</v>
      </c>
      <c r="L980" s="39">
        <v>6</v>
      </c>
      <c r="M980">
        <v>2017</v>
      </c>
    </row>
    <row r="981" spans="1:13" ht="15">
      <c r="A981" t="s">
        <v>153</v>
      </c>
      <c r="B981" t="s">
        <v>154</v>
      </c>
      <c r="C981" s="15" t="s">
        <v>30</v>
      </c>
      <c r="D981" s="23" t="s">
        <v>81</v>
      </c>
      <c r="E981" s="25" t="s">
        <v>82</v>
      </c>
      <c r="F981" s="16" t="str">
        <f>'Source Table'!$E$6</f>
        <v>Private Sector</v>
      </c>
      <c r="G981" s="16" t="str">
        <f>'Source Table'!$E$5</f>
        <v>القطاع الخاص</v>
      </c>
      <c r="H981" t="str">
        <f>'Source Table'!$G$8</f>
        <v>Female</v>
      </c>
      <c r="I981" s="16" t="str">
        <f>'Source Table'!$G$7</f>
        <v>أنثى</v>
      </c>
      <c r="J981" s="25" t="str">
        <f>'Source Table'!$B$11</f>
        <v>Internist</v>
      </c>
      <c r="K981" s="25" t="str">
        <f>'Source Table'!$I$11</f>
        <v>باطنية</v>
      </c>
      <c r="L981" s="39">
        <v>41</v>
      </c>
      <c r="M981">
        <v>2017</v>
      </c>
    </row>
    <row r="982" spans="1:13" ht="15">
      <c r="A982" t="s">
        <v>153</v>
      </c>
      <c r="B982" t="s">
        <v>154</v>
      </c>
      <c r="C982" s="15" t="s">
        <v>30</v>
      </c>
      <c r="D982" s="23" t="s">
        <v>81</v>
      </c>
      <c r="E982" s="25" t="s">
        <v>82</v>
      </c>
      <c r="F982" s="16" t="str">
        <f>'Source Table'!$E$6</f>
        <v>Private Sector</v>
      </c>
      <c r="G982" s="16" t="str">
        <f>'Source Table'!$E$5</f>
        <v>القطاع الخاص</v>
      </c>
      <c r="H982" t="str">
        <f>'Source Table'!$G$8</f>
        <v>Female</v>
      </c>
      <c r="I982" s="16" t="str">
        <f>'Source Table'!$G$7</f>
        <v>أنثى</v>
      </c>
      <c r="J982" s="25" t="str">
        <f>'Source Table'!$B$12</f>
        <v>Gynecologist and Obst.</v>
      </c>
      <c r="K982" s="25" t="str">
        <f>'Source Table'!$I$12</f>
        <v>نسائية وتوليد</v>
      </c>
      <c r="L982" s="39">
        <v>173</v>
      </c>
      <c r="M982">
        <v>2017</v>
      </c>
    </row>
    <row r="983" spans="1:13" ht="15">
      <c r="A983" t="s">
        <v>153</v>
      </c>
      <c r="B983" t="s">
        <v>154</v>
      </c>
      <c r="C983" s="15" t="s">
        <v>30</v>
      </c>
      <c r="D983" s="23" t="s">
        <v>81</v>
      </c>
      <c r="E983" s="25" t="s">
        <v>82</v>
      </c>
      <c r="F983" s="16" t="str">
        <f>'Source Table'!$E$6</f>
        <v>Private Sector</v>
      </c>
      <c r="G983" s="16" t="str">
        <f>'Source Table'!$E$5</f>
        <v>القطاع الخاص</v>
      </c>
      <c r="H983" t="str">
        <f>'Source Table'!$G$8</f>
        <v>Female</v>
      </c>
      <c r="I983" s="16" t="str">
        <f>'Source Table'!$G$7</f>
        <v>أنثى</v>
      </c>
      <c r="J983" s="25" t="str">
        <f>'Source Table'!$B$13</f>
        <v>Pediatrics</v>
      </c>
      <c r="K983" s="25" t="str">
        <f>'Source Table'!$I$13</f>
        <v>أطفال</v>
      </c>
      <c r="L983" s="39">
        <v>95</v>
      </c>
      <c r="M983">
        <v>2017</v>
      </c>
    </row>
    <row r="984" spans="1:13" ht="15">
      <c r="A984" t="s">
        <v>153</v>
      </c>
      <c r="B984" t="s">
        <v>154</v>
      </c>
      <c r="C984" s="15" t="s">
        <v>30</v>
      </c>
      <c r="D984" s="23" t="s">
        <v>81</v>
      </c>
      <c r="E984" s="25" t="s">
        <v>82</v>
      </c>
      <c r="F984" s="16" t="str">
        <f>'Source Table'!$E$6</f>
        <v>Private Sector</v>
      </c>
      <c r="G984" s="16" t="str">
        <f>'Source Table'!$E$5</f>
        <v>القطاع الخاص</v>
      </c>
      <c r="H984" t="str">
        <f>'Source Table'!$G$8</f>
        <v>Female</v>
      </c>
      <c r="I984" s="16" t="str">
        <f>'Source Table'!$G$7</f>
        <v>أنثى</v>
      </c>
      <c r="J984" s="25" t="str">
        <f>'Source Table'!$B$14</f>
        <v>Ophthalmologist</v>
      </c>
      <c r="K984" s="25" t="str">
        <f>'Source Table'!$I$14</f>
        <v>العيون</v>
      </c>
      <c r="L984" s="39">
        <v>31</v>
      </c>
      <c r="M984">
        <v>2017</v>
      </c>
    </row>
    <row r="985" spans="1:13" ht="15">
      <c r="A985" t="s">
        <v>153</v>
      </c>
      <c r="B985" t="s">
        <v>154</v>
      </c>
      <c r="C985" s="15" t="s">
        <v>30</v>
      </c>
      <c r="D985" s="23" t="s">
        <v>81</v>
      </c>
      <c r="E985" s="25" t="s">
        <v>82</v>
      </c>
      <c r="F985" s="16" t="str">
        <f>'Source Table'!$E$6</f>
        <v>Private Sector</v>
      </c>
      <c r="G985" s="16" t="str">
        <f>'Source Table'!$E$5</f>
        <v>القطاع الخاص</v>
      </c>
      <c r="H985" t="str">
        <f>'Source Table'!$G$8</f>
        <v>Female</v>
      </c>
      <c r="I985" s="16" t="str">
        <f>'Source Table'!$G$7</f>
        <v>أنثى</v>
      </c>
      <c r="J985" s="25" t="str">
        <f>'Source Table'!$B$15</f>
        <v>Orthopedic Surg.</v>
      </c>
      <c r="K985" s="25" t="str">
        <f>'Source Table'!$I$15</f>
        <v>العظام</v>
      </c>
      <c r="L985" s="39">
        <v>2</v>
      </c>
      <c r="M985">
        <v>2017</v>
      </c>
    </row>
    <row r="986" spans="1:13" ht="15">
      <c r="A986" t="s">
        <v>153</v>
      </c>
      <c r="B986" t="s">
        <v>154</v>
      </c>
      <c r="C986" s="15" t="s">
        <v>30</v>
      </c>
      <c r="D986" s="23" t="s">
        <v>81</v>
      </c>
      <c r="E986" s="25" t="s">
        <v>82</v>
      </c>
      <c r="F986" s="16" t="str">
        <f>'Source Table'!$E$6</f>
        <v>Private Sector</v>
      </c>
      <c r="G986" s="16" t="str">
        <f>'Source Table'!$E$5</f>
        <v>القطاع الخاص</v>
      </c>
      <c r="H986" t="str">
        <f>'Source Table'!$G$8</f>
        <v>Female</v>
      </c>
      <c r="I986" s="16" t="str">
        <f>'Source Table'!$G$7</f>
        <v>أنثى</v>
      </c>
      <c r="J986" s="25" t="str">
        <f>'Source Table'!$B$16</f>
        <v>E.N.T.Surg.</v>
      </c>
      <c r="K986" s="25" t="str">
        <f>'Source Table'!$I$16</f>
        <v>أذن وأنف وحنجرة</v>
      </c>
      <c r="L986" s="39">
        <v>7</v>
      </c>
      <c r="M986">
        <v>2017</v>
      </c>
    </row>
    <row r="987" spans="1:13" ht="15">
      <c r="A987" t="s">
        <v>153</v>
      </c>
      <c r="B987" t="s">
        <v>154</v>
      </c>
      <c r="C987" s="15" t="s">
        <v>30</v>
      </c>
      <c r="D987" s="23" t="s">
        <v>81</v>
      </c>
      <c r="E987" s="25" t="s">
        <v>82</v>
      </c>
      <c r="F987" s="16" t="str">
        <f>'Source Table'!$E$6</f>
        <v>Private Sector</v>
      </c>
      <c r="G987" s="16" t="str">
        <f>'Source Table'!$E$5</f>
        <v>القطاع الخاص</v>
      </c>
      <c r="H987" t="str">
        <f>'Source Table'!$G$8</f>
        <v>Female</v>
      </c>
      <c r="I987" s="16" t="str">
        <f>'Source Table'!$G$7</f>
        <v>أنثى</v>
      </c>
      <c r="J987" s="25" t="str">
        <f>'Source Table'!$B$17</f>
        <v>Neurosurgery</v>
      </c>
      <c r="K987" s="25" t="str">
        <f>'Source Table'!$I$17</f>
        <v>جراحةأعصاب</v>
      </c>
      <c r="L987" s="39">
        <v>0</v>
      </c>
      <c r="M987">
        <v>2017</v>
      </c>
    </row>
    <row r="988" spans="1:13" ht="15">
      <c r="A988" t="s">
        <v>153</v>
      </c>
      <c r="B988" t="s">
        <v>154</v>
      </c>
      <c r="C988" s="15" t="s">
        <v>30</v>
      </c>
      <c r="D988" s="23" t="s">
        <v>81</v>
      </c>
      <c r="E988" s="25" t="s">
        <v>82</v>
      </c>
      <c r="F988" s="16" t="str">
        <f>'Source Table'!$E$6</f>
        <v>Private Sector</v>
      </c>
      <c r="G988" s="16" t="str">
        <f>'Source Table'!$E$5</f>
        <v>القطاع الخاص</v>
      </c>
      <c r="H988" t="str">
        <f>'Source Table'!$G$8</f>
        <v>Female</v>
      </c>
      <c r="I988" s="16" t="str">
        <f>'Source Table'!$G$7</f>
        <v>أنثى</v>
      </c>
      <c r="J988" s="25" t="str">
        <f>'Source Table'!$B$18</f>
        <v>Cardiothoracic</v>
      </c>
      <c r="K988" s="25" t="str">
        <f>'Source Table'!$I$18</f>
        <v>جراحة قلب</v>
      </c>
      <c r="L988" s="39">
        <v>0</v>
      </c>
      <c r="M988">
        <v>2017</v>
      </c>
    </row>
    <row r="989" spans="1:13" ht="15">
      <c r="A989" t="s">
        <v>153</v>
      </c>
      <c r="B989" t="s">
        <v>154</v>
      </c>
      <c r="C989" s="15" t="s">
        <v>30</v>
      </c>
      <c r="D989" s="23" t="s">
        <v>81</v>
      </c>
      <c r="E989" s="25" t="s">
        <v>82</v>
      </c>
      <c r="F989" s="16" t="str">
        <f>'Source Table'!$E$6</f>
        <v>Private Sector</v>
      </c>
      <c r="G989" s="16" t="str">
        <f>'Source Table'!$E$5</f>
        <v>القطاع الخاص</v>
      </c>
      <c r="H989" t="str">
        <f>'Source Table'!$G$8</f>
        <v>Female</v>
      </c>
      <c r="I989" s="16" t="str">
        <f>'Source Table'!$G$7</f>
        <v>أنثى</v>
      </c>
      <c r="J989" s="25" t="str">
        <f>'Source Table'!$B$19</f>
        <v>Plastic Surgeon</v>
      </c>
      <c r="K989" s="25" t="str">
        <f>'Source Table'!$I$19</f>
        <v>التجميل</v>
      </c>
      <c r="L989" s="39">
        <v>1</v>
      </c>
      <c r="M989">
        <v>2017</v>
      </c>
    </row>
    <row r="990" spans="1:13" ht="15">
      <c r="A990" t="s">
        <v>153</v>
      </c>
      <c r="B990" t="s">
        <v>154</v>
      </c>
      <c r="C990" s="15" t="s">
        <v>30</v>
      </c>
      <c r="D990" s="23" t="s">
        <v>81</v>
      </c>
      <c r="E990" s="25" t="s">
        <v>82</v>
      </c>
      <c r="F990" s="16" t="str">
        <f>'Source Table'!$E$6</f>
        <v>Private Sector</v>
      </c>
      <c r="G990" s="16" t="str">
        <f>'Source Table'!$E$5</f>
        <v>القطاع الخاص</v>
      </c>
      <c r="H990" t="str">
        <f>'Source Table'!$G$8</f>
        <v>Female</v>
      </c>
      <c r="I990" s="16" t="str">
        <f>'Source Table'!$G$7</f>
        <v>أنثى</v>
      </c>
      <c r="J990" s="25" t="str">
        <f>'Source Table'!$B$20</f>
        <v>Psychiatry</v>
      </c>
      <c r="K990" s="25" t="str">
        <f>'Source Table'!$I$20</f>
        <v>النفسية</v>
      </c>
      <c r="L990" s="39">
        <v>1</v>
      </c>
      <c r="M990">
        <v>2017</v>
      </c>
    </row>
    <row r="991" spans="1:13" ht="15">
      <c r="A991" t="s">
        <v>153</v>
      </c>
      <c r="B991" t="s">
        <v>154</v>
      </c>
      <c r="C991" s="15" t="s">
        <v>30</v>
      </c>
      <c r="D991" s="23" t="s">
        <v>81</v>
      </c>
      <c r="E991" s="25" t="s">
        <v>82</v>
      </c>
      <c r="F991" s="16" t="str">
        <f>'Source Table'!$E$6</f>
        <v>Private Sector</v>
      </c>
      <c r="G991" s="16" t="str">
        <f>'Source Table'!$E$5</f>
        <v>القطاع الخاص</v>
      </c>
      <c r="H991" t="str">
        <f>'Source Table'!$G$8</f>
        <v>Female</v>
      </c>
      <c r="I991" s="16" t="str">
        <f>'Source Table'!$G$7</f>
        <v>أنثى</v>
      </c>
      <c r="J991" s="25" t="str">
        <f>'Source Table'!$B$21</f>
        <v>Dermatologist Venereal</v>
      </c>
      <c r="K991" s="25" t="str">
        <f>'Source Table'!$I$21</f>
        <v>جلدية وتناسلية</v>
      </c>
      <c r="L991" s="39">
        <v>34</v>
      </c>
      <c r="M991">
        <v>2017</v>
      </c>
    </row>
    <row r="992" spans="1:13" ht="15">
      <c r="A992" t="s">
        <v>153</v>
      </c>
      <c r="B992" t="s">
        <v>154</v>
      </c>
      <c r="C992" s="15" t="s">
        <v>30</v>
      </c>
      <c r="D992" s="23" t="s">
        <v>81</v>
      </c>
      <c r="E992" s="25" t="s">
        <v>82</v>
      </c>
      <c r="F992" s="16" t="str">
        <f>'Source Table'!$E$6</f>
        <v>Private Sector</v>
      </c>
      <c r="G992" s="16" t="str">
        <f>'Source Table'!$E$5</f>
        <v>القطاع الخاص</v>
      </c>
      <c r="H992" t="str">
        <f>'Source Table'!$G$8</f>
        <v>Female</v>
      </c>
      <c r="I992" s="16" t="str">
        <f>'Source Table'!$G$7</f>
        <v>أنثى</v>
      </c>
      <c r="J992" s="25" t="str">
        <f>'Source Table'!$B$22</f>
        <v>Neurology/ Nervous</v>
      </c>
      <c r="K992" s="25" t="str">
        <f>'Source Table'!$I$22</f>
        <v>مرض الأعصاب</v>
      </c>
      <c r="L992" s="39">
        <v>1</v>
      </c>
      <c r="M992">
        <v>2017</v>
      </c>
    </row>
    <row r="993" spans="1:13" ht="15">
      <c r="A993" t="s">
        <v>153</v>
      </c>
      <c r="B993" t="s">
        <v>154</v>
      </c>
      <c r="C993" s="15" t="s">
        <v>30</v>
      </c>
      <c r="D993" s="23" t="s">
        <v>81</v>
      </c>
      <c r="E993" s="25" t="s">
        <v>82</v>
      </c>
      <c r="F993" s="16" t="str">
        <f>'Source Table'!$E$6</f>
        <v>Private Sector</v>
      </c>
      <c r="G993" s="16" t="str">
        <f>'Source Table'!$E$5</f>
        <v>القطاع الخاص</v>
      </c>
      <c r="H993" t="str">
        <f>'Source Table'!$G$8</f>
        <v>Female</v>
      </c>
      <c r="I993" s="16" t="str">
        <f>'Source Table'!$G$7</f>
        <v>أنثى</v>
      </c>
      <c r="J993" s="25" t="str">
        <f>'Source Table'!$B$23</f>
        <v>Pumologist</v>
      </c>
      <c r="K993" s="25" t="str">
        <f>'Source Table'!$I$23</f>
        <v>صدرية</v>
      </c>
      <c r="L993" s="39">
        <v>0</v>
      </c>
      <c r="M993">
        <v>2017</v>
      </c>
    </row>
    <row r="994" spans="1:13" ht="15">
      <c r="A994" t="s">
        <v>153</v>
      </c>
      <c r="B994" t="s">
        <v>154</v>
      </c>
      <c r="C994" s="15" t="s">
        <v>30</v>
      </c>
      <c r="D994" s="23" t="s">
        <v>81</v>
      </c>
      <c r="E994" s="25" t="s">
        <v>82</v>
      </c>
      <c r="F994" s="16" t="str">
        <f>'Source Table'!$E$6</f>
        <v>Private Sector</v>
      </c>
      <c r="G994" s="16" t="str">
        <f>'Source Table'!$E$5</f>
        <v>القطاع الخاص</v>
      </c>
      <c r="H994" t="str">
        <f>'Source Table'!$G$8</f>
        <v>Female</v>
      </c>
      <c r="I994" s="16" t="str">
        <f>'Source Table'!$G$7</f>
        <v>أنثى</v>
      </c>
      <c r="J994" s="25" t="str">
        <f>'Source Table'!$B$24</f>
        <v>G.I.T. Specialist</v>
      </c>
      <c r="K994" s="25" t="str">
        <f>'Source Table'!$I$24</f>
        <v>جهاز هضمي</v>
      </c>
      <c r="L994" s="39">
        <v>6</v>
      </c>
      <c r="M994">
        <v>2017</v>
      </c>
    </row>
    <row r="995" spans="1:13" ht="15">
      <c r="A995" t="s">
        <v>153</v>
      </c>
      <c r="B995" t="s">
        <v>154</v>
      </c>
      <c r="C995" s="15" t="s">
        <v>30</v>
      </c>
      <c r="D995" s="23" t="s">
        <v>81</v>
      </c>
      <c r="E995" s="25" t="s">
        <v>82</v>
      </c>
      <c r="F995" s="16" t="str">
        <f>'Source Table'!$E$6</f>
        <v>Private Sector</v>
      </c>
      <c r="G995" s="16" t="str">
        <f>'Source Table'!$E$5</f>
        <v>القطاع الخاص</v>
      </c>
      <c r="H995" t="str">
        <f>'Source Table'!$G$8</f>
        <v>Female</v>
      </c>
      <c r="I995" s="16" t="str">
        <f>'Source Table'!$G$7</f>
        <v>أنثى</v>
      </c>
      <c r="J995" s="25" t="str">
        <f>'Source Table'!$B$25</f>
        <v>Diagnostic Radiology</v>
      </c>
      <c r="K995" s="25" t="str">
        <f>'Source Table'!$I$25</f>
        <v>أشعة تشخيصية</v>
      </c>
      <c r="L995" s="39">
        <v>19</v>
      </c>
      <c r="M995">
        <v>2017</v>
      </c>
    </row>
    <row r="996" spans="1:13" ht="15">
      <c r="A996" t="s">
        <v>153</v>
      </c>
      <c r="B996" t="s">
        <v>154</v>
      </c>
      <c r="C996" s="15" t="s">
        <v>30</v>
      </c>
      <c r="D996" s="23" t="s">
        <v>81</v>
      </c>
      <c r="E996" s="25" t="s">
        <v>82</v>
      </c>
      <c r="F996" s="16" t="str">
        <f>'Source Table'!$E$6</f>
        <v>Private Sector</v>
      </c>
      <c r="G996" s="16" t="str">
        <f>'Source Table'!$E$5</f>
        <v>القطاع الخاص</v>
      </c>
      <c r="H996" t="str">
        <f>'Source Table'!$G$8</f>
        <v>Female</v>
      </c>
      <c r="I996" s="16" t="str">
        <f>'Source Table'!$G$7</f>
        <v>أنثى</v>
      </c>
      <c r="J996" s="25" t="str">
        <f>'Source Table'!$B$26</f>
        <v>Anesthetic</v>
      </c>
      <c r="K996" s="25" t="str">
        <f>'Source Table'!$I$26</f>
        <v>تخدير وإنعاش</v>
      </c>
      <c r="L996" s="39">
        <v>11</v>
      </c>
      <c r="M996">
        <v>2017</v>
      </c>
    </row>
    <row r="997" spans="1:13" ht="15">
      <c r="A997" t="s">
        <v>153</v>
      </c>
      <c r="B997" t="s">
        <v>154</v>
      </c>
      <c r="C997" s="15" t="s">
        <v>30</v>
      </c>
      <c r="D997" s="23" t="s">
        <v>81</v>
      </c>
      <c r="E997" s="25" t="s">
        <v>82</v>
      </c>
      <c r="F997" s="16" t="str">
        <f>'Source Table'!$E$6</f>
        <v>Private Sector</v>
      </c>
      <c r="G997" s="16" t="str">
        <f>'Source Table'!$E$5</f>
        <v>القطاع الخاص</v>
      </c>
      <c r="H997" t="str">
        <f>'Source Table'!$G$8</f>
        <v>Female</v>
      </c>
      <c r="I997" s="16" t="str">
        <f>'Source Table'!$G$7</f>
        <v>أنثى</v>
      </c>
      <c r="J997" s="25" t="str">
        <f>'Source Table'!$B$27</f>
        <v>Physiotherapist</v>
      </c>
      <c r="K997" s="25" t="str">
        <f>'Source Table'!$I$27</f>
        <v>طب طبيعي</v>
      </c>
      <c r="L997" s="39">
        <v>1</v>
      </c>
      <c r="M997">
        <v>2017</v>
      </c>
    </row>
    <row r="998" spans="1:13" ht="15">
      <c r="A998" t="s">
        <v>153</v>
      </c>
      <c r="B998" t="s">
        <v>154</v>
      </c>
      <c r="C998" s="15" t="s">
        <v>30</v>
      </c>
      <c r="D998" s="23" t="s">
        <v>81</v>
      </c>
      <c r="E998" s="25" t="s">
        <v>82</v>
      </c>
      <c r="F998" s="16" t="str">
        <f>'Source Table'!$E$6</f>
        <v>Private Sector</v>
      </c>
      <c r="G998" s="16" t="str">
        <f>'Source Table'!$E$5</f>
        <v>القطاع الخاص</v>
      </c>
      <c r="H998" t="str">
        <f>'Source Table'!$G$8</f>
        <v>Female</v>
      </c>
      <c r="I998" s="16" t="str">
        <f>'Source Table'!$G$7</f>
        <v>أنثى</v>
      </c>
      <c r="J998" s="25" t="str">
        <f>'Source Table'!$B$28</f>
        <v>Forensic</v>
      </c>
      <c r="K998" s="25" t="str">
        <f>'Source Table'!$I$28</f>
        <v>طب شرعي</v>
      </c>
      <c r="L998" s="39">
        <v>0</v>
      </c>
      <c r="M998">
        <v>2017</v>
      </c>
    </row>
    <row r="999" spans="1:13" ht="15">
      <c r="A999" t="s">
        <v>153</v>
      </c>
      <c r="B999" t="s">
        <v>154</v>
      </c>
      <c r="C999" s="15" t="s">
        <v>30</v>
      </c>
      <c r="D999" s="23" t="s">
        <v>81</v>
      </c>
      <c r="E999" s="25" t="s">
        <v>82</v>
      </c>
      <c r="F999" s="16" t="str">
        <f>'Source Table'!$E$6</f>
        <v>Private Sector</v>
      </c>
      <c r="G999" s="16" t="str">
        <f>'Source Table'!$E$5</f>
        <v>القطاع الخاص</v>
      </c>
      <c r="H999" t="str">
        <f>'Source Table'!$G$8</f>
        <v>Female</v>
      </c>
      <c r="I999" s="16" t="str">
        <f>'Source Table'!$G$7</f>
        <v>أنثى</v>
      </c>
      <c r="J999" s="25" t="str">
        <f>'Source Table'!$B$29</f>
        <v xml:space="preserve">Family </v>
      </c>
      <c r="K999" s="25" t="str">
        <f>'Source Table'!$I$29</f>
        <v>طب أسرة</v>
      </c>
      <c r="L999" s="39">
        <v>9</v>
      </c>
      <c r="M999">
        <v>2017</v>
      </c>
    </row>
    <row r="1000" spans="1:13" ht="15">
      <c r="A1000" t="s">
        <v>153</v>
      </c>
      <c r="B1000" t="s">
        <v>154</v>
      </c>
      <c r="C1000" s="15" t="s">
        <v>30</v>
      </c>
      <c r="D1000" s="23" t="s">
        <v>81</v>
      </c>
      <c r="E1000" s="25" t="s">
        <v>82</v>
      </c>
      <c r="F1000" s="16" t="str">
        <f>'Source Table'!$E$6</f>
        <v>Private Sector</v>
      </c>
      <c r="G1000" s="16" t="str">
        <f>'Source Table'!$E$5</f>
        <v>القطاع الخاص</v>
      </c>
      <c r="H1000" t="str">
        <f>'Source Table'!$G$8</f>
        <v>Female</v>
      </c>
      <c r="I1000" s="16" t="str">
        <f>'Source Table'!$G$7</f>
        <v>أنثى</v>
      </c>
      <c r="J1000" s="25" t="str">
        <f>'Source Table'!$B$30</f>
        <v>Urologist</v>
      </c>
      <c r="K1000" s="25" t="str">
        <f>'Source Table'!$I$30</f>
        <v xml:space="preserve">المسالك البولية </v>
      </c>
      <c r="L1000" s="39">
        <v>2</v>
      </c>
      <c r="M1000">
        <v>2017</v>
      </c>
    </row>
    <row r="1001" spans="1:13" ht="15">
      <c r="A1001" t="s">
        <v>153</v>
      </c>
      <c r="B1001" t="s">
        <v>154</v>
      </c>
      <c r="C1001" s="15" t="s">
        <v>30</v>
      </c>
      <c r="D1001" s="23" t="s">
        <v>81</v>
      </c>
      <c r="E1001" s="25" t="s">
        <v>82</v>
      </c>
      <c r="F1001" s="16" t="str">
        <f>'Source Table'!$E$6</f>
        <v>Private Sector</v>
      </c>
      <c r="G1001" s="16" t="str">
        <f>'Source Table'!$E$5</f>
        <v>القطاع الخاص</v>
      </c>
      <c r="H1001" t="str">
        <f>'Source Table'!$G$8</f>
        <v>Female</v>
      </c>
      <c r="I1001" s="16" t="str">
        <f>'Source Table'!$G$7</f>
        <v>أنثى</v>
      </c>
      <c r="J1001" s="25" t="str">
        <f>'Source Table'!$B$31</f>
        <v>Cardiology</v>
      </c>
      <c r="K1001" s="25" t="str">
        <f>'Source Table'!$I$31</f>
        <v>أمراض القلب</v>
      </c>
      <c r="L1001" s="39">
        <v>5</v>
      </c>
      <c r="M1001">
        <v>2017</v>
      </c>
    </row>
    <row r="1002" spans="1:13" ht="15">
      <c r="A1002" t="s">
        <v>153</v>
      </c>
      <c r="B1002" t="s">
        <v>154</v>
      </c>
      <c r="C1002" s="15" t="s">
        <v>30</v>
      </c>
      <c r="D1002" s="23" t="s">
        <v>81</v>
      </c>
      <c r="E1002" s="25" t="s">
        <v>82</v>
      </c>
      <c r="F1002" s="16" t="str">
        <f>'Source Table'!$E$6</f>
        <v>Private Sector</v>
      </c>
      <c r="G1002" s="16" t="str">
        <f>'Source Table'!$E$5</f>
        <v>القطاع الخاص</v>
      </c>
      <c r="H1002" t="str">
        <f>'Source Table'!$G$8</f>
        <v>Female</v>
      </c>
      <c r="I1002" s="16" t="str">
        <f>'Source Table'!$G$7</f>
        <v>أنثى</v>
      </c>
      <c r="J1002" s="25" t="str">
        <f>'Source Table'!$B$32</f>
        <v>Laboratory</v>
      </c>
      <c r="K1002" s="25" t="str">
        <f>'Source Table'!$I$32</f>
        <v>مختبرات</v>
      </c>
      <c r="L1002" s="39">
        <v>2</v>
      </c>
      <c r="M1002">
        <v>2017</v>
      </c>
    </row>
    <row r="1003" spans="1:13" ht="15">
      <c r="A1003" t="s">
        <v>153</v>
      </c>
      <c r="B1003" t="s">
        <v>154</v>
      </c>
      <c r="C1003" s="15" t="s">
        <v>30</v>
      </c>
      <c r="D1003" s="23" t="s">
        <v>81</v>
      </c>
      <c r="E1003" s="25" t="s">
        <v>82</v>
      </c>
      <c r="F1003" s="16" t="str">
        <f>'Source Table'!$E$6</f>
        <v>Private Sector</v>
      </c>
      <c r="G1003" s="16" t="str">
        <f>'Source Table'!$E$5</f>
        <v>القطاع الخاص</v>
      </c>
      <c r="H1003" t="str">
        <f>'Source Table'!$G$8</f>
        <v>Female</v>
      </c>
      <c r="I1003" s="16" t="str">
        <f>'Source Table'!$G$7</f>
        <v>أنثى</v>
      </c>
      <c r="J1003" s="25" t="str">
        <f>'Source Table'!$B$33</f>
        <v>Others</v>
      </c>
      <c r="K1003" s="25" t="str">
        <f>'Source Table'!$I$33</f>
        <v>أخرى</v>
      </c>
      <c r="L1003" s="39">
        <v>34</v>
      </c>
      <c r="M1003">
        <v>2017</v>
      </c>
    </row>
    <row r="1004" spans="1:13" ht="15">
      <c r="A1004" t="s">
        <v>153</v>
      </c>
      <c r="B1004" t="s">
        <v>154</v>
      </c>
      <c r="C1004" s="15" t="s">
        <v>30</v>
      </c>
      <c r="D1004" s="23" t="s">
        <v>81</v>
      </c>
      <c r="E1004" s="25" t="s">
        <v>82</v>
      </c>
      <c r="F1004" t="str">
        <f>'Source Table'!$C$6</f>
        <v>Others</v>
      </c>
      <c r="G1004" t="str">
        <f>'Source Table'!$C$5</f>
        <v>آخرون</v>
      </c>
      <c r="H1004" t="str">
        <f>'Source Table'!$H$8</f>
        <v>Male</v>
      </c>
      <c r="I1004" s="25" t="str">
        <f>'Source Table'!$H$7</f>
        <v>ذكر</v>
      </c>
      <c r="J1004" s="25" t="str">
        <f>'Source Table'!$B$9</f>
        <v>General Practitioner</v>
      </c>
      <c r="K1004" s="25" t="str">
        <f>'Source Table'!$I$9</f>
        <v>طبيب عام</v>
      </c>
      <c r="L1004" s="39">
        <v>7347</v>
      </c>
      <c r="M1004">
        <v>2017</v>
      </c>
    </row>
    <row r="1005" spans="1:13" ht="15">
      <c r="A1005" t="s">
        <v>153</v>
      </c>
      <c r="B1005" t="s">
        <v>154</v>
      </c>
      <c r="C1005" s="15" t="s">
        <v>30</v>
      </c>
      <c r="D1005" s="23" t="s">
        <v>81</v>
      </c>
      <c r="E1005" s="25" t="s">
        <v>82</v>
      </c>
      <c r="F1005" t="str">
        <f>'Source Table'!$C$6</f>
        <v>Others</v>
      </c>
      <c r="G1005" t="str">
        <f>'Source Table'!$C$5</f>
        <v>آخرون</v>
      </c>
      <c r="H1005" t="str">
        <f>'Source Table'!$H$8</f>
        <v>Male</v>
      </c>
      <c r="I1005" s="25" t="str">
        <f>'Source Table'!$H$7</f>
        <v>ذكر</v>
      </c>
      <c r="J1005" s="25" t="str">
        <f>'Source Table'!$B$10</f>
        <v>Surgeon</v>
      </c>
      <c r="K1005" s="25" t="str">
        <f>'Source Table'!$I$10</f>
        <v>جراحة عامة</v>
      </c>
      <c r="L1005" s="39">
        <v>89</v>
      </c>
      <c r="M1005">
        <v>2017</v>
      </c>
    </row>
    <row r="1006" spans="1:13" ht="15">
      <c r="A1006" t="s">
        <v>153</v>
      </c>
      <c r="B1006" t="s">
        <v>154</v>
      </c>
      <c r="C1006" s="15" t="s">
        <v>30</v>
      </c>
      <c r="D1006" s="23" t="s">
        <v>81</v>
      </c>
      <c r="E1006" s="25" t="s">
        <v>82</v>
      </c>
      <c r="F1006" t="str">
        <f>'Source Table'!$C$6</f>
        <v>Others</v>
      </c>
      <c r="G1006" t="str">
        <f>'Source Table'!$C$5</f>
        <v>آخرون</v>
      </c>
      <c r="H1006" t="str">
        <f>'Source Table'!$H$8</f>
        <v>Male</v>
      </c>
      <c r="I1006" s="25" t="str">
        <f>'Source Table'!$H$7</f>
        <v>ذكر</v>
      </c>
      <c r="J1006" s="25" t="str">
        <f>'Source Table'!$B$11</f>
        <v>Internist</v>
      </c>
      <c r="K1006" s="25" t="str">
        <f>'Source Table'!$I$11</f>
        <v>باطنية</v>
      </c>
      <c r="L1006" s="39">
        <v>72</v>
      </c>
      <c r="M1006">
        <v>2017</v>
      </c>
    </row>
    <row r="1007" spans="1:13" ht="15">
      <c r="A1007" t="s">
        <v>153</v>
      </c>
      <c r="B1007" t="s">
        <v>154</v>
      </c>
      <c r="C1007" s="15" t="s">
        <v>30</v>
      </c>
      <c r="D1007" s="23" t="s">
        <v>81</v>
      </c>
      <c r="E1007" s="25" t="s">
        <v>82</v>
      </c>
      <c r="F1007" t="str">
        <f>'Source Table'!$C$6</f>
        <v>Others</v>
      </c>
      <c r="G1007" t="str">
        <f>'Source Table'!$C$5</f>
        <v>آخرون</v>
      </c>
      <c r="H1007" t="str">
        <f>'Source Table'!$H$8</f>
        <v>Male</v>
      </c>
      <c r="I1007" s="25" t="str">
        <f>'Source Table'!$H$7</f>
        <v>ذكر</v>
      </c>
      <c r="J1007" s="25" t="str">
        <f>'Source Table'!$B$12</f>
        <v>Gynecologist and Obst.</v>
      </c>
      <c r="K1007" s="25" t="str">
        <f>'Source Table'!$I$12</f>
        <v>نسائية وتوليد</v>
      </c>
      <c r="L1007" s="39">
        <v>61</v>
      </c>
      <c r="M1007">
        <v>2017</v>
      </c>
    </row>
    <row r="1008" spans="1:13" ht="15">
      <c r="A1008" t="s">
        <v>153</v>
      </c>
      <c r="B1008" t="s">
        <v>154</v>
      </c>
      <c r="C1008" s="15" t="s">
        <v>30</v>
      </c>
      <c r="D1008" s="23" t="s">
        <v>81</v>
      </c>
      <c r="E1008" s="25" t="s">
        <v>82</v>
      </c>
      <c r="F1008" t="str">
        <f>'Source Table'!$C$6</f>
        <v>Others</v>
      </c>
      <c r="G1008" t="str">
        <f>'Source Table'!$C$5</f>
        <v>آخرون</v>
      </c>
      <c r="H1008" t="str">
        <f>'Source Table'!$H$8</f>
        <v>Male</v>
      </c>
      <c r="I1008" s="25" t="str">
        <f>'Source Table'!$H$7</f>
        <v>ذكر</v>
      </c>
      <c r="J1008" s="25" t="str">
        <f>'Source Table'!$B$13</f>
        <v>Pediatrics</v>
      </c>
      <c r="K1008" s="25" t="str">
        <f>'Source Table'!$I$13</f>
        <v>أطفال</v>
      </c>
      <c r="L1008" s="39">
        <v>66</v>
      </c>
      <c r="M1008">
        <v>2017</v>
      </c>
    </row>
    <row r="1009" spans="1:13" ht="15">
      <c r="A1009" t="s">
        <v>153</v>
      </c>
      <c r="B1009" t="s">
        <v>154</v>
      </c>
      <c r="C1009" s="15" t="s">
        <v>30</v>
      </c>
      <c r="D1009" s="23" t="s">
        <v>81</v>
      </c>
      <c r="E1009" s="25" t="s">
        <v>82</v>
      </c>
      <c r="F1009" t="str">
        <f>'Source Table'!$C$6</f>
        <v>Others</v>
      </c>
      <c r="G1009" t="str">
        <f>'Source Table'!$C$5</f>
        <v>آخرون</v>
      </c>
      <c r="H1009" t="str">
        <f>'Source Table'!$H$8</f>
        <v>Male</v>
      </c>
      <c r="I1009" s="25" t="str">
        <f>'Source Table'!$H$7</f>
        <v>ذكر</v>
      </c>
      <c r="J1009" s="25" t="str">
        <f>'Source Table'!$B$14</f>
        <v>Ophthalmologist</v>
      </c>
      <c r="K1009" s="25" t="str">
        <f>'Source Table'!$I$14</f>
        <v>العيون</v>
      </c>
      <c r="L1009" s="39">
        <v>33</v>
      </c>
      <c r="M1009">
        <v>2017</v>
      </c>
    </row>
    <row r="1010" spans="1:13" ht="15">
      <c r="A1010" t="s">
        <v>153</v>
      </c>
      <c r="B1010" t="s">
        <v>154</v>
      </c>
      <c r="C1010" s="15" t="s">
        <v>30</v>
      </c>
      <c r="D1010" s="23" t="s">
        <v>81</v>
      </c>
      <c r="E1010" s="25" t="s">
        <v>82</v>
      </c>
      <c r="F1010" t="str">
        <f>'Source Table'!$C$6</f>
        <v>Others</v>
      </c>
      <c r="G1010" t="str">
        <f>'Source Table'!$C$5</f>
        <v>آخرون</v>
      </c>
      <c r="H1010" t="str">
        <f>'Source Table'!$H$8</f>
        <v>Male</v>
      </c>
      <c r="I1010" s="25" t="str">
        <f>'Source Table'!$H$7</f>
        <v>ذكر</v>
      </c>
      <c r="J1010" s="25" t="str">
        <f>'Source Table'!$B$15</f>
        <v>Orthopedic Surg.</v>
      </c>
      <c r="K1010" s="25" t="str">
        <f>'Source Table'!$I$15</f>
        <v>العظام</v>
      </c>
      <c r="L1010" s="39">
        <v>54</v>
      </c>
      <c r="M1010">
        <v>2017</v>
      </c>
    </row>
    <row r="1011" spans="1:13" ht="15">
      <c r="A1011" t="s">
        <v>153</v>
      </c>
      <c r="B1011" t="s">
        <v>154</v>
      </c>
      <c r="C1011" s="15" t="s">
        <v>30</v>
      </c>
      <c r="D1011" s="23" t="s">
        <v>81</v>
      </c>
      <c r="E1011" s="25" t="s">
        <v>82</v>
      </c>
      <c r="F1011" t="str">
        <f>'Source Table'!$C$6</f>
        <v>Others</v>
      </c>
      <c r="G1011" t="str">
        <f>'Source Table'!$C$5</f>
        <v>آخرون</v>
      </c>
      <c r="H1011" t="str">
        <f>'Source Table'!$H$8</f>
        <v>Male</v>
      </c>
      <c r="I1011" s="25" t="str">
        <f>'Source Table'!$H$7</f>
        <v>ذكر</v>
      </c>
      <c r="J1011" s="25" t="str">
        <f>'Source Table'!$B$16</f>
        <v>E.N.T.Surg.</v>
      </c>
      <c r="K1011" s="25" t="str">
        <f>'Source Table'!$I$16</f>
        <v>أذن وأنف وحنجرة</v>
      </c>
      <c r="L1011" s="39">
        <v>15</v>
      </c>
      <c r="M1011">
        <v>2017</v>
      </c>
    </row>
    <row r="1012" spans="1:13" ht="15">
      <c r="A1012" t="s">
        <v>153</v>
      </c>
      <c r="B1012" t="s">
        <v>154</v>
      </c>
      <c r="C1012" s="15" t="s">
        <v>30</v>
      </c>
      <c r="D1012" s="23" t="s">
        <v>81</v>
      </c>
      <c r="E1012" s="25" t="s">
        <v>82</v>
      </c>
      <c r="F1012" t="str">
        <f>'Source Table'!$C$6</f>
        <v>Others</v>
      </c>
      <c r="G1012" t="str">
        <f>'Source Table'!$C$5</f>
        <v>آخرون</v>
      </c>
      <c r="H1012" t="str">
        <f>'Source Table'!$H$8</f>
        <v>Male</v>
      </c>
      <c r="I1012" s="25" t="str">
        <f>'Source Table'!$H$7</f>
        <v>ذكر</v>
      </c>
      <c r="J1012" s="25" t="str">
        <f>'Source Table'!$B$17</f>
        <v>Neurosurgery</v>
      </c>
      <c r="K1012" s="25" t="str">
        <f>'Source Table'!$I$17</f>
        <v>جراحةأعصاب</v>
      </c>
      <c r="L1012" s="39">
        <v>9</v>
      </c>
      <c r="M1012">
        <v>2017</v>
      </c>
    </row>
    <row r="1013" spans="1:13" ht="15">
      <c r="A1013" t="s">
        <v>153</v>
      </c>
      <c r="B1013" t="s">
        <v>154</v>
      </c>
      <c r="C1013" s="15" t="s">
        <v>30</v>
      </c>
      <c r="D1013" s="23" t="s">
        <v>81</v>
      </c>
      <c r="E1013" s="25" t="s">
        <v>82</v>
      </c>
      <c r="F1013" t="str">
        <f>'Source Table'!$C$6</f>
        <v>Others</v>
      </c>
      <c r="G1013" t="str">
        <f>'Source Table'!$C$5</f>
        <v>آخرون</v>
      </c>
      <c r="H1013" t="str">
        <f>'Source Table'!$H$8</f>
        <v>Male</v>
      </c>
      <c r="I1013" s="25" t="str">
        <f>'Source Table'!$H$7</f>
        <v>ذكر</v>
      </c>
      <c r="J1013" s="25" t="str">
        <f>'Source Table'!$B$18</f>
        <v>Cardiothoracic</v>
      </c>
      <c r="K1013" s="25" t="str">
        <f>'Source Table'!$I$18</f>
        <v>جراحة قلب</v>
      </c>
      <c r="L1013" s="39">
        <v>3</v>
      </c>
      <c r="M1013">
        <v>2017</v>
      </c>
    </row>
    <row r="1014" spans="1:13" ht="15">
      <c r="A1014" t="s">
        <v>153</v>
      </c>
      <c r="B1014" t="s">
        <v>154</v>
      </c>
      <c r="C1014" s="15" t="s">
        <v>30</v>
      </c>
      <c r="D1014" s="23" t="s">
        <v>81</v>
      </c>
      <c r="E1014" s="25" t="s">
        <v>82</v>
      </c>
      <c r="F1014" t="str">
        <f>'Source Table'!$C$6</f>
        <v>Others</v>
      </c>
      <c r="G1014" t="str">
        <f>'Source Table'!$C$5</f>
        <v>آخرون</v>
      </c>
      <c r="H1014" t="str">
        <f>'Source Table'!$H$8</f>
        <v>Male</v>
      </c>
      <c r="I1014" s="25" t="str">
        <f>'Source Table'!$H$7</f>
        <v>ذكر</v>
      </c>
      <c r="J1014" s="25" t="str">
        <f>'Source Table'!$B$19</f>
        <v>Plastic Surgeon</v>
      </c>
      <c r="K1014" s="25" t="str">
        <f>'Source Table'!$I$19</f>
        <v>التجميل</v>
      </c>
      <c r="L1014" s="39">
        <v>2</v>
      </c>
      <c r="M1014">
        <v>2017</v>
      </c>
    </row>
    <row r="1015" spans="1:13" ht="15">
      <c r="A1015" t="s">
        <v>153</v>
      </c>
      <c r="B1015" t="s">
        <v>154</v>
      </c>
      <c r="C1015" s="15" t="s">
        <v>30</v>
      </c>
      <c r="D1015" s="23" t="s">
        <v>81</v>
      </c>
      <c r="E1015" s="25" t="s">
        <v>82</v>
      </c>
      <c r="F1015" t="str">
        <f>'Source Table'!$C$6</f>
        <v>Others</v>
      </c>
      <c r="G1015" t="str">
        <f>'Source Table'!$C$5</f>
        <v>آخرون</v>
      </c>
      <c r="H1015" t="str">
        <f>'Source Table'!$H$8</f>
        <v>Male</v>
      </c>
      <c r="I1015" s="25" t="str">
        <f>'Source Table'!$H$7</f>
        <v>ذكر</v>
      </c>
      <c r="J1015" s="25" t="str">
        <f>'Source Table'!$B$20</f>
        <v>Psychiatry</v>
      </c>
      <c r="K1015" s="25" t="str">
        <f>'Source Table'!$I$20</f>
        <v>النفسية</v>
      </c>
      <c r="L1015" s="39">
        <v>11</v>
      </c>
      <c r="M1015">
        <v>2017</v>
      </c>
    </row>
    <row r="1016" spans="1:13" ht="15">
      <c r="A1016" t="s">
        <v>153</v>
      </c>
      <c r="B1016" t="s">
        <v>154</v>
      </c>
      <c r="C1016" s="15" t="s">
        <v>30</v>
      </c>
      <c r="D1016" s="23" t="s">
        <v>81</v>
      </c>
      <c r="E1016" s="25" t="s">
        <v>82</v>
      </c>
      <c r="F1016" t="str">
        <f>'Source Table'!$C$6</f>
        <v>Others</v>
      </c>
      <c r="G1016" t="str">
        <f>'Source Table'!$C$5</f>
        <v>آخرون</v>
      </c>
      <c r="H1016" t="str">
        <f>'Source Table'!$H$8</f>
        <v>Male</v>
      </c>
      <c r="I1016" s="25" t="str">
        <f>'Source Table'!$H$7</f>
        <v>ذكر</v>
      </c>
      <c r="J1016" s="25" t="str">
        <f>'Source Table'!$B$21</f>
        <v>Dermatologist Venereal</v>
      </c>
      <c r="K1016" s="25" t="str">
        <f>'Source Table'!$I$21</f>
        <v>جلدية وتناسلية</v>
      </c>
      <c r="L1016" s="39">
        <v>20</v>
      </c>
      <c r="M1016">
        <v>2017</v>
      </c>
    </row>
    <row r="1017" spans="1:13" ht="15">
      <c r="A1017" t="s">
        <v>153</v>
      </c>
      <c r="B1017" t="s">
        <v>154</v>
      </c>
      <c r="C1017" s="15" t="s">
        <v>30</v>
      </c>
      <c r="D1017" s="23" t="s">
        <v>81</v>
      </c>
      <c r="E1017" s="25" t="s">
        <v>82</v>
      </c>
      <c r="F1017" t="str">
        <f>'Source Table'!$C$6</f>
        <v>Others</v>
      </c>
      <c r="G1017" t="str">
        <f>'Source Table'!$C$5</f>
        <v>آخرون</v>
      </c>
      <c r="H1017" t="str">
        <f>'Source Table'!$H$8</f>
        <v>Male</v>
      </c>
      <c r="I1017" s="25" t="str">
        <f>'Source Table'!$H$7</f>
        <v>ذكر</v>
      </c>
      <c r="J1017" s="25" t="str">
        <f>'Source Table'!$B$22</f>
        <v>Neurology/ Nervous</v>
      </c>
      <c r="K1017" s="25" t="str">
        <f>'Source Table'!$I$22</f>
        <v>مرض الأعصاب</v>
      </c>
      <c r="L1017" s="39">
        <v>5</v>
      </c>
      <c r="M1017">
        <v>2017</v>
      </c>
    </row>
    <row r="1018" spans="1:13" ht="15">
      <c r="A1018" t="s">
        <v>153</v>
      </c>
      <c r="B1018" t="s">
        <v>154</v>
      </c>
      <c r="C1018" s="15" t="s">
        <v>30</v>
      </c>
      <c r="D1018" s="23" t="s">
        <v>81</v>
      </c>
      <c r="E1018" s="25" t="s">
        <v>82</v>
      </c>
      <c r="F1018" t="str">
        <f>'Source Table'!$C$6</f>
        <v>Others</v>
      </c>
      <c r="G1018" t="str">
        <f>'Source Table'!$C$5</f>
        <v>آخرون</v>
      </c>
      <c r="H1018" t="str">
        <f>'Source Table'!$H$8</f>
        <v>Male</v>
      </c>
      <c r="I1018" s="25" t="str">
        <f>'Source Table'!$H$7</f>
        <v>ذكر</v>
      </c>
      <c r="J1018" s="25" t="str">
        <f>'Source Table'!$B$23</f>
        <v>Pumologist</v>
      </c>
      <c r="K1018" s="25" t="str">
        <f>'Source Table'!$I$23</f>
        <v>صدرية</v>
      </c>
      <c r="L1018" s="39">
        <v>7</v>
      </c>
      <c r="M1018">
        <v>2017</v>
      </c>
    </row>
    <row r="1019" spans="1:13" ht="15">
      <c r="A1019" t="s">
        <v>153</v>
      </c>
      <c r="B1019" t="s">
        <v>154</v>
      </c>
      <c r="C1019" s="15" t="s">
        <v>30</v>
      </c>
      <c r="D1019" s="23" t="s">
        <v>81</v>
      </c>
      <c r="E1019" s="25" t="s">
        <v>82</v>
      </c>
      <c r="F1019" t="str">
        <f>'Source Table'!$C$6</f>
        <v>Others</v>
      </c>
      <c r="G1019" t="str">
        <f>'Source Table'!$C$5</f>
        <v>آخرون</v>
      </c>
      <c r="H1019" t="str">
        <f>'Source Table'!$H$8</f>
        <v>Male</v>
      </c>
      <c r="I1019" s="25" t="str">
        <f>'Source Table'!$H$7</f>
        <v>ذكر</v>
      </c>
      <c r="J1019" s="25" t="str">
        <f>'Source Table'!$B$24</f>
        <v>G.I.T. Specialist</v>
      </c>
      <c r="K1019" s="25" t="str">
        <f>'Source Table'!$I$24</f>
        <v>جهاز هضمي</v>
      </c>
      <c r="L1019" s="39">
        <v>3</v>
      </c>
      <c r="M1019">
        <v>2017</v>
      </c>
    </row>
    <row r="1020" spans="1:13" ht="15">
      <c r="A1020" t="s">
        <v>153</v>
      </c>
      <c r="B1020" t="s">
        <v>154</v>
      </c>
      <c r="C1020" s="15" t="s">
        <v>30</v>
      </c>
      <c r="D1020" s="23" t="s">
        <v>81</v>
      </c>
      <c r="E1020" s="25" t="s">
        <v>82</v>
      </c>
      <c r="F1020" t="str">
        <f>'Source Table'!$C$6</f>
        <v>Others</v>
      </c>
      <c r="G1020" t="str">
        <f>'Source Table'!$C$5</f>
        <v>آخرون</v>
      </c>
      <c r="H1020" t="str">
        <f>'Source Table'!$H$8</f>
        <v>Male</v>
      </c>
      <c r="I1020" s="25" t="str">
        <f>'Source Table'!$H$7</f>
        <v>ذكر</v>
      </c>
      <c r="J1020" s="25" t="str">
        <f>'Source Table'!$B$25</f>
        <v>Diagnostic Radiology</v>
      </c>
      <c r="K1020" s="25" t="str">
        <f>'Source Table'!$I$25</f>
        <v>أشعة تشخيصية</v>
      </c>
      <c r="L1020" s="39">
        <v>30</v>
      </c>
      <c r="M1020">
        <v>2017</v>
      </c>
    </row>
    <row r="1021" spans="1:13" ht="15">
      <c r="A1021" t="s">
        <v>153</v>
      </c>
      <c r="B1021" t="s">
        <v>154</v>
      </c>
      <c r="C1021" s="15" t="s">
        <v>30</v>
      </c>
      <c r="D1021" s="23" t="s">
        <v>81</v>
      </c>
      <c r="E1021" s="25" t="s">
        <v>82</v>
      </c>
      <c r="F1021" t="str">
        <f>'Source Table'!$C$6</f>
        <v>Others</v>
      </c>
      <c r="G1021" t="str">
        <f>'Source Table'!$C$5</f>
        <v>آخرون</v>
      </c>
      <c r="H1021" t="str">
        <f>'Source Table'!$H$8</f>
        <v>Male</v>
      </c>
      <c r="I1021" s="25" t="str">
        <f>'Source Table'!$H$7</f>
        <v>ذكر</v>
      </c>
      <c r="J1021" s="25" t="str">
        <f>'Source Table'!$B$26</f>
        <v>Anesthetic</v>
      </c>
      <c r="K1021" s="25" t="str">
        <f>'Source Table'!$I$26</f>
        <v>تخدير وإنعاش</v>
      </c>
      <c r="L1021" s="39">
        <v>37</v>
      </c>
      <c r="M1021">
        <v>2017</v>
      </c>
    </row>
    <row r="1022" spans="1:13" ht="15">
      <c r="A1022" t="s">
        <v>153</v>
      </c>
      <c r="B1022" t="s">
        <v>154</v>
      </c>
      <c r="C1022" s="15" t="s">
        <v>30</v>
      </c>
      <c r="D1022" s="23" t="s">
        <v>81</v>
      </c>
      <c r="E1022" s="25" t="s">
        <v>82</v>
      </c>
      <c r="F1022" t="str">
        <f>'Source Table'!$C$6</f>
        <v>Others</v>
      </c>
      <c r="G1022" t="str">
        <f>'Source Table'!$C$5</f>
        <v>آخرون</v>
      </c>
      <c r="H1022" t="str">
        <f>'Source Table'!$H$8</f>
        <v>Male</v>
      </c>
      <c r="I1022" s="25" t="str">
        <f>'Source Table'!$H$7</f>
        <v>ذكر</v>
      </c>
      <c r="J1022" s="25" t="str">
        <f>'Source Table'!$B$27</f>
        <v>Physiotherapist</v>
      </c>
      <c r="K1022" s="25" t="str">
        <f>'Source Table'!$I$27</f>
        <v>طب طبيعي</v>
      </c>
      <c r="L1022" s="39">
        <v>0</v>
      </c>
      <c r="M1022">
        <v>2017</v>
      </c>
    </row>
    <row r="1023" spans="1:13" ht="15">
      <c r="A1023" t="s">
        <v>153</v>
      </c>
      <c r="B1023" t="s">
        <v>154</v>
      </c>
      <c r="C1023" s="15" t="s">
        <v>30</v>
      </c>
      <c r="D1023" s="23" t="s">
        <v>81</v>
      </c>
      <c r="E1023" s="25" t="s">
        <v>82</v>
      </c>
      <c r="F1023" t="str">
        <f>'Source Table'!$C$6</f>
        <v>Others</v>
      </c>
      <c r="G1023" t="str">
        <f>'Source Table'!$C$5</f>
        <v>آخرون</v>
      </c>
      <c r="H1023" t="str">
        <f>'Source Table'!$H$8</f>
        <v>Male</v>
      </c>
      <c r="I1023" s="25" t="str">
        <f>'Source Table'!$H$7</f>
        <v>ذكر</v>
      </c>
      <c r="J1023" s="25" t="str">
        <f>'Source Table'!$B$28</f>
        <v>Forensic</v>
      </c>
      <c r="K1023" s="25" t="str">
        <f>'Source Table'!$I$28</f>
        <v>طب شرعي</v>
      </c>
      <c r="L1023" s="39">
        <v>0</v>
      </c>
      <c r="M1023">
        <v>2017</v>
      </c>
    </row>
    <row r="1024" spans="1:13" ht="15">
      <c r="A1024" t="s">
        <v>153</v>
      </c>
      <c r="B1024" t="s">
        <v>154</v>
      </c>
      <c r="C1024" s="15" t="s">
        <v>30</v>
      </c>
      <c r="D1024" s="23" t="s">
        <v>81</v>
      </c>
      <c r="E1024" s="25" t="s">
        <v>82</v>
      </c>
      <c r="F1024" t="str">
        <f>'Source Table'!$C$6</f>
        <v>Others</v>
      </c>
      <c r="G1024" t="str">
        <f>'Source Table'!$C$5</f>
        <v>آخرون</v>
      </c>
      <c r="H1024" t="str">
        <f>'Source Table'!$H$8</f>
        <v>Male</v>
      </c>
      <c r="I1024" s="25" t="str">
        <f>'Source Table'!$H$7</f>
        <v>ذكر</v>
      </c>
      <c r="J1024" s="25" t="str">
        <f>'Source Table'!$B$29</f>
        <v xml:space="preserve">Family </v>
      </c>
      <c r="K1024" s="25" t="str">
        <f>'Source Table'!$I$29</f>
        <v>طب أسرة</v>
      </c>
      <c r="L1024" s="39">
        <v>19</v>
      </c>
      <c r="M1024">
        <v>2017</v>
      </c>
    </row>
    <row r="1025" spans="1:13" ht="15">
      <c r="A1025" t="s">
        <v>153</v>
      </c>
      <c r="B1025" t="s">
        <v>154</v>
      </c>
      <c r="C1025" s="15" t="s">
        <v>30</v>
      </c>
      <c r="D1025" s="23" t="s">
        <v>81</v>
      </c>
      <c r="E1025" s="25" t="s">
        <v>82</v>
      </c>
      <c r="F1025" t="str">
        <f>'Source Table'!$C$6</f>
        <v>Others</v>
      </c>
      <c r="G1025" t="str">
        <f>'Source Table'!$C$5</f>
        <v>آخرون</v>
      </c>
      <c r="H1025" t="str">
        <f>'Source Table'!$H$8</f>
        <v>Male</v>
      </c>
      <c r="I1025" s="25" t="str">
        <f>'Source Table'!$H$7</f>
        <v>ذكر</v>
      </c>
      <c r="J1025" s="25" t="str">
        <f>'Source Table'!$B$30</f>
        <v>Urologist</v>
      </c>
      <c r="K1025" s="25" t="str">
        <f>'Source Table'!$I$30</f>
        <v xml:space="preserve">المسالك البولية </v>
      </c>
      <c r="L1025" s="39">
        <v>35</v>
      </c>
      <c r="M1025">
        <v>2017</v>
      </c>
    </row>
    <row r="1026" spans="1:13" ht="15">
      <c r="A1026" t="s">
        <v>153</v>
      </c>
      <c r="B1026" t="s">
        <v>154</v>
      </c>
      <c r="C1026" s="15" t="s">
        <v>30</v>
      </c>
      <c r="D1026" s="23" t="s">
        <v>81</v>
      </c>
      <c r="E1026" s="25" t="s">
        <v>82</v>
      </c>
      <c r="F1026" t="str">
        <f>'Source Table'!$C$6</f>
        <v>Others</v>
      </c>
      <c r="G1026" t="str">
        <f>'Source Table'!$C$5</f>
        <v>آخرون</v>
      </c>
      <c r="H1026" t="str">
        <f>'Source Table'!$H$8</f>
        <v>Male</v>
      </c>
      <c r="I1026" s="25" t="str">
        <f>'Source Table'!$H$7</f>
        <v>ذكر</v>
      </c>
      <c r="J1026" s="25" t="str">
        <f>'Source Table'!$B$31</f>
        <v>Cardiology</v>
      </c>
      <c r="K1026" s="25" t="str">
        <f>'Source Table'!$I$31</f>
        <v>أمراض القلب</v>
      </c>
      <c r="L1026" s="39">
        <v>15</v>
      </c>
      <c r="M1026">
        <v>2017</v>
      </c>
    </row>
    <row r="1027" spans="1:13" ht="15">
      <c r="A1027" t="s">
        <v>153</v>
      </c>
      <c r="B1027" t="s">
        <v>154</v>
      </c>
      <c r="C1027" s="15" t="s">
        <v>30</v>
      </c>
      <c r="D1027" s="23" t="s">
        <v>81</v>
      </c>
      <c r="E1027" s="25" t="s">
        <v>82</v>
      </c>
      <c r="F1027" t="str">
        <f>'Source Table'!$C$6</f>
        <v>Others</v>
      </c>
      <c r="G1027" t="str">
        <f>'Source Table'!$C$5</f>
        <v>آخرون</v>
      </c>
      <c r="H1027" t="str">
        <f>'Source Table'!$H$8</f>
        <v>Male</v>
      </c>
      <c r="I1027" s="25" t="str">
        <f>'Source Table'!$H$7</f>
        <v>ذكر</v>
      </c>
      <c r="J1027" s="25" t="str">
        <f>'Source Table'!$B$32</f>
        <v>Laboratory</v>
      </c>
      <c r="K1027" s="25" t="str">
        <f>'Source Table'!$I$32</f>
        <v>مختبرات</v>
      </c>
      <c r="L1027" s="39">
        <v>2</v>
      </c>
      <c r="M1027">
        <v>2017</v>
      </c>
    </row>
    <row r="1028" spans="1:13" ht="15">
      <c r="A1028" t="s">
        <v>153</v>
      </c>
      <c r="B1028" t="s">
        <v>154</v>
      </c>
      <c r="C1028" s="15" t="s">
        <v>30</v>
      </c>
      <c r="D1028" s="23" t="s">
        <v>81</v>
      </c>
      <c r="E1028" s="25" t="s">
        <v>82</v>
      </c>
      <c r="F1028" t="str">
        <f>'Source Table'!$C$6</f>
        <v>Others</v>
      </c>
      <c r="G1028" t="str">
        <f>'Source Table'!$C$5</f>
        <v>آخرون</v>
      </c>
      <c r="H1028" t="str">
        <f>'Source Table'!$H$8</f>
        <v>Male</v>
      </c>
      <c r="I1028" s="25" t="str">
        <f>'Source Table'!$H$7</f>
        <v>ذكر</v>
      </c>
      <c r="J1028" s="25" t="str">
        <f>'Source Table'!$B$33</f>
        <v>Others</v>
      </c>
      <c r="K1028" s="25" t="str">
        <f>'Source Table'!$I$33</f>
        <v>أخرى</v>
      </c>
      <c r="L1028" s="39">
        <v>51</v>
      </c>
      <c r="M1028">
        <v>2017</v>
      </c>
    </row>
    <row r="1029" spans="1:13" ht="15">
      <c r="A1029" t="s">
        <v>153</v>
      </c>
      <c r="B1029" t="s">
        <v>154</v>
      </c>
      <c r="C1029" s="15" t="s">
        <v>30</v>
      </c>
      <c r="D1029" s="23" t="s">
        <v>81</v>
      </c>
      <c r="E1029" s="25" t="s">
        <v>82</v>
      </c>
      <c r="F1029" t="str">
        <f>'Source Table'!$C$6</f>
        <v>Others</v>
      </c>
      <c r="G1029" t="str">
        <f>'Source Table'!$C$5</f>
        <v>آخرون</v>
      </c>
      <c r="H1029" t="str">
        <f>'Source Table'!$G$8</f>
        <v>Female</v>
      </c>
      <c r="I1029" s="16" t="str">
        <f>'Source Table'!$G$7</f>
        <v>أنثى</v>
      </c>
      <c r="J1029" s="25" t="str">
        <f>'Source Table'!$B$9</f>
        <v>General Practitioner</v>
      </c>
      <c r="K1029" s="25" t="str">
        <f>'Source Table'!$I$9</f>
        <v>طبيب عام</v>
      </c>
      <c r="L1029" s="39">
        <v>2090</v>
      </c>
      <c r="M1029">
        <v>2017</v>
      </c>
    </row>
    <row r="1030" spans="1:13" ht="15">
      <c r="A1030" t="s">
        <v>153</v>
      </c>
      <c r="B1030" t="s">
        <v>154</v>
      </c>
      <c r="C1030" s="15" t="s">
        <v>30</v>
      </c>
      <c r="D1030" s="23" t="s">
        <v>81</v>
      </c>
      <c r="E1030" s="25" t="s">
        <v>82</v>
      </c>
      <c r="F1030" t="str">
        <f>'Source Table'!$C$6</f>
        <v>Others</v>
      </c>
      <c r="G1030" t="str">
        <f>'Source Table'!$C$5</f>
        <v>آخرون</v>
      </c>
      <c r="H1030" t="str">
        <f>'Source Table'!$G$8</f>
        <v>Female</v>
      </c>
      <c r="I1030" s="16" t="str">
        <f>'Source Table'!$G$7</f>
        <v>أنثى</v>
      </c>
      <c r="J1030" s="25" t="str">
        <f>'Source Table'!$B$10</f>
        <v>Surgeon</v>
      </c>
      <c r="K1030" s="25" t="str">
        <f>'Source Table'!$I$10</f>
        <v>جراحة عامة</v>
      </c>
      <c r="L1030" s="40">
        <v>6</v>
      </c>
      <c r="M1030">
        <v>2017</v>
      </c>
    </row>
    <row r="1031" spans="1:13" ht="15">
      <c r="A1031" t="s">
        <v>153</v>
      </c>
      <c r="B1031" t="s">
        <v>154</v>
      </c>
      <c r="C1031" s="15" t="s">
        <v>30</v>
      </c>
      <c r="D1031" s="23" t="s">
        <v>81</v>
      </c>
      <c r="E1031" s="25" t="s">
        <v>82</v>
      </c>
      <c r="F1031" t="str">
        <f>'Source Table'!$C$6</f>
        <v>Others</v>
      </c>
      <c r="G1031" t="str">
        <f>'Source Table'!$C$5</f>
        <v>آخرون</v>
      </c>
      <c r="H1031" t="str">
        <f>'Source Table'!$G$8</f>
        <v>Female</v>
      </c>
      <c r="I1031" s="16" t="str">
        <f>'Source Table'!$G$7</f>
        <v>أنثى</v>
      </c>
      <c r="J1031" s="25" t="str">
        <f>'Source Table'!$B$11</f>
        <v>Internist</v>
      </c>
      <c r="K1031" s="25" t="str">
        <f>'Source Table'!$I$11</f>
        <v>باطنية</v>
      </c>
      <c r="L1031" s="40">
        <v>21</v>
      </c>
      <c r="M1031">
        <v>2017</v>
      </c>
    </row>
    <row r="1032" spans="1:13" ht="15">
      <c r="A1032" t="s">
        <v>153</v>
      </c>
      <c r="B1032" t="s">
        <v>154</v>
      </c>
      <c r="C1032" s="15" t="s">
        <v>30</v>
      </c>
      <c r="D1032" s="23" t="s">
        <v>81</v>
      </c>
      <c r="E1032" s="25" t="s">
        <v>82</v>
      </c>
      <c r="F1032" t="str">
        <f>'Source Table'!$C$6</f>
        <v>Others</v>
      </c>
      <c r="G1032" t="str">
        <f>'Source Table'!$C$5</f>
        <v>آخرون</v>
      </c>
      <c r="H1032" t="str">
        <f>'Source Table'!$G$8</f>
        <v>Female</v>
      </c>
      <c r="I1032" s="16" t="str">
        <f>'Source Table'!$G$7</f>
        <v>أنثى</v>
      </c>
      <c r="J1032" s="25" t="str">
        <f>'Source Table'!$B$12</f>
        <v>Gynecologist and Obst.</v>
      </c>
      <c r="K1032" s="25" t="str">
        <f>'Source Table'!$I$12</f>
        <v>نسائية وتوليد</v>
      </c>
      <c r="L1032" s="40">
        <v>63</v>
      </c>
      <c r="M1032">
        <v>2017</v>
      </c>
    </row>
    <row r="1033" spans="1:13" ht="15">
      <c r="A1033" t="s">
        <v>153</v>
      </c>
      <c r="B1033" t="s">
        <v>154</v>
      </c>
      <c r="C1033" s="15" t="s">
        <v>30</v>
      </c>
      <c r="D1033" s="23" t="s">
        <v>81</v>
      </c>
      <c r="E1033" s="25" t="s">
        <v>82</v>
      </c>
      <c r="F1033" t="str">
        <f>'Source Table'!$C$6</f>
        <v>Others</v>
      </c>
      <c r="G1033" t="str">
        <f>'Source Table'!$C$5</f>
        <v>آخرون</v>
      </c>
      <c r="H1033" t="str">
        <f>'Source Table'!$G$8</f>
        <v>Female</v>
      </c>
      <c r="I1033" s="16" t="str">
        <f>'Source Table'!$G$7</f>
        <v>أنثى</v>
      </c>
      <c r="J1033" s="25" t="str">
        <f>'Source Table'!$B$13</f>
        <v>Pediatrics</v>
      </c>
      <c r="K1033" s="25" t="str">
        <f>'Source Table'!$I$13</f>
        <v>أطفال</v>
      </c>
      <c r="L1033" s="40">
        <v>46</v>
      </c>
      <c r="M1033">
        <v>2017</v>
      </c>
    </row>
    <row r="1034" spans="1:13" ht="15">
      <c r="A1034" t="s">
        <v>153</v>
      </c>
      <c r="B1034" t="s">
        <v>154</v>
      </c>
      <c r="C1034" s="15" t="s">
        <v>30</v>
      </c>
      <c r="D1034" s="23" t="s">
        <v>81</v>
      </c>
      <c r="E1034" s="25" t="s">
        <v>82</v>
      </c>
      <c r="F1034" t="str">
        <f>'Source Table'!$C$6</f>
        <v>Others</v>
      </c>
      <c r="G1034" t="str">
        <f>'Source Table'!$C$5</f>
        <v>آخرون</v>
      </c>
      <c r="H1034" t="str">
        <f>'Source Table'!$G$8</f>
        <v>Female</v>
      </c>
      <c r="I1034" s="16" t="str">
        <f>'Source Table'!$G$7</f>
        <v>أنثى</v>
      </c>
      <c r="J1034" s="25" t="str">
        <f>'Source Table'!$B$14</f>
        <v>Ophthalmologist</v>
      </c>
      <c r="K1034" s="25" t="str">
        <f>'Source Table'!$I$14</f>
        <v>العيون</v>
      </c>
      <c r="L1034" s="40">
        <v>11</v>
      </c>
      <c r="M1034">
        <v>2017</v>
      </c>
    </row>
    <row r="1035" spans="1:13" ht="15">
      <c r="A1035" t="s">
        <v>153</v>
      </c>
      <c r="B1035" t="s">
        <v>154</v>
      </c>
      <c r="C1035" s="15" t="s">
        <v>30</v>
      </c>
      <c r="D1035" s="23" t="s">
        <v>81</v>
      </c>
      <c r="E1035" s="25" t="s">
        <v>82</v>
      </c>
      <c r="F1035" t="str">
        <f>'Source Table'!$C$6</f>
        <v>Others</v>
      </c>
      <c r="G1035" t="str">
        <f>'Source Table'!$C$5</f>
        <v>آخرون</v>
      </c>
      <c r="H1035" t="str">
        <f>'Source Table'!$G$8</f>
        <v>Female</v>
      </c>
      <c r="I1035" s="16" t="str">
        <f>'Source Table'!$G$7</f>
        <v>أنثى</v>
      </c>
      <c r="J1035" s="25" t="str">
        <f>'Source Table'!$B$15</f>
        <v>Orthopedic Surg.</v>
      </c>
      <c r="K1035" s="25" t="str">
        <f>'Source Table'!$I$15</f>
        <v>العظام</v>
      </c>
      <c r="L1035" s="40">
        <v>0</v>
      </c>
      <c r="M1035">
        <v>2017</v>
      </c>
    </row>
    <row r="1036" spans="1:13" ht="15">
      <c r="A1036" t="s">
        <v>153</v>
      </c>
      <c r="B1036" t="s">
        <v>154</v>
      </c>
      <c r="C1036" s="15" t="s">
        <v>30</v>
      </c>
      <c r="D1036" s="23" t="s">
        <v>81</v>
      </c>
      <c r="E1036" s="25" t="s">
        <v>82</v>
      </c>
      <c r="F1036" t="str">
        <f>'Source Table'!$C$6</f>
        <v>Others</v>
      </c>
      <c r="G1036" t="str">
        <f>'Source Table'!$C$5</f>
        <v>آخرون</v>
      </c>
      <c r="H1036" t="str">
        <f>'Source Table'!$G$8</f>
        <v>Female</v>
      </c>
      <c r="I1036" s="16" t="str">
        <f>'Source Table'!$G$7</f>
        <v>أنثى</v>
      </c>
      <c r="J1036" s="25" t="str">
        <f>'Source Table'!$B$16</f>
        <v>E.N.T.Surg.</v>
      </c>
      <c r="K1036" s="25" t="str">
        <f>'Source Table'!$I$16</f>
        <v>أذن وأنف وحنجرة</v>
      </c>
      <c r="L1036" s="40">
        <v>4</v>
      </c>
      <c r="M1036">
        <v>2017</v>
      </c>
    </row>
    <row r="1037" spans="1:13" ht="15">
      <c r="A1037" t="s">
        <v>153</v>
      </c>
      <c r="B1037" t="s">
        <v>154</v>
      </c>
      <c r="C1037" s="15" t="s">
        <v>30</v>
      </c>
      <c r="D1037" s="23" t="s">
        <v>81</v>
      </c>
      <c r="E1037" s="25" t="s">
        <v>82</v>
      </c>
      <c r="F1037" t="str">
        <f>'Source Table'!$C$6</f>
        <v>Others</v>
      </c>
      <c r="G1037" t="str">
        <f>'Source Table'!$C$5</f>
        <v>آخرون</v>
      </c>
      <c r="H1037" t="str">
        <f>'Source Table'!$G$8</f>
        <v>Female</v>
      </c>
      <c r="I1037" s="16" t="str">
        <f>'Source Table'!$G$7</f>
        <v>أنثى</v>
      </c>
      <c r="J1037" s="25" t="str">
        <f>'Source Table'!$B$17</f>
        <v>Neurosurgery</v>
      </c>
      <c r="K1037" s="25" t="str">
        <f>'Source Table'!$I$17</f>
        <v>جراحةأعصاب</v>
      </c>
      <c r="L1037" s="39">
        <v>0</v>
      </c>
      <c r="M1037">
        <v>2017</v>
      </c>
    </row>
    <row r="1038" spans="1:13" ht="15">
      <c r="A1038" t="s">
        <v>153</v>
      </c>
      <c r="B1038" t="s">
        <v>154</v>
      </c>
      <c r="C1038" s="15" t="s">
        <v>30</v>
      </c>
      <c r="D1038" s="23" t="s">
        <v>81</v>
      </c>
      <c r="E1038" s="25" t="s">
        <v>82</v>
      </c>
      <c r="F1038" t="str">
        <f>'Source Table'!$C$6</f>
        <v>Others</v>
      </c>
      <c r="G1038" t="str">
        <f>'Source Table'!$C$5</f>
        <v>آخرون</v>
      </c>
      <c r="H1038" t="str">
        <f>'Source Table'!$G$8</f>
        <v>Female</v>
      </c>
      <c r="I1038" s="16" t="str">
        <f>'Source Table'!$G$7</f>
        <v>أنثى</v>
      </c>
      <c r="J1038" s="25" t="str">
        <f>'Source Table'!$B$18</f>
        <v>Cardiothoracic</v>
      </c>
      <c r="K1038" s="25" t="str">
        <f>'Source Table'!$I$18</f>
        <v>جراحة قلب</v>
      </c>
      <c r="L1038" s="39">
        <v>0</v>
      </c>
      <c r="M1038">
        <v>2017</v>
      </c>
    </row>
    <row r="1039" spans="1:13" ht="15">
      <c r="A1039" t="s">
        <v>153</v>
      </c>
      <c r="B1039" t="s">
        <v>154</v>
      </c>
      <c r="C1039" s="15" t="s">
        <v>30</v>
      </c>
      <c r="D1039" s="23" t="s">
        <v>81</v>
      </c>
      <c r="E1039" s="25" t="s">
        <v>82</v>
      </c>
      <c r="F1039" t="str">
        <f>'Source Table'!$C$6</f>
        <v>Others</v>
      </c>
      <c r="G1039" t="str">
        <f>'Source Table'!$C$5</f>
        <v>آخرون</v>
      </c>
      <c r="H1039" t="str">
        <f>'Source Table'!$G$8</f>
        <v>Female</v>
      </c>
      <c r="I1039" s="16" t="str">
        <f>'Source Table'!$G$7</f>
        <v>أنثى</v>
      </c>
      <c r="J1039" s="25" t="str">
        <f>'Source Table'!$B$19</f>
        <v>Plastic Surgeon</v>
      </c>
      <c r="K1039" s="25" t="str">
        <f>'Source Table'!$I$19</f>
        <v>التجميل</v>
      </c>
      <c r="L1039" s="39">
        <v>0</v>
      </c>
      <c r="M1039">
        <v>2017</v>
      </c>
    </row>
    <row r="1040" spans="1:13" ht="15">
      <c r="A1040" t="s">
        <v>153</v>
      </c>
      <c r="B1040" t="s">
        <v>154</v>
      </c>
      <c r="C1040" s="15" t="s">
        <v>30</v>
      </c>
      <c r="D1040" s="23" t="s">
        <v>81</v>
      </c>
      <c r="E1040" s="25" t="s">
        <v>82</v>
      </c>
      <c r="F1040" t="str">
        <f>'Source Table'!$C$6</f>
        <v>Others</v>
      </c>
      <c r="G1040" t="str">
        <f>'Source Table'!$C$5</f>
        <v>آخرون</v>
      </c>
      <c r="H1040" t="str">
        <f>'Source Table'!$G$8</f>
        <v>Female</v>
      </c>
      <c r="I1040" s="16" t="str">
        <f>'Source Table'!$G$7</f>
        <v>أنثى</v>
      </c>
      <c r="J1040" s="25" t="str">
        <f>'Source Table'!$B$20</f>
        <v>Psychiatry</v>
      </c>
      <c r="K1040" s="25" t="str">
        <f>'Source Table'!$I$20</f>
        <v>النفسية</v>
      </c>
      <c r="L1040" s="39">
        <v>0</v>
      </c>
      <c r="M1040">
        <v>2017</v>
      </c>
    </row>
    <row r="1041" spans="1:13" ht="15">
      <c r="A1041" t="s">
        <v>153</v>
      </c>
      <c r="B1041" t="s">
        <v>154</v>
      </c>
      <c r="C1041" s="15" t="s">
        <v>30</v>
      </c>
      <c r="D1041" s="23" t="s">
        <v>81</v>
      </c>
      <c r="E1041" s="25" t="s">
        <v>82</v>
      </c>
      <c r="F1041" t="str">
        <f>'Source Table'!$C$6</f>
        <v>Others</v>
      </c>
      <c r="G1041" t="str">
        <f>'Source Table'!$C$5</f>
        <v>آخرون</v>
      </c>
      <c r="H1041" t="str">
        <f>'Source Table'!$G$8</f>
        <v>Female</v>
      </c>
      <c r="I1041" s="16" t="str">
        <f>'Source Table'!$G$7</f>
        <v>أنثى</v>
      </c>
      <c r="J1041" s="25" t="str">
        <f>'Source Table'!$B$21</f>
        <v>Dermatologist Venereal</v>
      </c>
      <c r="K1041" s="25" t="str">
        <f>'Source Table'!$I$21</f>
        <v>جلدية وتناسلية</v>
      </c>
      <c r="L1041" s="40">
        <v>24</v>
      </c>
      <c r="M1041">
        <v>2017</v>
      </c>
    </row>
    <row r="1042" spans="1:13" ht="15">
      <c r="A1042" t="s">
        <v>153</v>
      </c>
      <c r="B1042" t="s">
        <v>154</v>
      </c>
      <c r="C1042" s="15" t="s">
        <v>30</v>
      </c>
      <c r="D1042" s="23" t="s">
        <v>81</v>
      </c>
      <c r="E1042" s="25" t="s">
        <v>82</v>
      </c>
      <c r="F1042" t="str">
        <f>'Source Table'!$C$6</f>
        <v>Others</v>
      </c>
      <c r="G1042" t="str">
        <f>'Source Table'!$C$5</f>
        <v>آخرون</v>
      </c>
      <c r="H1042" t="str">
        <f>'Source Table'!$G$8</f>
        <v>Female</v>
      </c>
      <c r="I1042" s="16" t="str">
        <f>'Source Table'!$G$7</f>
        <v>أنثى</v>
      </c>
      <c r="J1042" s="25" t="str">
        <f>'Source Table'!$B$22</f>
        <v>Neurology/ Nervous</v>
      </c>
      <c r="K1042" s="25" t="str">
        <f>'Source Table'!$I$22</f>
        <v>مرض الأعصاب</v>
      </c>
      <c r="L1042" s="40">
        <v>0</v>
      </c>
      <c r="M1042">
        <v>2017</v>
      </c>
    </row>
    <row r="1043" spans="1:13" ht="15">
      <c r="A1043" t="s">
        <v>153</v>
      </c>
      <c r="B1043" t="s">
        <v>154</v>
      </c>
      <c r="C1043" s="15" t="s">
        <v>30</v>
      </c>
      <c r="D1043" s="23" t="s">
        <v>81</v>
      </c>
      <c r="E1043" s="25" t="s">
        <v>82</v>
      </c>
      <c r="F1043" t="str">
        <f>'Source Table'!$C$6</f>
        <v>Others</v>
      </c>
      <c r="G1043" t="str">
        <f>'Source Table'!$C$5</f>
        <v>آخرون</v>
      </c>
      <c r="H1043" t="str">
        <f>'Source Table'!$G$8</f>
        <v>Female</v>
      </c>
      <c r="I1043" s="16" t="str">
        <f>'Source Table'!$G$7</f>
        <v>أنثى</v>
      </c>
      <c r="J1043" s="25" t="str">
        <f>'Source Table'!$B$23</f>
        <v>Pumologist</v>
      </c>
      <c r="K1043" s="25" t="str">
        <f>'Source Table'!$I$23</f>
        <v>صدرية</v>
      </c>
      <c r="L1043" s="40">
        <v>1</v>
      </c>
      <c r="M1043">
        <v>2017</v>
      </c>
    </row>
    <row r="1044" spans="1:13" ht="15">
      <c r="A1044" t="s">
        <v>153</v>
      </c>
      <c r="B1044" t="s">
        <v>154</v>
      </c>
      <c r="C1044" s="15" t="s">
        <v>30</v>
      </c>
      <c r="D1044" s="23" t="s">
        <v>81</v>
      </c>
      <c r="E1044" s="25" t="s">
        <v>82</v>
      </c>
      <c r="F1044" t="str">
        <f>'Source Table'!$C$6</f>
        <v>Others</v>
      </c>
      <c r="G1044" t="str">
        <f>'Source Table'!$C$5</f>
        <v>آخرون</v>
      </c>
      <c r="H1044" t="str">
        <f>'Source Table'!$G$8</f>
        <v>Female</v>
      </c>
      <c r="I1044" s="16" t="str">
        <f>'Source Table'!$G$7</f>
        <v>أنثى</v>
      </c>
      <c r="J1044" s="25" t="str">
        <f>'Source Table'!$B$24</f>
        <v>G.I.T. Specialist</v>
      </c>
      <c r="K1044" s="25" t="str">
        <f>'Source Table'!$I$24</f>
        <v>جهاز هضمي</v>
      </c>
      <c r="L1044" s="40">
        <v>1</v>
      </c>
      <c r="M1044">
        <v>2017</v>
      </c>
    </row>
    <row r="1045" spans="1:13" ht="15">
      <c r="A1045" t="s">
        <v>153</v>
      </c>
      <c r="B1045" t="s">
        <v>154</v>
      </c>
      <c r="C1045" s="15" t="s">
        <v>30</v>
      </c>
      <c r="D1045" s="23" t="s">
        <v>81</v>
      </c>
      <c r="E1045" s="25" t="s">
        <v>82</v>
      </c>
      <c r="F1045" t="str">
        <f>'Source Table'!$C$6</f>
        <v>Others</v>
      </c>
      <c r="G1045" t="str">
        <f>'Source Table'!$C$5</f>
        <v>آخرون</v>
      </c>
      <c r="H1045" t="str">
        <f>'Source Table'!$G$8</f>
        <v>Female</v>
      </c>
      <c r="I1045" s="16" t="str">
        <f>'Source Table'!$G$7</f>
        <v>أنثى</v>
      </c>
      <c r="J1045" s="25" t="str">
        <f>'Source Table'!$B$25</f>
        <v>Diagnostic Radiology</v>
      </c>
      <c r="K1045" s="25" t="str">
        <f>'Source Table'!$I$25</f>
        <v>أشعة تشخيصية</v>
      </c>
      <c r="L1045" s="40">
        <v>10</v>
      </c>
      <c r="M1045">
        <v>2017</v>
      </c>
    </row>
    <row r="1046" spans="1:13" ht="15">
      <c r="A1046" t="s">
        <v>153</v>
      </c>
      <c r="B1046" t="s">
        <v>154</v>
      </c>
      <c r="C1046" s="15" t="s">
        <v>30</v>
      </c>
      <c r="D1046" s="23" t="s">
        <v>81</v>
      </c>
      <c r="E1046" s="25" t="s">
        <v>82</v>
      </c>
      <c r="F1046" t="str">
        <f>'Source Table'!$C$6</f>
        <v>Others</v>
      </c>
      <c r="G1046" t="str">
        <f>'Source Table'!$C$5</f>
        <v>آخرون</v>
      </c>
      <c r="H1046" t="str">
        <f>'Source Table'!$G$8</f>
        <v>Female</v>
      </c>
      <c r="I1046" s="16" t="str">
        <f>'Source Table'!$G$7</f>
        <v>أنثى</v>
      </c>
      <c r="J1046" s="25" t="str">
        <f>'Source Table'!$B$26</f>
        <v>Anesthetic</v>
      </c>
      <c r="K1046" s="25" t="str">
        <f>'Source Table'!$I$26</f>
        <v>تخدير وإنعاش</v>
      </c>
      <c r="L1046" s="40">
        <v>5</v>
      </c>
      <c r="M1046">
        <v>2017</v>
      </c>
    </row>
    <row r="1047" spans="1:13" ht="15">
      <c r="A1047" t="s">
        <v>153</v>
      </c>
      <c r="B1047" t="s">
        <v>154</v>
      </c>
      <c r="C1047" s="15" t="s">
        <v>30</v>
      </c>
      <c r="D1047" s="23" t="s">
        <v>81</v>
      </c>
      <c r="E1047" s="25" t="s">
        <v>82</v>
      </c>
      <c r="F1047" t="str">
        <f>'Source Table'!$C$6</f>
        <v>Others</v>
      </c>
      <c r="G1047" t="str">
        <f>'Source Table'!$C$5</f>
        <v>آخرون</v>
      </c>
      <c r="H1047" t="str">
        <f>'Source Table'!$G$8</f>
        <v>Female</v>
      </c>
      <c r="I1047" s="16" t="str">
        <f>'Source Table'!$G$7</f>
        <v>أنثى</v>
      </c>
      <c r="J1047" s="25" t="str">
        <f>'Source Table'!$B$27</f>
        <v>Physiotherapist</v>
      </c>
      <c r="K1047" s="25" t="str">
        <f>'Source Table'!$I$27</f>
        <v>طب طبيعي</v>
      </c>
      <c r="L1047" s="39">
        <v>0</v>
      </c>
      <c r="M1047">
        <v>2017</v>
      </c>
    </row>
    <row r="1048" spans="1:13" ht="15">
      <c r="A1048" t="s">
        <v>153</v>
      </c>
      <c r="B1048" t="s">
        <v>154</v>
      </c>
      <c r="C1048" s="15" t="s">
        <v>30</v>
      </c>
      <c r="D1048" s="23" t="s">
        <v>81</v>
      </c>
      <c r="E1048" s="25" t="s">
        <v>82</v>
      </c>
      <c r="F1048" t="str">
        <f>'Source Table'!$C$6</f>
        <v>Others</v>
      </c>
      <c r="G1048" t="str">
        <f>'Source Table'!$C$5</f>
        <v>آخرون</v>
      </c>
      <c r="H1048" t="str">
        <f>'Source Table'!$G$8</f>
        <v>Female</v>
      </c>
      <c r="I1048" s="16" t="str">
        <f>'Source Table'!$G$7</f>
        <v>أنثى</v>
      </c>
      <c r="J1048" s="25" t="str">
        <f>'Source Table'!$B$28</f>
        <v>Forensic</v>
      </c>
      <c r="K1048" s="25" t="str">
        <f>'Source Table'!$I$28</f>
        <v>طب شرعي</v>
      </c>
      <c r="L1048" s="39">
        <v>0</v>
      </c>
      <c r="M1048">
        <v>2017</v>
      </c>
    </row>
    <row r="1049" spans="1:13" ht="15">
      <c r="A1049" t="s">
        <v>153</v>
      </c>
      <c r="B1049" t="s">
        <v>154</v>
      </c>
      <c r="C1049" s="15" t="s">
        <v>30</v>
      </c>
      <c r="D1049" s="23" t="s">
        <v>81</v>
      </c>
      <c r="E1049" s="25" t="s">
        <v>82</v>
      </c>
      <c r="F1049" t="str">
        <f>'Source Table'!$C$6</f>
        <v>Others</v>
      </c>
      <c r="G1049" t="str">
        <f>'Source Table'!$C$5</f>
        <v>آخرون</v>
      </c>
      <c r="H1049" t="str">
        <f>'Source Table'!$G$8</f>
        <v>Female</v>
      </c>
      <c r="I1049" s="16" t="str">
        <f>'Source Table'!$G$7</f>
        <v>أنثى</v>
      </c>
      <c r="J1049" s="25" t="str">
        <f>'Source Table'!$B$29</f>
        <v xml:space="preserve">Family </v>
      </c>
      <c r="K1049" s="25" t="str">
        <f>'Source Table'!$I$29</f>
        <v>طب أسرة</v>
      </c>
      <c r="L1049" s="40">
        <v>24</v>
      </c>
      <c r="M1049">
        <v>2017</v>
      </c>
    </row>
    <row r="1050" spans="1:13" ht="15">
      <c r="A1050" t="s">
        <v>153</v>
      </c>
      <c r="B1050" t="s">
        <v>154</v>
      </c>
      <c r="C1050" s="15" t="s">
        <v>30</v>
      </c>
      <c r="D1050" s="23" t="s">
        <v>81</v>
      </c>
      <c r="E1050" s="25" t="s">
        <v>82</v>
      </c>
      <c r="F1050" t="str">
        <f>'Source Table'!$C$6</f>
        <v>Others</v>
      </c>
      <c r="G1050" t="str">
        <f>'Source Table'!$C$5</f>
        <v>آخرون</v>
      </c>
      <c r="H1050" t="str">
        <f>'Source Table'!$G$8</f>
        <v>Female</v>
      </c>
      <c r="I1050" s="16" t="str">
        <f>'Source Table'!$G$7</f>
        <v>أنثى</v>
      </c>
      <c r="J1050" s="25" t="str">
        <f>'Source Table'!$B$30</f>
        <v>Urologist</v>
      </c>
      <c r="K1050" s="25" t="str">
        <f>'Source Table'!$I$30</f>
        <v xml:space="preserve">المسالك البولية </v>
      </c>
      <c r="L1050" s="40">
        <v>0</v>
      </c>
      <c r="M1050">
        <v>2017</v>
      </c>
    </row>
    <row r="1051" spans="1:13" ht="15">
      <c r="A1051" t="s">
        <v>153</v>
      </c>
      <c r="B1051" t="s">
        <v>154</v>
      </c>
      <c r="C1051" s="15" t="s">
        <v>30</v>
      </c>
      <c r="D1051" s="23" t="s">
        <v>81</v>
      </c>
      <c r="E1051" s="25" t="s">
        <v>82</v>
      </c>
      <c r="F1051" t="str">
        <f>'Source Table'!$C$6</f>
        <v>Others</v>
      </c>
      <c r="G1051" t="str">
        <f>'Source Table'!$C$5</f>
        <v>آخرون</v>
      </c>
      <c r="H1051" t="str">
        <f>'Source Table'!$G$8</f>
        <v>Female</v>
      </c>
      <c r="I1051" s="16" t="str">
        <f>'Source Table'!$G$7</f>
        <v>أنثى</v>
      </c>
      <c r="J1051" s="25" t="str">
        <f>'Source Table'!$B$31</f>
        <v>Cardiology</v>
      </c>
      <c r="K1051" s="25" t="str">
        <f>'Source Table'!$I$31</f>
        <v>أمراض القلب</v>
      </c>
      <c r="L1051" s="40">
        <v>1</v>
      </c>
      <c r="M1051">
        <v>2017</v>
      </c>
    </row>
    <row r="1052" spans="1:13" ht="15">
      <c r="A1052" t="s">
        <v>153</v>
      </c>
      <c r="B1052" t="s">
        <v>154</v>
      </c>
      <c r="C1052" s="15" t="s">
        <v>30</v>
      </c>
      <c r="D1052" s="23" t="s">
        <v>81</v>
      </c>
      <c r="E1052" s="25" t="s">
        <v>82</v>
      </c>
      <c r="F1052" t="str">
        <f>'Source Table'!$C$6</f>
        <v>Others</v>
      </c>
      <c r="G1052" t="str">
        <f>'Source Table'!$C$5</f>
        <v>آخرون</v>
      </c>
      <c r="H1052" t="str">
        <f>'Source Table'!$G$8</f>
        <v>Female</v>
      </c>
      <c r="I1052" s="16" t="str">
        <f>'Source Table'!$G$7</f>
        <v>أنثى</v>
      </c>
      <c r="J1052" s="25" t="str">
        <f>'Source Table'!$B$32</f>
        <v>Laboratory</v>
      </c>
      <c r="K1052" s="25" t="str">
        <f>'Source Table'!$I$32</f>
        <v>مختبرات</v>
      </c>
      <c r="L1052" s="40">
        <v>0</v>
      </c>
      <c r="M1052">
        <v>2017</v>
      </c>
    </row>
    <row r="1053" spans="1:13" ht="15">
      <c r="A1053" t="s">
        <v>153</v>
      </c>
      <c r="B1053" t="s">
        <v>154</v>
      </c>
      <c r="C1053" s="15" t="s">
        <v>30</v>
      </c>
      <c r="D1053" s="23" t="s">
        <v>81</v>
      </c>
      <c r="E1053" s="25" t="s">
        <v>82</v>
      </c>
      <c r="F1053" t="str">
        <f>'Source Table'!$C$6</f>
        <v>Others</v>
      </c>
      <c r="G1053" t="str">
        <f>'Source Table'!$C$5</f>
        <v>آخرون</v>
      </c>
      <c r="H1053" t="str">
        <f>'Source Table'!$G$8</f>
        <v>Female</v>
      </c>
      <c r="I1053" s="16" t="str">
        <f>'Source Table'!$G$7</f>
        <v>أنثى</v>
      </c>
      <c r="J1053" s="25" t="str">
        <f>'Source Table'!$B$33</f>
        <v>Others</v>
      </c>
      <c r="K1053" s="25" t="str">
        <f>'Source Table'!$I$33</f>
        <v>أخرى</v>
      </c>
      <c r="L1053" s="39">
        <v>20</v>
      </c>
      <c r="M1053">
        <v>2017</v>
      </c>
    </row>
    <row r="1054" spans="1:13" ht="15">
      <c r="A1054" t="s">
        <v>153</v>
      </c>
      <c r="B1054" t="s">
        <v>154</v>
      </c>
      <c r="C1054" s="15" t="s">
        <v>30</v>
      </c>
      <c r="D1054" s="23" t="s">
        <v>81</v>
      </c>
      <c r="E1054" s="25" t="s">
        <v>82</v>
      </c>
      <c r="F1054" s="25" t="str">
        <f>'Source Table'!$G$6</f>
        <v>Public Sector</v>
      </c>
      <c r="G1054" s="25" t="str">
        <f>'Source Table'!$G$5</f>
        <v>القطاع العام</v>
      </c>
      <c r="H1054" t="str">
        <f>'Source Table'!$H$8</f>
        <v>Male</v>
      </c>
      <c r="I1054" s="25" t="str">
        <f>'Source Table'!$H$7</f>
        <v>ذكر</v>
      </c>
      <c r="J1054" s="25" t="str">
        <f>'Source Table'!$B$9</f>
        <v>General Practitioner</v>
      </c>
      <c r="K1054" s="25" t="str">
        <f>'Source Table'!$I$9</f>
        <v>طبيب عام</v>
      </c>
      <c r="L1054" s="39">
        <v>2597</v>
      </c>
      <c r="M1054">
        <v>2016</v>
      </c>
    </row>
    <row r="1055" spans="1:13" ht="15">
      <c r="A1055" t="s">
        <v>153</v>
      </c>
      <c r="B1055" t="s">
        <v>154</v>
      </c>
      <c r="C1055" s="15" t="s">
        <v>30</v>
      </c>
      <c r="D1055" s="23" t="s">
        <v>81</v>
      </c>
      <c r="E1055" s="25" t="s">
        <v>82</v>
      </c>
      <c r="F1055" s="25" t="str">
        <f>'Source Table'!$G$6</f>
        <v>Public Sector</v>
      </c>
      <c r="G1055" s="25" t="str">
        <f>'Source Table'!$G$5</f>
        <v>القطاع العام</v>
      </c>
      <c r="H1055" t="str">
        <f>'Source Table'!$H$8</f>
        <v>Male</v>
      </c>
      <c r="I1055" s="25" t="str">
        <f>'Source Table'!$H$7</f>
        <v>ذكر</v>
      </c>
      <c r="J1055" s="25" t="str">
        <f>'Source Table'!$B$10</f>
        <v>Surgeon</v>
      </c>
      <c r="K1055" s="25" t="str">
        <f>'Source Table'!$I$10</f>
        <v>جراحة عامة</v>
      </c>
      <c r="L1055" s="39">
        <v>424</v>
      </c>
      <c r="M1055">
        <v>2016</v>
      </c>
    </row>
    <row r="1056" spans="1:13" ht="15">
      <c r="A1056" t="s">
        <v>153</v>
      </c>
      <c r="B1056" t="s">
        <v>154</v>
      </c>
      <c r="C1056" s="15" t="s">
        <v>30</v>
      </c>
      <c r="D1056" s="23" t="s">
        <v>81</v>
      </c>
      <c r="E1056" s="25" t="s">
        <v>82</v>
      </c>
      <c r="F1056" s="25" t="str">
        <f>'Source Table'!$G$6</f>
        <v>Public Sector</v>
      </c>
      <c r="G1056" s="25" t="str">
        <f>'Source Table'!$G$5</f>
        <v>القطاع العام</v>
      </c>
      <c r="H1056" t="str">
        <f>'Source Table'!$H$8</f>
        <v>Male</v>
      </c>
      <c r="I1056" s="25" t="str">
        <f>'Source Table'!$H$7</f>
        <v>ذكر</v>
      </c>
      <c r="J1056" s="25" t="str">
        <f>'Source Table'!$B$11</f>
        <v>Internist</v>
      </c>
      <c r="K1056" s="25" t="str">
        <f>'Source Table'!$I$11</f>
        <v>باطنية</v>
      </c>
      <c r="L1056" s="39">
        <v>416</v>
      </c>
      <c r="M1056">
        <v>2016</v>
      </c>
    </row>
    <row r="1057" spans="1:13" ht="15">
      <c r="A1057" t="s">
        <v>153</v>
      </c>
      <c r="B1057" t="s">
        <v>154</v>
      </c>
      <c r="C1057" s="15" t="s">
        <v>30</v>
      </c>
      <c r="D1057" s="23" t="s">
        <v>81</v>
      </c>
      <c r="E1057" s="25" t="s">
        <v>82</v>
      </c>
      <c r="F1057" s="25" t="str">
        <f>'Source Table'!$G$6</f>
        <v>Public Sector</v>
      </c>
      <c r="G1057" s="25" t="str">
        <f>'Source Table'!$G$5</f>
        <v>القطاع العام</v>
      </c>
      <c r="H1057" t="str">
        <f>'Source Table'!$H$8</f>
        <v>Male</v>
      </c>
      <c r="I1057" s="25" t="str">
        <f>'Source Table'!$H$7</f>
        <v>ذكر</v>
      </c>
      <c r="J1057" s="25" t="str">
        <f>'Source Table'!$B$12</f>
        <v>Gynecologist and Obst.</v>
      </c>
      <c r="K1057" s="25" t="str">
        <f>'Source Table'!$I$12</f>
        <v>نسائية وتوليد</v>
      </c>
      <c r="L1057" s="39">
        <v>309</v>
      </c>
      <c r="M1057">
        <v>2016</v>
      </c>
    </row>
    <row r="1058" spans="1:13" ht="15">
      <c r="A1058" t="s">
        <v>153</v>
      </c>
      <c r="B1058" t="s">
        <v>154</v>
      </c>
      <c r="C1058" s="15" t="s">
        <v>30</v>
      </c>
      <c r="D1058" s="23" t="s">
        <v>81</v>
      </c>
      <c r="E1058" s="25" t="s">
        <v>82</v>
      </c>
      <c r="F1058" s="25" t="str">
        <f>'Source Table'!$G$6</f>
        <v>Public Sector</v>
      </c>
      <c r="G1058" s="25" t="str">
        <f>'Source Table'!$G$5</f>
        <v>القطاع العام</v>
      </c>
      <c r="H1058" t="str">
        <f>'Source Table'!$H$8</f>
        <v>Male</v>
      </c>
      <c r="I1058" s="25" t="str">
        <f>'Source Table'!$H$7</f>
        <v>ذكر</v>
      </c>
      <c r="J1058" s="25" t="str">
        <f>'Source Table'!$B$13</f>
        <v>Pediatrics</v>
      </c>
      <c r="K1058" s="25" t="str">
        <f>'Source Table'!$I$13</f>
        <v>أطفال</v>
      </c>
      <c r="L1058" s="39">
        <v>326</v>
      </c>
      <c r="M1058">
        <v>2016</v>
      </c>
    </row>
    <row r="1059" spans="1:13" ht="15">
      <c r="A1059" t="s">
        <v>153</v>
      </c>
      <c r="B1059" t="s">
        <v>154</v>
      </c>
      <c r="C1059" s="15" t="s">
        <v>30</v>
      </c>
      <c r="D1059" s="23" t="s">
        <v>81</v>
      </c>
      <c r="E1059" s="25" t="s">
        <v>82</v>
      </c>
      <c r="F1059" s="25" t="str">
        <f>'Source Table'!$G$6</f>
        <v>Public Sector</v>
      </c>
      <c r="G1059" s="25" t="str">
        <f>'Source Table'!$G$5</f>
        <v>القطاع العام</v>
      </c>
      <c r="H1059" t="str">
        <f>'Source Table'!$H$8</f>
        <v>Male</v>
      </c>
      <c r="I1059" s="25" t="str">
        <f>'Source Table'!$H$7</f>
        <v>ذكر</v>
      </c>
      <c r="J1059" s="25" t="str">
        <f>'Source Table'!$B$14</f>
        <v>Ophthalmologist</v>
      </c>
      <c r="K1059" s="25" t="str">
        <f>'Source Table'!$I$14</f>
        <v>العيون</v>
      </c>
      <c r="L1059" s="39">
        <v>135</v>
      </c>
      <c r="M1059">
        <v>2016</v>
      </c>
    </row>
    <row r="1060" spans="1:13" ht="15">
      <c r="A1060" t="s">
        <v>153</v>
      </c>
      <c r="B1060" t="s">
        <v>154</v>
      </c>
      <c r="C1060" s="15" t="s">
        <v>30</v>
      </c>
      <c r="D1060" s="23" t="s">
        <v>81</v>
      </c>
      <c r="E1060" s="25" t="s">
        <v>82</v>
      </c>
      <c r="F1060" s="25" t="str">
        <f>'Source Table'!$G$6</f>
        <v>Public Sector</v>
      </c>
      <c r="G1060" s="25" t="str">
        <f>'Source Table'!$G$5</f>
        <v>القطاع العام</v>
      </c>
      <c r="H1060" t="str">
        <f>'Source Table'!$H$8</f>
        <v>Male</v>
      </c>
      <c r="I1060" s="25" t="str">
        <f>'Source Table'!$H$7</f>
        <v>ذكر</v>
      </c>
      <c r="J1060" s="25" t="str">
        <f>'Source Table'!$B$15</f>
        <v>Orthopedic Surg.</v>
      </c>
      <c r="K1060" s="25" t="str">
        <f>'Source Table'!$I$15</f>
        <v>العظام</v>
      </c>
      <c r="L1060" s="39">
        <v>194</v>
      </c>
      <c r="M1060">
        <v>2016</v>
      </c>
    </row>
    <row r="1061" spans="1:13" ht="15">
      <c r="A1061" t="s">
        <v>153</v>
      </c>
      <c r="B1061" t="s">
        <v>154</v>
      </c>
      <c r="C1061" s="15" t="s">
        <v>30</v>
      </c>
      <c r="D1061" s="23" t="s">
        <v>81</v>
      </c>
      <c r="E1061" s="25" t="s">
        <v>82</v>
      </c>
      <c r="F1061" s="25" t="str">
        <f>'Source Table'!$G$6</f>
        <v>Public Sector</v>
      </c>
      <c r="G1061" s="25" t="str">
        <f>'Source Table'!$G$5</f>
        <v>القطاع العام</v>
      </c>
      <c r="H1061" t="str">
        <f>'Source Table'!$H$8</f>
        <v>Male</v>
      </c>
      <c r="I1061" s="25" t="str">
        <f>'Source Table'!$H$7</f>
        <v>ذكر</v>
      </c>
      <c r="J1061" s="25" t="str">
        <f>'Source Table'!$B$16</f>
        <v>E.N.T.Surg.</v>
      </c>
      <c r="K1061" s="25" t="str">
        <f>'Source Table'!$I$16</f>
        <v>أذن وأنف وحنجرة</v>
      </c>
      <c r="L1061" s="39">
        <v>147</v>
      </c>
      <c r="M1061">
        <v>2016</v>
      </c>
    </row>
    <row r="1062" spans="1:13" ht="15">
      <c r="A1062" t="s">
        <v>153</v>
      </c>
      <c r="B1062" t="s">
        <v>154</v>
      </c>
      <c r="C1062" s="15" t="s">
        <v>30</v>
      </c>
      <c r="D1062" s="23" t="s">
        <v>81</v>
      </c>
      <c r="E1062" s="25" t="s">
        <v>82</v>
      </c>
      <c r="F1062" s="25" t="str">
        <f>'Source Table'!$G$6</f>
        <v>Public Sector</v>
      </c>
      <c r="G1062" s="25" t="str">
        <f>'Source Table'!$G$5</f>
        <v>القطاع العام</v>
      </c>
      <c r="H1062" t="str">
        <f>'Source Table'!$H$8</f>
        <v>Male</v>
      </c>
      <c r="I1062" s="25" t="str">
        <f>'Source Table'!$H$7</f>
        <v>ذكر</v>
      </c>
      <c r="J1062" s="25" t="str">
        <f>'Source Table'!$B$17</f>
        <v>Neurosurgery</v>
      </c>
      <c r="K1062" s="25" t="str">
        <f>'Source Table'!$I$17</f>
        <v>جراحةأعصاب</v>
      </c>
      <c r="L1062" s="39">
        <v>42</v>
      </c>
      <c r="M1062">
        <v>2016</v>
      </c>
    </row>
    <row r="1063" spans="1:13" ht="15">
      <c r="A1063" t="s">
        <v>153</v>
      </c>
      <c r="B1063" t="s">
        <v>154</v>
      </c>
      <c r="C1063" s="15" t="s">
        <v>30</v>
      </c>
      <c r="D1063" s="23" t="s">
        <v>81</v>
      </c>
      <c r="E1063" s="25" t="s">
        <v>82</v>
      </c>
      <c r="F1063" s="25" t="str">
        <f>'Source Table'!$G$6</f>
        <v>Public Sector</v>
      </c>
      <c r="G1063" s="25" t="str">
        <f>'Source Table'!$G$5</f>
        <v>القطاع العام</v>
      </c>
      <c r="H1063" t="str">
        <f>'Source Table'!$H$8</f>
        <v>Male</v>
      </c>
      <c r="I1063" s="25" t="str">
        <f>'Source Table'!$H$7</f>
        <v>ذكر</v>
      </c>
      <c r="J1063" s="25" t="str">
        <f>'Source Table'!$B$18</f>
        <v>Cardiothoracic</v>
      </c>
      <c r="K1063" s="25" t="str">
        <f>'Source Table'!$I$18</f>
        <v>جراحة قلب</v>
      </c>
      <c r="L1063" s="39">
        <v>18</v>
      </c>
      <c r="M1063">
        <v>2016</v>
      </c>
    </row>
    <row r="1064" spans="1:13" ht="15">
      <c r="A1064" t="s">
        <v>153</v>
      </c>
      <c r="B1064" t="s">
        <v>154</v>
      </c>
      <c r="C1064" s="15" t="s">
        <v>30</v>
      </c>
      <c r="D1064" s="23" t="s">
        <v>81</v>
      </c>
      <c r="E1064" s="25" t="s">
        <v>82</v>
      </c>
      <c r="F1064" s="25" t="str">
        <f>'Source Table'!$G$6</f>
        <v>Public Sector</v>
      </c>
      <c r="G1064" s="25" t="str">
        <f>'Source Table'!$G$5</f>
        <v>القطاع العام</v>
      </c>
      <c r="H1064" t="str">
        <f>'Source Table'!$H$8</f>
        <v>Male</v>
      </c>
      <c r="I1064" s="25" t="str">
        <f>'Source Table'!$H$7</f>
        <v>ذكر</v>
      </c>
      <c r="J1064" s="25" t="str">
        <f>'Source Table'!$B$19</f>
        <v>Plastic Surgeon</v>
      </c>
      <c r="K1064" s="25" t="str">
        <f>'Source Table'!$I$19</f>
        <v>التجميل</v>
      </c>
      <c r="L1064" s="39">
        <v>23</v>
      </c>
      <c r="M1064">
        <v>2016</v>
      </c>
    </row>
    <row r="1065" spans="1:13" ht="15">
      <c r="A1065" t="s">
        <v>153</v>
      </c>
      <c r="B1065" t="s">
        <v>154</v>
      </c>
      <c r="C1065" s="15" t="s">
        <v>30</v>
      </c>
      <c r="D1065" s="23" t="s">
        <v>81</v>
      </c>
      <c r="E1065" s="25" t="s">
        <v>82</v>
      </c>
      <c r="F1065" s="25" t="str">
        <f>'Source Table'!$G$6</f>
        <v>Public Sector</v>
      </c>
      <c r="G1065" s="25" t="str">
        <f>'Source Table'!$G$5</f>
        <v>القطاع العام</v>
      </c>
      <c r="H1065" t="str">
        <f>'Source Table'!$H$8</f>
        <v>Male</v>
      </c>
      <c r="I1065" s="25" t="str">
        <f>'Source Table'!$H$7</f>
        <v>ذكر</v>
      </c>
      <c r="J1065" s="25" t="str">
        <f>'Source Table'!$B$20</f>
        <v>Psychiatry</v>
      </c>
      <c r="K1065" s="25" t="str">
        <f>'Source Table'!$I$20</f>
        <v>النفسية</v>
      </c>
      <c r="L1065" s="39">
        <v>45</v>
      </c>
      <c r="M1065">
        <v>2016</v>
      </c>
    </row>
    <row r="1066" spans="1:13" ht="15">
      <c r="A1066" t="s">
        <v>153</v>
      </c>
      <c r="B1066" t="s">
        <v>154</v>
      </c>
      <c r="C1066" s="15" t="s">
        <v>30</v>
      </c>
      <c r="D1066" s="23" t="s">
        <v>81</v>
      </c>
      <c r="E1066" s="25" t="s">
        <v>82</v>
      </c>
      <c r="F1066" s="25" t="str">
        <f>'Source Table'!$G$6</f>
        <v>Public Sector</v>
      </c>
      <c r="G1066" s="25" t="str">
        <f>'Source Table'!$G$5</f>
        <v>القطاع العام</v>
      </c>
      <c r="H1066" t="str">
        <f>'Source Table'!$H$8</f>
        <v>Male</v>
      </c>
      <c r="I1066" s="25" t="str">
        <f>'Source Table'!$H$7</f>
        <v>ذكر</v>
      </c>
      <c r="J1066" s="25" t="str">
        <f>'Source Table'!$B$21</f>
        <v>Dermatologist Venereal</v>
      </c>
      <c r="K1066" s="25" t="str">
        <f>'Source Table'!$I$21</f>
        <v>جلدية وتناسلية</v>
      </c>
      <c r="L1066" s="39">
        <v>73</v>
      </c>
      <c r="M1066">
        <v>2016</v>
      </c>
    </row>
    <row r="1067" spans="1:13" ht="15">
      <c r="A1067" t="s">
        <v>153</v>
      </c>
      <c r="B1067" t="s">
        <v>154</v>
      </c>
      <c r="C1067" s="15" t="s">
        <v>30</v>
      </c>
      <c r="D1067" s="23" t="s">
        <v>81</v>
      </c>
      <c r="E1067" s="25" t="s">
        <v>82</v>
      </c>
      <c r="F1067" s="25" t="str">
        <f>'Source Table'!$G$6</f>
        <v>Public Sector</v>
      </c>
      <c r="G1067" s="25" t="str">
        <f>'Source Table'!$G$5</f>
        <v>القطاع العام</v>
      </c>
      <c r="H1067" t="str">
        <f>'Source Table'!$H$8</f>
        <v>Male</v>
      </c>
      <c r="I1067" s="25" t="str">
        <f>'Source Table'!$H$7</f>
        <v>ذكر</v>
      </c>
      <c r="J1067" s="25" t="str">
        <f>'Source Table'!$B$22</f>
        <v>Neurology/ Nervous</v>
      </c>
      <c r="K1067" s="25" t="str">
        <f>'Source Table'!$I$22</f>
        <v>مرض الأعصاب</v>
      </c>
      <c r="L1067" s="39">
        <v>18</v>
      </c>
      <c r="M1067">
        <v>2016</v>
      </c>
    </row>
    <row r="1068" spans="1:13" ht="15">
      <c r="A1068" t="s">
        <v>153</v>
      </c>
      <c r="B1068" t="s">
        <v>154</v>
      </c>
      <c r="C1068" s="15" t="s">
        <v>30</v>
      </c>
      <c r="D1068" s="23" t="s">
        <v>81</v>
      </c>
      <c r="E1068" s="25" t="s">
        <v>82</v>
      </c>
      <c r="F1068" s="25" t="str">
        <f>'Source Table'!$G$6</f>
        <v>Public Sector</v>
      </c>
      <c r="G1068" s="25" t="str">
        <f>'Source Table'!$G$5</f>
        <v>القطاع العام</v>
      </c>
      <c r="H1068" t="str">
        <f>'Source Table'!$H$8</f>
        <v>Male</v>
      </c>
      <c r="I1068" s="25" t="str">
        <f>'Source Table'!$H$7</f>
        <v>ذكر</v>
      </c>
      <c r="J1068" s="25" t="str">
        <f>'Source Table'!$B$23</f>
        <v>Pumologist</v>
      </c>
      <c r="K1068" s="25" t="str">
        <f>'Source Table'!$I$23</f>
        <v>صدرية</v>
      </c>
      <c r="L1068" s="39">
        <v>23</v>
      </c>
      <c r="M1068">
        <v>2016</v>
      </c>
    </row>
    <row r="1069" spans="1:13" ht="15">
      <c r="A1069" t="s">
        <v>153</v>
      </c>
      <c r="B1069" t="s">
        <v>154</v>
      </c>
      <c r="C1069" s="15" t="s">
        <v>30</v>
      </c>
      <c r="D1069" s="23" t="s">
        <v>81</v>
      </c>
      <c r="E1069" s="25" t="s">
        <v>82</v>
      </c>
      <c r="F1069" s="25" t="str">
        <f>'Source Table'!$G$6</f>
        <v>Public Sector</v>
      </c>
      <c r="G1069" s="25" t="str">
        <f>'Source Table'!$G$5</f>
        <v>القطاع العام</v>
      </c>
      <c r="H1069" t="str">
        <f>'Source Table'!$H$8</f>
        <v>Male</v>
      </c>
      <c r="I1069" s="25" t="str">
        <f>'Source Table'!$H$7</f>
        <v>ذكر</v>
      </c>
      <c r="J1069" s="25" t="str">
        <f>'Source Table'!$B$24</f>
        <v>G.I.T. Specialist</v>
      </c>
      <c r="K1069" s="25" t="str">
        <f>'Source Table'!$I$24</f>
        <v>جهاز هضمي</v>
      </c>
      <c r="L1069" s="39">
        <v>26</v>
      </c>
      <c r="M1069">
        <v>2016</v>
      </c>
    </row>
    <row r="1070" spans="1:13" ht="15">
      <c r="A1070" t="s">
        <v>153</v>
      </c>
      <c r="B1070" t="s">
        <v>154</v>
      </c>
      <c r="C1070" s="15" t="s">
        <v>30</v>
      </c>
      <c r="D1070" s="23" t="s">
        <v>81</v>
      </c>
      <c r="E1070" s="25" t="s">
        <v>82</v>
      </c>
      <c r="F1070" s="25" t="str">
        <f>'Source Table'!$G$6</f>
        <v>Public Sector</v>
      </c>
      <c r="G1070" s="25" t="str">
        <f>'Source Table'!$G$5</f>
        <v>القطاع العام</v>
      </c>
      <c r="H1070" t="str">
        <f>'Source Table'!$H$8</f>
        <v>Male</v>
      </c>
      <c r="I1070" s="25" t="str">
        <f>'Source Table'!$H$7</f>
        <v>ذكر</v>
      </c>
      <c r="J1070" s="25" t="str">
        <f>'Source Table'!$B$25</f>
        <v>Diagnostic Radiology</v>
      </c>
      <c r="K1070" s="25" t="str">
        <f>'Source Table'!$I$25</f>
        <v>أشعة تشخيصية</v>
      </c>
      <c r="L1070" s="39">
        <v>94</v>
      </c>
      <c r="M1070">
        <v>2016</v>
      </c>
    </row>
    <row r="1071" spans="1:13" ht="15">
      <c r="A1071" t="s">
        <v>153</v>
      </c>
      <c r="B1071" t="s">
        <v>154</v>
      </c>
      <c r="C1071" s="15" t="s">
        <v>30</v>
      </c>
      <c r="D1071" s="23" t="s">
        <v>81</v>
      </c>
      <c r="E1071" s="25" t="s">
        <v>82</v>
      </c>
      <c r="F1071" s="25" t="str">
        <f>'Source Table'!$G$6</f>
        <v>Public Sector</v>
      </c>
      <c r="G1071" s="25" t="str">
        <f>'Source Table'!$G$5</f>
        <v>القطاع العام</v>
      </c>
      <c r="H1071" t="str">
        <f>'Source Table'!$H$8</f>
        <v>Male</v>
      </c>
      <c r="I1071" s="25" t="str">
        <f>'Source Table'!$H$7</f>
        <v>ذكر</v>
      </c>
      <c r="J1071" s="25" t="str">
        <f>'Source Table'!$B$26</f>
        <v>Anesthetic</v>
      </c>
      <c r="K1071" s="25" t="str">
        <f>'Source Table'!$I$26</f>
        <v>تخدير وإنعاش</v>
      </c>
      <c r="L1071" s="39">
        <v>221</v>
      </c>
      <c r="M1071">
        <v>2016</v>
      </c>
    </row>
    <row r="1072" spans="1:13" ht="15">
      <c r="A1072" t="s">
        <v>153</v>
      </c>
      <c r="B1072" t="s">
        <v>154</v>
      </c>
      <c r="C1072" s="15" t="s">
        <v>30</v>
      </c>
      <c r="D1072" s="23" t="s">
        <v>81</v>
      </c>
      <c r="E1072" s="25" t="s">
        <v>82</v>
      </c>
      <c r="F1072" s="25" t="str">
        <f>'Source Table'!$G$6</f>
        <v>Public Sector</v>
      </c>
      <c r="G1072" s="25" t="str">
        <f>'Source Table'!$G$5</f>
        <v>القطاع العام</v>
      </c>
      <c r="H1072" t="str">
        <f>'Source Table'!$H$8</f>
        <v>Male</v>
      </c>
      <c r="I1072" s="25" t="str">
        <f>'Source Table'!$H$7</f>
        <v>ذكر</v>
      </c>
      <c r="J1072" s="25" t="str">
        <f>'Source Table'!$B$27</f>
        <v>Physiotherapist</v>
      </c>
      <c r="K1072" s="25" t="str">
        <f>'Source Table'!$I$27</f>
        <v>طب طبيعي</v>
      </c>
      <c r="L1072" s="39">
        <v>46</v>
      </c>
      <c r="M1072">
        <v>2016</v>
      </c>
    </row>
    <row r="1073" spans="1:13" ht="15">
      <c r="A1073" t="s">
        <v>153</v>
      </c>
      <c r="B1073" t="s">
        <v>154</v>
      </c>
      <c r="C1073" s="15" t="s">
        <v>30</v>
      </c>
      <c r="D1073" s="23" t="s">
        <v>81</v>
      </c>
      <c r="E1073" s="25" t="s">
        <v>82</v>
      </c>
      <c r="F1073" s="25" t="str">
        <f>'Source Table'!$G$6</f>
        <v>Public Sector</v>
      </c>
      <c r="G1073" s="25" t="str">
        <f>'Source Table'!$G$5</f>
        <v>القطاع العام</v>
      </c>
      <c r="H1073" t="str">
        <f>'Source Table'!$H$8</f>
        <v>Male</v>
      </c>
      <c r="I1073" s="25" t="str">
        <f>'Source Table'!$H$7</f>
        <v>ذكر</v>
      </c>
      <c r="J1073" s="25" t="str">
        <f>'Source Table'!$B$28</f>
        <v>Forensic</v>
      </c>
      <c r="K1073" s="25" t="str">
        <f>'Source Table'!$I$28</f>
        <v>طب شرعي</v>
      </c>
      <c r="L1073" s="39">
        <v>38</v>
      </c>
      <c r="M1073">
        <v>2016</v>
      </c>
    </row>
    <row r="1074" spans="1:13" ht="15">
      <c r="A1074" t="s">
        <v>153</v>
      </c>
      <c r="B1074" t="s">
        <v>154</v>
      </c>
      <c r="C1074" s="15" t="s">
        <v>30</v>
      </c>
      <c r="D1074" s="23" t="s">
        <v>81</v>
      </c>
      <c r="E1074" s="25" t="s">
        <v>82</v>
      </c>
      <c r="F1074" s="25" t="str">
        <f>'Source Table'!$G$6</f>
        <v>Public Sector</v>
      </c>
      <c r="G1074" s="25" t="str">
        <f>'Source Table'!$G$5</f>
        <v>القطاع العام</v>
      </c>
      <c r="H1074" t="str">
        <f>'Source Table'!$H$8</f>
        <v>Male</v>
      </c>
      <c r="I1074" s="25" t="str">
        <f>'Source Table'!$H$7</f>
        <v>ذكر</v>
      </c>
      <c r="J1074" s="25" t="str">
        <f>'Source Table'!$B$29</f>
        <v xml:space="preserve">Family </v>
      </c>
      <c r="K1074" s="25" t="str">
        <f>'Source Table'!$I$29</f>
        <v>طب أسرة</v>
      </c>
      <c r="L1074" s="39">
        <v>100</v>
      </c>
      <c r="M1074">
        <v>2016</v>
      </c>
    </row>
    <row r="1075" spans="1:13" ht="15">
      <c r="A1075" t="s">
        <v>153</v>
      </c>
      <c r="B1075" t="s">
        <v>154</v>
      </c>
      <c r="C1075" s="15" t="s">
        <v>30</v>
      </c>
      <c r="D1075" s="23" t="s">
        <v>81</v>
      </c>
      <c r="E1075" s="25" t="s">
        <v>82</v>
      </c>
      <c r="F1075" s="25" t="str">
        <f>'Source Table'!$G$6</f>
        <v>Public Sector</v>
      </c>
      <c r="G1075" s="25" t="str">
        <f>'Source Table'!$G$5</f>
        <v>القطاع العام</v>
      </c>
      <c r="H1075" t="str">
        <f>'Source Table'!$H$8</f>
        <v>Male</v>
      </c>
      <c r="I1075" s="25" t="str">
        <f>'Source Table'!$H$7</f>
        <v>ذكر</v>
      </c>
      <c r="J1075" s="25" t="str">
        <f>'Source Table'!$B$30</f>
        <v>Urologist</v>
      </c>
      <c r="K1075" s="25" t="str">
        <f>'Source Table'!$I$30</f>
        <v xml:space="preserve">المسالك البولية </v>
      </c>
      <c r="L1075" s="39">
        <v>98</v>
      </c>
      <c r="M1075">
        <v>2016</v>
      </c>
    </row>
    <row r="1076" spans="1:13" ht="15">
      <c r="A1076" t="s">
        <v>153</v>
      </c>
      <c r="B1076" t="s">
        <v>154</v>
      </c>
      <c r="C1076" s="15" t="s">
        <v>30</v>
      </c>
      <c r="D1076" s="23" t="s">
        <v>81</v>
      </c>
      <c r="E1076" s="25" t="s">
        <v>82</v>
      </c>
      <c r="F1076" s="25" t="str">
        <f>'Source Table'!$G$6</f>
        <v>Public Sector</v>
      </c>
      <c r="G1076" s="25" t="str">
        <f>'Source Table'!$G$5</f>
        <v>القطاع العام</v>
      </c>
      <c r="H1076" t="str">
        <f>'Source Table'!$H$8</f>
        <v>Male</v>
      </c>
      <c r="I1076" s="25" t="str">
        <f>'Source Table'!$H$7</f>
        <v>ذكر</v>
      </c>
      <c r="J1076" s="25" t="str">
        <f>'Source Table'!$B$31</f>
        <v>Cardiology</v>
      </c>
      <c r="K1076" s="25" t="str">
        <f>'Source Table'!$I$31</f>
        <v>أمراض القلب</v>
      </c>
      <c r="L1076" s="39">
        <v>29</v>
      </c>
      <c r="M1076">
        <v>2016</v>
      </c>
    </row>
    <row r="1077" spans="1:13" ht="15">
      <c r="A1077" t="s">
        <v>153</v>
      </c>
      <c r="B1077" t="s">
        <v>154</v>
      </c>
      <c r="C1077" s="15" t="s">
        <v>30</v>
      </c>
      <c r="D1077" s="23" t="s">
        <v>81</v>
      </c>
      <c r="E1077" s="25" t="s">
        <v>82</v>
      </c>
      <c r="F1077" s="25" t="str">
        <f>'Source Table'!$G$6</f>
        <v>Public Sector</v>
      </c>
      <c r="G1077" s="25" t="str">
        <f>'Source Table'!$G$5</f>
        <v>القطاع العام</v>
      </c>
      <c r="H1077" t="str">
        <f>'Source Table'!$H$8</f>
        <v>Male</v>
      </c>
      <c r="I1077" s="25" t="str">
        <f>'Source Table'!$H$7</f>
        <v>ذكر</v>
      </c>
      <c r="J1077" s="25" t="str">
        <f>'Source Table'!$B$32</f>
        <v>Laboratory</v>
      </c>
      <c r="K1077" s="25" t="str">
        <f>'Source Table'!$I$32</f>
        <v>مختبرات</v>
      </c>
      <c r="L1077" s="39">
        <v>20</v>
      </c>
      <c r="M1077">
        <v>2016</v>
      </c>
    </row>
    <row r="1078" spans="1:13" ht="15">
      <c r="A1078" t="s">
        <v>153</v>
      </c>
      <c r="B1078" t="s">
        <v>154</v>
      </c>
      <c r="C1078" s="15" t="s">
        <v>30</v>
      </c>
      <c r="D1078" s="23" t="s">
        <v>81</v>
      </c>
      <c r="E1078" s="25" t="s">
        <v>82</v>
      </c>
      <c r="F1078" s="25" t="str">
        <f>'Source Table'!$G$6</f>
        <v>Public Sector</v>
      </c>
      <c r="G1078" s="25" t="str">
        <f>'Source Table'!$G$5</f>
        <v>القطاع العام</v>
      </c>
      <c r="H1078" t="str">
        <f>'Source Table'!$H$8</f>
        <v>Male</v>
      </c>
      <c r="I1078" s="25" t="str">
        <f>'Source Table'!$H$7</f>
        <v>ذكر</v>
      </c>
      <c r="J1078" s="25" t="str">
        <f>'Source Table'!$B$33</f>
        <v>Others</v>
      </c>
      <c r="K1078" s="25" t="str">
        <f>'Source Table'!$I$33</f>
        <v>أخرى</v>
      </c>
      <c r="L1078" s="39">
        <v>367</v>
      </c>
      <c r="M1078">
        <v>2016</v>
      </c>
    </row>
    <row r="1079" spans="1:13" ht="15">
      <c r="A1079" t="s">
        <v>153</v>
      </c>
      <c r="B1079" t="s">
        <v>154</v>
      </c>
      <c r="C1079" s="15" t="s">
        <v>30</v>
      </c>
      <c r="D1079" s="23" t="s">
        <v>81</v>
      </c>
      <c r="E1079" s="25" t="s">
        <v>82</v>
      </c>
      <c r="F1079" s="25" t="str">
        <f>'Source Table'!$G$6</f>
        <v>Public Sector</v>
      </c>
      <c r="G1079" s="25" t="str">
        <f>'Source Table'!$G$5</f>
        <v>القطاع العام</v>
      </c>
      <c r="H1079" t="str">
        <f>'Source Table'!$G$8</f>
        <v>Female</v>
      </c>
      <c r="I1079" s="16" t="str">
        <f>'Source Table'!$G$7</f>
        <v>أنثى</v>
      </c>
      <c r="J1079" s="25" t="str">
        <f>'Source Table'!$B$9</f>
        <v>General Practitioner</v>
      </c>
      <c r="K1079" s="25" t="str">
        <f>'Source Table'!$I$9</f>
        <v>طبيب عام</v>
      </c>
      <c r="L1079" s="39">
        <v>465</v>
      </c>
      <c r="M1079">
        <v>2016</v>
      </c>
    </row>
    <row r="1080" spans="1:13" ht="15">
      <c r="A1080" t="s">
        <v>153</v>
      </c>
      <c r="B1080" t="s">
        <v>154</v>
      </c>
      <c r="C1080" s="15" t="s">
        <v>30</v>
      </c>
      <c r="D1080" s="23" t="s">
        <v>81</v>
      </c>
      <c r="E1080" s="25" t="s">
        <v>82</v>
      </c>
      <c r="F1080" s="25" t="str">
        <f>'Source Table'!$G$6</f>
        <v>Public Sector</v>
      </c>
      <c r="G1080" s="25" t="str">
        <f>'Source Table'!$G$5</f>
        <v>القطاع العام</v>
      </c>
      <c r="H1080" t="str">
        <f>'Source Table'!$G$8</f>
        <v>Female</v>
      </c>
      <c r="I1080" s="16" t="str">
        <f>'Source Table'!$G$7</f>
        <v>أنثى</v>
      </c>
      <c r="J1080" s="25" t="str">
        <f>'Source Table'!$B$10</f>
        <v>Surgeon</v>
      </c>
      <c r="K1080" s="25" t="str">
        <f>'Source Table'!$I$10</f>
        <v>جراحة عامة</v>
      </c>
      <c r="L1080" s="39">
        <v>10</v>
      </c>
      <c r="M1080">
        <v>2016</v>
      </c>
    </row>
    <row r="1081" spans="1:13" ht="15">
      <c r="A1081" t="s">
        <v>153</v>
      </c>
      <c r="B1081" t="s">
        <v>154</v>
      </c>
      <c r="C1081" s="15" t="s">
        <v>30</v>
      </c>
      <c r="D1081" s="23" t="s">
        <v>81</v>
      </c>
      <c r="E1081" s="25" t="s">
        <v>82</v>
      </c>
      <c r="F1081" s="25" t="str">
        <f>'Source Table'!$G$6</f>
        <v>Public Sector</v>
      </c>
      <c r="G1081" s="25" t="str">
        <f>'Source Table'!$G$5</f>
        <v>القطاع العام</v>
      </c>
      <c r="H1081" t="str">
        <f>'Source Table'!$G$8</f>
        <v>Female</v>
      </c>
      <c r="I1081" s="16" t="str">
        <f>'Source Table'!$G$7</f>
        <v>أنثى</v>
      </c>
      <c r="J1081" s="25" t="str">
        <f>'Source Table'!$B$11</f>
        <v>Internist</v>
      </c>
      <c r="K1081" s="25" t="str">
        <f>'Source Table'!$I$11</f>
        <v>باطنية</v>
      </c>
      <c r="L1081" s="39">
        <v>41</v>
      </c>
      <c r="M1081">
        <v>2016</v>
      </c>
    </row>
    <row r="1082" spans="1:13" ht="15">
      <c r="A1082" t="s">
        <v>153</v>
      </c>
      <c r="B1082" t="s">
        <v>154</v>
      </c>
      <c r="C1082" s="15" t="s">
        <v>30</v>
      </c>
      <c r="D1082" s="23" t="s">
        <v>81</v>
      </c>
      <c r="E1082" s="25" t="s">
        <v>82</v>
      </c>
      <c r="F1082" s="25" t="str">
        <f>'Source Table'!$G$6</f>
        <v>Public Sector</v>
      </c>
      <c r="G1082" s="25" t="str">
        <f>'Source Table'!$G$5</f>
        <v>القطاع العام</v>
      </c>
      <c r="H1082" t="str">
        <f>'Source Table'!$G$8</f>
        <v>Female</v>
      </c>
      <c r="I1082" s="16" t="str">
        <f>'Source Table'!$G$7</f>
        <v>أنثى</v>
      </c>
      <c r="J1082" s="25" t="str">
        <f>'Source Table'!$B$12</f>
        <v>Gynecologist and Obst.</v>
      </c>
      <c r="K1082" s="25" t="str">
        <f>'Source Table'!$I$12</f>
        <v>نسائية وتوليد</v>
      </c>
      <c r="L1082" s="39">
        <v>120</v>
      </c>
      <c r="M1082">
        <v>2016</v>
      </c>
    </row>
    <row r="1083" spans="1:13" ht="15">
      <c r="A1083" t="s">
        <v>153</v>
      </c>
      <c r="B1083" t="s">
        <v>154</v>
      </c>
      <c r="C1083" s="15" t="s">
        <v>30</v>
      </c>
      <c r="D1083" s="23" t="s">
        <v>81</v>
      </c>
      <c r="E1083" s="25" t="s">
        <v>82</v>
      </c>
      <c r="F1083" s="25" t="str">
        <f>'Source Table'!$G$6</f>
        <v>Public Sector</v>
      </c>
      <c r="G1083" s="25" t="str">
        <f>'Source Table'!$G$5</f>
        <v>القطاع العام</v>
      </c>
      <c r="H1083" t="str">
        <f>'Source Table'!$G$8</f>
        <v>Female</v>
      </c>
      <c r="I1083" s="16" t="str">
        <f>'Source Table'!$G$7</f>
        <v>أنثى</v>
      </c>
      <c r="J1083" s="25" t="str">
        <f>'Source Table'!$B$13</f>
        <v>Pediatrics</v>
      </c>
      <c r="K1083" s="25" t="str">
        <f>'Source Table'!$I$13</f>
        <v>أطفال</v>
      </c>
      <c r="L1083" s="39">
        <v>108</v>
      </c>
      <c r="M1083">
        <v>2016</v>
      </c>
    </row>
    <row r="1084" spans="1:13" ht="15">
      <c r="A1084" t="s">
        <v>153</v>
      </c>
      <c r="B1084" t="s">
        <v>154</v>
      </c>
      <c r="C1084" s="15" t="s">
        <v>30</v>
      </c>
      <c r="D1084" s="23" t="s">
        <v>81</v>
      </c>
      <c r="E1084" s="25" t="s">
        <v>82</v>
      </c>
      <c r="F1084" s="25" t="str">
        <f>'Source Table'!$G$6</f>
        <v>Public Sector</v>
      </c>
      <c r="G1084" s="25" t="str">
        <f>'Source Table'!$G$5</f>
        <v>القطاع العام</v>
      </c>
      <c r="H1084" t="str">
        <f>'Source Table'!$G$8</f>
        <v>Female</v>
      </c>
      <c r="I1084" s="16" t="str">
        <f>'Source Table'!$G$7</f>
        <v>أنثى</v>
      </c>
      <c r="J1084" s="25" t="str">
        <f>'Source Table'!$B$14</f>
        <v>Ophthalmologist</v>
      </c>
      <c r="K1084" s="25" t="str">
        <f>'Source Table'!$I$14</f>
        <v>العيون</v>
      </c>
      <c r="L1084" s="39">
        <v>36</v>
      </c>
      <c r="M1084">
        <v>2016</v>
      </c>
    </row>
    <row r="1085" spans="1:13" ht="15">
      <c r="A1085" t="s">
        <v>153</v>
      </c>
      <c r="B1085" t="s">
        <v>154</v>
      </c>
      <c r="C1085" s="15" t="s">
        <v>30</v>
      </c>
      <c r="D1085" s="23" t="s">
        <v>81</v>
      </c>
      <c r="E1085" s="25" t="s">
        <v>82</v>
      </c>
      <c r="F1085" s="25" t="str">
        <f>'Source Table'!$G$6</f>
        <v>Public Sector</v>
      </c>
      <c r="G1085" s="25" t="str">
        <f>'Source Table'!$G$5</f>
        <v>القطاع العام</v>
      </c>
      <c r="H1085" t="str">
        <f>'Source Table'!$G$8</f>
        <v>Female</v>
      </c>
      <c r="I1085" s="16" t="str">
        <f>'Source Table'!$G$7</f>
        <v>أنثى</v>
      </c>
      <c r="J1085" s="25" t="str">
        <f>'Source Table'!$B$15</f>
        <v>Orthopedic Surg.</v>
      </c>
      <c r="K1085" s="25" t="str">
        <f>'Source Table'!$I$15</f>
        <v>العظام</v>
      </c>
      <c r="L1085" s="39">
        <v>0</v>
      </c>
      <c r="M1085">
        <v>2016</v>
      </c>
    </row>
    <row r="1086" spans="1:13" ht="15">
      <c r="A1086" t="s">
        <v>153</v>
      </c>
      <c r="B1086" t="s">
        <v>154</v>
      </c>
      <c r="C1086" s="15" t="s">
        <v>30</v>
      </c>
      <c r="D1086" s="23" t="s">
        <v>81</v>
      </c>
      <c r="E1086" s="25" t="s">
        <v>82</v>
      </c>
      <c r="F1086" s="25" t="str">
        <f>'Source Table'!$G$6</f>
        <v>Public Sector</v>
      </c>
      <c r="G1086" s="25" t="str">
        <f>'Source Table'!$G$5</f>
        <v>القطاع العام</v>
      </c>
      <c r="H1086" t="str">
        <f>'Source Table'!$G$8</f>
        <v>Female</v>
      </c>
      <c r="I1086" s="16" t="str">
        <f>'Source Table'!$G$7</f>
        <v>أنثى</v>
      </c>
      <c r="J1086" s="25" t="str">
        <f>'Source Table'!$B$16</f>
        <v>E.N.T.Surg.</v>
      </c>
      <c r="K1086" s="25" t="str">
        <f>'Source Table'!$I$16</f>
        <v>أذن وأنف وحنجرة</v>
      </c>
      <c r="L1086" s="39">
        <v>15</v>
      </c>
      <c r="M1086">
        <v>2016</v>
      </c>
    </row>
    <row r="1087" spans="1:13" ht="15">
      <c r="A1087" t="s">
        <v>153</v>
      </c>
      <c r="B1087" t="s">
        <v>154</v>
      </c>
      <c r="C1087" s="15" t="s">
        <v>30</v>
      </c>
      <c r="D1087" s="23" t="s">
        <v>81</v>
      </c>
      <c r="E1087" s="25" t="s">
        <v>82</v>
      </c>
      <c r="F1087" s="25" t="str">
        <f>'Source Table'!$G$6</f>
        <v>Public Sector</v>
      </c>
      <c r="G1087" s="25" t="str">
        <f>'Source Table'!$G$5</f>
        <v>القطاع العام</v>
      </c>
      <c r="H1087" t="str">
        <f>'Source Table'!$G$8</f>
        <v>Female</v>
      </c>
      <c r="I1087" s="16" t="str">
        <f>'Source Table'!$G$7</f>
        <v>أنثى</v>
      </c>
      <c r="J1087" s="25" t="str">
        <f>'Source Table'!$B$17</f>
        <v>Neurosurgery</v>
      </c>
      <c r="K1087" s="25" t="str">
        <f>'Source Table'!$I$17</f>
        <v>جراحةأعصاب</v>
      </c>
      <c r="L1087" s="39">
        <v>0</v>
      </c>
      <c r="M1087">
        <v>2016</v>
      </c>
    </row>
    <row r="1088" spans="1:13" ht="15">
      <c r="A1088" t="s">
        <v>153</v>
      </c>
      <c r="B1088" t="s">
        <v>154</v>
      </c>
      <c r="C1088" s="15" t="s">
        <v>30</v>
      </c>
      <c r="D1088" s="23" t="s">
        <v>81</v>
      </c>
      <c r="E1088" s="25" t="s">
        <v>82</v>
      </c>
      <c r="F1088" s="25" t="str">
        <f>'Source Table'!$G$6</f>
        <v>Public Sector</v>
      </c>
      <c r="G1088" s="25" t="str">
        <f>'Source Table'!$G$5</f>
        <v>القطاع العام</v>
      </c>
      <c r="H1088" t="str">
        <f>'Source Table'!$G$8</f>
        <v>Female</v>
      </c>
      <c r="I1088" s="16" t="str">
        <f>'Source Table'!$G$7</f>
        <v>أنثى</v>
      </c>
      <c r="J1088" s="25" t="str">
        <f>'Source Table'!$B$18</f>
        <v>Cardiothoracic</v>
      </c>
      <c r="K1088" s="25" t="str">
        <f>'Source Table'!$I$18</f>
        <v>جراحة قلب</v>
      </c>
      <c r="L1088" s="39">
        <v>0</v>
      </c>
      <c r="M1088">
        <v>2016</v>
      </c>
    </row>
    <row r="1089" spans="1:13" ht="15">
      <c r="A1089" t="s">
        <v>153</v>
      </c>
      <c r="B1089" t="s">
        <v>154</v>
      </c>
      <c r="C1089" s="15" t="s">
        <v>30</v>
      </c>
      <c r="D1089" s="23" t="s">
        <v>81</v>
      </c>
      <c r="E1089" s="25" t="s">
        <v>82</v>
      </c>
      <c r="F1089" s="25" t="str">
        <f>'Source Table'!$G$6</f>
        <v>Public Sector</v>
      </c>
      <c r="G1089" s="25" t="str">
        <f>'Source Table'!$G$5</f>
        <v>القطاع العام</v>
      </c>
      <c r="H1089" t="str">
        <f>'Source Table'!$G$8</f>
        <v>Female</v>
      </c>
      <c r="I1089" s="16" t="str">
        <f>'Source Table'!$G$7</f>
        <v>أنثى</v>
      </c>
      <c r="J1089" s="25" t="str">
        <f>'Source Table'!$B$19</f>
        <v>Plastic Surgeon</v>
      </c>
      <c r="K1089" s="25" t="str">
        <f>'Source Table'!$I$19</f>
        <v>التجميل</v>
      </c>
      <c r="L1089" s="39">
        <v>1</v>
      </c>
      <c r="M1089">
        <v>2016</v>
      </c>
    </row>
    <row r="1090" spans="1:13" ht="15">
      <c r="A1090" t="s">
        <v>153</v>
      </c>
      <c r="B1090" t="s">
        <v>154</v>
      </c>
      <c r="C1090" s="15" t="s">
        <v>30</v>
      </c>
      <c r="D1090" s="23" t="s">
        <v>81</v>
      </c>
      <c r="E1090" s="25" t="s">
        <v>82</v>
      </c>
      <c r="F1090" s="25" t="str">
        <f>'Source Table'!$G$6</f>
        <v>Public Sector</v>
      </c>
      <c r="G1090" s="25" t="str">
        <f>'Source Table'!$G$5</f>
        <v>القطاع العام</v>
      </c>
      <c r="H1090" t="str">
        <f>'Source Table'!$G$8</f>
        <v>Female</v>
      </c>
      <c r="I1090" s="16" t="str">
        <f>'Source Table'!$G$7</f>
        <v>أنثى</v>
      </c>
      <c r="J1090" s="25" t="str">
        <f>'Source Table'!$B$20</f>
        <v>Psychiatry</v>
      </c>
      <c r="K1090" s="25" t="str">
        <f>'Source Table'!$I$20</f>
        <v>النفسية</v>
      </c>
      <c r="L1090" s="39">
        <v>4</v>
      </c>
      <c r="M1090">
        <v>2016</v>
      </c>
    </row>
    <row r="1091" spans="1:13" ht="15">
      <c r="A1091" t="s">
        <v>153</v>
      </c>
      <c r="B1091" t="s">
        <v>154</v>
      </c>
      <c r="C1091" s="15" t="s">
        <v>30</v>
      </c>
      <c r="D1091" s="23" t="s">
        <v>81</v>
      </c>
      <c r="E1091" s="25" t="s">
        <v>82</v>
      </c>
      <c r="F1091" s="25" t="str">
        <f>'Source Table'!$G$6</f>
        <v>Public Sector</v>
      </c>
      <c r="G1091" s="25" t="str">
        <f>'Source Table'!$G$5</f>
        <v>القطاع العام</v>
      </c>
      <c r="H1091" t="str">
        <f>'Source Table'!$G$8</f>
        <v>Female</v>
      </c>
      <c r="I1091" s="16" t="str">
        <f>'Source Table'!$G$7</f>
        <v>أنثى</v>
      </c>
      <c r="J1091" s="25" t="str">
        <f>'Source Table'!$B$21</f>
        <v>Dermatologist Venereal</v>
      </c>
      <c r="K1091" s="25" t="str">
        <f>'Source Table'!$I$21</f>
        <v>جلدية وتناسلية</v>
      </c>
      <c r="L1091" s="39">
        <v>18</v>
      </c>
      <c r="M1091">
        <v>2016</v>
      </c>
    </row>
    <row r="1092" spans="1:13" ht="15">
      <c r="A1092" t="s">
        <v>153</v>
      </c>
      <c r="B1092" t="s">
        <v>154</v>
      </c>
      <c r="C1092" s="15" t="s">
        <v>30</v>
      </c>
      <c r="D1092" s="23" t="s">
        <v>81</v>
      </c>
      <c r="E1092" s="25" t="s">
        <v>82</v>
      </c>
      <c r="F1092" s="25" t="str">
        <f>'Source Table'!$G$6</f>
        <v>Public Sector</v>
      </c>
      <c r="G1092" s="25" t="str">
        <f>'Source Table'!$G$5</f>
        <v>القطاع العام</v>
      </c>
      <c r="H1092" t="str">
        <f>'Source Table'!$G$8</f>
        <v>Female</v>
      </c>
      <c r="I1092" s="16" t="str">
        <f>'Source Table'!$G$7</f>
        <v>أنثى</v>
      </c>
      <c r="J1092" s="25" t="str">
        <f>'Source Table'!$B$22</f>
        <v>Neurology/ Nervous</v>
      </c>
      <c r="K1092" s="25" t="str">
        <f>'Source Table'!$I$22</f>
        <v>مرض الأعصاب</v>
      </c>
      <c r="L1092" s="39">
        <v>2</v>
      </c>
      <c r="M1092">
        <v>2016</v>
      </c>
    </row>
    <row r="1093" spans="1:13" ht="15">
      <c r="A1093" t="s">
        <v>153</v>
      </c>
      <c r="B1093" t="s">
        <v>154</v>
      </c>
      <c r="C1093" s="15" t="s">
        <v>30</v>
      </c>
      <c r="D1093" s="23" t="s">
        <v>81</v>
      </c>
      <c r="E1093" s="25" t="s">
        <v>82</v>
      </c>
      <c r="F1093" s="25" t="str">
        <f>'Source Table'!$G$6</f>
        <v>Public Sector</v>
      </c>
      <c r="G1093" s="25" t="str">
        <f>'Source Table'!$G$5</f>
        <v>القطاع العام</v>
      </c>
      <c r="H1093" t="str">
        <f>'Source Table'!$G$8</f>
        <v>Female</v>
      </c>
      <c r="I1093" s="16" t="str">
        <f>'Source Table'!$G$7</f>
        <v>أنثى</v>
      </c>
      <c r="J1093" s="25" t="str">
        <f>'Source Table'!$B$23</f>
        <v>Pumologist</v>
      </c>
      <c r="K1093" s="25" t="str">
        <f>'Source Table'!$I$23</f>
        <v>صدرية</v>
      </c>
      <c r="L1093" s="39">
        <v>2</v>
      </c>
      <c r="M1093">
        <v>2016</v>
      </c>
    </row>
    <row r="1094" spans="1:13" ht="15">
      <c r="A1094" t="s">
        <v>153</v>
      </c>
      <c r="B1094" t="s">
        <v>154</v>
      </c>
      <c r="C1094" s="15" t="s">
        <v>30</v>
      </c>
      <c r="D1094" s="23" t="s">
        <v>81</v>
      </c>
      <c r="E1094" s="25" t="s">
        <v>82</v>
      </c>
      <c r="F1094" s="25" t="str">
        <f>'Source Table'!$G$6</f>
        <v>Public Sector</v>
      </c>
      <c r="G1094" s="25" t="str">
        <f>'Source Table'!$G$5</f>
        <v>القطاع العام</v>
      </c>
      <c r="H1094" t="str">
        <f>'Source Table'!$G$8</f>
        <v>Female</v>
      </c>
      <c r="I1094" s="16" t="str">
        <f>'Source Table'!$G$7</f>
        <v>أنثى</v>
      </c>
      <c r="J1094" s="25" t="str">
        <f>'Source Table'!$B$24</f>
        <v>G.I.T. Specialist</v>
      </c>
      <c r="K1094" s="25" t="str">
        <f>'Source Table'!$I$24</f>
        <v>جهاز هضمي</v>
      </c>
      <c r="L1094" s="39">
        <v>3</v>
      </c>
      <c r="M1094">
        <v>2016</v>
      </c>
    </row>
    <row r="1095" spans="1:13" ht="15">
      <c r="A1095" t="s">
        <v>153</v>
      </c>
      <c r="B1095" t="s">
        <v>154</v>
      </c>
      <c r="C1095" s="15" t="s">
        <v>30</v>
      </c>
      <c r="D1095" s="23" t="s">
        <v>81</v>
      </c>
      <c r="E1095" s="25" t="s">
        <v>82</v>
      </c>
      <c r="F1095" s="25" t="str">
        <f>'Source Table'!$G$6</f>
        <v>Public Sector</v>
      </c>
      <c r="G1095" s="25" t="str">
        <f>'Source Table'!$G$5</f>
        <v>القطاع العام</v>
      </c>
      <c r="H1095" t="str">
        <f>'Source Table'!$G$8</f>
        <v>Female</v>
      </c>
      <c r="I1095" s="16" t="str">
        <f>'Source Table'!$G$7</f>
        <v>أنثى</v>
      </c>
      <c r="J1095" s="25" t="str">
        <f>'Source Table'!$B$25</f>
        <v>Diagnostic Radiology</v>
      </c>
      <c r="K1095" s="25" t="str">
        <f>'Source Table'!$I$25</f>
        <v>أشعة تشخيصية</v>
      </c>
      <c r="L1095" s="39">
        <v>23</v>
      </c>
      <c r="M1095">
        <v>2016</v>
      </c>
    </row>
    <row r="1096" spans="1:13" ht="15">
      <c r="A1096" t="s">
        <v>153</v>
      </c>
      <c r="B1096" t="s">
        <v>154</v>
      </c>
      <c r="C1096" s="15" t="s">
        <v>30</v>
      </c>
      <c r="D1096" s="23" t="s">
        <v>81</v>
      </c>
      <c r="E1096" s="25" t="s">
        <v>82</v>
      </c>
      <c r="F1096" s="25" t="str">
        <f>'Source Table'!$G$6</f>
        <v>Public Sector</v>
      </c>
      <c r="G1096" s="25" t="str">
        <f>'Source Table'!$G$5</f>
        <v>القطاع العام</v>
      </c>
      <c r="H1096" t="str">
        <f>'Source Table'!$G$8</f>
        <v>Female</v>
      </c>
      <c r="I1096" s="16" t="str">
        <f>'Source Table'!$G$7</f>
        <v>أنثى</v>
      </c>
      <c r="J1096" s="25" t="str">
        <f>'Source Table'!$B$26</f>
        <v>Anesthetic</v>
      </c>
      <c r="K1096" s="25" t="str">
        <f>'Source Table'!$I$26</f>
        <v>تخدير وإنعاش</v>
      </c>
      <c r="L1096" s="39">
        <v>13</v>
      </c>
      <c r="M1096">
        <v>2016</v>
      </c>
    </row>
    <row r="1097" spans="1:13" ht="15">
      <c r="A1097" t="s">
        <v>153</v>
      </c>
      <c r="B1097" t="s">
        <v>154</v>
      </c>
      <c r="C1097" s="15" t="s">
        <v>30</v>
      </c>
      <c r="D1097" s="23" t="s">
        <v>81</v>
      </c>
      <c r="E1097" s="25" t="s">
        <v>82</v>
      </c>
      <c r="F1097" s="25" t="str">
        <f>'Source Table'!$G$6</f>
        <v>Public Sector</v>
      </c>
      <c r="G1097" s="25" t="str">
        <f>'Source Table'!$G$5</f>
        <v>القطاع العام</v>
      </c>
      <c r="H1097" t="str">
        <f>'Source Table'!$G$8</f>
        <v>Female</v>
      </c>
      <c r="I1097" s="16" t="str">
        <f>'Source Table'!$G$7</f>
        <v>أنثى</v>
      </c>
      <c r="J1097" s="25" t="str">
        <f>'Source Table'!$B$27</f>
        <v>Physiotherapist</v>
      </c>
      <c r="K1097" s="25" t="str">
        <f>'Source Table'!$I$27</f>
        <v>طب طبيعي</v>
      </c>
      <c r="L1097" s="39">
        <v>10</v>
      </c>
      <c r="M1097">
        <v>2016</v>
      </c>
    </row>
    <row r="1098" spans="1:13" ht="15">
      <c r="A1098" t="s">
        <v>153</v>
      </c>
      <c r="B1098" t="s">
        <v>154</v>
      </c>
      <c r="C1098" s="15" t="s">
        <v>30</v>
      </c>
      <c r="D1098" s="23" t="s">
        <v>81</v>
      </c>
      <c r="E1098" s="25" t="s">
        <v>82</v>
      </c>
      <c r="F1098" s="25" t="str">
        <f>'Source Table'!$G$6</f>
        <v>Public Sector</v>
      </c>
      <c r="G1098" s="25" t="str">
        <f>'Source Table'!$G$5</f>
        <v>القطاع العام</v>
      </c>
      <c r="H1098" t="str">
        <f>'Source Table'!$G$8</f>
        <v>Female</v>
      </c>
      <c r="I1098" s="16" t="str">
        <f>'Source Table'!$G$7</f>
        <v>أنثى</v>
      </c>
      <c r="J1098" s="25" t="str">
        <f>'Source Table'!$B$28</f>
        <v>Forensic</v>
      </c>
      <c r="K1098" s="25" t="str">
        <f>'Source Table'!$I$28</f>
        <v>طب شرعي</v>
      </c>
      <c r="L1098" s="39">
        <v>63</v>
      </c>
      <c r="M1098">
        <v>2016</v>
      </c>
    </row>
    <row r="1099" spans="1:13" ht="15">
      <c r="A1099" t="s">
        <v>153</v>
      </c>
      <c r="B1099" t="s">
        <v>154</v>
      </c>
      <c r="C1099" s="15" t="s">
        <v>30</v>
      </c>
      <c r="D1099" s="23" t="s">
        <v>81</v>
      </c>
      <c r="E1099" s="25" t="s">
        <v>82</v>
      </c>
      <c r="F1099" s="25" t="str">
        <f>'Source Table'!$G$6</f>
        <v>Public Sector</v>
      </c>
      <c r="G1099" s="25" t="str">
        <f>'Source Table'!$G$5</f>
        <v>القطاع العام</v>
      </c>
      <c r="H1099" t="str">
        <f>'Source Table'!$G$8</f>
        <v>Female</v>
      </c>
      <c r="I1099" s="16" t="str">
        <f>'Source Table'!$G$7</f>
        <v>أنثى</v>
      </c>
      <c r="J1099" s="25" t="str">
        <f>'Source Table'!$B$29</f>
        <v xml:space="preserve">Family </v>
      </c>
      <c r="K1099" s="25" t="str">
        <f>'Source Table'!$I$29</f>
        <v>طب أسرة</v>
      </c>
      <c r="L1099" s="39">
        <v>1</v>
      </c>
      <c r="M1099">
        <v>2016</v>
      </c>
    </row>
    <row r="1100" spans="1:13" ht="15">
      <c r="A1100" t="s">
        <v>153</v>
      </c>
      <c r="B1100" t="s">
        <v>154</v>
      </c>
      <c r="C1100" s="15" t="s">
        <v>30</v>
      </c>
      <c r="D1100" s="23" t="s">
        <v>81</v>
      </c>
      <c r="E1100" s="25" t="s">
        <v>82</v>
      </c>
      <c r="F1100" s="25" t="str">
        <f>'Source Table'!$G$6</f>
        <v>Public Sector</v>
      </c>
      <c r="G1100" s="25" t="str">
        <f>'Source Table'!$G$5</f>
        <v>القطاع العام</v>
      </c>
      <c r="H1100" t="str">
        <f>'Source Table'!$G$8</f>
        <v>Female</v>
      </c>
      <c r="I1100" s="16" t="str">
        <f>'Source Table'!$G$7</f>
        <v>أنثى</v>
      </c>
      <c r="J1100" s="25" t="str">
        <f>'Source Table'!$B$30</f>
        <v>Urologist</v>
      </c>
      <c r="K1100" s="25" t="str">
        <f>'Source Table'!$I$30</f>
        <v xml:space="preserve">المسالك البولية </v>
      </c>
      <c r="L1100" s="39">
        <v>1</v>
      </c>
      <c r="M1100">
        <v>2016</v>
      </c>
    </row>
    <row r="1101" spans="1:13" ht="15">
      <c r="A1101" t="s">
        <v>153</v>
      </c>
      <c r="B1101" t="s">
        <v>154</v>
      </c>
      <c r="C1101" s="15" t="s">
        <v>30</v>
      </c>
      <c r="D1101" s="23" t="s">
        <v>81</v>
      </c>
      <c r="E1101" s="25" t="s">
        <v>82</v>
      </c>
      <c r="F1101" s="25" t="str">
        <f>'Source Table'!$G$6</f>
        <v>Public Sector</v>
      </c>
      <c r="G1101" s="25" t="str">
        <f>'Source Table'!$G$5</f>
        <v>القطاع العام</v>
      </c>
      <c r="H1101" t="str">
        <f>'Source Table'!$G$8</f>
        <v>Female</v>
      </c>
      <c r="I1101" s="16" t="str">
        <f>'Source Table'!$G$7</f>
        <v>أنثى</v>
      </c>
      <c r="J1101" s="25" t="str">
        <f>'Source Table'!$B$31</f>
        <v>Cardiology</v>
      </c>
      <c r="K1101" s="25" t="str">
        <f>'Source Table'!$I$31</f>
        <v>أمراض القلب</v>
      </c>
      <c r="L1101" s="39">
        <v>1</v>
      </c>
      <c r="M1101">
        <v>2016</v>
      </c>
    </row>
    <row r="1102" spans="1:13" ht="15">
      <c r="A1102" t="s">
        <v>153</v>
      </c>
      <c r="B1102" t="s">
        <v>154</v>
      </c>
      <c r="C1102" s="15" t="s">
        <v>30</v>
      </c>
      <c r="D1102" s="23" t="s">
        <v>81</v>
      </c>
      <c r="E1102" s="25" t="s">
        <v>82</v>
      </c>
      <c r="F1102" s="25" t="str">
        <f>'Source Table'!$G$6</f>
        <v>Public Sector</v>
      </c>
      <c r="G1102" s="25" t="str">
        <f>'Source Table'!$G$5</f>
        <v>القطاع العام</v>
      </c>
      <c r="H1102" t="str">
        <f>'Source Table'!$G$8</f>
        <v>Female</v>
      </c>
      <c r="I1102" s="16" t="str">
        <f>'Source Table'!$G$7</f>
        <v>أنثى</v>
      </c>
      <c r="J1102" s="25" t="str">
        <f>'Source Table'!$B$32</f>
        <v>Laboratory</v>
      </c>
      <c r="K1102" s="25" t="str">
        <f>'Source Table'!$I$32</f>
        <v>مختبرات</v>
      </c>
      <c r="L1102" s="39">
        <v>10</v>
      </c>
      <c r="M1102">
        <v>2016</v>
      </c>
    </row>
    <row r="1103" spans="1:13" ht="15">
      <c r="A1103" t="s">
        <v>153</v>
      </c>
      <c r="B1103" t="s">
        <v>154</v>
      </c>
      <c r="C1103" s="15" t="s">
        <v>30</v>
      </c>
      <c r="D1103" s="23" t="s">
        <v>81</v>
      </c>
      <c r="E1103" s="25" t="s">
        <v>82</v>
      </c>
      <c r="F1103" s="25" t="str">
        <f>'Source Table'!$G$6</f>
        <v>Public Sector</v>
      </c>
      <c r="G1103" s="25" t="str">
        <f>'Source Table'!$G$5</f>
        <v>القطاع العام</v>
      </c>
      <c r="H1103" t="str">
        <f>'Source Table'!$G$8</f>
        <v>Female</v>
      </c>
      <c r="I1103" s="16" t="str">
        <f>'Source Table'!$G$7</f>
        <v>أنثى</v>
      </c>
      <c r="J1103" s="25" t="str">
        <f>'Source Table'!$B$33</f>
        <v>Others</v>
      </c>
      <c r="K1103" s="25" t="str">
        <f>'Source Table'!$I$33</f>
        <v>أخرى</v>
      </c>
      <c r="L1103" s="39">
        <v>78</v>
      </c>
      <c r="M1103">
        <v>2016</v>
      </c>
    </row>
    <row r="1104" spans="1:13" ht="15">
      <c r="A1104" t="s">
        <v>153</v>
      </c>
      <c r="B1104" t="s">
        <v>154</v>
      </c>
      <c r="C1104" s="15" t="s">
        <v>30</v>
      </c>
      <c r="D1104" s="23" t="s">
        <v>81</v>
      </c>
      <c r="E1104" s="25" t="s">
        <v>82</v>
      </c>
      <c r="F1104" s="16" t="str">
        <f>'Source Table'!$E$6</f>
        <v>Private Sector</v>
      </c>
      <c r="G1104" s="16" t="str">
        <f>'Source Table'!$E$5</f>
        <v>القطاع الخاص</v>
      </c>
      <c r="H1104" t="str">
        <f>'Source Table'!$H$8</f>
        <v>Male</v>
      </c>
      <c r="I1104" s="25" t="str">
        <f>'Source Table'!$H$7</f>
        <v>ذكر</v>
      </c>
      <c r="J1104" s="25" t="str">
        <f>'Source Table'!$B$9</f>
        <v>General Practitioner</v>
      </c>
      <c r="K1104" s="25" t="str">
        <f>'Source Table'!$I$9</f>
        <v>طبيب عام</v>
      </c>
      <c r="L1104" s="39">
        <v>1804</v>
      </c>
      <c r="M1104">
        <v>2016</v>
      </c>
    </row>
    <row r="1105" spans="1:13" ht="15">
      <c r="A1105" t="s">
        <v>153</v>
      </c>
      <c r="B1105" t="s">
        <v>154</v>
      </c>
      <c r="C1105" s="15" t="s">
        <v>30</v>
      </c>
      <c r="D1105" s="23" t="s">
        <v>81</v>
      </c>
      <c r="E1105" s="25" t="s">
        <v>82</v>
      </c>
      <c r="F1105" s="16" t="str">
        <f>'Source Table'!$E$6</f>
        <v>Private Sector</v>
      </c>
      <c r="G1105" s="16" t="str">
        <f>'Source Table'!$E$5</f>
        <v>القطاع الخاص</v>
      </c>
      <c r="H1105" t="str">
        <f>'Source Table'!$H$8</f>
        <v>Male</v>
      </c>
      <c r="I1105" s="25" t="str">
        <f>'Source Table'!$H$7</f>
        <v>ذكر</v>
      </c>
      <c r="J1105" s="25" t="str">
        <f>'Source Table'!$B$10</f>
        <v>Surgeon</v>
      </c>
      <c r="K1105" s="25" t="str">
        <f>'Source Table'!$I$10</f>
        <v>جراحة عامة</v>
      </c>
      <c r="L1105" s="39">
        <v>285</v>
      </c>
      <c r="M1105">
        <v>2016</v>
      </c>
    </row>
    <row r="1106" spans="1:13" ht="15">
      <c r="A1106" t="s">
        <v>153</v>
      </c>
      <c r="B1106" t="s">
        <v>154</v>
      </c>
      <c r="C1106" s="15" t="s">
        <v>30</v>
      </c>
      <c r="D1106" s="23" t="s">
        <v>81</v>
      </c>
      <c r="E1106" s="25" t="s">
        <v>82</v>
      </c>
      <c r="F1106" s="16" t="str">
        <f>'Source Table'!$E$6</f>
        <v>Private Sector</v>
      </c>
      <c r="G1106" s="16" t="str">
        <f>'Source Table'!$E$5</f>
        <v>القطاع الخاص</v>
      </c>
      <c r="H1106" t="str">
        <f>'Source Table'!$H$8</f>
        <v>Male</v>
      </c>
      <c r="I1106" s="25" t="str">
        <f>'Source Table'!$H$7</f>
        <v>ذكر</v>
      </c>
      <c r="J1106" s="25" t="str">
        <f>'Source Table'!$B$11</f>
        <v>Internist</v>
      </c>
      <c r="K1106" s="25" t="str">
        <f>'Source Table'!$I$11</f>
        <v>باطنية</v>
      </c>
      <c r="L1106" s="39">
        <v>339</v>
      </c>
      <c r="M1106">
        <v>2016</v>
      </c>
    </row>
    <row r="1107" spans="1:13" ht="15">
      <c r="A1107" t="s">
        <v>153</v>
      </c>
      <c r="B1107" t="s">
        <v>154</v>
      </c>
      <c r="C1107" s="15" t="s">
        <v>30</v>
      </c>
      <c r="D1107" s="23" t="s">
        <v>81</v>
      </c>
      <c r="E1107" s="25" t="s">
        <v>82</v>
      </c>
      <c r="F1107" s="16" t="str">
        <f>'Source Table'!$E$6</f>
        <v>Private Sector</v>
      </c>
      <c r="G1107" s="16" t="str">
        <f>'Source Table'!$E$5</f>
        <v>القطاع الخاص</v>
      </c>
      <c r="H1107" t="str">
        <f>'Source Table'!$H$8</f>
        <v>Male</v>
      </c>
      <c r="I1107" s="25" t="str">
        <f>'Source Table'!$H$7</f>
        <v>ذكر</v>
      </c>
      <c r="J1107" s="25" t="str">
        <f>'Source Table'!$B$12</f>
        <v>Gynecologist and Obst.</v>
      </c>
      <c r="K1107" s="25" t="str">
        <f>'Source Table'!$I$12</f>
        <v>نسائية وتوليد</v>
      </c>
      <c r="L1107" s="39">
        <v>289</v>
      </c>
      <c r="M1107">
        <v>2016</v>
      </c>
    </row>
    <row r="1108" spans="1:13" ht="15">
      <c r="A1108" t="s">
        <v>153</v>
      </c>
      <c r="B1108" t="s">
        <v>154</v>
      </c>
      <c r="C1108" s="15" t="s">
        <v>30</v>
      </c>
      <c r="D1108" s="23" t="s">
        <v>81</v>
      </c>
      <c r="E1108" s="25" t="s">
        <v>82</v>
      </c>
      <c r="F1108" s="16" t="str">
        <f>'Source Table'!$E$6</f>
        <v>Private Sector</v>
      </c>
      <c r="G1108" s="16" t="str">
        <f>'Source Table'!$E$5</f>
        <v>القطاع الخاص</v>
      </c>
      <c r="H1108" t="str">
        <f>'Source Table'!$H$8</f>
        <v>Male</v>
      </c>
      <c r="I1108" s="25" t="str">
        <f>'Source Table'!$H$7</f>
        <v>ذكر</v>
      </c>
      <c r="J1108" s="25" t="str">
        <f>'Source Table'!$B$13</f>
        <v>Pediatrics</v>
      </c>
      <c r="K1108" s="25" t="str">
        <f>'Source Table'!$I$13</f>
        <v>أطفال</v>
      </c>
      <c r="L1108" s="39">
        <v>250</v>
      </c>
      <c r="M1108">
        <v>2016</v>
      </c>
    </row>
    <row r="1109" spans="1:13" ht="15">
      <c r="A1109" t="s">
        <v>153</v>
      </c>
      <c r="B1109" t="s">
        <v>154</v>
      </c>
      <c r="C1109" s="15" t="s">
        <v>30</v>
      </c>
      <c r="D1109" s="23" t="s">
        <v>81</v>
      </c>
      <c r="E1109" s="25" t="s">
        <v>82</v>
      </c>
      <c r="F1109" s="16" t="str">
        <f>'Source Table'!$E$6</f>
        <v>Private Sector</v>
      </c>
      <c r="G1109" s="16" t="str">
        <f>'Source Table'!$E$5</f>
        <v>القطاع الخاص</v>
      </c>
      <c r="H1109" t="str">
        <f>'Source Table'!$H$8</f>
        <v>Male</v>
      </c>
      <c r="I1109" s="25" t="str">
        <f>'Source Table'!$H$7</f>
        <v>ذكر</v>
      </c>
      <c r="J1109" s="25" t="str">
        <f>'Source Table'!$B$14</f>
        <v>Ophthalmologist</v>
      </c>
      <c r="K1109" s="25" t="str">
        <f>'Source Table'!$I$14</f>
        <v>العيون</v>
      </c>
      <c r="L1109" s="39">
        <v>154</v>
      </c>
      <c r="M1109">
        <v>2016</v>
      </c>
    </row>
    <row r="1110" spans="1:13" ht="15">
      <c r="A1110" t="s">
        <v>153</v>
      </c>
      <c r="B1110" t="s">
        <v>154</v>
      </c>
      <c r="C1110" s="15" t="s">
        <v>30</v>
      </c>
      <c r="D1110" s="23" t="s">
        <v>81</v>
      </c>
      <c r="E1110" s="25" t="s">
        <v>82</v>
      </c>
      <c r="F1110" s="16" t="str">
        <f>'Source Table'!$E$6</f>
        <v>Private Sector</v>
      </c>
      <c r="G1110" s="16" t="str">
        <f>'Source Table'!$E$5</f>
        <v>القطاع الخاص</v>
      </c>
      <c r="H1110" t="str">
        <f>'Source Table'!$H$8</f>
        <v>Male</v>
      </c>
      <c r="I1110" s="25" t="str">
        <f>'Source Table'!$H$7</f>
        <v>ذكر</v>
      </c>
      <c r="J1110" s="25" t="str">
        <f>'Source Table'!$B$15</f>
        <v>Orthopedic Surg.</v>
      </c>
      <c r="K1110" s="25" t="str">
        <f>'Source Table'!$I$15</f>
        <v>العظام</v>
      </c>
      <c r="L1110" s="39">
        <v>181</v>
      </c>
      <c r="M1110">
        <v>2016</v>
      </c>
    </row>
    <row r="1111" spans="1:13" ht="15">
      <c r="A1111" t="s">
        <v>153</v>
      </c>
      <c r="B1111" t="s">
        <v>154</v>
      </c>
      <c r="C1111" s="15" t="s">
        <v>30</v>
      </c>
      <c r="D1111" s="23" t="s">
        <v>81</v>
      </c>
      <c r="E1111" s="25" t="s">
        <v>82</v>
      </c>
      <c r="F1111" s="16" t="str">
        <f>'Source Table'!$E$6</f>
        <v>Private Sector</v>
      </c>
      <c r="G1111" s="16" t="str">
        <f>'Source Table'!$E$5</f>
        <v>القطاع الخاص</v>
      </c>
      <c r="H1111" t="str">
        <f>'Source Table'!$H$8</f>
        <v>Male</v>
      </c>
      <c r="I1111" s="25" t="str">
        <f>'Source Table'!$H$7</f>
        <v>ذكر</v>
      </c>
      <c r="J1111" s="25" t="str">
        <f>'Source Table'!$B$16</f>
        <v>E.N.T.Surg.</v>
      </c>
      <c r="K1111" s="25" t="str">
        <f>'Source Table'!$I$16</f>
        <v>أذن وأنف وحنجرة</v>
      </c>
      <c r="L1111" s="39">
        <v>108</v>
      </c>
      <c r="M1111">
        <v>2016</v>
      </c>
    </row>
    <row r="1112" spans="1:13" ht="15">
      <c r="A1112" t="s">
        <v>153</v>
      </c>
      <c r="B1112" t="s">
        <v>154</v>
      </c>
      <c r="C1112" s="15" t="s">
        <v>30</v>
      </c>
      <c r="D1112" s="23" t="s">
        <v>81</v>
      </c>
      <c r="E1112" s="25" t="s">
        <v>82</v>
      </c>
      <c r="F1112" s="16" t="str">
        <f>'Source Table'!$E$6</f>
        <v>Private Sector</v>
      </c>
      <c r="G1112" s="16" t="str">
        <f>'Source Table'!$E$5</f>
        <v>القطاع الخاص</v>
      </c>
      <c r="H1112" t="str">
        <f>'Source Table'!$H$8</f>
        <v>Male</v>
      </c>
      <c r="I1112" s="25" t="str">
        <f>'Source Table'!$H$7</f>
        <v>ذكر</v>
      </c>
      <c r="J1112" s="25" t="str">
        <f>'Source Table'!$B$17</f>
        <v>Neurosurgery</v>
      </c>
      <c r="K1112" s="25" t="str">
        <f>'Source Table'!$I$17</f>
        <v>جراحةأعصاب</v>
      </c>
      <c r="L1112" s="39">
        <v>41</v>
      </c>
      <c r="M1112">
        <v>2016</v>
      </c>
    </row>
    <row r="1113" spans="1:13" ht="15">
      <c r="A1113" t="s">
        <v>153</v>
      </c>
      <c r="B1113" t="s">
        <v>154</v>
      </c>
      <c r="C1113" s="15" t="s">
        <v>30</v>
      </c>
      <c r="D1113" s="23" t="s">
        <v>81</v>
      </c>
      <c r="E1113" s="25" t="s">
        <v>82</v>
      </c>
      <c r="F1113" s="16" t="str">
        <f>'Source Table'!$E$6</f>
        <v>Private Sector</v>
      </c>
      <c r="G1113" s="16" t="str">
        <f>'Source Table'!$E$5</f>
        <v>القطاع الخاص</v>
      </c>
      <c r="H1113" t="str">
        <f>'Source Table'!$H$8</f>
        <v>Male</v>
      </c>
      <c r="I1113" s="25" t="str">
        <f>'Source Table'!$H$7</f>
        <v>ذكر</v>
      </c>
      <c r="J1113" s="25" t="str">
        <f>'Source Table'!$B$18</f>
        <v>Cardiothoracic</v>
      </c>
      <c r="K1113" s="25" t="str">
        <f>'Source Table'!$I$18</f>
        <v>جراحة قلب</v>
      </c>
      <c r="L1113" s="39">
        <v>17</v>
      </c>
      <c r="M1113">
        <v>2016</v>
      </c>
    </row>
    <row r="1114" spans="1:13" ht="15">
      <c r="A1114" t="s">
        <v>153</v>
      </c>
      <c r="B1114" t="s">
        <v>154</v>
      </c>
      <c r="C1114" s="15" t="s">
        <v>30</v>
      </c>
      <c r="D1114" s="23" t="s">
        <v>81</v>
      </c>
      <c r="E1114" s="25" t="s">
        <v>82</v>
      </c>
      <c r="F1114" s="16" t="str">
        <f>'Source Table'!$E$6</f>
        <v>Private Sector</v>
      </c>
      <c r="G1114" s="16" t="str">
        <f>'Source Table'!$E$5</f>
        <v>القطاع الخاص</v>
      </c>
      <c r="H1114" t="str">
        <f>'Source Table'!$H$8</f>
        <v>Male</v>
      </c>
      <c r="I1114" s="25" t="str">
        <f>'Source Table'!$H$7</f>
        <v>ذكر</v>
      </c>
      <c r="J1114" s="25" t="str">
        <f>'Source Table'!$B$19</f>
        <v>Plastic Surgeon</v>
      </c>
      <c r="K1114" s="25" t="str">
        <f>'Source Table'!$I$19</f>
        <v>التجميل</v>
      </c>
      <c r="L1114" s="39">
        <v>30</v>
      </c>
      <c r="M1114">
        <v>2016</v>
      </c>
    </row>
    <row r="1115" spans="1:13" ht="15">
      <c r="A1115" t="s">
        <v>153</v>
      </c>
      <c r="B1115" t="s">
        <v>154</v>
      </c>
      <c r="C1115" s="15" t="s">
        <v>30</v>
      </c>
      <c r="D1115" s="23" t="s">
        <v>81</v>
      </c>
      <c r="E1115" s="25" t="s">
        <v>82</v>
      </c>
      <c r="F1115" s="16" t="str">
        <f>'Source Table'!$E$6</f>
        <v>Private Sector</v>
      </c>
      <c r="G1115" s="16" t="str">
        <f>'Source Table'!$E$5</f>
        <v>القطاع الخاص</v>
      </c>
      <c r="H1115" t="str">
        <f>'Source Table'!$H$8</f>
        <v>Male</v>
      </c>
      <c r="I1115" s="25" t="str">
        <f>'Source Table'!$H$7</f>
        <v>ذكر</v>
      </c>
      <c r="J1115" s="25" t="str">
        <f>'Source Table'!$B$20</f>
        <v>Psychiatry</v>
      </c>
      <c r="K1115" s="25" t="str">
        <f>'Source Table'!$I$20</f>
        <v>النفسية</v>
      </c>
      <c r="L1115" s="39">
        <v>46</v>
      </c>
      <c r="M1115">
        <v>2016</v>
      </c>
    </row>
    <row r="1116" spans="1:13" ht="15">
      <c r="A1116" t="s">
        <v>153</v>
      </c>
      <c r="B1116" t="s">
        <v>154</v>
      </c>
      <c r="C1116" s="15" t="s">
        <v>30</v>
      </c>
      <c r="D1116" s="23" t="s">
        <v>81</v>
      </c>
      <c r="E1116" s="25" t="s">
        <v>82</v>
      </c>
      <c r="F1116" s="16" t="str">
        <f>'Source Table'!$E$6</f>
        <v>Private Sector</v>
      </c>
      <c r="G1116" s="16" t="str">
        <f>'Source Table'!$E$5</f>
        <v>القطاع الخاص</v>
      </c>
      <c r="H1116" t="str">
        <f>'Source Table'!$H$8</f>
        <v>Male</v>
      </c>
      <c r="I1116" s="25" t="str">
        <f>'Source Table'!$H$7</f>
        <v>ذكر</v>
      </c>
      <c r="J1116" s="25" t="str">
        <f>'Source Table'!$B$21</f>
        <v>Dermatologist Venereal</v>
      </c>
      <c r="K1116" s="25" t="str">
        <f>'Source Table'!$I$21</f>
        <v>جلدية وتناسلية</v>
      </c>
      <c r="L1116" s="39">
        <v>98</v>
      </c>
      <c r="M1116">
        <v>2016</v>
      </c>
    </row>
    <row r="1117" spans="1:13" ht="15">
      <c r="A1117" t="s">
        <v>153</v>
      </c>
      <c r="B1117" t="s">
        <v>154</v>
      </c>
      <c r="C1117" s="15" t="s">
        <v>30</v>
      </c>
      <c r="D1117" s="23" t="s">
        <v>81</v>
      </c>
      <c r="E1117" s="25" t="s">
        <v>82</v>
      </c>
      <c r="F1117" s="16" t="str">
        <f>'Source Table'!$E$6</f>
        <v>Private Sector</v>
      </c>
      <c r="G1117" s="16" t="str">
        <f>'Source Table'!$E$5</f>
        <v>القطاع الخاص</v>
      </c>
      <c r="H1117" t="str">
        <f>'Source Table'!$H$8</f>
        <v>Male</v>
      </c>
      <c r="I1117" s="25" t="str">
        <f>'Source Table'!$H$7</f>
        <v>ذكر</v>
      </c>
      <c r="J1117" s="25" t="str">
        <f>'Source Table'!$B$22</f>
        <v>Neurology/ Nervous</v>
      </c>
      <c r="K1117" s="25" t="str">
        <f>'Source Table'!$I$22</f>
        <v>مرض الأعصاب</v>
      </c>
      <c r="L1117" s="39">
        <v>26</v>
      </c>
      <c r="M1117">
        <v>2016</v>
      </c>
    </row>
    <row r="1118" spans="1:13" ht="15">
      <c r="A1118" t="s">
        <v>153</v>
      </c>
      <c r="B1118" t="s">
        <v>154</v>
      </c>
      <c r="C1118" s="15" t="s">
        <v>30</v>
      </c>
      <c r="D1118" s="23" t="s">
        <v>81</v>
      </c>
      <c r="E1118" s="25" t="s">
        <v>82</v>
      </c>
      <c r="F1118" s="16" t="str">
        <f>'Source Table'!$E$6</f>
        <v>Private Sector</v>
      </c>
      <c r="G1118" s="16" t="str">
        <f>'Source Table'!$E$5</f>
        <v>القطاع الخاص</v>
      </c>
      <c r="H1118" t="str">
        <f>'Source Table'!$H$8</f>
        <v>Male</v>
      </c>
      <c r="I1118" s="25" t="str">
        <f>'Source Table'!$H$7</f>
        <v>ذكر</v>
      </c>
      <c r="J1118" s="25" t="str">
        <f>'Source Table'!$B$23</f>
        <v>Pumologist</v>
      </c>
      <c r="K1118" s="25" t="str">
        <f>'Source Table'!$I$23</f>
        <v>صدرية</v>
      </c>
      <c r="L1118" s="39">
        <v>27</v>
      </c>
      <c r="M1118">
        <v>2016</v>
      </c>
    </row>
    <row r="1119" spans="1:13" ht="15">
      <c r="A1119" t="s">
        <v>153</v>
      </c>
      <c r="B1119" t="s">
        <v>154</v>
      </c>
      <c r="C1119" s="15" t="s">
        <v>30</v>
      </c>
      <c r="D1119" s="23" t="s">
        <v>81</v>
      </c>
      <c r="E1119" s="25" t="s">
        <v>82</v>
      </c>
      <c r="F1119" s="16" t="str">
        <f>'Source Table'!$E$6</f>
        <v>Private Sector</v>
      </c>
      <c r="G1119" s="16" t="str">
        <f>'Source Table'!$E$5</f>
        <v>القطاع الخاص</v>
      </c>
      <c r="H1119" t="str">
        <f>'Source Table'!$H$8</f>
        <v>Male</v>
      </c>
      <c r="I1119" s="25" t="str">
        <f>'Source Table'!$H$7</f>
        <v>ذكر</v>
      </c>
      <c r="J1119" s="25" t="str">
        <f>'Source Table'!$B$24</f>
        <v>G.I.T. Specialist</v>
      </c>
      <c r="K1119" s="25" t="str">
        <f>'Source Table'!$I$24</f>
        <v>جهاز هضمي</v>
      </c>
      <c r="L1119" s="39">
        <v>42</v>
      </c>
      <c r="M1119">
        <v>2016</v>
      </c>
    </row>
    <row r="1120" spans="1:13" ht="15">
      <c r="A1120" t="s">
        <v>153</v>
      </c>
      <c r="B1120" t="s">
        <v>154</v>
      </c>
      <c r="C1120" s="15" t="s">
        <v>30</v>
      </c>
      <c r="D1120" s="23" t="s">
        <v>81</v>
      </c>
      <c r="E1120" s="25" t="s">
        <v>82</v>
      </c>
      <c r="F1120" s="16" t="str">
        <f>'Source Table'!$E$6</f>
        <v>Private Sector</v>
      </c>
      <c r="G1120" s="16" t="str">
        <f>'Source Table'!$E$5</f>
        <v>القطاع الخاص</v>
      </c>
      <c r="H1120" t="str">
        <f>'Source Table'!$H$8</f>
        <v>Male</v>
      </c>
      <c r="I1120" s="25" t="str">
        <f>'Source Table'!$H$7</f>
        <v>ذكر</v>
      </c>
      <c r="J1120" s="25" t="str">
        <f>'Source Table'!$B$25</f>
        <v>Diagnostic Radiology</v>
      </c>
      <c r="K1120" s="25" t="str">
        <f>'Source Table'!$I$25</f>
        <v>أشعة تشخيصية</v>
      </c>
      <c r="L1120" s="39">
        <v>116</v>
      </c>
      <c r="M1120">
        <v>2016</v>
      </c>
    </row>
    <row r="1121" spans="1:13" ht="15">
      <c r="A1121" t="s">
        <v>153</v>
      </c>
      <c r="B1121" t="s">
        <v>154</v>
      </c>
      <c r="C1121" s="15" t="s">
        <v>30</v>
      </c>
      <c r="D1121" s="23" t="s">
        <v>81</v>
      </c>
      <c r="E1121" s="25" t="s">
        <v>82</v>
      </c>
      <c r="F1121" s="16" t="str">
        <f>'Source Table'!$E$6</f>
        <v>Private Sector</v>
      </c>
      <c r="G1121" s="16" t="str">
        <f>'Source Table'!$E$5</f>
        <v>القطاع الخاص</v>
      </c>
      <c r="H1121" t="str">
        <f>'Source Table'!$H$8</f>
        <v>Male</v>
      </c>
      <c r="I1121" s="25" t="str">
        <f>'Source Table'!$H$7</f>
        <v>ذكر</v>
      </c>
      <c r="J1121" s="25" t="str">
        <f>'Source Table'!$B$26</f>
        <v>Anesthetic</v>
      </c>
      <c r="K1121" s="25" t="str">
        <f>'Source Table'!$I$26</f>
        <v>تخدير وإنعاش</v>
      </c>
      <c r="L1121" s="39">
        <v>145</v>
      </c>
      <c r="M1121">
        <v>2016</v>
      </c>
    </row>
    <row r="1122" spans="1:13" ht="15">
      <c r="A1122" t="s">
        <v>153</v>
      </c>
      <c r="B1122" t="s">
        <v>154</v>
      </c>
      <c r="C1122" s="15" t="s">
        <v>30</v>
      </c>
      <c r="D1122" s="23" t="s">
        <v>81</v>
      </c>
      <c r="E1122" s="25" t="s">
        <v>82</v>
      </c>
      <c r="F1122" s="16" t="str">
        <f>'Source Table'!$E$6</f>
        <v>Private Sector</v>
      </c>
      <c r="G1122" s="16" t="str">
        <f>'Source Table'!$E$5</f>
        <v>القطاع الخاص</v>
      </c>
      <c r="H1122" t="str">
        <f>'Source Table'!$H$8</f>
        <v>Male</v>
      </c>
      <c r="I1122" s="25" t="str">
        <f>'Source Table'!$H$7</f>
        <v>ذكر</v>
      </c>
      <c r="J1122" s="25" t="str">
        <f>'Source Table'!$B$27</f>
        <v>Physiotherapist</v>
      </c>
      <c r="K1122" s="25" t="str">
        <f>'Source Table'!$I$27</f>
        <v>طب طبيعي</v>
      </c>
      <c r="L1122" s="39">
        <v>15</v>
      </c>
      <c r="M1122">
        <v>2016</v>
      </c>
    </row>
    <row r="1123" spans="1:13" ht="15">
      <c r="A1123" t="s">
        <v>153</v>
      </c>
      <c r="B1123" t="s">
        <v>154</v>
      </c>
      <c r="C1123" s="15" t="s">
        <v>30</v>
      </c>
      <c r="D1123" s="23" t="s">
        <v>81</v>
      </c>
      <c r="E1123" s="25" t="s">
        <v>82</v>
      </c>
      <c r="F1123" s="16" t="str">
        <f>'Source Table'!$E$6</f>
        <v>Private Sector</v>
      </c>
      <c r="G1123" s="16" t="str">
        <f>'Source Table'!$E$5</f>
        <v>القطاع الخاص</v>
      </c>
      <c r="H1123" t="str">
        <f>'Source Table'!$H$8</f>
        <v>Male</v>
      </c>
      <c r="I1123" s="25" t="str">
        <f>'Source Table'!$H$7</f>
        <v>ذكر</v>
      </c>
      <c r="J1123" s="25" t="str">
        <f>'Source Table'!$B$28</f>
        <v>Forensic</v>
      </c>
      <c r="K1123" s="25" t="str">
        <f>'Source Table'!$I$28</f>
        <v>طب شرعي</v>
      </c>
      <c r="L1123" s="39">
        <v>1</v>
      </c>
      <c r="M1123">
        <v>2016</v>
      </c>
    </row>
    <row r="1124" spans="1:13" ht="15">
      <c r="A1124" t="s">
        <v>153</v>
      </c>
      <c r="B1124" t="s">
        <v>154</v>
      </c>
      <c r="C1124" s="15" t="s">
        <v>30</v>
      </c>
      <c r="D1124" s="23" t="s">
        <v>81</v>
      </c>
      <c r="E1124" s="25" t="s">
        <v>82</v>
      </c>
      <c r="F1124" s="16" t="str">
        <f>'Source Table'!$E$6</f>
        <v>Private Sector</v>
      </c>
      <c r="G1124" s="16" t="str">
        <f>'Source Table'!$E$5</f>
        <v>القطاع الخاص</v>
      </c>
      <c r="H1124" t="str">
        <f>'Source Table'!$H$8</f>
        <v>Male</v>
      </c>
      <c r="I1124" s="25" t="str">
        <f>'Source Table'!$H$7</f>
        <v>ذكر</v>
      </c>
      <c r="J1124" s="25" t="str">
        <f>'Source Table'!$B$29</f>
        <v xml:space="preserve">Family </v>
      </c>
      <c r="K1124" s="25" t="str">
        <f>'Source Table'!$I$29</f>
        <v>طب أسرة</v>
      </c>
      <c r="L1124" s="39">
        <v>19</v>
      </c>
      <c r="M1124">
        <v>2016</v>
      </c>
    </row>
    <row r="1125" spans="1:13" ht="15">
      <c r="A1125" t="s">
        <v>153</v>
      </c>
      <c r="B1125" t="s">
        <v>154</v>
      </c>
      <c r="C1125" s="15" t="s">
        <v>30</v>
      </c>
      <c r="D1125" s="23" t="s">
        <v>81</v>
      </c>
      <c r="E1125" s="25" t="s">
        <v>82</v>
      </c>
      <c r="F1125" s="16" t="str">
        <f>'Source Table'!$E$6</f>
        <v>Private Sector</v>
      </c>
      <c r="G1125" s="16" t="str">
        <f>'Source Table'!$E$5</f>
        <v>القطاع الخاص</v>
      </c>
      <c r="H1125" t="str">
        <f>'Source Table'!$H$8</f>
        <v>Male</v>
      </c>
      <c r="I1125" s="25" t="str">
        <f>'Source Table'!$H$7</f>
        <v>ذكر</v>
      </c>
      <c r="J1125" s="25" t="str">
        <f>'Source Table'!$B$30</f>
        <v>Urologist</v>
      </c>
      <c r="K1125" s="25" t="str">
        <f>'Source Table'!$I$30</f>
        <v xml:space="preserve">المسالك البولية </v>
      </c>
      <c r="L1125" s="39">
        <v>86</v>
      </c>
      <c r="M1125">
        <v>2016</v>
      </c>
    </row>
    <row r="1126" spans="1:13" ht="15">
      <c r="A1126" t="s">
        <v>153</v>
      </c>
      <c r="B1126" t="s">
        <v>154</v>
      </c>
      <c r="C1126" s="15" t="s">
        <v>30</v>
      </c>
      <c r="D1126" s="23" t="s">
        <v>81</v>
      </c>
      <c r="E1126" s="25" t="s">
        <v>82</v>
      </c>
      <c r="F1126" s="16" t="str">
        <f>'Source Table'!$E$6</f>
        <v>Private Sector</v>
      </c>
      <c r="G1126" s="16" t="str">
        <f>'Source Table'!$E$5</f>
        <v>القطاع الخاص</v>
      </c>
      <c r="H1126" t="str">
        <f>'Source Table'!$H$8</f>
        <v>Male</v>
      </c>
      <c r="I1126" s="25" t="str">
        <f>'Source Table'!$H$7</f>
        <v>ذكر</v>
      </c>
      <c r="J1126" s="25" t="str">
        <f>'Source Table'!$B$31</f>
        <v>Cardiology</v>
      </c>
      <c r="K1126" s="25" t="str">
        <f>'Source Table'!$I$31</f>
        <v>أمراض القلب</v>
      </c>
      <c r="L1126" s="39">
        <v>65</v>
      </c>
      <c r="M1126">
        <v>2016</v>
      </c>
    </row>
    <row r="1127" spans="1:13" ht="15">
      <c r="A1127" t="s">
        <v>153</v>
      </c>
      <c r="B1127" t="s">
        <v>154</v>
      </c>
      <c r="C1127" s="15" t="s">
        <v>30</v>
      </c>
      <c r="D1127" s="23" t="s">
        <v>81</v>
      </c>
      <c r="E1127" s="25" t="s">
        <v>82</v>
      </c>
      <c r="F1127" s="16" t="str">
        <f>'Source Table'!$E$6</f>
        <v>Private Sector</v>
      </c>
      <c r="G1127" s="16" t="str">
        <f>'Source Table'!$E$5</f>
        <v>القطاع الخاص</v>
      </c>
      <c r="H1127" t="str">
        <f>'Source Table'!$H$8</f>
        <v>Male</v>
      </c>
      <c r="I1127" s="25" t="str">
        <f>'Source Table'!$H$7</f>
        <v>ذكر</v>
      </c>
      <c r="J1127" s="25" t="str">
        <f>'Source Table'!$B$32</f>
        <v>Laboratory</v>
      </c>
      <c r="K1127" s="25" t="str">
        <f>'Source Table'!$I$32</f>
        <v>مختبرات</v>
      </c>
      <c r="L1127" s="39">
        <v>5</v>
      </c>
      <c r="M1127">
        <v>2016</v>
      </c>
    </row>
    <row r="1128" spans="1:13" ht="15">
      <c r="A1128" t="s">
        <v>153</v>
      </c>
      <c r="B1128" t="s">
        <v>154</v>
      </c>
      <c r="C1128" s="15" t="s">
        <v>30</v>
      </c>
      <c r="D1128" s="23" t="s">
        <v>81</v>
      </c>
      <c r="E1128" s="25" t="s">
        <v>82</v>
      </c>
      <c r="F1128" s="16" t="str">
        <f>'Source Table'!$E$6</f>
        <v>Private Sector</v>
      </c>
      <c r="G1128" s="16" t="str">
        <f>'Source Table'!$E$5</f>
        <v>القطاع الخاص</v>
      </c>
      <c r="H1128" t="str">
        <f>'Source Table'!$H$8</f>
        <v>Male</v>
      </c>
      <c r="I1128" s="25" t="str">
        <f>'Source Table'!$H$7</f>
        <v>ذكر</v>
      </c>
      <c r="J1128" s="25" t="str">
        <f>'Source Table'!$B$33</f>
        <v>Others</v>
      </c>
      <c r="K1128" s="25" t="str">
        <f>'Source Table'!$I$33</f>
        <v>أخرى</v>
      </c>
      <c r="L1128" s="43">
        <v>197</v>
      </c>
      <c r="M1128">
        <v>2016</v>
      </c>
    </row>
    <row r="1129" spans="1:13" ht="15">
      <c r="A1129" t="s">
        <v>153</v>
      </c>
      <c r="B1129" t="s">
        <v>154</v>
      </c>
      <c r="C1129" s="15" t="s">
        <v>30</v>
      </c>
      <c r="D1129" s="23" t="s">
        <v>81</v>
      </c>
      <c r="E1129" s="25" t="s">
        <v>82</v>
      </c>
      <c r="F1129" s="16" t="str">
        <f>'Source Table'!$E$6</f>
        <v>Private Sector</v>
      </c>
      <c r="G1129" s="16" t="str">
        <f>'Source Table'!$E$5</f>
        <v>القطاع الخاص</v>
      </c>
      <c r="H1129" t="str">
        <f>'Source Table'!$G$8</f>
        <v>Female</v>
      </c>
      <c r="I1129" s="16" t="str">
        <f>'Source Table'!$G$7</f>
        <v>أنثى</v>
      </c>
      <c r="J1129" s="25" t="str">
        <f>'Source Table'!$B$9</f>
        <v>General Practitioner</v>
      </c>
      <c r="K1129" s="25" t="str">
        <f>'Source Table'!$I$9</f>
        <v>طبيب عام</v>
      </c>
      <c r="L1129" s="39">
        <v>397</v>
      </c>
      <c r="M1129">
        <v>2016</v>
      </c>
    </row>
    <row r="1130" spans="1:13" ht="15">
      <c r="A1130" t="s">
        <v>153</v>
      </c>
      <c r="B1130" t="s">
        <v>154</v>
      </c>
      <c r="C1130" s="15" t="s">
        <v>30</v>
      </c>
      <c r="D1130" s="23" t="s">
        <v>81</v>
      </c>
      <c r="E1130" s="25" t="s">
        <v>82</v>
      </c>
      <c r="F1130" s="16" t="str">
        <f>'Source Table'!$E$6</f>
        <v>Private Sector</v>
      </c>
      <c r="G1130" s="16" t="str">
        <f>'Source Table'!$E$5</f>
        <v>القطاع الخاص</v>
      </c>
      <c r="H1130" t="str">
        <f>'Source Table'!$G$8</f>
        <v>Female</v>
      </c>
      <c r="I1130" s="16" t="str">
        <f>'Source Table'!$G$7</f>
        <v>أنثى</v>
      </c>
      <c r="J1130" s="25" t="str">
        <f>'Source Table'!$B$10</f>
        <v>Surgeon</v>
      </c>
      <c r="K1130" s="25" t="str">
        <f>'Source Table'!$I$10</f>
        <v>جراحة عامة</v>
      </c>
      <c r="L1130" s="39">
        <v>6</v>
      </c>
      <c r="M1130">
        <v>2016</v>
      </c>
    </row>
    <row r="1131" spans="1:13" ht="15">
      <c r="A1131" t="s">
        <v>153</v>
      </c>
      <c r="B1131" t="s">
        <v>154</v>
      </c>
      <c r="C1131" s="15" t="s">
        <v>30</v>
      </c>
      <c r="D1131" s="23" t="s">
        <v>81</v>
      </c>
      <c r="E1131" s="25" t="s">
        <v>82</v>
      </c>
      <c r="F1131" s="16" t="str">
        <f>'Source Table'!$E$6</f>
        <v>Private Sector</v>
      </c>
      <c r="G1131" s="16" t="str">
        <f>'Source Table'!$E$5</f>
        <v>القطاع الخاص</v>
      </c>
      <c r="H1131" t="str">
        <f>'Source Table'!$G$8</f>
        <v>Female</v>
      </c>
      <c r="I1131" s="16" t="str">
        <f>'Source Table'!$G$7</f>
        <v>أنثى</v>
      </c>
      <c r="J1131" s="25" t="str">
        <f>'Source Table'!$B$11</f>
        <v>Internist</v>
      </c>
      <c r="K1131" s="25" t="str">
        <f>'Source Table'!$I$11</f>
        <v>باطنية</v>
      </c>
      <c r="L1131" s="39">
        <v>31</v>
      </c>
      <c r="M1131">
        <v>2016</v>
      </c>
    </row>
    <row r="1132" spans="1:13" ht="15">
      <c r="A1132" t="s">
        <v>153</v>
      </c>
      <c r="B1132" t="s">
        <v>154</v>
      </c>
      <c r="C1132" s="15" t="s">
        <v>30</v>
      </c>
      <c r="D1132" s="23" t="s">
        <v>81</v>
      </c>
      <c r="E1132" s="25" t="s">
        <v>82</v>
      </c>
      <c r="F1132" s="16" t="str">
        <f>'Source Table'!$E$6</f>
        <v>Private Sector</v>
      </c>
      <c r="G1132" s="16" t="str">
        <f>'Source Table'!$E$5</f>
        <v>القطاع الخاص</v>
      </c>
      <c r="H1132" t="str">
        <f>'Source Table'!$G$8</f>
        <v>Female</v>
      </c>
      <c r="I1132" s="16" t="str">
        <f>'Source Table'!$G$7</f>
        <v>أنثى</v>
      </c>
      <c r="J1132" s="25" t="str">
        <f>'Source Table'!$B$12</f>
        <v>Gynecologist and Obst.</v>
      </c>
      <c r="K1132" s="25" t="str">
        <f>'Source Table'!$I$12</f>
        <v>نسائية وتوليد</v>
      </c>
      <c r="L1132" s="39">
        <v>163</v>
      </c>
      <c r="M1132">
        <v>2016</v>
      </c>
    </row>
    <row r="1133" spans="1:13" ht="15">
      <c r="A1133" t="s">
        <v>153</v>
      </c>
      <c r="B1133" t="s">
        <v>154</v>
      </c>
      <c r="C1133" s="15" t="s">
        <v>30</v>
      </c>
      <c r="D1133" s="23" t="s">
        <v>81</v>
      </c>
      <c r="E1133" s="25" t="s">
        <v>82</v>
      </c>
      <c r="F1133" s="16" t="str">
        <f>'Source Table'!$E$6</f>
        <v>Private Sector</v>
      </c>
      <c r="G1133" s="16" t="str">
        <f>'Source Table'!$E$5</f>
        <v>القطاع الخاص</v>
      </c>
      <c r="H1133" t="str">
        <f>'Source Table'!$G$8</f>
        <v>Female</v>
      </c>
      <c r="I1133" s="16" t="str">
        <f>'Source Table'!$G$7</f>
        <v>أنثى</v>
      </c>
      <c r="J1133" s="25" t="str">
        <f>'Source Table'!$B$13</f>
        <v>Pediatrics</v>
      </c>
      <c r="K1133" s="25" t="str">
        <f>'Source Table'!$I$13</f>
        <v>أطفال</v>
      </c>
      <c r="L1133" s="39">
        <v>72</v>
      </c>
      <c r="M1133">
        <v>2016</v>
      </c>
    </row>
    <row r="1134" spans="1:13" ht="15">
      <c r="A1134" t="s">
        <v>153</v>
      </c>
      <c r="B1134" t="s">
        <v>154</v>
      </c>
      <c r="C1134" s="15" t="s">
        <v>30</v>
      </c>
      <c r="D1134" s="23" t="s">
        <v>81</v>
      </c>
      <c r="E1134" s="25" t="s">
        <v>82</v>
      </c>
      <c r="F1134" s="16" t="str">
        <f>'Source Table'!$E$6</f>
        <v>Private Sector</v>
      </c>
      <c r="G1134" s="16" t="str">
        <f>'Source Table'!$E$5</f>
        <v>القطاع الخاص</v>
      </c>
      <c r="H1134" t="str">
        <f>'Source Table'!$G$8</f>
        <v>Female</v>
      </c>
      <c r="I1134" s="16" t="str">
        <f>'Source Table'!$G$7</f>
        <v>أنثى</v>
      </c>
      <c r="J1134" s="25" t="str">
        <f>'Source Table'!$B$14</f>
        <v>Ophthalmologist</v>
      </c>
      <c r="K1134" s="25" t="str">
        <f>'Source Table'!$I$14</f>
        <v>العيون</v>
      </c>
      <c r="L1134" s="39">
        <v>30</v>
      </c>
      <c r="M1134">
        <v>2016</v>
      </c>
    </row>
    <row r="1135" spans="1:13" ht="15">
      <c r="A1135" t="s">
        <v>153</v>
      </c>
      <c r="B1135" t="s">
        <v>154</v>
      </c>
      <c r="C1135" s="15" t="s">
        <v>30</v>
      </c>
      <c r="D1135" s="23" t="s">
        <v>81</v>
      </c>
      <c r="E1135" s="25" t="s">
        <v>82</v>
      </c>
      <c r="F1135" s="16" t="str">
        <f>'Source Table'!$E$6</f>
        <v>Private Sector</v>
      </c>
      <c r="G1135" s="16" t="str">
        <f>'Source Table'!$E$5</f>
        <v>القطاع الخاص</v>
      </c>
      <c r="H1135" t="str">
        <f>'Source Table'!$G$8</f>
        <v>Female</v>
      </c>
      <c r="I1135" s="16" t="str">
        <f>'Source Table'!$G$7</f>
        <v>أنثى</v>
      </c>
      <c r="J1135" s="25" t="str">
        <f>'Source Table'!$B$15</f>
        <v>Orthopedic Surg.</v>
      </c>
      <c r="K1135" s="25" t="str">
        <f>'Source Table'!$I$15</f>
        <v>العظام</v>
      </c>
      <c r="L1135" s="39">
        <v>1</v>
      </c>
      <c r="M1135">
        <v>2016</v>
      </c>
    </row>
    <row r="1136" spans="1:13" ht="15">
      <c r="A1136" t="s">
        <v>153</v>
      </c>
      <c r="B1136" t="s">
        <v>154</v>
      </c>
      <c r="C1136" s="15" t="s">
        <v>30</v>
      </c>
      <c r="D1136" s="23" t="s">
        <v>81</v>
      </c>
      <c r="E1136" s="25" t="s">
        <v>82</v>
      </c>
      <c r="F1136" s="16" t="str">
        <f>'Source Table'!$E$6</f>
        <v>Private Sector</v>
      </c>
      <c r="G1136" s="16" t="str">
        <f>'Source Table'!$E$5</f>
        <v>القطاع الخاص</v>
      </c>
      <c r="H1136" t="str">
        <f>'Source Table'!$G$8</f>
        <v>Female</v>
      </c>
      <c r="I1136" s="16" t="str">
        <f>'Source Table'!$G$7</f>
        <v>أنثى</v>
      </c>
      <c r="J1136" s="25" t="str">
        <f>'Source Table'!$B$16</f>
        <v>E.N.T.Surg.</v>
      </c>
      <c r="K1136" s="25" t="str">
        <f>'Source Table'!$I$16</f>
        <v>أذن وأنف وحنجرة</v>
      </c>
      <c r="L1136" s="39">
        <v>7</v>
      </c>
      <c r="M1136">
        <v>2016</v>
      </c>
    </row>
    <row r="1137" spans="1:13" ht="15">
      <c r="A1137" t="s">
        <v>153</v>
      </c>
      <c r="B1137" t="s">
        <v>154</v>
      </c>
      <c r="C1137" s="15" t="s">
        <v>30</v>
      </c>
      <c r="D1137" s="23" t="s">
        <v>81</v>
      </c>
      <c r="E1137" s="25" t="s">
        <v>82</v>
      </c>
      <c r="F1137" s="16" t="str">
        <f>'Source Table'!$E$6</f>
        <v>Private Sector</v>
      </c>
      <c r="G1137" s="16" t="str">
        <f>'Source Table'!$E$5</f>
        <v>القطاع الخاص</v>
      </c>
      <c r="H1137" t="str">
        <f>'Source Table'!$G$8</f>
        <v>Female</v>
      </c>
      <c r="I1137" s="16" t="str">
        <f>'Source Table'!$G$7</f>
        <v>أنثى</v>
      </c>
      <c r="J1137" s="25" t="str">
        <f>'Source Table'!$B$17</f>
        <v>Neurosurgery</v>
      </c>
      <c r="K1137" s="25" t="str">
        <f>'Source Table'!$I$17</f>
        <v>جراحةأعصاب</v>
      </c>
      <c r="L1137" s="39">
        <v>0</v>
      </c>
      <c r="M1137">
        <v>2016</v>
      </c>
    </row>
    <row r="1138" spans="1:13" ht="15">
      <c r="A1138" t="s">
        <v>153</v>
      </c>
      <c r="B1138" t="s">
        <v>154</v>
      </c>
      <c r="C1138" s="15" t="s">
        <v>30</v>
      </c>
      <c r="D1138" s="23" t="s">
        <v>81</v>
      </c>
      <c r="E1138" s="25" t="s">
        <v>82</v>
      </c>
      <c r="F1138" s="16" t="str">
        <f>'Source Table'!$E$6</f>
        <v>Private Sector</v>
      </c>
      <c r="G1138" s="16" t="str">
        <f>'Source Table'!$E$5</f>
        <v>القطاع الخاص</v>
      </c>
      <c r="H1138" t="str">
        <f>'Source Table'!$G$8</f>
        <v>Female</v>
      </c>
      <c r="I1138" s="16" t="str">
        <f>'Source Table'!$G$7</f>
        <v>أنثى</v>
      </c>
      <c r="J1138" s="25" t="str">
        <f>'Source Table'!$B$18</f>
        <v>Cardiothoracic</v>
      </c>
      <c r="K1138" s="25" t="str">
        <f>'Source Table'!$I$18</f>
        <v>جراحة قلب</v>
      </c>
      <c r="L1138" s="39">
        <v>0</v>
      </c>
      <c r="M1138">
        <v>2016</v>
      </c>
    </row>
    <row r="1139" spans="1:13" ht="15">
      <c r="A1139" t="s">
        <v>153</v>
      </c>
      <c r="B1139" t="s">
        <v>154</v>
      </c>
      <c r="C1139" s="15" t="s">
        <v>30</v>
      </c>
      <c r="D1139" s="23" t="s">
        <v>81</v>
      </c>
      <c r="E1139" s="25" t="s">
        <v>82</v>
      </c>
      <c r="F1139" s="16" t="str">
        <f>'Source Table'!$E$6</f>
        <v>Private Sector</v>
      </c>
      <c r="G1139" s="16" t="str">
        <f>'Source Table'!$E$5</f>
        <v>القطاع الخاص</v>
      </c>
      <c r="H1139" t="str">
        <f>'Source Table'!$G$8</f>
        <v>Female</v>
      </c>
      <c r="I1139" s="16" t="str">
        <f>'Source Table'!$G$7</f>
        <v>أنثى</v>
      </c>
      <c r="J1139" s="25" t="str">
        <f>'Source Table'!$B$19</f>
        <v>Plastic Surgeon</v>
      </c>
      <c r="K1139" s="25" t="str">
        <f>'Source Table'!$I$19</f>
        <v>التجميل</v>
      </c>
      <c r="L1139" s="39">
        <v>0</v>
      </c>
      <c r="M1139">
        <v>2016</v>
      </c>
    </row>
    <row r="1140" spans="1:13" ht="15">
      <c r="A1140" t="s">
        <v>153</v>
      </c>
      <c r="B1140" t="s">
        <v>154</v>
      </c>
      <c r="C1140" s="15" t="s">
        <v>30</v>
      </c>
      <c r="D1140" s="23" t="s">
        <v>81</v>
      </c>
      <c r="E1140" s="25" t="s">
        <v>82</v>
      </c>
      <c r="F1140" s="16" t="str">
        <f>'Source Table'!$E$6</f>
        <v>Private Sector</v>
      </c>
      <c r="G1140" s="16" t="str">
        <f>'Source Table'!$E$5</f>
        <v>القطاع الخاص</v>
      </c>
      <c r="H1140" t="str">
        <f>'Source Table'!$G$8</f>
        <v>Female</v>
      </c>
      <c r="I1140" s="16" t="str">
        <f>'Source Table'!$G$7</f>
        <v>أنثى</v>
      </c>
      <c r="J1140" s="25" t="str">
        <f>'Source Table'!$B$20</f>
        <v>Psychiatry</v>
      </c>
      <c r="K1140" s="25" t="str">
        <f>'Source Table'!$I$20</f>
        <v>النفسية</v>
      </c>
      <c r="L1140" s="39">
        <v>1</v>
      </c>
      <c r="M1140">
        <v>2016</v>
      </c>
    </row>
    <row r="1141" spans="1:13" ht="15">
      <c r="A1141" t="s">
        <v>153</v>
      </c>
      <c r="B1141" t="s">
        <v>154</v>
      </c>
      <c r="C1141" s="15" t="s">
        <v>30</v>
      </c>
      <c r="D1141" s="23" t="s">
        <v>81</v>
      </c>
      <c r="E1141" s="25" t="s">
        <v>82</v>
      </c>
      <c r="F1141" s="16" t="str">
        <f>'Source Table'!$E$6</f>
        <v>Private Sector</v>
      </c>
      <c r="G1141" s="16" t="str">
        <f>'Source Table'!$E$5</f>
        <v>القطاع الخاص</v>
      </c>
      <c r="H1141" t="str">
        <f>'Source Table'!$G$8</f>
        <v>Female</v>
      </c>
      <c r="I1141" s="16" t="str">
        <f>'Source Table'!$G$7</f>
        <v>أنثى</v>
      </c>
      <c r="J1141" s="25" t="str">
        <f>'Source Table'!$B$21</f>
        <v>Dermatologist Venereal</v>
      </c>
      <c r="K1141" s="25" t="str">
        <f>'Source Table'!$I$21</f>
        <v>جلدية وتناسلية</v>
      </c>
      <c r="L1141" s="39">
        <v>35</v>
      </c>
      <c r="M1141">
        <v>2016</v>
      </c>
    </row>
    <row r="1142" spans="1:13" ht="15">
      <c r="A1142" t="s">
        <v>153</v>
      </c>
      <c r="B1142" t="s">
        <v>154</v>
      </c>
      <c r="C1142" s="15" t="s">
        <v>30</v>
      </c>
      <c r="D1142" s="23" t="s">
        <v>81</v>
      </c>
      <c r="E1142" s="25" t="s">
        <v>82</v>
      </c>
      <c r="F1142" s="16" t="str">
        <f>'Source Table'!$E$6</f>
        <v>Private Sector</v>
      </c>
      <c r="G1142" s="16" t="str">
        <f>'Source Table'!$E$5</f>
        <v>القطاع الخاص</v>
      </c>
      <c r="H1142" t="str">
        <f>'Source Table'!$G$8</f>
        <v>Female</v>
      </c>
      <c r="I1142" s="16" t="str">
        <f>'Source Table'!$G$7</f>
        <v>أنثى</v>
      </c>
      <c r="J1142" s="25" t="str">
        <f>'Source Table'!$B$22</f>
        <v>Neurology/ Nervous</v>
      </c>
      <c r="K1142" s="25" t="str">
        <f>'Source Table'!$I$22</f>
        <v>مرض الأعصاب</v>
      </c>
      <c r="L1142" s="39">
        <v>1</v>
      </c>
      <c r="M1142">
        <v>2016</v>
      </c>
    </row>
    <row r="1143" spans="1:13" ht="15">
      <c r="A1143" t="s">
        <v>153</v>
      </c>
      <c r="B1143" t="s">
        <v>154</v>
      </c>
      <c r="C1143" s="15" t="s">
        <v>30</v>
      </c>
      <c r="D1143" s="23" t="s">
        <v>81</v>
      </c>
      <c r="E1143" s="25" t="s">
        <v>82</v>
      </c>
      <c r="F1143" s="16" t="str">
        <f>'Source Table'!$E$6</f>
        <v>Private Sector</v>
      </c>
      <c r="G1143" s="16" t="str">
        <f>'Source Table'!$E$5</f>
        <v>القطاع الخاص</v>
      </c>
      <c r="H1143" t="str">
        <f>'Source Table'!$G$8</f>
        <v>Female</v>
      </c>
      <c r="I1143" s="16" t="str">
        <f>'Source Table'!$G$7</f>
        <v>أنثى</v>
      </c>
      <c r="J1143" s="25" t="str">
        <f>'Source Table'!$B$23</f>
        <v>Pumologist</v>
      </c>
      <c r="K1143" s="25" t="str">
        <f>'Source Table'!$I$23</f>
        <v>صدرية</v>
      </c>
      <c r="L1143" s="39">
        <v>0</v>
      </c>
      <c r="M1143">
        <v>2016</v>
      </c>
    </row>
    <row r="1144" spans="1:13" ht="15">
      <c r="A1144" t="s">
        <v>153</v>
      </c>
      <c r="B1144" t="s">
        <v>154</v>
      </c>
      <c r="C1144" s="15" t="s">
        <v>30</v>
      </c>
      <c r="D1144" s="23" t="s">
        <v>81</v>
      </c>
      <c r="E1144" s="25" t="s">
        <v>82</v>
      </c>
      <c r="F1144" s="16" t="str">
        <f>'Source Table'!$E$6</f>
        <v>Private Sector</v>
      </c>
      <c r="G1144" s="16" t="str">
        <f>'Source Table'!$E$5</f>
        <v>القطاع الخاص</v>
      </c>
      <c r="H1144" t="str">
        <f>'Source Table'!$G$8</f>
        <v>Female</v>
      </c>
      <c r="I1144" s="16" t="str">
        <f>'Source Table'!$G$7</f>
        <v>أنثى</v>
      </c>
      <c r="J1144" s="25" t="str">
        <f>'Source Table'!$B$24</f>
        <v>G.I.T. Specialist</v>
      </c>
      <c r="K1144" s="25" t="str">
        <f>'Source Table'!$I$24</f>
        <v>جهاز هضمي</v>
      </c>
      <c r="L1144" s="39">
        <v>6</v>
      </c>
      <c r="M1144">
        <v>2016</v>
      </c>
    </row>
    <row r="1145" spans="1:13" ht="15">
      <c r="A1145" t="s">
        <v>153</v>
      </c>
      <c r="B1145" t="s">
        <v>154</v>
      </c>
      <c r="C1145" s="15" t="s">
        <v>30</v>
      </c>
      <c r="D1145" s="23" t="s">
        <v>81</v>
      </c>
      <c r="E1145" s="25" t="s">
        <v>82</v>
      </c>
      <c r="F1145" s="16" t="str">
        <f>'Source Table'!$E$6</f>
        <v>Private Sector</v>
      </c>
      <c r="G1145" s="16" t="str">
        <f>'Source Table'!$E$5</f>
        <v>القطاع الخاص</v>
      </c>
      <c r="H1145" t="str">
        <f>'Source Table'!$G$8</f>
        <v>Female</v>
      </c>
      <c r="I1145" s="16" t="str">
        <f>'Source Table'!$G$7</f>
        <v>أنثى</v>
      </c>
      <c r="J1145" s="25" t="str">
        <f>'Source Table'!$B$25</f>
        <v>Diagnostic Radiology</v>
      </c>
      <c r="K1145" s="25" t="str">
        <f>'Source Table'!$I$25</f>
        <v>أشعة تشخيصية</v>
      </c>
      <c r="L1145" s="39">
        <v>12</v>
      </c>
      <c r="M1145">
        <v>2016</v>
      </c>
    </row>
    <row r="1146" spans="1:13" ht="15">
      <c r="A1146" t="s">
        <v>153</v>
      </c>
      <c r="B1146" t="s">
        <v>154</v>
      </c>
      <c r="C1146" s="15" t="s">
        <v>30</v>
      </c>
      <c r="D1146" s="23" t="s">
        <v>81</v>
      </c>
      <c r="E1146" s="25" t="s">
        <v>82</v>
      </c>
      <c r="F1146" s="16" t="str">
        <f>'Source Table'!$E$6</f>
        <v>Private Sector</v>
      </c>
      <c r="G1146" s="16" t="str">
        <f>'Source Table'!$E$5</f>
        <v>القطاع الخاص</v>
      </c>
      <c r="H1146" t="str">
        <f>'Source Table'!$G$8</f>
        <v>Female</v>
      </c>
      <c r="I1146" s="16" t="str">
        <f>'Source Table'!$G$7</f>
        <v>أنثى</v>
      </c>
      <c r="J1146" s="25" t="str">
        <f>'Source Table'!$B$26</f>
        <v>Anesthetic</v>
      </c>
      <c r="K1146" s="25" t="str">
        <f>'Source Table'!$I$26</f>
        <v>تخدير وإنعاش</v>
      </c>
      <c r="L1146" s="39">
        <v>11</v>
      </c>
      <c r="M1146">
        <v>2016</v>
      </c>
    </row>
    <row r="1147" spans="1:13" ht="15">
      <c r="A1147" t="s">
        <v>153</v>
      </c>
      <c r="B1147" t="s">
        <v>154</v>
      </c>
      <c r="C1147" s="15" t="s">
        <v>30</v>
      </c>
      <c r="D1147" s="23" t="s">
        <v>81</v>
      </c>
      <c r="E1147" s="25" t="s">
        <v>82</v>
      </c>
      <c r="F1147" s="16" t="str">
        <f>'Source Table'!$E$6</f>
        <v>Private Sector</v>
      </c>
      <c r="G1147" s="16" t="str">
        <f>'Source Table'!$E$5</f>
        <v>القطاع الخاص</v>
      </c>
      <c r="H1147" t="str">
        <f>'Source Table'!$G$8</f>
        <v>Female</v>
      </c>
      <c r="I1147" s="16" t="str">
        <f>'Source Table'!$G$7</f>
        <v>أنثى</v>
      </c>
      <c r="J1147" s="25" t="str">
        <f>'Source Table'!$B$27</f>
        <v>Physiotherapist</v>
      </c>
      <c r="K1147" s="25" t="str">
        <f>'Source Table'!$I$27</f>
        <v>طب طبيعي</v>
      </c>
      <c r="L1147" s="39">
        <v>0</v>
      </c>
      <c r="M1147">
        <v>2016</v>
      </c>
    </row>
    <row r="1148" spans="1:13" ht="15">
      <c r="A1148" t="s">
        <v>153</v>
      </c>
      <c r="B1148" t="s">
        <v>154</v>
      </c>
      <c r="C1148" s="15" t="s">
        <v>30</v>
      </c>
      <c r="D1148" s="23" t="s">
        <v>81</v>
      </c>
      <c r="E1148" s="25" t="s">
        <v>82</v>
      </c>
      <c r="F1148" s="16" t="str">
        <f>'Source Table'!$E$6</f>
        <v>Private Sector</v>
      </c>
      <c r="G1148" s="16" t="str">
        <f>'Source Table'!$E$5</f>
        <v>القطاع الخاص</v>
      </c>
      <c r="H1148" t="str">
        <f>'Source Table'!$G$8</f>
        <v>Female</v>
      </c>
      <c r="I1148" s="16" t="str">
        <f>'Source Table'!$G$7</f>
        <v>أنثى</v>
      </c>
      <c r="J1148" s="25" t="str">
        <f>'Source Table'!$B$28</f>
        <v>Forensic</v>
      </c>
      <c r="K1148" s="25" t="str">
        <f>'Source Table'!$I$28</f>
        <v>طب شرعي</v>
      </c>
      <c r="L1148" s="39">
        <v>0</v>
      </c>
      <c r="M1148">
        <v>2016</v>
      </c>
    </row>
    <row r="1149" spans="1:13" ht="15">
      <c r="A1149" t="s">
        <v>153</v>
      </c>
      <c r="B1149" t="s">
        <v>154</v>
      </c>
      <c r="C1149" s="15" t="s">
        <v>30</v>
      </c>
      <c r="D1149" s="23" t="s">
        <v>81</v>
      </c>
      <c r="E1149" s="25" t="s">
        <v>82</v>
      </c>
      <c r="F1149" s="16" t="str">
        <f>'Source Table'!$E$6</f>
        <v>Private Sector</v>
      </c>
      <c r="G1149" s="16" t="str">
        <f>'Source Table'!$E$5</f>
        <v>القطاع الخاص</v>
      </c>
      <c r="H1149" t="str">
        <f>'Source Table'!$G$8</f>
        <v>Female</v>
      </c>
      <c r="I1149" s="16" t="str">
        <f>'Source Table'!$G$7</f>
        <v>أنثى</v>
      </c>
      <c r="J1149" s="25" t="str">
        <f>'Source Table'!$B$29</f>
        <v xml:space="preserve">Family </v>
      </c>
      <c r="K1149" s="25" t="str">
        <f>'Source Table'!$I$29</f>
        <v>طب أسرة</v>
      </c>
      <c r="L1149" s="39">
        <v>18</v>
      </c>
      <c r="M1149">
        <v>2016</v>
      </c>
    </row>
    <row r="1150" spans="1:13" ht="15">
      <c r="A1150" t="s">
        <v>153</v>
      </c>
      <c r="B1150" t="s">
        <v>154</v>
      </c>
      <c r="C1150" s="15" t="s">
        <v>30</v>
      </c>
      <c r="D1150" s="23" t="s">
        <v>81</v>
      </c>
      <c r="E1150" s="25" t="s">
        <v>82</v>
      </c>
      <c r="F1150" s="16" t="str">
        <f>'Source Table'!$E$6</f>
        <v>Private Sector</v>
      </c>
      <c r="G1150" s="16" t="str">
        <f>'Source Table'!$E$5</f>
        <v>القطاع الخاص</v>
      </c>
      <c r="H1150" t="str">
        <f>'Source Table'!$G$8</f>
        <v>Female</v>
      </c>
      <c r="I1150" s="16" t="str">
        <f>'Source Table'!$G$7</f>
        <v>أنثى</v>
      </c>
      <c r="J1150" s="25" t="str">
        <f>'Source Table'!$B$30</f>
        <v>Urologist</v>
      </c>
      <c r="K1150" s="25" t="str">
        <f>'Source Table'!$I$30</f>
        <v xml:space="preserve">المسالك البولية </v>
      </c>
      <c r="L1150" s="39">
        <v>2</v>
      </c>
      <c r="M1150">
        <v>2016</v>
      </c>
    </row>
    <row r="1151" spans="1:13" ht="15">
      <c r="A1151" t="s">
        <v>153</v>
      </c>
      <c r="B1151" t="s">
        <v>154</v>
      </c>
      <c r="C1151" s="15" t="s">
        <v>30</v>
      </c>
      <c r="D1151" s="23" t="s">
        <v>81</v>
      </c>
      <c r="E1151" s="25" t="s">
        <v>82</v>
      </c>
      <c r="F1151" s="16" t="str">
        <f>'Source Table'!$E$6</f>
        <v>Private Sector</v>
      </c>
      <c r="G1151" s="16" t="str">
        <f>'Source Table'!$E$5</f>
        <v>القطاع الخاص</v>
      </c>
      <c r="H1151" t="str">
        <f>'Source Table'!$G$8</f>
        <v>Female</v>
      </c>
      <c r="I1151" s="16" t="str">
        <f>'Source Table'!$G$7</f>
        <v>أنثى</v>
      </c>
      <c r="J1151" s="25" t="str">
        <f>'Source Table'!$B$31</f>
        <v>Cardiology</v>
      </c>
      <c r="K1151" s="25" t="str">
        <f>'Source Table'!$I$31</f>
        <v>أمراض القلب</v>
      </c>
      <c r="L1151" s="39">
        <v>5</v>
      </c>
      <c r="M1151">
        <v>2016</v>
      </c>
    </row>
    <row r="1152" spans="1:13" ht="15">
      <c r="A1152" t="s">
        <v>153</v>
      </c>
      <c r="B1152" t="s">
        <v>154</v>
      </c>
      <c r="C1152" s="15" t="s">
        <v>30</v>
      </c>
      <c r="D1152" s="23" t="s">
        <v>81</v>
      </c>
      <c r="E1152" s="25" t="s">
        <v>82</v>
      </c>
      <c r="F1152" s="16" t="str">
        <f>'Source Table'!$E$6</f>
        <v>Private Sector</v>
      </c>
      <c r="G1152" s="16" t="str">
        <f>'Source Table'!$E$5</f>
        <v>القطاع الخاص</v>
      </c>
      <c r="H1152" t="str">
        <f>'Source Table'!$G$8</f>
        <v>Female</v>
      </c>
      <c r="I1152" s="16" t="str">
        <f>'Source Table'!$G$7</f>
        <v>أنثى</v>
      </c>
      <c r="J1152" s="25" t="str">
        <f>'Source Table'!$B$32</f>
        <v>Laboratory</v>
      </c>
      <c r="K1152" s="25" t="str">
        <f>'Source Table'!$I$32</f>
        <v>مختبرات</v>
      </c>
      <c r="L1152" s="39">
        <v>1</v>
      </c>
      <c r="M1152">
        <v>2016</v>
      </c>
    </row>
    <row r="1153" spans="1:13" ht="15">
      <c r="A1153" t="s">
        <v>153</v>
      </c>
      <c r="B1153" t="s">
        <v>154</v>
      </c>
      <c r="C1153" s="15" t="s">
        <v>30</v>
      </c>
      <c r="D1153" s="23" t="s">
        <v>81</v>
      </c>
      <c r="E1153" s="25" t="s">
        <v>82</v>
      </c>
      <c r="F1153" s="16" t="str">
        <f>'Source Table'!$E$6</f>
        <v>Private Sector</v>
      </c>
      <c r="G1153" s="16" t="str">
        <f>'Source Table'!$E$5</f>
        <v>القطاع الخاص</v>
      </c>
      <c r="H1153" t="str">
        <f>'Source Table'!$G$8</f>
        <v>Female</v>
      </c>
      <c r="I1153" s="16" t="str">
        <f>'Source Table'!$G$7</f>
        <v>أنثى</v>
      </c>
      <c r="J1153" s="25" t="str">
        <f>'Source Table'!$B$33</f>
        <v>Others</v>
      </c>
      <c r="K1153" s="25" t="str">
        <f>'Source Table'!$I$33</f>
        <v>أخرى</v>
      </c>
      <c r="L1153" s="43">
        <v>21</v>
      </c>
      <c r="M1153">
        <v>2016</v>
      </c>
    </row>
    <row r="1154" spans="1:13" ht="15">
      <c r="A1154" t="s">
        <v>153</v>
      </c>
      <c r="B1154" t="s">
        <v>154</v>
      </c>
      <c r="C1154" s="15" t="s">
        <v>30</v>
      </c>
      <c r="D1154" s="23" t="s">
        <v>81</v>
      </c>
      <c r="E1154" s="25" t="s">
        <v>82</v>
      </c>
      <c r="F1154" t="str">
        <f>'Source Table'!$C$6</f>
        <v>Others</v>
      </c>
      <c r="G1154" t="str">
        <f>'Source Table'!$C$5</f>
        <v>آخرون</v>
      </c>
      <c r="H1154" t="str">
        <f>'Source Table'!$H$8</f>
        <v>Male</v>
      </c>
      <c r="I1154" s="25" t="str">
        <f>'Source Table'!$H$7</f>
        <v>ذكر</v>
      </c>
      <c r="J1154" s="25" t="str">
        <f>'Source Table'!$B$9</f>
        <v>General Practitioner</v>
      </c>
      <c r="K1154" s="25" t="str">
        <f>'Source Table'!$I$9</f>
        <v>طبيب عام</v>
      </c>
      <c r="L1154" s="39">
        <v>6690</v>
      </c>
      <c r="M1154">
        <v>2016</v>
      </c>
    </row>
    <row r="1155" spans="1:13" ht="15">
      <c r="A1155" t="s">
        <v>153</v>
      </c>
      <c r="B1155" t="s">
        <v>154</v>
      </c>
      <c r="C1155" s="15" t="s">
        <v>30</v>
      </c>
      <c r="D1155" s="23" t="s">
        <v>81</v>
      </c>
      <c r="E1155" s="25" t="s">
        <v>82</v>
      </c>
      <c r="F1155" t="str">
        <f>'Source Table'!$C$6</f>
        <v>Others</v>
      </c>
      <c r="G1155" t="str">
        <f>'Source Table'!$C$5</f>
        <v>آخرون</v>
      </c>
      <c r="H1155" t="str">
        <f>'Source Table'!$H$8</f>
        <v>Male</v>
      </c>
      <c r="I1155" s="25" t="str">
        <f>'Source Table'!$H$7</f>
        <v>ذكر</v>
      </c>
      <c r="J1155" s="25" t="str">
        <f>'Source Table'!$B$10</f>
        <v>Surgeon</v>
      </c>
      <c r="K1155" s="25" t="str">
        <f>'Source Table'!$I$10</f>
        <v>جراحة عامة</v>
      </c>
      <c r="L1155" s="39">
        <v>81</v>
      </c>
      <c r="M1155">
        <v>2016</v>
      </c>
    </row>
    <row r="1156" spans="1:13" ht="15">
      <c r="A1156" t="s">
        <v>153</v>
      </c>
      <c r="B1156" t="s">
        <v>154</v>
      </c>
      <c r="C1156" s="15" t="s">
        <v>30</v>
      </c>
      <c r="D1156" s="23" t="s">
        <v>81</v>
      </c>
      <c r="E1156" s="25" t="s">
        <v>82</v>
      </c>
      <c r="F1156" t="str">
        <f>'Source Table'!$C$6</f>
        <v>Others</v>
      </c>
      <c r="G1156" t="str">
        <f>'Source Table'!$C$5</f>
        <v>آخرون</v>
      </c>
      <c r="H1156" t="str">
        <f>'Source Table'!$H$8</f>
        <v>Male</v>
      </c>
      <c r="I1156" s="25" t="str">
        <f>'Source Table'!$H$7</f>
        <v>ذكر</v>
      </c>
      <c r="J1156" s="25" t="str">
        <f>'Source Table'!$B$11</f>
        <v>Internist</v>
      </c>
      <c r="K1156" s="25" t="str">
        <f>'Source Table'!$I$11</f>
        <v>باطنية</v>
      </c>
      <c r="L1156" s="39">
        <v>62</v>
      </c>
      <c r="M1156">
        <v>2016</v>
      </c>
    </row>
    <row r="1157" spans="1:13" ht="15">
      <c r="A1157" t="s">
        <v>153</v>
      </c>
      <c r="B1157" t="s">
        <v>154</v>
      </c>
      <c r="C1157" s="15" t="s">
        <v>30</v>
      </c>
      <c r="D1157" s="23" t="s">
        <v>81</v>
      </c>
      <c r="E1157" s="25" t="s">
        <v>82</v>
      </c>
      <c r="F1157" t="str">
        <f>'Source Table'!$C$6</f>
        <v>Others</v>
      </c>
      <c r="G1157" t="str">
        <f>'Source Table'!$C$5</f>
        <v>آخرون</v>
      </c>
      <c r="H1157" t="str">
        <f>'Source Table'!$H$8</f>
        <v>Male</v>
      </c>
      <c r="I1157" s="25" t="str">
        <f>'Source Table'!$H$7</f>
        <v>ذكر</v>
      </c>
      <c r="J1157" s="25" t="str">
        <f>'Source Table'!$B$12</f>
        <v>Gynecologist and Obst.</v>
      </c>
      <c r="K1157" s="25" t="str">
        <f>'Source Table'!$I$12</f>
        <v>نسائية وتوليد</v>
      </c>
      <c r="L1157" s="39">
        <v>56</v>
      </c>
      <c r="M1157">
        <v>2016</v>
      </c>
    </row>
    <row r="1158" spans="1:13" ht="15">
      <c r="A1158" t="s">
        <v>153</v>
      </c>
      <c r="B1158" t="s">
        <v>154</v>
      </c>
      <c r="C1158" s="15" t="s">
        <v>30</v>
      </c>
      <c r="D1158" s="23" t="s">
        <v>81</v>
      </c>
      <c r="E1158" s="25" t="s">
        <v>82</v>
      </c>
      <c r="F1158" t="str">
        <f>'Source Table'!$C$6</f>
        <v>Others</v>
      </c>
      <c r="G1158" t="str">
        <f>'Source Table'!$C$5</f>
        <v>آخرون</v>
      </c>
      <c r="H1158" t="str">
        <f>'Source Table'!$H$8</f>
        <v>Male</v>
      </c>
      <c r="I1158" s="25" t="str">
        <f>'Source Table'!$H$7</f>
        <v>ذكر</v>
      </c>
      <c r="J1158" s="25" t="str">
        <f>'Source Table'!$B$13</f>
        <v>Pediatrics</v>
      </c>
      <c r="K1158" s="25" t="str">
        <f>'Source Table'!$I$13</f>
        <v>أطفال</v>
      </c>
      <c r="L1158" s="39">
        <v>57</v>
      </c>
      <c r="M1158">
        <v>2016</v>
      </c>
    </row>
    <row r="1159" spans="1:13" ht="15">
      <c r="A1159" t="s">
        <v>153</v>
      </c>
      <c r="B1159" t="s">
        <v>154</v>
      </c>
      <c r="C1159" s="15" t="s">
        <v>30</v>
      </c>
      <c r="D1159" s="23" t="s">
        <v>81</v>
      </c>
      <c r="E1159" s="25" t="s">
        <v>82</v>
      </c>
      <c r="F1159" t="str">
        <f>'Source Table'!$C$6</f>
        <v>Others</v>
      </c>
      <c r="G1159" t="str">
        <f>'Source Table'!$C$5</f>
        <v>آخرون</v>
      </c>
      <c r="H1159" t="str">
        <f>'Source Table'!$H$8</f>
        <v>Male</v>
      </c>
      <c r="I1159" s="25" t="str">
        <f>'Source Table'!$H$7</f>
        <v>ذكر</v>
      </c>
      <c r="J1159" s="25" t="str">
        <f>'Source Table'!$B$14</f>
        <v>Ophthalmologist</v>
      </c>
      <c r="K1159" s="25" t="str">
        <f>'Source Table'!$I$14</f>
        <v>العيون</v>
      </c>
      <c r="L1159" s="39">
        <v>26</v>
      </c>
      <c r="M1159">
        <v>2016</v>
      </c>
    </row>
    <row r="1160" spans="1:13" ht="15">
      <c r="A1160" t="s">
        <v>153</v>
      </c>
      <c r="B1160" t="s">
        <v>154</v>
      </c>
      <c r="C1160" s="15" t="s">
        <v>30</v>
      </c>
      <c r="D1160" s="23" t="s">
        <v>81</v>
      </c>
      <c r="E1160" s="25" t="s">
        <v>82</v>
      </c>
      <c r="F1160" t="str">
        <f>'Source Table'!$C$6</f>
        <v>Others</v>
      </c>
      <c r="G1160" t="str">
        <f>'Source Table'!$C$5</f>
        <v>آخرون</v>
      </c>
      <c r="H1160" t="str">
        <f>'Source Table'!$H$8</f>
        <v>Male</v>
      </c>
      <c r="I1160" s="25" t="str">
        <f>'Source Table'!$H$7</f>
        <v>ذكر</v>
      </c>
      <c r="J1160" s="25" t="str">
        <f>'Source Table'!$B$15</f>
        <v>Orthopedic Surg.</v>
      </c>
      <c r="K1160" s="25" t="str">
        <f>'Source Table'!$I$15</f>
        <v>العظام</v>
      </c>
      <c r="L1160" s="39">
        <v>38</v>
      </c>
      <c r="M1160">
        <v>2016</v>
      </c>
    </row>
    <row r="1161" spans="1:13" ht="15">
      <c r="A1161" t="s">
        <v>153</v>
      </c>
      <c r="B1161" t="s">
        <v>154</v>
      </c>
      <c r="C1161" s="15" t="s">
        <v>30</v>
      </c>
      <c r="D1161" s="23" t="s">
        <v>81</v>
      </c>
      <c r="E1161" s="25" t="s">
        <v>82</v>
      </c>
      <c r="F1161" t="str">
        <f>'Source Table'!$C$6</f>
        <v>Others</v>
      </c>
      <c r="G1161" t="str">
        <f>'Source Table'!$C$5</f>
        <v>آخرون</v>
      </c>
      <c r="H1161" t="str">
        <f>'Source Table'!$H$8</f>
        <v>Male</v>
      </c>
      <c r="I1161" s="25" t="str">
        <f>'Source Table'!$H$7</f>
        <v>ذكر</v>
      </c>
      <c r="J1161" s="25" t="str">
        <f>'Source Table'!$B$16</f>
        <v>E.N.T.Surg.</v>
      </c>
      <c r="K1161" s="25" t="str">
        <f>'Source Table'!$I$16</f>
        <v>أذن وأنف وحنجرة</v>
      </c>
      <c r="L1161" s="39">
        <v>11</v>
      </c>
      <c r="M1161">
        <v>2016</v>
      </c>
    </row>
    <row r="1162" spans="1:13" ht="15">
      <c r="A1162" t="s">
        <v>153</v>
      </c>
      <c r="B1162" t="s">
        <v>154</v>
      </c>
      <c r="C1162" s="15" t="s">
        <v>30</v>
      </c>
      <c r="D1162" s="23" t="s">
        <v>81</v>
      </c>
      <c r="E1162" s="25" t="s">
        <v>82</v>
      </c>
      <c r="F1162" t="str">
        <f>'Source Table'!$C$6</f>
        <v>Others</v>
      </c>
      <c r="G1162" t="str">
        <f>'Source Table'!$C$5</f>
        <v>آخرون</v>
      </c>
      <c r="H1162" t="str">
        <f>'Source Table'!$H$8</f>
        <v>Male</v>
      </c>
      <c r="I1162" s="25" t="str">
        <f>'Source Table'!$H$7</f>
        <v>ذكر</v>
      </c>
      <c r="J1162" s="25" t="str">
        <f>'Source Table'!$B$17</f>
        <v>Neurosurgery</v>
      </c>
      <c r="K1162" s="25" t="str">
        <f>'Source Table'!$I$17</f>
        <v>جراحةأعصاب</v>
      </c>
      <c r="L1162" s="39">
        <v>8</v>
      </c>
      <c r="M1162">
        <v>2016</v>
      </c>
    </row>
    <row r="1163" spans="1:13" ht="15">
      <c r="A1163" t="s">
        <v>153</v>
      </c>
      <c r="B1163" t="s">
        <v>154</v>
      </c>
      <c r="C1163" s="15" t="s">
        <v>30</v>
      </c>
      <c r="D1163" s="23" t="s">
        <v>81</v>
      </c>
      <c r="E1163" s="25" t="s">
        <v>82</v>
      </c>
      <c r="F1163" t="str">
        <f>'Source Table'!$C$6</f>
        <v>Others</v>
      </c>
      <c r="G1163" t="str">
        <f>'Source Table'!$C$5</f>
        <v>آخرون</v>
      </c>
      <c r="H1163" t="str">
        <f>'Source Table'!$H$8</f>
        <v>Male</v>
      </c>
      <c r="I1163" s="25" t="str">
        <f>'Source Table'!$H$7</f>
        <v>ذكر</v>
      </c>
      <c r="J1163" s="25" t="str">
        <f>'Source Table'!$B$18</f>
        <v>Cardiothoracic</v>
      </c>
      <c r="K1163" s="25" t="str">
        <f>'Source Table'!$I$18</f>
        <v>جراحة قلب</v>
      </c>
      <c r="L1163" s="39">
        <v>4</v>
      </c>
      <c r="M1163">
        <v>2016</v>
      </c>
    </row>
    <row r="1164" spans="1:13" ht="15">
      <c r="A1164" t="s">
        <v>153</v>
      </c>
      <c r="B1164" t="s">
        <v>154</v>
      </c>
      <c r="C1164" s="15" t="s">
        <v>30</v>
      </c>
      <c r="D1164" s="23" t="s">
        <v>81</v>
      </c>
      <c r="E1164" s="25" t="s">
        <v>82</v>
      </c>
      <c r="F1164" t="str">
        <f>'Source Table'!$C$6</f>
        <v>Others</v>
      </c>
      <c r="G1164" t="str">
        <f>'Source Table'!$C$5</f>
        <v>آخرون</v>
      </c>
      <c r="H1164" t="str">
        <f>'Source Table'!$H$8</f>
        <v>Male</v>
      </c>
      <c r="I1164" s="25" t="str">
        <f>'Source Table'!$H$7</f>
        <v>ذكر</v>
      </c>
      <c r="J1164" s="25" t="str">
        <f>'Source Table'!$B$19</f>
        <v>Plastic Surgeon</v>
      </c>
      <c r="K1164" s="25" t="str">
        <f>'Source Table'!$I$19</f>
        <v>التجميل</v>
      </c>
      <c r="L1164" s="39">
        <v>4</v>
      </c>
      <c r="M1164">
        <v>2016</v>
      </c>
    </row>
    <row r="1165" spans="1:13" ht="15">
      <c r="A1165" t="s">
        <v>153</v>
      </c>
      <c r="B1165" t="s">
        <v>154</v>
      </c>
      <c r="C1165" s="15" t="s">
        <v>30</v>
      </c>
      <c r="D1165" s="23" t="s">
        <v>81</v>
      </c>
      <c r="E1165" s="25" t="s">
        <v>82</v>
      </c>
      <c r="F1165" t="str">
        <f>'Source Table'!$C$6</f>
        <v>Others</v>
      </c>
      <c r="G1165" t="str">
        <f>'Source Table'!$C$5</f>
        <v>آخرون</v>
      </c>
      <c r="H1165" t="str">
        <f>'Source Table'!$H$8</f>
        <v>Male</v>
      </c>
      <c r="I1165" s="25" t="str">
        <f>'Source Table'!$H$7</f>
        <v>ذكر</v>
      </c>
      <c r="J1165" s="25" t="str">
        <f>'Source Table'!$B$20</f>
        <v>Psychiatry</v>
      </c>
      <c r="K1165" s="25" t="str">
        <f>'Source Table'!$I$20</f>
        <v>النفسية</v>
      </c>
      <c r="L1165" s="39">
        <v>6</v>
      </c>
      <c r="M1165">
        <v>2016</v>
      </c>
    </row>
    <row r="1166" spans="1:13" ht="15">
      <c r="A1166" t="s">
        <v>153</v>
      </c>
      <c r="B1166" t="s">
        <v>154</v>
      </c>
      <c r="C1166" s="15" t="s">
        <v>30</v>
      </c>
      <c r="D1166" s="23" t="s">
        <v>81</v>
      </c>
      <c r="E1166" s="25" t="s">
        <v>82</v>
      </c>
      <c r="F1166" t="str">
        <f>'Source Table'!$C$6</f>
        <v>Others</v>
      </c>
      <c r="G1166" t="str">
        <f>'Source Table'!$C$5</f>
        <v>آخرون</v>
      </c>
      <c r="H1166" t="str">
        <f>'Source Table'!$H$8</f>
        <v>Male</v>
      </c>
      <c r="I1166" s="25" t="str">
        <f>'Source Table'!$H$7</f>
        <v>ذكر</v>
      </c>
      <c r="J1166" s="25" t="str">
        <f>'Source Table'!$B$21</f>
        <v>Dermatologist Venereal</v>
      </c>
      <c r="K1166" s="25" t="str">
        <f>'Source Table'!$I$21</f>
        <v>جلدية وتناسلية</v>
      </c>
      <c r="L1166" s="39">
        <v>19</v>
      </c>
      <c r="M1166">
        <v>2016</v>
      </c>
    </row>
    <row r="1167" spans="1:13" ht="15">
      <c r="A1167" t="s">
        <v>153</v>
      </c>
      <c r="B1167" t="s">
        <v>154</v>
      </c>
      <c r="C1167" s="15" t="s">
        <v>30</v>
      </c>
      <c r="D1167" s="23" t="s">
        <v>81</v>
      </c>
      <c r="E1167" s="25" t="s">
        <v>82</v>
      </c>
      <c r="F1167" t="str">
        <f>'Source Table'!$C$6</f>
        <v>Others</v>
      </c>
      <c r="G1167" t="str">
        <f>'Source Table'!$C$5</f>
        <v>آخرون</v>
      </c>
      <c r="H1167" t="str">
        <f>'Source Table'!$H$8</f>
        <v>Male</v>
      </c>
      <c r="I1167" s="25" t="str">
        <f>'Source Table'!$H$7</f>
        <v>ذكر</v>
      </c>
      <c r="J1167" s="25" t="str">
        <f>'Source Table'!$B$22</f>
        <v>Neurology/ Nervous</v>
      </c>
      <c r="K1167" s="25" t="str">
        <f>'Source Table'!$I$22</f>
        <v>مرض الأعصاب</v>
      </c>
      <c r="L1167" s="39">
        <v>3</v>
      </c>
      <c r="M1167">
        <v>2016</v>
      </c>
    </row>
    <row r="1168" spans="1:13" ht="15">
      <c r="A1168" t="s">
        <v>153</v>
      </c>
      <c r="B1168" t="s">
        <v>154</v>
      </c>
      <c r="C1168" s="15" t="s">
        <v>30</v>
      </c>
      <c r="D1168" s="23" t="s">
        <v>81</v>
      </c>
      <c r="E1168" s="25" t="s">
        <v>82</v>
      </c>
      <c r="F1168" t="str">
        <f>'Source Table'!$C$6</f>
        <v>Others</v>
      </c>
      <c r="G1168" t="str">
        <f>'Source Table'!$C$5</f>
        <v>آخرون</v>
      </c>
      <c r="H1168" t="str">
        <f>'Source Table'!$H$8</f>
        <v>Male</v>
      </c>
      <c r="I1168" s="25" t="str">
        <f>'Source Table'!$H$7</f>
        <v>ذكر</v>
      </c>
      <c r="J1168" s="25" t="str">
        <f>'Source Table'!$B$23</f>
        <v>Pumologist</v>
      </c>
      <c r="K1168" s="25" t="str">
        <f>'Source Table'!$I$23</f>
        <v>صدرية</v>
      </c>
      <c r="L1168" s="39">
        <v>6</v>
      </c>
      <c r="M1168">
        <v>2016</v>
      </c>
    </row>
    <row r="1169" spans="1:13" ht="15">
      <c r="A1169" t="s">
        <v>153</v>
      </c>
      <c r="B1169" t="s">
        <v>154</v>
      </c>
      <c r="C1169" s="15" t="s">
        <v>30</v>
      </c>
      <c r="D1169" s="23" t="s">
        <v>81</v>
      </c>
      <c r="E1169" s="25" t="s">
        <v>82</v>
      </c>
      <c r="F1169" t="str">
        <f>'Source Table'!$C$6</f>
        <v>Others</v>
      </c>
      <c r="G1169" t="str">
        <f>'Source Table'!$C$5</f>
        <v>آخرون</v>
      </c>
      <c r="H1169" t="str">
        <f>'Source Table'!$H$8</f>
        <v>Male</v>
      </c>
      <c r="I1169" s="25" t="str">
        <f>'Source Table'!$H$7</f>
        <v>ذكر</v>
      </c>
      <c r="J1169" s="25" t="str">
        <f>'Source Table'!$B$24</f>
        <v>G.I.T. Specialist</v>
      </c>
      <c r="K1169" s="25" t="str">
        <f>'Source Table'!$I$24</f>
        <v>جهاز هضمي</v>
      </c>
      <c r="L1169" s="39">
        <v>1</v>
      </c>
      <c r="M1169">
        <v>2016</v>
      </c>
    </row>
    <row r="1170" spans="1:13" ht="15">
      <c r="A1170" t="s">
        <v>153</v>
      </c>
      <c r="B1170" t="s">
        <v>154</v>
      </c>
      <c r="C1170" s="15" t="s">
        <v>30</v>
      </c>
      <c r="D1170" s="23" t="s">
        <v>81</v>
      </c>
      <c r="E1170" s="25" t="s">
        <v>82</v>
      </c>
      <c r="F1170" t="str">
        <f>'Source Table'!$C$6</f>
        <v>Others</v>
      </c>
      <c r="G1170" t="str">
        <f>'Source Table'!$C$5</f>
        <v>آخرون</v>
      </c>
      <c r="H1170" t="str">
        <f>'Source Table'!$H$8</f>
        <v>Male</v>
      </c>
      <c r="I1170" s="25" t="str">
        <f>'Source Table'!$H$7</f>
        <v>ذكر</v>
      </c>
      <c r="J1170" s="25" t="str">
        <f>'Source Table'!$B$25</f>
        <v>Diagnostic Radiology</v>
      </c>
      <c r="K1170" s="25" t="str">
        <f>'Source Table'!$I$25</f>
        <v>أشعة تشخيصية</v>
      </c>
      <c r="L1170" s="39">
        <v>26</v>
      </c>
      <c r="M1170">
        <v>2016</v>
      </c>
    </row>
    <row r="1171" spans="1:13" ht="15">
      <c r="A1171" t="s">
        <v>153</v>
      </c>
      <c r="B1171" t="s">
        <v>154</v>
      </c>
      <c r="C1171" s="15" t="s">
        <v>30</v>
      </c>
      <c r="D1171" s="23" t="s">
        <v>81</v>
      </c>
      <c r="E1171" s="25" t="s">
        <v>82</v>
      </c>
      <c r="F1171" t="str">
        <f>'Source Table'!$C$6</f>
        <v>Others</v>
      </c>
      <c r="G1171" t="str">
        <f>'Source Table'!$C$5</f>
        <v>آخرون</v>
      </c>
      <c r="H1171" t="str">
        <f>'Source Table'!$H$8</f>
        <v>Male</v>
      </c>
      <c r="I1171" s="25" t="str">
        <f>'Source Table'!$H$7</f>
        <v>ذكر</v>
      </c>
      <c r="J1171" s="25" t="str">
        <f>'Source Table'!$B$26</f>
        <v>Anesthetic</v>
      </c>
      <c r="K1171" s="25" t="str">
        <f>'Source Table'!$I$26</f>
        <v>تخدير وإنعاش</v>
      </c>
      <c r="L1171" s="39">
        <v>28</v>
      </c>
      <c r="M1171">
        <v>2016</v>
      </c>
    </row>
    <row r="1172" spans="1:13" ht="15">
      <c r="A1172" t="s">
        <v>153</v>
      </c>
      <c r="B1172" t="s">
        <v>154</v>
      </c>
      <c r="C1172" s="15" t="s">
        <v>30</v>
      </c>
      <c r="D1172" s="23" t="s">
        <v>81</v>
      </c>
      <c r="E1172" s="25" t="s">
        <v>82</v>
      </c>
      <c r="F1172" t="str">
        <f>'Source Table'!$C$6</f>
        <v>Others</v>
      </c>
      <c r="G1172" t="str">
        <f>'Source Table'!$C$5</f>
        <v>آخرون</v>
      </c>
      <c r="H1172" t="str">
        <f>'Source Table'!$H$8</f>
        <v>Male</v>
      </c>
      <c r="I1172" s="25" t="str">
        <f>'Source Table'!$H$7</f>
        <v>ذكر</v>
      </c>
      <c r="J1172" s="25" t="str">
        <f>'Source Table'!$B$27</f>
        <v>Physiotherapist</v>
      </c>
      <c r="K1172" s="25" t="str">
        <f>'Source Table'!$I$27</f>
        <v>طب طبيعي</v>
      </c>
      <c r="L1172" s="39">
        <v>0</v>
      </c>
      <c r="M1172">
        <v>2016</v>
      </c>
    </row>
    <row r="1173" spans="1:13" ht="15">
      <c r="A1173" t="s">
        <v>153</v>
      </c>
      <c r="B1173" t="s">
        <v>154</v>
      </c>
      <c r="C1173" s="15" t="s">
        <v>30</v>
      </c>
      <c r="D1173" s="23" t="s">
        <v>81</v>
      </c>
      <c r="E1173" s="25" t="s">
        <v>82</v>
      </c>
      <c r="F1173" t="str">
        <f>'Source Table'!$C$6</f>
        <v>Others</v>
      </c>
      <c r="G1173" t="str">
        <f>'Source Table'!$C$5</f>
        <v>آخرون</v>
      </c>
      <c r="H1173" t="str">
        <f>'Source Table'!$H$8</f>
        <v>Male</v>
      </c>
      <c r="I1173" s="25" t="str">
        <f>'Source Table'!$H$7</f>
        <v>ذكر</v>
      </c>
      <c r="J1173" s="25" t="str">
        <f>'Source Table'!$B$28</f>
        <v>Forensic</v>
      </c>
      <c r="K1173" s="25" t="str">
        <f>'Source Table'!$I$28</f>
        <v>طب شرعي</v>
      </c>
      <c r="L1173" s="39">
        <v>0</v>
      </c>
      <c r="M1173">
        <v>2016</v>
      </c>
    </row>
    <row r="1174" spans="1:13" ht="15">
      <c r="A1174" t="s">
        <v>153</v>
      </c>
      <c r="B1174" t="s">
        <v>154</v>
      </c>
      <c r="C1174" s="15" t="s">
        <v>30</v>
      </c>
      <c r="D1174" s="23" t="s">
        <v>81</v>
      </c>
      <c r="E1174" s="25" t="s">
        <v>82</v>
      </c>
      <c r="F1174" t="str">
        <f>'Source Table'!$C$6</f>
        <v>Others</v>
      </c>
      <c r="G1174" t="str">
        <f>'Source Table'!$C$5</f>
        <v>آخرون</v>
      </c>
      <c r="H1174" t="str">
        <f>'Source Table'!$H$8</f>
        <v>Male</v>
      </c>
      <c r="I1174" s="25" t="str">
        <f>'Source Table'!$H$7</f>
        <v>ذكر</v>
      </c>
      <c r="J1174" s="25" t="str">
        <f>'Source Table'!$B$29</f>
        <v xml:space="preserve">Family </v>
      </c>
      <c r="K1174" s="25" t="str">
        <f>'Source Table'!$I$29</f>
        <v>طب أسرة</v>
      </c>
      <c r="L1174" s="39">
        <v>17</v>
      </c>
      <c r="M1174">
        <v>2016</v>
      </c>
    </row>
    <row r="1175" spans="1:13" ht="15">
      <c r="A1175" t="s">
        <v>153</v>
      </c>
      <c r="B1175" t="s">
        <v>154</v>
      </c>
      <c r="C1175" s="15" t="s">
        <v>30</v>
      </c>
      <c r="D1175" s="23" t="s">
        <v>81</v>
      </c>
      <c r="E1175" s="25" t="s">
        <v>82</v>
      </c>
      <c r="F1175" t="str">
        <f>'Source Table'!$C$6</f>
        <v>Others</v>
      </c>
      <c r="G1175" t="str">
        <f>'Source Table'!$C$5</f>
        <v>آخرون</v>
      </c>
      <c r="H1175" t="str">
        <f>'Source Table'!$H$8</f>
        <v>Male</v>
      </c>
      <c r="I1175" s="25" t="str">
        <f>'Source Table'!$H$7</f>
        <v>ذكر</v>
      </c>
      <c r="J1175" s="25" t="str">
        <f>'Source Table'!$B$30</f>
        <v>Urologist</v>
      </c>
      <c r="K1175" s="25" t="str">
        <f>'Source Table'!$I$30</f>
        <v xml:space="preserve">المسالك البولية </v>
      </c>
      <c r="L1175" s="39">
        <v>21</v>
      </c>
      <c r="M1175">
        <v>2016</v>
      </c>
    </row>
    <row r="1176" spans="1:13" ht="15">
      <c r="A1176" t="s">
        <v>153</v>
      </c>
      <c r="B1176" t="s">
        <v>154</v>
      </c>
      <c r="C1176" s="15" t="s">
        <v>30</v>
      </c>
      <c r="D1176" s="23" t="s">
        <v>81</v>
      </c>
      <c r="E1176" s="25" t="s">
        <v>82</v>
      </c>
      <c r="F1176" t="str">
        <f>'Source Table'!$C$6</f>
        <v>Others</v>
      </c>
      <c r="G1176" t="str">
        <f>'Source Table'!$C$5</f>
        <v>آخرون</v>
      </c>
      <c r="H1176" t="str">
        <f>'Source Table'!$H$8</f>
        <v>Male</v>
      </c>
      <c r="I1176" s="25" t="str">
        <f>'Source Table'!$H$7</f>
        <v>ذكر</v>
      </c>
      <c r="J1176" s="25" t="str">
        <f>'Source Table'!$B$31</f>
        <v>Cardiology</v>
      </c>
      <c r="K1176" s="25" t="str">
        <f>'Source Table'!$I$31</f>
        <v>أمراض القلب</v>
      </c>
      <c r="L1176" s="39">
        <v>14</v>
      </c>
      <c r="M1176">
        <v>2016</v>
      </c>
    </row>
    <row r="1177" spans="1:13" ht="15">
      <c r="A1177" t="s">
        <v>153</v>
      </c>
      <c r="B1177" t="s">
        <v>154</v>
      </c>
      <c r="C1177" s="15" t="s">
        <v>30</v>
      </c>
      <c r="D1177" s="23" t="s">
        <v>81</v>
      </c>
      <c r="E1177" s="25" t="s">
        <v>82</v>
      </c>
      <c r="F1177" t="str">
        <f>'Source Table'!$C$6</f>
        <v>Others</v>
      </c>
      <c r="G1177" t="str">
        <f>'Source Table'!$C$5</f>
        <v>آخرون</v>
      </c>
      <c r="H1177" t="str">
        <f>'Source Table'!$H$8</f>
        <v>Male</v>
      </c>
      <c r="I1177" s="25" t="str">
        <f>'Source Table'!$H$7</f>
        <v>ذكر</v>
      </c>
      <c r="J1177" s="25" t="str">
        <f>'Source Table'!$B$32</f>
        <v>Laboratory</v>
      </c>
      <c r="K1177" s="25" t="str">
        <f>'Source Table'!$I$32</f>
        <v>مختبرات</v>
      </c>
      <c r="L1177" s="39">
        <v>7</v>
      </c>
      <c r="M1177">
        <v>2016</v>
      </c>
    </row>
    <row r="1178" spans="1:13" ht="15">
      <c r="A1178" t="s">
        <v>153</v>
      </c>
      <c r="B1178" t="s">
        <v>154</v>
      </c>
      <c r="C1178" s="15" t="s">
        <v>30</v>
      </c>
      <c r="D1178" s="23" t="s">
        <v>81</v>
      </c>
      <c r="E1178" s="25" t="s">
        <v>82</v>
      </c>
      <c r="F1178" t="str">
        <f>'Source Table'!$C$6</f>
        <v>Others</v>
      </c>
      <c r="G1178" t="str">
        <f>'Source Table'!$C$5</f>
        <v>آخرون</v>
      </c>
      <c r="H1178" t="str">
        <f>'Source Table'!$H$8</f>
        <v>Male</v>
      </c>
      <c r="I1178" s="25" t="str">
        <f>'Source Table'!$H$7</f>
        <v>ذكر</v>
      </c>
      <c r="J1178" s="25" t="str">
        <f>'Source Table'!$B$33</f>
        <v>Others</v>
      </c>
      <c r="K1178" s="25" t="str">
        <f>'Source Table'!$I$33</f>
        <v>أخرى</v>
      </c>
      <c r="L1178" s="43">
        <v>38</v>
      </c>
      <c r="M1178">
        <v>2016</v>
      </c>
    </row>
    <row r="1179" spans="1:13" ht="15">
      <c r="A1179" t="s">
        <v>153</v>
      </c>
      <c r="B1179" t="s">
        <v>154</v>
      </c>
      <c r="C1179" s="15" t="s">
        <v>30</v>
      </c>
      <c r="D1179" s="23" t="s">
        <v>81</v>
      </c>
      <c r="E1179" s="25" t="s">
        <v>82</v>
      </c>
      <c r="F1179" t="str">
        <f>'Source Table'!$C$6</f>
        <v>Others</v>
      </c>
      <c r="G1179" t="str">
        <f>'Source Table'!$C$5</f>
        <v>آخرون</v>
      </c>
      <c r="H1179" t="str">
        <f>'Source Table'!$G$8</f>
        <v>Female</v>
      </c>
      <c r="I1179" s="16" t="str">
        <f>'Source Table'!$G$7</f>
        <v>أنثى</v>
      </c>
      <c r="J1179" s="25" t="str">
        <f>'Source Table'!$B$9</f>
        <v>General Practitioner</v>
      </c>
      <c r="K1179" s="25" t="str">
        <f>'Source Table'!$I$9</f>
        <v>طبيب عام</v>
      </c>
      <c r="L1179" s="39">
        <v>1860</v>
      </c>
      <c r="M1179">
        <v>2016</v>
      </c>
    </row>
    <row r="1180" spans="1:13" ht="15">
      <c r="A1180" t="s">
        <v>153</v>
      </c>
      <c r="B1180" t="s">
        <v>154</v>
      </c>
      <c r="C1180" s="15" t="s">
        <v>30</v>
      </c>
      <c r="D1180" s="23" t="s">
        <v>81</v>
      </c>
      <c r="E1180" s="25" t="s">
        <v>82</v>
      </c>
      <c r="F1180" t="str">
        <f>'Source Table'!$C$6</f>
        <v>Others</v>
      </c>
      <c r="G1180" t="str">
        <f>'Source Table'!$C$5</f>
        <v>آخرون</v>
      </c>
      <c r="H1180" t="str">
        <f>'Source Table'!$G$8</f>
        <v>Female</v>
      </c>
      <c r="I1180" s="16" t="str">
        <f>'Source Table'!$G$7</f>
        <v>أنثى</v>
      </c>
      <c r="J1180" s="25" t="str">
        <f>'Source Table'!$B$10</f>
        <v>Surgeon</v>
      </c>
      <c r="K1180" s="25" t="str">
        <f>'Source Table'!$I$10</f>
        <v>جراحة عامة</v>
      </c>
      <c r="L1180" s="40">
        <v>6</v>
      </c>
      <c r="M1180">
        <v>2016</v>
      </c>
    </row>
    <row r="1181" spans="1:13" ht="15">
      <c r="A1181" t="s">
        <v>153</v>
      </c>
      <c r="B1181" t="s">
        <v>154</v>
      </c>
      <c r="C1181" s="15" t="s">
        <v>30</v>
      </c>
      <c r="D1181" s="23" t="s">
        <v>81</v>
      </c>
      <c r="E1181" s="25" t="s">
        <v>82</v>
      </c>
      <c r="F1181" t="str">
        <f>'Source Table'!$C$6</f>
        <v>Others</v>
      </c>
      <c r="G1181" t="str">
        <f>'Source Table'!$C$5</f>
        <v>آخرون</v>
      </c>
      <c r="H1181" t="str">
        <f>'Source Table'!$G$8</f>
        <v>Female</v>
      </c>
      <c r="I1181" s="16" t="str">
        <f>'Source Table'!$G$7</f>
        <v>أنثى</v>
      </c>
      <c r="J1181" s="25" t="str">
        <f>'Source Table'!$B$11</f>
        <v>Internist</v>
      </c>
      <c r="K1181" s="25" t="str">
        <f>'Source Table'!$I$11</f>
        <v>باطنية</v>
      </c>
      <c r="L1181" s="40">
        <v>16</v>
      </c>
      <c r="M1181">
        <v>2016</v>
      </c>
    </row>
    <row r="1182" spans="1:13" ht="15">
      <c r="A1182" t="s">
        <v>153</v>
      </c>
      <c r="B1182" t="s">
        <v>154</v>
      </c>
      <c r="C1182" s="15" t="s">
        <v>30</v>
      </c>
      <c r="D1182" s="23" t="s">
        <v>81</v>
      </c>
      <c r="E1182" s="25" t="s">
        <v>82</v>
      </c>
      <c r="F1182" t="str">
        <f>'Source Table'!$C$6</f>
        <v>Others</v>
      </c>
      <c r="G1182" t="str">
        <f>'Source Table'!$C$5</f>
        <v>آخرون</v>
      </c>
      <c r="H1182" t="str">
        <f>'Source Table'!$G$8</f>
        <v>Female</v>
      </c>
      <c r="I1182" s="16" t="str">
        <f>'Source Table'!$G$7</f>
        <v>أنثى</v>
      </c>
      <c r="J1182" s="25" t="str">
        <f>'Source Table'!$B$12</f>
        <v>Gynecologist and Obst.</v>
      </c>
      <c r="K1182" s="25" t="str">
        <f>'Source Table'!$I$12</f>
        <v>نسائية وتوليد</v>
      </c>
      <c r="L1182" s="40">
        <v>58</v>
      </c>
      <c r="M1182">
        <v>2016</v>
      </c>
    </row>
    <row r="1183" spans="1:13" ht="15">
      <c r="A1183" t="s">
        <v>153</v>
      </c>
      <c r="B1183" t="s">
        <v>154</v>
      </c>
      <c r="C1183" s="15" t="s">
        <v>30</v>
      </c>
      <c r="D1183" s="23" t="s">
        <v>81</v>
      </c>
      <c r="E1183" s="25" t="s">
        <v>82</v>
      </c>
      <c r="F1183" t="str">
        <f>'Source Table'!$C$6</f>
        <v>Others</v>
      </c>
      <c r="G1183" t="str">
        <f>'Source Table'!$C$5</f>
        <v>آخرون</v>
      </c>
      <c r="H1183" t="str">
        <f>'Source Table'!$G$8</f>
        <v>Female</v>
      </c>
      <c r="I1183" s="16" t="str">
        <f>'Source Table'!$G$7</f>
        <v>أنثى</v>
      </c>
      <c r="J1183" s="25" t="str">
        <f>'Source Table'!$B$13</f>
        <v>Pediatrics</v>
      </c>
      <c r="K1183" s="25" t="str">
        <f>'Source Table'!$I$13</f>
        <v>أطفال</v>
      </c>
      <c r="L1183" s="40">
        <v>40</v>
      </c>
      <c r="M1183">
        <v>2016</v>
      </c>
    </row>
    <row r="1184" spans="1:13" ht="15">
      <c r="A1184" t="s">
        <v>153</v>
      </c>
      <c r="B1184" t="s">
        <v>154</v>
      </c>
      <c r="C1184" s="15" t="s">
        <v>30</v>
      </c>
      <c r="D1184" s="23" t="s">
        <v>81</v>
      </c>
      <c r="E1184" s="25" t="s">
        <v>82</v>
      </c>
      <c r="F1184" t="str">
        <f>'Source Table'!$C$6</f>
        <v>Others</v>
      </c>
      <c r="G1184" t="str">
        <f>'Source Table'!$C$5</f>
        <v>آخرون</v>
      </c>
      <c r="H1184" t="str">
        <f>'Source Table'!$G$8</f>
        <v>Female</v>
      </c>
      <c r="I1184" s="16" t="str">
        <f>'Source Table'!$G$7</f>
        <v>أنثى</v>
      </c>
      <c r="J1184" s="25" t="str">
        <f>'Source Table'!$B$14</f>
        <v>Ophthalmologist</v>
      </c>
      <c r="K1184" s="25" t="str">
        <f>'Source Table'!$I$14</f>
        <v>العيون</v>
      </c>
      <c r="L1184" s="40">
        <v>10</v>
      </c>
      <c r="M1184">
        <v>2016</v>
      </c>
    </row>
    <row r="1185" spans="1:13" ht="15">
      <c r="A1185" t="s">
        <v>153</v>
      </c>
      <c r="B1185" t="s">
        <v>154</v>
      </c>
      <c r="C1185" s="15" t="s">
        <v>30</v>
      </c>
      <c r="D1185" s="23" t="s">
        <v>81</v>
      </c>
      <c r="E1185" s="25" t="s">
        <v>82</v>
      </c>
      <c r="F1185" t="str">
        <f>'Source Table'!$C$6</f>
        <v>Others</v>
      </c>
      <c r="G1185" t="str">
        <f>'Source Table'!$C$5</f>
        <v>آخرون</v>
      </c>
      <c r="H1185" t="str">
        <f>'Source Table'!$G$8</f>
        <v>Female</v>
      </c>
      <c r="I1185" s="16" t="str">
        <f>'Source Table'!$G$7</f>
        <v>أنثى</v>
      </c>
      <c r="J1185" s="25" t="str">
        <f>'Source Table'!$B$15</f>
        <v>Orthopedic Surg.</v>
      </c>
      <c r="K1185" s="25" t="str">
        <f>'Source Table'!$I$15</f>
        <v>العظام</v>
      </c>
      <c r="L1185" s="40">
        <v>1</v>
      </c>
      <c r="M1185">
        <v>2016</v>
      </c>
    </row>
    <row r="1186" spans="1:13" ht="15">
      <c r="A1186" t="s">
        <v>153</v>
      </c>
      <c r="B1186" t="s">
        <v>154</v>
      </c>
      <c r="C1186" s="15" t="s">
        <v>30</v>
      </c>
      <c r="D1186" s="23" t="s">
        <v>81</v>
      </c>
      <c r="E1186" s="25" t="s">
        <v>82</v>
      </c>
      <c r="F1186" t="str">
        <f>'Source Table'!$C$6</f>
        <v>Others</v>
      </c>
      <c r="G1186" t="str">
        <f>'Source Table'!$C$5</f>
        <v>آخرون</v>
      </c>
      <c r="H1186" t="str">
        <f>'Source Table'!$G$8</f>
        <v>Female</v>
      </c>
      <c r="I1186" s="16" t="str">
        <f>'Source Table'!$G$7</f>
        <v>أنثى</v>
      </c>
      <c r="J1186" s="25" t="str">
        <f>'Source Table'!$B$16</f>
        <v>E.N.T.Surg.</v>
      </c>
      <c r="K1186" s="25" t="str">
        <f>'Source Table'!$I$16</f>
        <v>أذن وأنف وحنجرة</v>
      </c>
      <c r="L1186" s="40">
        <v>3</v>
      </c>
      <c r="M1186">
        <v>2016</v>
      </c>
    </row>
    <row r="1187" spans="1:13" ht="15">
      <c r="A1187" t="s">
        <v>153</v>
      </c>
      <c r="B1187" t="s">
        <v>154</v>
      </c>
      <c r="C1187" s="15" t="s">
        <v>30</v>
      </c>
      <c r="D1187" s="23" t="s">
        <v>81</v>
      </c>
      <c r="E1187" s="25" t="s">
        <v>82</v>
      </c>
      <c r="F1187" t="str">
        <f>'Source Table'!$C$6</f>
        <v>Others</v>
      </c>
      <c r="G1187" t="str">
        <f>'Source Table'!$C$5</f>
        <v>آخرون</v>
      </c>
      <c r="H1187" t="str">
        <f>'Source Table'!$G$8</f>
        <v>Female</v>
      </c>
      <c r="I1187" s="16" t="str">
        <f>'Source Table'!$G$7</f>
        <v>أنثى</v>
      </c>
      <c r="J1187" s="25" t="str">
        <f>'Source Table'!$B$17</f>
        <v>Neurosurgery</v>
      </c>
      <c r="K1187" s="25" t="str">
        <f>'Source Table'!$I$17</f>
        <v>جراحةأعصاب</v>
      </c>
      <c r="L1187" s="39">
        <v>0</v>
      </c>
      <c r="M1187">
        <v>2016</v>
      </c>
    </row>
    <row r="1188" spans="1:13" ht="15">
      <c r="A1188" t="s">
        <v>153</v>
      </c>
      <c r="B1188" t="s">
        <v>154</v>
      </c>
      <c r="C1188" s="15" t="s">
        <v>30</v>
      </c>
      <c r="D1188" s="23" t="s">
        <v>81</v>
      </c>
      <c r="E1188" s="25" t="s">
        <v>82</v>
      </c>
      <c r="F1188" t="str">
        <f>'Source Table'!$C$6</f>
        <v>Others</v>
      </c>
      <c r="G1188" t="str">
        <f>'Source Table'!$C$5</f>
        <v>آخرون</v>
      </c>
      <c r="H1188" t="str">
        <f>'Source Table'!$G$8</f>
        <v>Female</v>
      </c>
      <c r="I1188" s="16" t="str">
        <f>'Source Table'!$G$7</f>
        <v>أنثى</v>
      </c>
      <c r="J1188" s="25" t="str">
        <f>'Source Table'!$B$18</f>
        <v>Cardiothoracic</v>
      </c>
      <c r="K1188" s="25" t="str">
        <f>'Source Table'!$I$18</f>
        <v>جراحة قلب</v>
      </c>
      <c r="L1188" s="39">
        <v>0</v>
      </c>
      <c r="M1188">
        <v>2016</v>
      </c>
    </row>
    <row r="1189" spans="1:13" ht="15">
      <c r="A1189" t="s">
        <v>153</v>
      </c>
      <c r="B1189" t="s">
        <v>154</v>
      </c>
      <c r="C1189" s="15" t="s">
        <v>30</v>
      </c>
      <c r="D1189" s="23" t="s">
        <v>81</v>
      </c>
      <c r="E1189" s="25" t="s">
        <v>82</v>
      </c>
      <c r="F1189" t="str">
        <f>'Source Table'!$C$6</f>
        <v>Others</v>
      </c>
      <c r="G1189" t="str">
        <f>'Source Table'!$C$5</f>
        <v>آخرون</v>
      </c>
      <c r="H1189" t="str">
        <f>'Source Table'!$G$8</f>
        <v>Female</v>
      </c>
      <c r="I1189" s="16" t="str">
        <f>'Source Table'!$G$7</f>
        <v>أنثى</v>
      </c>
      <c r="J1189" s="25" t="str">
        <f>'Source Table'!$B$19</f>
        <v>Plastic Surgeon</v>
      </c>
      <c r="K1189" s="25" t="str">
        <f>'Source Table'!$I$19</f>
        <v>التجميل</v>
      </c>
      <c r="L1189" s="39">
        <v>0</v>
      </c>
      <c r="M1189">
        <v>2016</v>
      </c>
    </row>
    <row r="1190" spans="1:13" ht="15">
      <c r="A1190" t="s">
        <v>153</v>
      </c>
      <c r="B1190" t="s">
        <v>154</v>
      </c>
      <c r="C1190" s="15" t="s">
        <v>30</v>
      </c>
      <c r="D1190" s="23" t="s">
        <v>81</v>
      </c>
      <c r="E1190" s="25" t="s">
        <v>82</v>
      </c>
      <c r="F1190" t="str">
        <f>'Source Table'!$C$6</f>
        <v>Others</v>
      </c>
      <c r="G1190" t="str">
        <f>'Source Table'!$C$5</f>
        <v>آخرون</v>
      </c>
      <c r="H1190" t="str">
        <f>'Source Table'!$G$8</f>
        <v>Female</v>
      </c>
      <c r="I1190" s="16" t="str">
        <f>'Source Table'!$G$7</f>
        <v>أنثى</v>
      </c>
      <c r="J1190" s="25" t="str">
        <f>'Source Table'!$B$20</f>
        <v>Psychiatry</v>
      </c>
      <c r="K1190" s="25" t="str">
        <f>'Source Table'!$I$20</f>
        <v>النفسية</v>
      </c>
      <c r="L1190" s="39">
        <v>0</v>
      </c>
      <c r="M1190">
        <v>2016</v>
      </c>
    </row>
    <row r="1191" spans="1:13" ht="15">
      <c r="A1191" t="s">
        <v>153</v>
      </c>
      <c r="B1191" t="s">
        <v>154</v>
      </c>
      <c r="C1191" s="15" t="s">
        <v>30</v>
      </c>
      <c r="D1191" s="23" t="s">
        <v>81</v>
      </c>
      <c r="E1191" s="25" t="s">
        <v>82</v>
      </c>
      <c r="F1191" t="str">
        <f>'Source Table'!$C$6</f>
        <v>Others</v>
      </c>
      <c r="G1191" t="str">
        <f>'Source Table'!$C$5</f>
        <v>آخرون</v>
      </c>
      <c r="H1191" t="str">
        <f>'Source Table'!$G$8</f>
        <v>Female</v>
      </c>
      <c r="I1191" s="16" t="str">
        <f>'Source Table'!$G$7</f>
        <v>أنثى</v>
      </c>
      <c r="J1191" s="25" t="str">
        <f>'Source Table'!$B$21</f>
        <v>Dermatologist Venereal</v>
      </c>
      <c r="K1191" s="25" t="str">
        <f>'Source Table'!$I$21</f>
        <v>جلدية وتناسلية</v>
      </c>
      <c r="L1191" s="40">
        <v>17</v>
      </c>
      <c r="M1191">
        <v>2016</v>
      </c>
    </row>
    <row r="1192" spans="1:13" ht="15">
      <c r="A1192" t="s">
        <v>153</v>
      </c>
      <c r="B1192" t="s">
        <v>154</v>
      </c>
      <c r="C1192" s="15" t="s">
        <v>30</v>
      </c>
      <c r="D1192" s="23" t="s">
        <v>81</v>
      </c>
      <c r="E1192" s="25" t="s">
        <v>82</v>
      </c>
      <c r="F1192" t="str">
        <f>'Source Table'!$C$6</f>
        <v>Others</v>
      </c>
      <c r="G1192" t="str">
        <f>'Source Table'!$C$5</f>
        <v>آخرون</v>
      </c>
      <c r="H1192" t="str">
        <f>'Source Table'!$G$8</f>
        <v>Female</v>
      </c>
      <c r="I1192" s="16" t="str">
        <f>'Source Table'!$G$7</f>
        <v>أنثى</v>
      </c>
      <c r="J1192" s="25" t="str">
        <f>'Source Table'!$B$22</f>
        <v>Neurology/ Nervous</v>
      </c>
      <c r="K1192" s="25" t="str">
        <f>'Source Table'!$I$22</f>
        <v>مرض الأعصاب</v>
      </c>
      <c r="L1192" s="40">
        <v>0</v>
      </c>
      <c r="M1192">
        <v>2016</v>
      </c>
    </row>
    <row r="1193" spans="1:13" ht="15">
      <c r="A1193" t="s">
        <v>153</v>
      </c>
      <c r="B1193" t="s">
        <v>154</v>
      </c>
      <c r="C1193" s="15" t="s">
        <v>30</v>
      </c>
      <c r="D1193" s="23" t="s">
        <v>81</v>
      </c>
      <c r="E1193" s="25" t="s">
        <v>82</v>
      </c>
      <c r="F1193" t="str">
        <f>'Source Table'!$C$6</f>
        <v>Others</v>
      </c>
      <c r="G1193" t="str">
        <f>'Source Table'!$C$5</f>
        <v>آخرون</v>
      </c>
      <c r="H1193" t="str">
        <f>'Source Table'!$G$8</f>
        <v>Female</v>
      </c>
      <c r="I1193" s="16" t="str">
        <f>'Source Table'!$G$7</f>
        <v>أنثى</v>
      </c>
      <c r="J1193" s="25" t="str">
        <f>'Source Table'!$B$23</f>
        <v>Pumologist</v>
      </c>
      <c r="K1193" s="25" t="str">
        <f>'Source Table'!$I$23</f>
        <v>صدرية</v>
      </c>
      <c r="L1193" s="40">
        <v>1</v>
      </c>
      <c r="M1193">
        <v>2016</v>
      </c>
    </row>
    <row r="1194" spans="1:13" ht="15">
      <c r="A1194" t="s">
        <v>153</v>
      </c>
      <c r="B1194" t="s">
        <v>154</v>
      </c>
      <c r="C1194" s="15" t="s">
        <v>30</v>
      </c>
      <c r="D1194" s="23" t="s">
        <v>81</v>
      </c>
      <c r="E1194" s="25" t="s">
        <v>82</v>
      </c>
      <c r="F1194" t="str">
        <f>'Source Table'!$C$6</f>
        <v>Others</v>
      </c>
      <c r="G1194" t="str">
        <f>'Source Table'!$C$5</f>
        <v>آخرون</v>
      </c>
      <c r="H1194" t="str">
        <f>'Source Table'!$G$8</f>
        <v>Female</v>
      </c>
      <c r="I1194" s="16" t="str">
        <f>'Source Table'!$G$7</f>
        <v>أنثى</v>
      </c>
      <c r="J1194" s="25" t="str">
        <f>'Source Table'!$B$24</f>
        <v>G.I.T. Specialist</v>
      </c>
      <c r="K1194" s="25" t="str">
        <f>'Source Table'!$I$24</f>
        <v>جهاز هضمي</v>
      </c>
      <c r="L1194" s="40">
        <v>1</v>
      </c>
      <c r="M1194">
        <v>2016</v>
      </c>
    </row>
    <row r="1195" spans="1:13" ht="15">
      <c r="A1195" t="s">
        <v>153</v>
      </c>
      <c r="B1195" t="s">
        <v>154</v>
      </c>
      <c r="C1195" s="15" t="s">
        <v>30</v>
      </c>
      <c r="D1195" s="23" t="s">
        <v>81</v>
      </c>
      <c r="E1195" s="25" t="s">
        <v>82</v>
      </c>
      <c r="F1195" t="str">
        <f>'Source Table'!$C$6</f>
        <v>Others</v>
      </c>
      <c r="G1195" t="str">
        <f>'Source Table'!$C$5</f>
        <v>آخرون</v>
      </c>
      <c r="H1195" t="str">
        <f>'Source Table'!$G$8</f>
        <v>Female</v>
      </c>
      <c r="I1195" s="16" t="str">
        <f>'Source Table'!$G$7</f>
        <v>أنثى</v>
      </c>
      <c r="J1195" s="25" t="str">
        <f>'Source Table'!$B$25</f>
        <v>Diagnostic Radiology</v>
      </c>
      <c r="K1195" s="25" t="str">
        <f>'Source Table'!$I$25</f>
        <v>أشعة تشخيصية</v>
      </c>
      <c r="L1195" s="40">
        <v>13</v>
      </c>
      <c r="M1195">
        <v>2016</v>
      </c>
    </row>
    <row r="1196" spans="1:13" ht="15">
      <c r="A1196" t="s">
        <v>153</v>
      </c>
      <c r="B1196" t="s">
        <v>154</v>
      </c>
      <c r="C1196" s="15" t="s">
        <v>30</v>
      </c>
      <c r="D1196" s="23" t="s">
        <v>81</v>
      </c>
      <c r="E1196" s="25" t="s">
        <v>82</v>
      </c>
      <c r="F1196" t="str">
        <f>'Source Table'!$C$6</f>
        <v>Others</v>
      </c>
      <c r="G1196" t="str">
        <f>'Source Table'!$C$5</f>
        <v>آخرون</v>
      </c>
      <c r="H1196" t="str">
        <f>'Source Table'!$G$8</f>
        <v>Female</v>
      </c>
      <c r="I1196" s="16" t="str">
        <f>'Source Table'!$G$7</f>
        <v>أنثى</v>
      </c>
      <c r="J1196" s="25" t="str">
        <f>'Source Table'!$B$26</f>
        <v>Anesthetic</v>
      </c>
      <c r="K1196" s="25" t="str">
        <f>'Source Table'!$I$26</f>
        <v>تخدير وإنعاش</v>
      </c>
      <c r="L1196" s="40">
        <v>3</v>
      </c>
      <c r="M1196">
        <v>2016</v>
      </c>
    </row>
    <row r="1197" spans="1:13" ht="15">
      <c r="A1197" t="s">
        <v>153</v>
      </c>
      <c r="B1197" t="s">
        <v>154</v>
      </c>
      <c r="C1197" s="15" t="s">
        <v>30</v>
      </c>
      <c r="D1197" s="23" t="s">
        <v>81</v>
      </c>
      <c r="E1197" s="25" t="s">
        <v>82</v>
      </c>
      <c r="F1197" t="str">
        <f>'Source Table'!$C$6</f>
        <v>Others</v>
      </c>
      <c r="G1197" t="str">
        <f>'Source Table'!$C$5</f>
        <v>آخرون</v>
      </c>
      <c r="H1197" t="str">
        <f>'Source Table'!$G$8</f>
        <v>Female</v>
      </c>
      <c r="I1197" s="16" t="str">
        <f>'Source Table'!$G$7</f>
        <v>أنثى</v>
      </c>
      <c r="J1197" s="25" t="str">
        <f>'Source Table'!$B$27</f>
        <v>Physiotherapist</v>
      </c>
      <c r="K1197" s="25" t="str">
        <f>'Source Table'!$I$27</f>
        <v>طب طبيعي</v>
      </c>
      <c r="L1197" s="39">
        <v>0</v>
      </c>
      <c r="M1197">
        <v>2016</v>
      </c>
    </row>
    <row r="1198" spans="1:13" ht="15">
      <c r="A1198" t="s">
        <v>153</v>
      </c>
      <c r="B1198" t="s">
        <v>154</v>
      </c>
      <c r="C1198" s="15" t="s">
        <v>30</v>
      </c>
      <c r="D1198" s="23" t="s">
        <v>81</v>
      </c>
      <c r="E1198" s="25" t="s">
        <v>82</v>
      </c>
      <c r="F1198" t="str">
        <f>'Source Table'!$C$6</f>
        <v>Others</v>
      </c>
      <c r="G1198" t="str">
        <f>'Source Table'!$C$5</f>
        <v>آخرون</v>
      </c>
      <c r="H1198" t="str">
        <f>'Source Table'!$G$8</f>
        <v>Female</v>
      </c>
      <c r="I1198" s="16" t="str">
        <f>'Source Table'!$G$7</f>
        <v>أنثى</v>
      </c>
      <c r="J1198" s="25" t="str">
        <f>'Source Table'!$B$28</f>
        <v>Forensic</v>
      </c>
      <c r="K1198" s="25" t="str">
        <f>'Source Table'!$I$28</f>
        <v>طب شرعي</v>
      </c>
      <c r="L1198" s="39">
        <v>0</v>
      </c>
      <c r="M1198">
        <v>2016</v>
      </c>
    </row>
    <row r="1199" spans="1:13" ht="15">
      <c r="A1199" t="s">
        <v>153</v>
      </c>
      <c r="B1199" t="s">
        <v>154</v>
      </c>
      <c r="C1199" s="15" t="s">
        <v>30</v>
      </c>
      <c r="D1199" s="23" t="s">
        <v>81</v>
      </c>
      <c r="E1199" s="25" t="s">
        <v>82</v>
      </c>
      <c r="F1199" t="str">
        <f>'Source Table'!$C$6</f>
        <v>Others</v>
      </c>
      <c r="G1199" t="str">
        <f>'Source Table'!$C$5</f>
        <v>آخرون</v>
      </c>
      <c r="H1199" t="str">
        <f>'Source Table'!$G$8</f>
        <v>Female</v>
      </c>
      <c r="I1199" s="16" t="str">
        <f>'Source Table'!$G$7</f>
        <v>أنثى</v>
      </c>
      <c r="J1199" s="25" t="str">
        <f>'Source Table'!$B$29</f>
        <v xml:space="preserve">Family </v>
      </c>
      <c r="K1199" s="25" t="str">
        <f>'Source Table'!$I$29</f>
        <v>طب أسرة</v>
      </c>
      <c r="L1199" s="40">
        <v>10</v>
      </c>
      <c r="M1199">
        <v>2016</v>
      </c>
    </row>
    <row r="1200" spans="1:13" ht="15">
      <c r="A1200" t="s">
        <v>153</v>
      </c>
      <c r="B1200" t="s">
        <v>154</v>
      </c>
      <c r="C1200" s="15" t="s">
        <v>30</v>
      </c>
      <c r="D1200" s="23" t="s">
        <v>81</v>
      </c>
      <c r="E1200" s="25" t="s">
        <v>82</v>
      </c>
      <c r="F1200" t="str">
        <f>'Source Table'!$C$6</f>
        <v>Others</v>
      </c>
      <c r="G1200" t="str">
        <f>'Source Table'!$C$5</f>
        <v>آخرون</v>
      </c>
      <c r="H1200" t="str">
        <f>'Source Table'!$G$8</f>
        <v>Female</v>
      </c>
      <c r="I1200" s="16" t="str">
        <f>'Source Table'!$G$7</f>
        <v>أنثى</v>
      </c>
      <c r="J1200" s="25" t="str">
        <f>'Source Table'!$B$30</f>
        <v>Urologist</v>
      </c>
      <c r="K1200" s="25" t="str">
        <f>'Source Table'!$I$30</f>
        <v xml:space="preserve">المسالك البولية </v>
      </c>
      <c r="L1200" s="40">
        <v>0</v>
      </c>
      <c r="M1200">
        <v>2016</v>
      </c>
    </row>
    <row r="1201" spans="1:13" ht="15">
      <c r="A1201" t="s">
        <v>153</v>
      </c>
      <c r="B1201" t="s">
        <v>154</v>
      </c>
      <c r="C1201" s="15" t="s">
        <v>30</v>
      </c>
      <c r="D1201" s="23" t="s">
        <v>81</v>
      </c>
      <c r="E1201" s="25" t="s">
        <v>82</v>
      </c>
      <c r="F1201" t="str">
        <f>'Source Table'!$C$6</f>
        <v>Others</v>
      </c>
      <c r="G1201" t="str">
        <f>'Source Table'!$C$5</f>
        <v>آخرون</v>
      </c>
      <c r="H1201" t="str">
        <f>'Source Table'!$G$8</f>
        <v>Female</v>
      </c>
      <c r="I1201" s="16" t="str">
        <f>'Source Table'!$G$7</f>
        <v>أنثى</v>
      </c>
      <c r="J1201" s="25" t="str">
        <f>'Source Table'!$B$31</f>
        <v>Cardiology</v>
      </c>
      <c r="K1201" s="25" t="str">
        <f>'Source Table'!$I$31</f>
        <v>أمراض القلب</v>
      </c>
      <c r="L1201" s="40">
        <v>1</v>
      </c>
      <c r="M1201">
        <v>2016</v>
      </c>
    </row>
    <row r="1202" spans="1:13" ht="15">
      <c r="A1202" t="s">
        <v>153</v>
      </c>
      <c r="B1202" t="s">
        <v>154</v>
      </c>
      <c r="C1202" s="15" t="s">
        <v>30</v>
      </c>
      <c r="D1202" s="23" t="s">
        <v>81</v>
      </c>
      <c r="E1202" s="25" t="s">
        <v>82</v>
      </c>
      <c r="F1202" t="str">
        <f>'Source Table'!$C$6</f>
        <v>Others</v>
      </c>
      <c r="G1202" t="str">
        <f>'Source Table'!$C$5</f>
        <v>آخرون</v>
      </c>
      <c r="H1202" t="str">
        <f>'Source Table'!$G$8</f>
        <v>Female</v>
      </c>
      <c r="I1202" s="16" t="str">
        <f>'Source Table'!$G$7</f>
        <v>أنثى</v>
      </c>
      <c r="J1202" s="25" t="str">
        <f>'Source Table'!$B$32</f>
        <v>Laboratory</v>
      </c>
      <c r="K1202" s="25" t="str">
        <f>'Source Table'!$I$32</f>
        <v>مختبرات</v>
      </c>
      <c r="L1202" s="40">
        <v>1</v>
      </c>
      <c r="M1202">
        <v>2016</v>
      </c>
    </row>
    <row r="1203" spans="1:13" ht="15">
      <c r="A1203" t="s">
        <v>153</v>
      </c>
      <c r="B1203" t="s">
        <v>154</v>
      </c>
      <c r="C1203" s="15" t="s">
        <v>30</v>
      </c>
      <c r="D1203" s="23" t="s">
        <v>81</v>
      </c>
      <c r="E1203" s="25" t="s">
        <v>82</v>
      </c>
      <c r="F1203" t="str">
        <f>'Source Table'!$C$6</f>
        <v>Others</v>
      </c>
      <c r="G1203" t="str">
        <f>'Source Table'!$C$5</f>
        <v>آخرون</v>
      </c>
      <c r="H1203" t="str">
        <f>'Source Table'!$G$8</f>
        <v>Female</v>
      </c>
      <c r="I1203" s="16" t="str">
        <f>'Source Table'!$G$7</f>
        <v>أنثى</v>
      </c>
      <c r="J1203" s="25" t="str">
        <f>'Source Table'!$B$33</f>
        <v>Others</v>
      </c>
      <c r="K1203" s="25" t="str">
        <f>'Source Table'!$I$33</f>
        <v>أخرى</v>
      </c>
      <c r="L1203" s="43">
        <v>14</v>
      </c>
      <c r="M1203">
        <v>2016</v>
      </c>
    </row>
    <row r="1204" spans="1:13" ht="15">
      <c r="A1204" t="s">
        <v>153</v>
      </c>
      <c r="B1204" t="s">
        <v>154</v>
      </c>
      <c r="C1204" s="15" t="s">
        <v>30</v>
      </c>
      <c r="D1204" s="23" t="s">
        <v>81</v>
      </c>
      <c r="E1204" s="25" t="s">
        <v>82</v>
      </c>
      <c r="F1204" s="25" t="str">
        <f>'Source Table'!$G$6</f>
        <v>Public Sector</v>
      </c>
      <c r="G1204" s="25" t="str">
        <f>'Source Table'!$G$5</f>
        <v>القطاع العام</v>
      </c>
      <c r="H1204" t="str">
        <f>'Source Table'!$H$8</f>
        <v>Male</v>
      </c>
      <c r="I1204" s="25" t="str">
        <f>'Source Table'!$H$7</f>
        <v>ذكر</v>
      </c>
      <c r="J1204" s="25" t="str">
        <f>'Source Table'!$B$9</f>
        <v>General Practitioner</v>
      </c>
      <c r="K1204" s="25" t="str">
        <f>'Source Table'!$I$9</f>
        <v>طبيب عام</v>
      </c>
      <c r="L1204" s="44">
        <v>2981</v>
      </c>
      <c r="M1204">
        <v>2015</v>
      </c>
    </row>
    <row r="1205" spans="1:13" ht="15">
      <c r="A1205" t="s">
        <v>153</v>
      </c>
      <c r="B1205" t="s">
        <v>154</v>
      </c>
      <c r="C1205" s="15" t="s">
        <v>30</v>
      </c>
      <c r="D1205" s="23" t="s">
        <v>81</v>
      </c>
      <c r="E1205" s="25" t="s">
        <v>82</v>
      </c>
      <c r="F1205" s="25" t="str">
        <f>'Source Table'!$G$6</f>
        <v>Public Sector</v>
      </c>
      <c r="G1205" s="25" t="str">
        <f>'Source Table'!$G$5</f>
        <v>القطاع العام</v>
      </c>
      <c r="H1205" t="str">
        <f>'Source Table'!$H$8</f>
        <v>Male</v>
      </c>
      <c r="I1205" s="25" t="str">
        <f>'Source Table'!$H$7</f>
        <v>ذكر</v>
      </c>
      <c r="J1205" s="25" t="str">
        <f>'Source Table'!$B$10</f>
        <v>Surgeon</v>
      </c>
      <c r="K1205" s="25" t="str">
        <f>'Source Table'!$I$10</f>
        <v>جراحة عامة</v>
      </c>
      <c r="L1205" s="44">
        <v>405</v>
      </c>
      <c r="M1205">
        <v>2015</v>
      </c>
    </row>
    <row r="1206" spans="1:13" ht="15">
      <c r="A1206" t="s">
        <v>153</v>
      </c>
      <c r="B1206" t="s">
        <v>154</v>
      </c>
      <c r="C1206" s="15" t="s">
        <v>30</v>
      </c>
      <c r="D1206" s="23" t="s">
        <v>81</v>
      </c>
      <c r="E1206" s="25" t="s">
        <v>82</v>
      </c>
      <c r="F1206" s="25" t="str">
        <f>'Source Table'!$G$6</f>
        <v>Public Sector</v>
      </c>
      <c r="G1206" s="25" t="str">
        <f>'Source Table'!$G$5</f>
        <v>القطاع العام</v>
      </c>
      <c r="H1206" t="str">
        <f>'Source Table'!$H$8</f>
        <v>Male</v>
      </c>
      <c r="I1206" s="25" t="str">
        <f>'Source Table'!$H$7</f>
        <v>ذكر</v>
      </c>
      <c r="J1206" s="25" t="str">
        <f>'Source Table'!$B$11</f>
        <v>Internist</v>
      </c>
      <c r="K1206" s="25" t="str">
        <f>'Source Table'!$I$11</f>
        <v>باطنية</v>
      </c>
      <c r="L1206" s="44">
        <v>399</v>
      </c>
      <c r="M1206">
        <v>2015</v>
      </c>
    </row>
    <row r="1207" spans="1:13" ht="15">
      <c r="A1207" t="s">
        <v>153</v>
      </c>
      <c r="B1207" t="s">
        <v>154</v>
      </c>
      <c r="C1207" s="15" t="s">
        <v>30</v>
      </c>
      <c r="D1207" s="23" t="s">
        <v>81</v>
      </c>
      <c r="E1207" s="25" t="s">
        <v>82</v>
      </c>
      <c r="F1207" s="25" t="str">
        <f>'Source Table'!$G$6</f>
        <v>Public Sector</v>
      </c>
      <c r="G1207" s="25" t="str">
        <f>'Source Table'!$G$5</f>
        <v>القطاع العام</v>
      </c>
      <c r="H1207" t="str">
        <f>'Source Table'!$H$8</f>
        <v>Male</v>
      </c>
      <c r="I1207" s="25" t="str">
        <f>'Source Table'!$H$7</f>
        <v>ذكر</v>
      </c>
      <c r="J1207" s="25" t="str">
        <f>'Source Table'!$B$12</f>
        <v>Gynecologist and Obst.</v>
      </c>
      <c r="K1207" s="25" t="str">
        <f>'Source Table'!$I$12</f>
        <v>نسائية وتوليد</v>
      </c>
      <c r="L1207" s="44">
        <v>303</v>
      </c>
      <c r="M1207">
        <v>2015</v>
      </c>
    </row>
    <row r="1208" spans="1:13" ht="15">
      <c r="A1208" t="s">
        <v>153</v>
      </c>
      <c r="B1208" t="s">
        <v>154</v>
      </c>
      <c r="C1208" s="15" t="s">
        <v>30</v>
      </c>
      <c r="D1208" s="23" t="s">
        <v>81</v>
      </c>
      <c r="E1208" s="25" t="s">
        <v>82</v>
      </c>
      <c r="F1208" s="25" t="str">
        <f>'Source Table'!$G$6</f>
        <v>Public Sector</v>
      </c>
      <c r="G1208" s="25" t="str">
        <f>'Source Table'!$G$5</f>
        <v>القطاع العام</v>
      </c>
      <c r="H1208" t="str">
        <f>'Source Table'!$H$8</f>
        <v>Male</v>
      </c>
      <c r="I1208" s="25" t="str">
        <f>'Source Table'!$H$7</f>
        <v>ذكر</v>
      </c>
      <c r="J1208" s="25" t="str">
        <f>'Source Table'!$B$13</f>
        <v>Pediatrics</v>
      </c>
      <c r="K1208" s="25" t="str">
        <f>'Source Table'!$I$13</f>
        <v>أطفال</v>
      </c>
      <c r="L1208" s="44">
        <v>323</v>
      </c>
      <c r="M1208">
        <v>2015</v>
      </c>
    </row>
    <row r="1209" spans="1:13" ht="15">
      <c r="A1209" t="s">
        <v>153</v>
      </c>
      <c r="B1209" t="s">
        <v>154</v>
      </c>
      <c r="C1209" s="15" t="s">
        <v>30</v>
      </c>
      <c r="D1209" s="23" t="s">
        <v>81</v>
      </c>
      <c r="E1209" s="25" t="s">
        <v>82</v>
      </c>
      <c r="F1209" s="25" t="str">
        <f>'Source Table'!$G$6</f>
        <v>Public Sector</v>
      </c>
      <c r="G1209" s="25" t="str">
        <f>'Source Table'!$G$5</f>
        <v>القطاع العام</v>
      </c>
      <c r="H1209" t="str">
        <f>'Source Table'!$H$8</f>
        <v>Male</v>
      </c>
      <c r="I1209" s="25" t="str">
        <f>'Source Table'!$H$7</f>
        <v>ذكر</v>
      </c>
      <c r="J1209" s="25" t="str">
        <f>'Source Table'!$B$14</f>
        <v>Ophthalmologist</v>
      </c>
      <c r="K1209" s="25" t="str">
        <f>'Source Table'!$I$14</f>
        <v>العيون</v>
      </c>
      <c r="L1209" s="44">
        <v>131</v>
      </c>
      <c r="M1209">
        <v>2015</v>
      </c>
    </row>
    <row r="1210" spans="1:13" ht="15">
      <c r="A1210" t="s">
        <v>153</v>
      </c>
      <c r="B1210" t="s">
        <v>154</v>
      </c>
      <c r="C1210" s="15" t="s">
        <v>30</v>
      </c>
      <c r="D1210" s="23" t="s">
        <v>81</v>
      </c>
      <c r="E1210" s="25" t="s">
        <v>82</v>
      </c>
      <c r="F1210" s="25" t="str">
        <f>'Source Table'!$G$6</f>
        <v>Public Sector</v>
      </c>
      <c r="G1210" s="25" t="str">
        <f>'Source Table'!$G$5</f>
        <v>القطاع العام</v>
      </c>
      <c r="H1210" t="str">
        <f>'Source Table'!$H$8</f>
        <v>Male</v>
      </c>
      <c r="I1210" s="25" t="str">
        <f>'Source Table'!$H$7</f>
        <v>ذكر</v>
      </c>
      <c r="J1210" s="25" t="str">
        <f>'Source Table'!$B$15</f>
        <v>Orthopedic Surg.</v>
      </c>
      <c r="K1210" s="25" t="str">
        <f>'Source Table'!$I$15</f>
        <v>العظام</v>
      </c>
      <c r="L1210" s="44">
        <v>187</v>
      </c>
      <c r="M1210">
        <v>2015</v>
      </c>
    </row>
    <row r="1211" spans="1:13" ht="15">
      <c r="A1211" t="s">
        <v>153</v>
      </c>
      <c r="B1211" t="s">
        <v>154</v>
      </c>
      <c r="C1211" s="15" t="s">
        <v>30</v>
      </c>
      <c r="D1211" s="23" t="s">
        <v>81</v>
      </c>
      <c r="E1211" s="25" t="s">
        <v>82</v>
      </c>
      <c r="F1211" s="25" t="str">
        <f>'Source Table'!$G$6</f>
        <v>Public Sector</v>
      </c>
      <c r="G1211" s="25" t="str">
        <f>'Source Table'!$G$5</f>
        <v>القطاع العام</v>
      </c>
      <c r="H1211" t="str">
        <f>'Source Table'!$H$8</f>
        <v>Male</v>
      </c>
      <c r="I1211" s="25" t="str">
        <f>'Source Table'!$H$7</f>
        <v>ذكر</v>
      </c>
      <c r="J1211" s="25" t="str">
        <f>'Source Table'!$B$16</f>
        <v>E.N.T.Surg.</v>
      </c>
      <c r="K1211" s="25" t="str">
        <f>'Source Table'!$I$16</f>
        <v>أذن وأنف وحنجرة</v>
      </c>
      <c r="L1211" s="44">
        <v>140</v>
      </c>
      <c r="M1211">
        <v>2015</v>
      </c>
    </row>
    <row r="1212" spans="1:13" ht="15">
      <c r="A1212" t="s">
        <v>153</v>
      </c>
      <c r="B1212" t="s">
        <v>154</v>
      </c>
      <c r="C1212" s="15" t="s">
        <v>30</v>
      </c>
      <c r="D1212" s="23" t="s">
        <v>81</v>
      </c>
      <c r="E1212" s="25" t="s">
        <v>82</v>
      </c>
      <c r="F1212" s="25" t="str">
        <f>'Source Table'!$G$6</f>
        <v>Public Sector</v>
      </c>
      <c r="G1212" s="25" t="str">
        <f>'Source Table'!$G$5</f>
        <v>القطاع العام</v>
      </c>
      <c r="H1212" t="str">
        <f>'Source Table'!$H$8</f>
        <v>Male</v>
      </c>
      <c r="I1212" s="25" t="str">
        <f>'Source Table'!$H$7</f>
        <v>ذكر</v>
      </c>
      <c r="J1212" s="25" t="str">
        <f>'Source Table'!$B$17</f>
        <v>Neurosurgery</v>
      </c>
      <c r="K1212" s="25" t="str">
        <f>'Source Table'!$I$17</f>
        <v>جراحةأعصاب</v>
      </c>
      <c r="L1212" s="44">
        <v>40</v>
      </c>
      <c r="M1212">
        <v>2015</v>
      </c>
    </row>
    <row r="1213" spans="1:13" ht="15">
      <c r="A1213" t="s">
        <v>153</v>
      </c>
      <c r="B1213" t="s">
        <v>154</v>
      </c>
      <c r="C1213" s="15" t="s">
        <v>30</v>
      </c>
      <c r="D1213" s="23" t="s">
        <v>81</v>
      </c>
      <c r="E1213" s="25" t="s">
        <v>82</v>
      </c>
      <c r="F1213" s="25" t="str">
        <f>'Source Table'!$G$6</f>
        <v>Public Sector</v>
      </c>
      <c r="G1213" s="25" t="str">
        <f>'Source Table'!$G$5</f>
        <v>القطاع العام</v>
      </c>
      <c r="H1213" t="str">
        <f>'Source Table'!$H$8</f>
        <v>Male</v>
      </c>
      <c r="I1213" s="25" t="str">
        <f>'Source Table'!$H$7</f>
        <v>ذكر</v>
      </c>
      <c r="J1213" s="25" t="str">
        <f>'Source Table'!$B$18</f>
        <v>Cardiothoracic</v>
      </c>
      <c r="K1213" s="25" t="str">
        <f>'Source Table'!$I$18</f>
        <v>جراحة قلب</v>
      </c>
      <c r="L1213" s="44">
        <v>18</v>
      </c>
      <c r="M1213">
        <v>2015</v>
      </c>
    </row>
    <row r="1214" spans="1:13" ht="15">
      <c r="A1214" t="s">
        <v>153</v>
      </c>
      <c r="B1214" t="s">
        <v>154</v>
      </c>
      <c r="C1214" s="15" t="s">
        <v>30</v>
      </c>
      <c r="D1214" s="23" t="s">
        <v>81</v>
      </c>
      <c r="E1214" s="25" t="s">
        <v>82</v>
      </c>
      <c r="F1214" s="25" t="str">
        <f>'Source Table'!$G$6</f>
        <v>Public Sector</v>
      </c>
      <c r="G1214" s="25" t="str">
        <f>'Source Table'!$G$5</f>
        <v>القطاع العام</v>
      </c>
      <c r="H1214" t="str">
        <f>'Source Table'!$H$8</f>
        <v>Male</v>
      </c>
      <c r="I1214" s="25" t="str">
        <f>'Source Table'!$H$7</f>
        <v>ذكر</v>
      </c>
      <c r="J1214" s="25" t="str">
        <f>'Source Table'!$B$19</f>
        <v>Plastic Surgeon</v>
      </c>
      <c r="K1214" s="25" t="str">
        <f>'Source Table'!$I$19</f>
        <v>التجميل</v>
      </c>
      <c r="L1214" s="44">
        <v>22</v>
      </c>
      <c r="M1214">
        <v>2015</v>
      </c>
    </row>
    <row r="1215" spans="1:13" ht="15">
      <c r="A1215" t="s">
        <v>153</v>
      </c>
      <c r="B1215" t="s">
        <v>154</v>
      </c>
      <c r="C1215" s="15" t="s">
        <v>30</v>
      </c>
      <c r="D1215" s="23" t="s">
        <v>81</v>
      </c>
      <c r="E1215" s="25" t="s">
        <v>82</v>
      </c>
      <c r="F1215" s="25" t="str">
        <f>'Source Table'!$G$6</f>
        <v>Public Sector</v>
      </c>
      <c r="G1215" s="25" t="str">
        <f>'Source Table'!$G$5</f>
        <v>القطاع العام</v>
      </c>
      <c r="H1215" t="str">
        <f>'Source Table'!$H$8</f>
        <v>Male</v>
      </c>
      <c r="I1215" s="25" t="str">
        <f>'Source Table'!$H$7</f>
        <v>ذكر</v>
      </c>
      <c r="J1215" s="25" t="str">
        <f>'Source Table'!$B$20</f>
        <v>Psychiatry</v>
      </c>
      <c r="K1215" s="25" t="str">
        <f>'Source Table'!$I$20</f>
        <v>النفسية</v>
      </c>
      <c r="L1215" s="44">
        <v>45</v>
      </c>
      <c r="M1215">
        <v>2015</v>
      </c>
    </row>
    <row r="1216" spans="1:13" ht="15">
      <c r="A1216" t="s">
        <v>153</v>
      </c>
      <c r="B1216" t="s">
        <v>154</v>
      </c>
      <c r="C1216" s="15" t="s">
        <v>30</v>
      </c>
      <c r="D1216" s="23" t="s">
        <v>81</v>
      </c>
      <c r="E1216" s="25" t="s">
        <v>82</v>
      </c>
      <c r="F1216" s="25" t="str">
        <f>'Source Table'!$G$6</f>
        <v>Public Sector</v>
      </c>
      <c r="G1216" s="25" t="str">
        <f>'Source Table'!$G$5</f>
        <v>القطاع العام</v>
      </c>
      <c r="H1216" t="str">
        <f>'Source Table'!$H$8</f>
        <v>Male</v>
      </c>
      <c r="I1216" s="25" t="str">
        <f>'Source Table'!$H$7</f>
        <v>ذكر</v>
      </c>
      <c r="J1216" s="25" t="str">
        <f>'Source Table'!$B$21</f>
        <v>Dermatologist Venereal</v>
      </c>
      <c r="K1216" s="25" t="str">
        <f>'Source Table'!$I$21</f>
        <v>جلدية وتناسلية</v>
      </c>
      <c r="L1216" s="44">
        <v>66</v>
      </c>
      <c r="M1216">
        <v>2015</v>
      </c>
    </row>
    <row r="1217" spans="1:13" ht="15">
      <c r="A1217" t="s">
        <v>153</v>
      </c>
      <c r="B1217" t="s">
        <v>154</v>
      </c>
      <c r="C1217" s="15" t="s">
        <v>30</v>
      </c>
      <c r="D1217" s="23" t="s">
        <v>81</v>
      </c>
      <c r="E1217" s="25" t="s">
        <v>82</v>
      </c>
      <c r="F1217" s="25" t="str">
        <f>'Source Table'!$G$6</f>
        <v>Public Sector</v>
      </c>
      <c r="G1217" s="25" t="str">
        <f>'Source Table'!$G$5</f>
        <v>القطاع العام</v>
      </c>
      <c r="H1217" t="str">
        <f>'Source Table'!$H$8</f>
        <v>Male</v>
      </c>
      <c r="I1217" s="25" t="str">
        <f>'Source Table'!$H$7</f>
        <v>ذكر</v>
      </c>
      <c r="J1217" s="25" t="str">
        <f>'Source Table'!$B$22</f>
        <v>Neurology/ Nervous</v>
      </c>
      <c r="K1217" s="25" t="str">
        <f>'Source Table'!$I$22</f>
        <v>مرض الأعصاب</v>
      </c>
      <c r="L1217" s="44">
        <v>18</v>
      </c>
      <c r="M1217">
        <v>2015</v>
      </c>
    </row>
    <row r="1218" spans="1:13" ht="15">
      <c r="A1218" t="s">
        <v>153</v>
      </c>
      <c r="B1218" t="s">
        <v>154</v>
      </c>
      <c r="C1218" s="15" t="s">
        <v>30</v>
      </c>
      <c r="D1218" s="23" t="s">
        <v>81</v>
      </c>
      <c r="E1218" s="25" t="s">
        <v>82</v>
      </c>
      <c r="F1218" s="25" t="str">
        <f>'Source Table'!$G$6</f>
        <v>Public Sector</v>
      </c>
      <c r="G1218" s="25" t="str">
        <f>'Source Table'!$G$5</f>
        <v>القطاع العام</v>
      </c>
      <c r="H1218" t="str">
        <f>'Source Table'!$H$8</f>
        <v>Male</v>
      </c>
      <c r="I1218" s="25" t="str">
        <f>'Source Table'!$H$7</f>
        <v>ذكر</v>
      </c>
      <c r="J1218" s="25" t="str">
        <f>'Source Table'!$B$23</f>
        <v>Pumologist</v>
      </c>
      <c r="K1218" s="25" t="str">
        <f>'Source Table'!$I$23</f>
        <v>صدرية</v>
      </c>
      <c r="L1218" s="44">
        <v>21</v>
      </c>
      <c r="M1218">
        <v>2015</v>
      </c>
    </row>
    <row r="1219" spans="1:13" ht="15">
      <c r="A1219" t="s">
        <v>153</v>
      </c>
      <c r="B1219" t="s">
        <v>154</v>
      </c>
      <c r="C1219" s="15" t="s">
        <v>30</v>
      </c>
      <c r="D1219" s="23" t="s">
        <v>81</v>
      </c>
      <c r="E1219" s="25" t="s">
        <v>82</v>
      </c>
      <c r="F1219" s="25" t="str">
        <f>'Source Table'!$G$6</f>
        <v>Public Sector</v>
      </c>
      <c r="G1219" s="25" t="str">
        <f>'Source Table'!$G$5</f>
        <v>القطاع العام</v>
      </c>
      <c r="H1219" t="str">
        <f>'Source Table'!$H$8</f>
        <v>Male</v>
      </c>
      <c r="I1219" s="25" t="str">
        <f>'Source Table'!$H$7</f>
        <v>ذكر</v>
      </c>
      <c r="J1219" s="25" t="str">
        <f>'Source Table'!$B$24</f>
        <v>G.I.T. Specialist</v>
      </c>
      <c r="K1219" s="25" t="str">
        <f>'Source Table'!$I$24</f>
        <v>جهاز هضمي</v>
      </c>
      <c r="L1219" s="44">
        <v>26</v>
      </c>
      <c r="M1219">
        <v>2015</v>
      </c>
    </row>
    <row r="1220" spans="1:13" ht="15">
      <c r="A1220" t="s">
        <v>153</v>
      </c>
      <c r="B1220" t="s">
        <v>154</v>
      </c>
      <c r="C1220" s="15" t="s">
        <v>30</v>
      </c>
      <c r="D1220" s="23" t="s">
        <v>81</v>
      </c>
      <c r="E1220" s="25" t="s">
        <v>82</v>
      </c>
      <c r="F1220" s="25" t="str">
        <f>'Source Table'!$G$6</f>
        <v>Public Sector</v>
      </c>
      <c r="G1220" s="25" t="str">
        <f>'Source Table'!$G$5</f>
        <v>القطاع العام</v>
      </c>
      <c r="H1220" t="str">
        <f>'Source Table'!$H$8</f>
        <v>Male</v>
      </c>
      <c r="I1220" s="25" t="str">
        <f>'Source Table'!$H$7</f>
        <v>ذكر</v>
      </c>
      <c r="J1220" s="25" t="str">
        <f>'Source Table'!$B$25</f>
        <v>Diagnostic Radiology</v>
      </c>
      <c r="K1220" s="25" t="str">
        <f>'Source Table'!$I$25</f>
        <v>أشعة تشخيصية</v>
      </c>
      <c r="L1220" s="44">
        <v>93</v>
      </c>
      <c r="M1220">
        <v>2015</v>
      </c>
    </row>
    <row r="1221" spans="1:13" ht="15">
      <c r="A1221" t="s">
        <v>153</v>
      </c>
      <c r="B1221" t="s">
        <v>154</v>
      </c>
      <c r="C1221" s="15" t="s">
        <v>30</v>
      </c>
      <c r="D1221" s="23" t="s">
        <v>81</v>
      </c>
      <c r="E1221" s="25" t="s">
        <v>82</v>
      </c>
      <c r="F1221" s="25" t="str">
        <f>'Source Table'!$G$6</f>
        <v>Public Sector</v>
      </c>
      <c r="G1221" s="25" t="str">
        <f>'Source Table'!$G$5</f>
        <v>القطاع العام</v>
      </c>
      <c r="H1221" t="str">
        <f>'Source Table'!$H$8</f>
        <v>Male</v>
      </c>
      <c r="I1221" s="25" t="str">
        <f>'Source Table'!$H$7</f>
        <v>ذكر</v>
      </c>
      <c r="J1221" s="25" t="str">
        <f>'Source Table'!$B$26</f>
        <v>Anesthetic</v>
      </c>
      <c r="K1221" s="25" t="str">
        <f>'Source Table'!$I$26</f>
        <v>تخدير وإنعاش</v>
      </c>
      <c r="L1221" s="44">
        <v>207</v>
      </c>
      <c r="M1221">
        <v>2015</v>
      </c>
    </row>
    <row r="1222" spans="1:13" ht="15">
      <c r="A1222" t="s">
        <v>153</v>
      </c>
      <c r="B1222" t="s">
        <v>154</v>
      </c>
      <c r="C1222" s="15" t="s">
        <v>30</v>
      </c>
      <c r="D1222" s="23" t="s">
        <v>81</v>
      </c>
      <c r="E1222" s="25" t="s">
        <v>82</v>
      </c>
      <c r="F1222" s="25" t="str">
        <f>'Source Table'!$G$6</f>
        <v>Public Sector</v>
      </c>
      <c r="G1222" s="25" t="str">
        <f>'Source Table'!$G$5</f>
        <v>القطاع العام</v>
      </c>
      <c r="H1222" t="str">
        <f>'Source Table'!$H$8</f>
        <v>Male</v>
      </c>
      <c r="I1222" s="25" t="str">
        <f>'Source Table'!$H$7</f>
        <v>ذكر</v>
      </c>
      <c r="J1222" s="25" t="str">
        <f>'Source Table'!$B$27</f>
        <v>Physiotherapist</v>
      </c>
      <c r="K1222" s="25" t="str">
        <f>'Source Table'!$I$27</f>
        <v>طب طبيعي</v>
      </c>
      <c r="L1222" s="44">
        <v>45</v>
      </c>
      <c r="M1222">
        <v>2015</v>
      </c>
    </row>
    <row r="1223" spans="1:13" ht="15">
      <c r="A1223" t="s">
        <v>153</v>
      </c>
      <c r="B1223" t="s">
        <v>154</v>
      </c>
      <c r="C1223" s="15" t="s">
        <v>30</v>
      </c>
      <c r="D1223" s="23" t="s">
        <v>81</v>
      </c>
      <c r="E1223" s="25" t="s">
        <v>82</v>
      </c>
      <c r="F1223" s="25" t="str">
        <f>'Source Table'!$G$6</f>
        <v>Public Sector</v>
      </c>
      <c r="G1223" s="25" t="str">
        <f>'Source Table'!$G$5</f>
        <v>القطاع العام</v>
      </c>
      <c r="H1223" t="str">
        <f>'Source Table'!$H$8</f>
        <v>Male</v>
      </c>
      <c r="I1223" s="25" t="str">
        <f>'Source Table'!$H$7</f>
        <v>ذكر</v>
      </c>
      <c r="J1223" s="25" t="str">
        <f>'Source Table'!$B$28</f>
        <v>Forensic</v>
      </c>
      <c r="K1223" s="25" t="str">
        <f>'Source Table'!$I$28</f>
        <v>طب شرعي</v>
      </c>
      <c r="L1223" s="44">
        <v>38</v>
      </c>
      <c r="M1223">
        <v>2015</v>
      </c>
    </row>
    <row r="1224" spans="1:13" ht="15">
      <c r="A1224" t="s">
        <v>153</v>
      </c>
      <c r="B1224" t="s">
        <v>154</v>
      </c>
      <c r="C1224" s="15" t="s">
        <v>30</v>
      </c>
      <c r="D1224" s="23" t="s">
        <v>81</v>
      </c>
      <c r="E1224" s="25" t="s">
        <v>82</v>
      </c>
      <c r="F1224" s="25" t="str">
        <f>'Source Table'!$G$6</f>
        <v>Public Sector</v>
      </c>
      <c r="G1224" s="25" t="str">
        <f>'Source Table'!$G$5</f>
        <v>القطاع العام</v>
      </c>
      <c r="H1224" t="str">
        <f>'Source Table'!$H$8</f>
        <v>Male</v>
      </c>
      <c r="I1224" s="25" t="str">
        <f>'Source Table'!$H$7</f>
        <v>ذكر</v>
      </c>
      <c r="J1224" s="25" t="str">
        <f>'Source Table'!$B$29</f>
        <v xml:space="preserve">Family </v>
      </c>
      <c r="K1224" s="25" t="str">
        <f>'Source Table'!$I$29</f>
        <v>طب أسرة</v>
      </c>
      <c r="L1224" s="44">
        <v>99</v>
      </c>
      <c r="M1224">
        <v>2015</v>
      </c>
    </row>
    <row r="1225" spans="1:13" ht="15">
      <c r="A1225" t="s">
        <v>153</v>
      </c>
      <c r="B1225" t="s">
        <v>154</v>
      </c>
      <c r="C1225" s="15" t="s">
        <v>30</v>
      </c>
      <c r="D1225" s="23" t="s">
        <v>81</v>
      </c>
      <c r="E1225" s="25" t="s">
        <v>82</v>
      </c>
      <c r="F1225" s="25" t="str">
        <f>'Source Table'!$G$6</f>
        <v>Public Sector</v>
      </c>
      <c r="G1225" s="25" t="str">
        <f>'Source Table'!$G$5</f>
        <v>القطاع العام</v>
      </c>
      <c r="H1225" t="str">
        <f>'Source Table'!$H$8</f>
        <v>Male</v>
      </c>
      <c r="I1225" s="25" t="str">
        <f>'Source Table'!$H$7</f>
        <v>ذكر</v>
      </c>
      <c r="J1225" s="25" t="str">
        <f>'Source Table'!$B$30</f>
        <v>Urologist</v>
      </c>
      <c r="K1225" s="25" t="str">
        <f>'Source Table'!$I$30</f>
        <v xml:space="preserve">المسالك البولية </v>
      </c>
      <c r="L1225" s="44">
        <v>94</v>
      </c>
      <c r="M1225">
        <v>2015</v>
      </c>
    </row>
    <row r="1226" spans="1:13" ht="15">
      <c r="A1226" t="s">
        <v>153</v>
      </c>
      <c r="B1226" t="s">
        <v>154</v>
      </c>
      <c r="C1226" s="15" t="s">
        <v>30</v>
      </c>
      <c r="D1226" s="23" t="s">
        <v>81</v>
      </c>
      <c r="E1226" s="25" t="s">
        <v>82</v>
      </c>
      <c r="F1226" s="25" t="str">
        <f>'Source Table'!$G$6</f>
        <v>Public Sector</v>
      </c>
      <c r="G1226" s="25" t="str">
        <f>'Source Table'!$G$5</f>
        <v>القطاع العام</v>
      </c>
      <c r="H1226" t="str">
        <f>'Source Table'!$H$8</f>
        <v>Male</v>
      </c>
      <c r="I1226" s="25" t="str">
        <f>'Source Table'!$H$7</f>
        <v>ذكر</v>
      </c>
      <c r="J1226" s="25" t="str">
        <f>'Source Table'!$B$31</f>
        <v>Cardiology</v>
      </c>
      <c r="K1226" s="25" t="str">
        <f>'Source Table'!$I$31</f>
        <v>أمراض القلب</v>
      </c>
      <c r="L1226" s="44">
        <v>30</v>
      </c>
      <c r="M1226">
        <v>2015</v>
      </c>
    </row>
    <row r="1227" spans="1:13" ht="15">
      <c r="A1227" t="s">
        <v>153</v>
      </c>
      <c r="B1227" t="s">
        <v>154</v>
      </c>
      <c r="C1227" s="15" t="s">
        <v>30</v>
      </c>
      <c r="D1227" s="23" t="s">
        <v>81</v>
      </c>
      <c r="E1227" s="25" t="s">
        <v>82</v>
      </c>
      <c r="F1227" s="25" t="str">
        <f>'Source Table'!$G$6</f>
        <v>Public Sector</v>
      </c>
      <c r="G1227" s="25" t="str">
        <f>'Source Table'!$G$5</f>
        <v>القطاع العام</v>
      </c>
      <c r="H1227" t="str">
        <f>'Source Table'!$H$8</f>
        <v>Male</v>
      </c>
      <c r="I1227" s="25" t="str">
        <f>'Source Table'!$H$7</f>
        <v>ذكر</v>
      </c>
      <c r="J1227" s="25" t="str">
        <f>'Source Table'!$B$32</f>
        <v>Laboratory</v>
      </c>
      <c r="K1227" s="25" t="str">
        <f>'Source Table'!$I$32</f>
        <v>مختبرات</v>
      </c>
      <c r="L1227" s="44">
        <v>21</v>
      </c>
      <c r="M1227">
        <v>2015</v>
      </c>
    </row>
    <row r="1228" spans="1:13" ht="15">
      <c r="A1228" t="s">
        <v>153</v>
      </c>
      <c r="B1228" t="s">
        <v>154</v>
      </c>
      <c r="C1228" s="15" t="s">
        <v>30</v>
      </c>
      <c r="D1228" s="23" t="s">
        <v>81</v>
      </c>
      <c r="E1228" s="25" t="s">
        <v>82</v>
      </c>
      <c r="F1228" s="25" t="str">
        <f>'Source Table'!$G$6</f>
        <v>Public Sector</v>
      </c>
      <c r="G1228" s="25" t="str">
        <f>'Source Table'!$G$5</f>
        <v>القطاع العام</v>
      </c>
      <c r="H1228" t="str">
        <f>'Source Table'!$H$8</f>
        <v>Male</v>
      </c>
      <c r="I1228" s="25" t="str">
        <f>'Source Table'!$H$7</f>
        <v>ذكر</v>
      </c>
      <c r="J1228" s="25" t="str">
        <f>'Source Table'!$B$33</f>
        <v>Others</v>
      </c>
      <c r="K1228" s="25" t="str">
        <f>'Source Table'!$I$33</f>
        <v>أخرى</v>
      </c>
      <c r="L1228" s="44">
        <v>346</v>
      </c>
      <c r="M1228">
        <v>2015</v>
      </c>
    </row>
    <row r="1229" spans="1:13" ht="15">
      <c r="A1229" t="s">
        <v>153</v>
      </c>
      <c r="B1229" t="s">
        <v>154</v>
      </c>
      <c r="C1229" s="15" t="s">
        <v>30</v>
      </c>
      <c r="D1229" s="23" t="s">
        <v>81</v>
      </c>
      <c r="E1229" s="25" t="s">
        <v>82</v>
      </c>
      <c r="F1229" s="25" t="str">
        <f>'Source Table'!$G$6</f>
        <v>Public Sector</v>
      </c>
      <c r="G1229" s="25" t="str">
        <f>'Source Table'!$G$5</f>
        <v>القطاع العام</v>
      </c>
      <c r="H1229" t="str">
        <f>'Source Table'!$G$8</f>
        <v>Female</v>
      </c>
      <c r="I1229" s="16" t="str">
        <f>'Source Table'!$G$7</f>
        <v>أنثى</v>
      </c>
      <c r="J1229" s="25" t="str">
        <f>'Source Table'!$B$9</f>
        <v>General Practitioner</v>
      </c>
      <c r="K1229" s="25" t="str">
        <f>'Source Table'!$I$9</f>
        <v>طبيب عام</v>
      </c>
      <c r="L1229" s="44">
        <v>585</v>
      </c>
      <c r="M1229">
        <v>2015</v>
      </c>
    </row>
    <row r="1230" spans="1:13" ht="15">
      <c r="A1230" t="s">
        <v>153</v>
      </c>
      <c r="B1230" t="s">
        <v>154</v>
      </c>
      <c r="C1230" s="15" t="s">
        <v>30</v>
      </c>
      <c r="D1230" s="23" t="s">
        <v>81</v>
      </c>
      <c r="E1230" s="25" t="s">
        <v>82</v>
      </c>
      <c r="F1230" s="25" t="str">
        <f>'Source Table'!$G$6</f>
        <v>Public Sector</v>
      </c>
      <c r="G1230" s="25" t="str">
        <f>'Source Table'!$G$5</f>
        <v>القطاع العام</v>
      </c>
      <c r="H1230" t="str">
        <f>'Source Table'!$G$8</f>
        <v>Female</v>
      </c>
      <c r="I1230" s="16" t="str">
        <f>'Source Table'!$G$7</f>
        <v>أنثى</v>
      </c>
      <c r="J1230" s="25" t="str">
        <f>'Source Table'!$B$10</f>
        <v>Surgeon</v>
      </c>
      <c r="K1230" s="25" t="str">
        <f>'Source Table'!$I$10</f>
        <v>جراحة عامة</v>
      </c>
      <c r="L1230" s="44">
        <v>10</v>
      </c>
      <c r="M1230">
        <v>2015</v>
      </c>
    </row>
    <row r="1231" spans="1:13" ht="15">
      <c r="A1231" t="s">
        <v>153</v>
      </c>
      <c r="B1231" t="s">
        <v>154</v>
      </c>
      <c r="C1231" s="15" t="s">
        <v>30</v>
      </c>
      <c r="D1231" s="23" t="s">
        <v>81</v>
      </c>
      <c r="E1231" s="25" t="s">
        <v>82</v>
      </c>
      <c r="F1231" s="25" t="str">
        <f>'Source Table'!$G$6</f>
        <v>Public Sector</v>
      </c>
      <c r="G1231" s="25" t="str">
        <f>'Source Table'!$G$5</f>
        <v>القطاع العام</v>
      </c>
      <c r="H1231" t="str">
        <f>'Source Table'!$G$8</f>
        <v>Female</v>
      </c>
      <c r="I1231" s="16" t="str">
        <f>'Source Table'!$G$7</f>
        <v>أنثى</v>
      </c>
      <c r="J1231" s="25" t="str">
        <f>'Source Table'!$B$11</f>
        <v>Internist</v>
      </c>
      <c r="K1231" s="25" t="str">
        <f>'Source Table'!$I$11</f>
        <v>باطنية</v>
      </c>
      <c r="L1231" s="44">
        <v>38</v>
      </c>
      <c r="M1231">
        <v>2015</v>
      </c>
    </row>
    <row r="1232" spans="1:13" ht="15">
      <c r="A1232" t="s">
        <v>153</v>
      </c>
      <c r="B1232" t="s">
        <v>154</v>
      </c>
      <c r="C1232" s="15" t="s">
        <v>30</v>
      </c>
      <c r="D1232" s="23" t="s">
        <v>81</v>
      </c>
      <c r="E1232" s="25" t="s">
        <v>82</v>
      </c>
      <c r="F1232" s="25" t="str">
        <f>'Source Table'!$G$6</f>
        <v>Public Sector</v>
      </c>
      <c r="G1232" s="25" t="str">
        <f>'Source Table'!$G$5</f>
        <v>القطاع العام</v>
      </c>
      <c r="H1232" t="str">
        <f>'Source Table'!$G$8</f>
        <v>Female</v>
      </c>
      <c r="I1232" s="16" t="str">
        <f>'Source Table'!$G$7</f>
        <v>أنثى</v>
      </c>
      <c r="J1232" s="25" t="str">
        <f>'Source Table'!$B$12</f>
        <v>Gynecologist and Obst.</v>
      </c>
      <c r="K1232" s="25" t="str">
        <f>'Source Table'!$I$12</f>
        <v>نسائية وتوليد</v>
      </c>
      <c r="L1232" s="44">
        <v>117</v>
      </c>
      <c r="M1232">
        <v>2015</v>
      </c>
    </row>
    <row r="1233" spans="1:13" ht="15">
      <c r="A1233" t="s">
        <v>153</v>
      </c>
      <c r="B1233" t="s">
        <v>154</v>
      </c>
      <c r="C1233" s="15" t="s">
        <v>30</v>
      </c>
      <c r="D1233" s="23" t="s">
        <v>81</v>
      </c>
      <c r="E1233" s="25" t="s">
        <v>82</v>
      </c>
      <c r="F1233" s="25" t="str">
        <f>'Source Table'!$G$6</f>
        <v>Public Sector</v>
      </c>
      <c r="G1233" s="25" t="str">
        <f>'Source Table'!$G$5</f>
        <v>القطاع العام</v>
      </c>
      <c r="H1233" t="str">
        <f>'Source Table'!$G$8</f>
        <v>Female</v>
      </c>
      <c r="I1233" s="16" t="str">
        <f>'Source Table'!$G$7</f>
        <v>أنثى</v>
      </c>
      <c r="J1233" s="25" t="str">
        <f>'Source Table'!$B$13</f>
        <v>Pediatrics</v>
      </c>
      <c r="K1233" s="25" t="str">
        <f>'Source Table'!$I$13</f>
        <v>أطفال</v>
      </c>
      <c r="L1233" s="44">
        <v>110</v>
      </c>
      <c r="M1233">
        <v>2015</v>
      </c>
    </row>
    <row r="1234" spans="1:13" ht="15">
      <c r="A1234" t="s">
        <v>153</v>
      </c>
      <c r="B1234" t="s">
        <v>154</v>
      </c>
      <c r="C1234" s="15" t="s">
        <v>30</v>
      </c>
      <c r="D1234" s="23" t="s">
        <v>81</v>
      </c>
      <c r="E1234" s="25" t="s">
        <v>82</v>
      </c>
      <c r="F1234" s="25" t="str">
        <f>'Source Table'!$G$6</f>
        <v>Public Sector</v>
      </c>
      <c r="G1234" s="25" t="str">
        <f>'Source Table'!$G$5</f>
        <v>القطاع العام</v>
      </c>
      <c r="H1234" t="str">
        <f>'Source Table'!$G$8</f>
        <v>Female</v>
      </c>
      <c r="I1234" s="16" t="str">
        <f>'Source Table'!$G$7</f>
        <v>أنثى</v>
      </c>
      <c r="J1234" s="25" t="str">
        <f>'Source Table'!$B$14</f>
        <v>Ophthalmologist</v>
      </c>
      <c r="K1234" s="25" t="str">
        <f>'Source Table'!$I$14</f>
        <v>العيون</v>
      </c>
      <c r="L1234" s="44">
        <v>34</v>
      </c>
      <c r="M1234">
        <v>2015</v>
      </c>
    </row>
    <row r="1235" spans="1:13" ht="15">
      <c r="A1235" t="s">
        <v>153</v>
      </c>
      <c r="B1235" t="s">
        <v>154</v>
      </c>
      <c r="C1235" s="15" t="s">
        <v>30</v>
      </c>
      <c r="D1235" s="23" t="s">
        <v>81</v>
      </c>
      <c r="E1235" s="25" t="s">
        <v>82</v>
      </c>
      <c r="F1235" s="25" t="str">
        <f>'Source Table'!$G$6</f>
        <v>Public Sector</v>
      </c>
      <c r="G1235" s="25" t="str">
        <f>'Source Table'!$G$5</f>
        <v>القطاع العام</v>
      </c>
      <c r="H1235" t="str">
        <f>'Source Table'!$G$8</f>
        <v>Female</v>
      </c>
      <c r="I1235" s="16" t="str">
        <f>'Source Table'!$G$7</f>
        <v>أنثى</v>
      </c>
      <c r="J1235" s="25" t="str">
        <f>'Source Table'!$B$15</f>
        <v>Orthopedic Surg.</v>
      </c>
      <c r="K1235" s="25" t="str">
        <f>'Source Table'!$I$15</f>
        <v>العظام</v>
      </c>
      <c r="L1235" s="44">
        <v>0</v>
      </c>
      <c r="M1235">
        <v>2015</v>
      </c>
    </row>
    <row r="1236" spans="1:13" ht="15">
      <c r="A1236" t="s">
        <v>153</v>
      </c>
      <c r="B1236" t="s">
        <v>154</v>
      </c>
      <c r="C1236" s="15" t="s">
        <v>30</v>
      </c>
      <c r="D1236" s="23" t="s">
        <v>81</v>
      </c>
      <c r="E1236" s="25" t="s">
        <v>82</v>
      </c>
      <c r="F1236" s="25" t="str">
        <f>'Source Table'!$G$6</f>
        <v>Public Sector</v>
      </c>
      <c r="G1236" s="25" t="str">
        <f>'Source Table'!$G$5</f>
        <v>القطاع العام</v>
      </c>
      <c r="H1236" t="str">
        <f>'Source Table'!$G$8</f>
        <v>Female</v>
      </c>
      <c r="I1236" s="16" t="str">
        <f>'Source Table'!$G$7</f>
        <v>أنثى</v>
      </c>
      <c r="J1236" s="25" t="str">
        <f>'Source Table'!$B$16</f>
        <v>E.N.T.Surg.</v>
      </c>
      <c r="K1236" s="25" t="str">
        <f>'Source Table'!$I$16</f>
        <v>أذن وأنف وحنجرة</v>
      </c>
      <c r="L1236" s="44">
        <v>14</v>
      </c>
      <c r="M1236">
        <v>2015</v>
      </c>
    </row>
    <row r="1237" spans="1:13" ht="15">
      <c r="A1237" t="s">
        <v>153</v>
      </c>
      <c r="B1237" t="s">
        <v>154</v>
      </c>
      <c r="C1237" s="15" t="s">
        <v>30</v>
      </c>
      <c r="D1237" s="23" t="s">
        <v>81</v>
      </c>
      <c r="E1237" s="25" t="s">
        <v>82</v>
      </c>
      <c r="F1237" s="25" t="str">
        <f>'Source Table'!$G$6</f>
        <v>Public Sector</v>
      </c>
      <c r="G1237" s="25" t="str">
        <f>'Source Table'!$G$5</f>
        <v>القطاع العام</v>
      </c>
      <c r="H1237" t="str">
        <f>'Source Table'!$G$8</f>
        <v>Female</v>
      </c>
      <c r="I1237" s="16" t="str">
        <f>'Source Table'!$G$7</f>
        <v>أنثى</v>
      </c>
      <c r="J1237" s="25" t="str">
        <f>'Source Table'!$B$17</f>
        <v>Neurosurgery</v>
      </c>
      <c r="K1237" s="25" t="str">
        <f>'Source Table'!$I$17</f>
        <v>جراحةأعصاب</v>
      </c>
      <c r="L1237" s="44">
        <v>0</v>
      </c>
      <c r="M1237">
        <v>2015</v>
      </c>
    </row>
    <row r="1238" spans="1:13" ht="15">
      <c r="A1238" t="s">
        <v>153</v>
      </c>
      <c r="B1238" t="s">
        <v>154</v>
      </c>
      <c r="C1238" s="15" t="s">
        <v>30</v>
      </c>
      <c r="D1238" s="23" t="s">
        <v>81</v>
      </c>
      <c r="E1238" s="25" t="s">
        <v>82</v>
      </c>
      <c r="F1238" s="25" t="str">
        <f>'Source Table'!$G$6</f>
        <v>Public Sector</v>
      </c>
      <c r="G1238" s="25" t="str">
        <f>'Source Table'!$G$5</f>
        <v>القطاع العام</v>
      </c>
      <c r="H1238" t="str">
        <f>'Source Table'!$G$8</f>
        <v>Female</v>
      </c>
      <c r="I1238" s="16" t="str">
        <f>'Source Table'!$G$7</f>
        <v>أنثى</v>
      </c>
      <c r="J1238" s="25" t="str">
        <f>'Source Table'!$B$18</f>
        <v>Cardiothoracic</v>
      </c>
      <c r="K1238" s="25" t="str">
        <f>'Source Table'!$I$18</f>
        <v>جراحة قلب</v>
      </c>
      <c r="L1238" s="44">
        <v>0</v>
      </c>
      <c r="M1238">
        <v>2015</v>
      </c>
    </row>
    <row r="1239" spans="1:13" ht="15">
      <c r="A1239" t="s">
        <v>153</v>
      </c>
      <c r="B1239" t="s">
        <v>154</v>
      </c>
      <c r="C1239" s="15" t="s">
        <v>30</v>
      </c>
      <c r="D1239" s="23" t="s">
        <v>81</v>
      </c>
      <c r="E1239" s="25" t="s">
        <v>82</v>
      </c>
      <c r="F1239" s="25" t="str">
        <f>'Source Table'!$G$6</f>
        <v>Public Sector</v>
      </c>
      <c r="G1239" s="25" t="str">
        <f>'Source Table'!$G$5</f>
        <v>القطاع العام</v>
      </c>
      <c r="H1239" t="str">
        <f>'Source Table'!$G$8</f>
        <v>Female</v>
      </c>
      <c r="I1239" s="16" t="str">
        <f>'Source Table'!$G$7</f>
        <v>أنثى</v>
      </c>
      <c r="J1239" s="25" t="str">
        <f>'Source Table'!$B$19</f>
        <v>Plastic Surgeon</v>
      </c>
      <c r="K1239" s="25" t="str">
        <f>'Source Table'!$I$19</f>
        <v>التجميل</v>
      </c>
      <c r="L1239" s="44">
        <v>1</v>
      </c>
      <c r="M1239">
        <v>2015</v>
      </c>
    </row>
    <row r="1240" spans="1:13" ht="15">
      <c r="A1240" t="s">
        <v>153</v>
      </c>
      <c r="B1240" t="s">
        <v>154</v>
      </c>
      <c r="C1240" s="15" t="s">
        <v>30</v>
      </c>
      <c r="D1240" s="23" t="s">
        <v>81</v>
      </c>
      <c r="E1240" s="25" t="s">
        <v>82</v>
      </c>
      <c r="F1240" s="25" t="str">
        <f>'Source Table'!$G$6</f>
        <v>Public Sector</v>
      </c>
      <c r="G1240" s="25" t="str">
        <f>'Source Table'!$G$5</f>
        <v>القطاع العام</v>
      </c>
      <c r="H1240" t="str">
        <f>'Source Table'!$G$8</f>
        <v>Female</v>
      </c>
      <c r="I1240" s="16" t="str">
        <f>'Source Table'!$G$7</f>
        <v>أنثى</v>
      </c>
      <c r="J1240" s="25" t="str">
        <f>'Source Table'!$B$20</f>
        <v>Psychiatry</v>
      </c>
      <c r="K1240" s="25" t="str">
        <f>'Source Table'!$I$20</f>
        <v>النفسية</v>
      </c>
      <c r="L1240" s="44">
        <v>4</v>
      </c>
      <c r="M1240">
        <v>2015</v>
      </c>
    </row>
    <row r="1241" spans="1:13" ht="15">
      <c r="A1241" t="s">
        <v>153</v>
      </c>
      <c r="B1241" t="s">
        <v>154</v>
      </c>
      <c r="C1241" s="15" t="s">
        <v>30</v>
      </c>
      <c r="D1241" s="23" t="s">
        <v>81</v>
      </c>
      <c r="E1241" s="25" t="s">
        <v>82</v>
      </c>
      <c r="F1241" s="25" t="str">
        <f>'Source Table'!$G$6</f>
        <v>Public Sector</v>
      </c>
      <c r="G1241" s="25" t="str">
        <f>'Source Table'!$G$5</f>
        <v>القطاع العام</v>
      </c>
      <c r="H1241" t="str">
        <f>'Source Table'!$G$8</f>
        <v>Female</v>
      </c>
      <c r="I1241" s="16" t="str">
        <f>'Source Table'!$G$7</f>
        <v>أنثى</v>
      </c>
      <c r="J1241" s="25" t="str">
        <f>'Source Table'!$B$21</f>
        <v>Dermatologist Venereal</v>
      </c>
      <c r="K1241" s="25" t="str">
        <f>'Source Table'!$I$21</f>
        <v>جلدية وتناسلية</v>
      </c>
      <c r="L1241" s="44">
        <v>15</v>
      </c>
      <c r="M1241">
        <v>2015</v>
      </c>
    </row>
    <row r="1242" spans="1:13" ht="15">
      <c r="A1242" t="s">
        <v>153</v>
      </c>
      <c r="B1242" t="s">
        <v>154</v>
      </c>
      <c r="C1242" s="15" t="s">
        <v>30</v>
      </c>
      <c r="D1242" s="23" t="s">
        <v>81</v>
      </c>
      <c r="E1242" s="25" t="s">
        <v>82</v>
      </c>
      <c r="F1242" s="25" t="str">
        <f>'Source Table'!$G$6</f>
        <v>Public Sector</v>
      </c>
      <c r="G1242" s="25" t="str">
        <f>'Source Table'!$G$5</f>
        <v>القطاع العام</v>
      </c>
      <c r="H1242" t="str">
        <f>'Source Table'!$G$8</f>
        <v>Female</v>
      </c>
      <c r="I1242" s="16" t="str">
        <f>'Source Table'!$G$7</f>
        <v>أنثى</v>
      </c>
      <c r="J1242" s="25" t="str">
        <f>'Source Table'!$B$22</f>
        <v>Neurology/ Nervous</v>
      </c>
      <c r="K1242" s="25" t="str">
        <f>'Source Table'!$I$22</f>
        <v>مرض الأعصاب</v>
      </c>
      <c r="L1242" s="44">
        <v>1</v>
      </c>
      <c r="M1242">
        <v>2015</v>
      </c>
    </row>
    <row r="1243" spans="1:13" ht="15">
      <c r="A1243" t="s">
        <v>153</v>
      </c>
      <c r="B1243" t="s">
        <v>154</v>
      </c>
      <c r="C1243" s="15" t="s">
        <v>30</v>
      </c>
      <c r="D1243" s="23" t="s">
        <v>81</v>
      </c>
      <c r="E1243" s="25" t="s">
        <v>82</v>
      </c>
      <c r="F1243" s="25" t="str">
        <f>'Source Table'!$G$6</f>
        <v>Public Sector</v>
      </c>
      <c r="G1243" s="25" t="str">
        <f>'Source Table'!$G$5</f>
        <v>القطاع العام</v>
      </c>
      <c r="H1243" t="str">
        <f>'Source Table'!$G$8</f>
        <v>Female</v>
      </c>
      <c r="I1243" s="16" t="str">
        <f>'Source Table'!$G$7</f>
        <v>أنثى</v>
      </c>
      <c r="J1243" s="25" t="str">
        <f>'Source Table'!$B$23</f>
        <v>Pumologist</v>
      </c>
      <c r="K1243" s="25" t="str">
        <f>'Source Table'!$I$23</f>
        <v>صدرية</v>
      </c>
      <c r="L1243" s="44">
        <v>3</v>
      </c>
      <c r="M1243">
        <v>2015</v>
      </c>
    </row>
    <row r="1244" spans="1:13" ht="15">
      <c r="A1244" t="s">
        <v>153</v>
      </c>
      <c r="B1244" t="s">
        <v>154</v>
      </c>
      <c r="C1244" s="15" t="s">
        <v>30</v>
      </c>
      <c r="D1244" s="23" t="s">
        <v>81</v>
      </c>
      <c r="E1244" s="25" t="s">
        <v>82</v>
      </c>
      <c r="F1244" s="25" t="str">
        <f>'Source Table'!$G$6</f>
        <v>Public Sector</v>
      </c>
      <c r="G1244" s="25" t="str">
        <f>'Source Table'!$G$5</f>
        <v>القطاع العام</v>
      </c>
      <c r="H1244" t="str">
        <f>'Source Table'!$G$8</f>
        <v>Female</v>
      </c>
      <c r="I1244" s="16" t="str">
        <f>'Source Table'!$G$7</f>
        <v>أنثى</v>
      </c>
      <c r="J1244" s="25" t="str">
        <f>'Source Table'!$B$24</f>
        <v>G.I.T. Specialist</v>
      </c>
      <c r="K1244" s="25" t="str">
        <f>'Source Table'!$I$24</f>
        <v>جهاز هضمي</v>
      </c>
      <c r="L1244" s="44">
        <v>3</v>
      </c>
      <c r="M1244">
        <v>2015</v>
      </c>
    </row>
    <row r="1245" spans="1:13" ht="15">
      <c r="A1245" t="s">
        <v>153</v>
      </c>
      <c r="B1245" t="s">
        <v>154</v>
      </c>
      <c r="C1245" s="15" t="s">
        <v>30</v>
      </c>
      <c r="D1245" s="23" t="s">
        <v>81</v>
      </c>
      <c r="E1245" s="25" t="s">
        <v>82</v>
      </c>
      <c r="F1245" s="25" t="str">
        <f>'Source Table'!$G$6</f>
        <v>Public Sector</v>
      </c>
      <c r="G1245" s="25" t="str">
        <f>'Source Table'!$G$5</f>
        <v>القطاع العام</v>
      </c>
      <c r="H1245" t="str">
        <f>'Source Table'!$G$8</f>
        <v>Female</v>
      </c>
      <c r="I1245" s="16" t="str">
        <f>'Source Table'!$G$7</f>
        <v>أنثى</v>
      </c>
      <c r="J1245" s="25" t="str">
        <f>'Source Table'!$B$25</f>
        <v>Diagnostic Radiology</v>
      </c>
      <c r="K1245" s="25" t="str">
        <f>'Source Table'!$I$25</f>
        <v>أشعة تشخيصية</v>
      </c>
      <c r="L1245" s="44">
        <v>20</v>
      </c>
      <c r="M1245">
        <v>2015</v>
      </c>
    </row>
    <row r="1246" spans="1:13" ht="15">
      <c r="A1246" t="s">
        <v>153</v>
      </c>
      <c r="B1246" t="s">
        <v>154</v>
      </c>
      <c r="C1246" s="15" t="s">
        <v>30</v>
      </c>
      <c r="D1246" s="23" t="s">
        <v>81</v>
      </c>
      <c r="E1246" s="25" t="s">
        <v>82</v>
      </c>
      <c r="F1246" s="25" t="str">
        <f>'Source Table'!$G$6</f>
        <v>Public Sector</v>
      </c>
      <c r="G1246" s="25" t="str">
        <f>'Source Table'!$G$5</f>
        <v>القطاع العام</v>
      </c>
      <c r="H1246" t="str">
        <f>'Source Table'!$G$8</f>
        <v>Female</v>
      </c>
      <c r="I1246" s="16" t="str">
        <f>'Source Table'!$G$7</f>
        <v>أنثى</v>
      </c>
      <c r="J1246" s="25" t="str">
        <f>'Source Table'!$B$26</f>
        <v>Anesthetic</v>
      </c>
      <c r="K1246" s="25" t="str">
        <f>'Source Table'!$I$26</f>
        <v>تخدير وإنعاش</v>
      </c>
      <c r="L1246" s="44">
        <v>12</v>
      </c>
      <c r="M1246">
        <v>2015</v>
      </c>
    </row>
    <row r="1247" spans="1:13" ht="15">
      <c r="A1247" t="s">
        <v>153</v>
      </c>
      <c r="B1247" t="s">
        <v>154</v>
      </c>
      <c r="C1247" s="15" t="s">
        <v>30</v>
      </c>
      <c r="D1247" s="23" t="s">
        <v>81</v>
      </c>
      <c r="E1247" s="25" t="s">
        <v>82</v>
      </c>
      <c r="F1247" s="25" t="str">
        <f>'Source Table'!$G$6</f>
        <v>Public Sector</v>
      </c>
      <c r="G1247" s="25" t="str">
        <f>'Source Table'!$G$5</f>
        <v>القطاع العام</v>
      </c>
      <c r="H1247" t="str">
        <f>'Source Table'!$G$8</f>
        <v>Female</v>
      </c>
      <c r="I1247" s="16" t="str">
        <f>'Source Table'!$G$7</f>
        <v>أنثى</v>
      </c>
      <c r="J1247" s="25" t="str">
        <f>'Source Table'!$B$27</f>
        <v>Physiotherapist</v>
      </c>
      <c r="K1247" s="25" t="str">
        <f>'Source Table'!$I$27</f>
        <v>طب طبيعي</v>
      </c>
      <c r="L1247" s="44">
        <v>10</v>
      </c>
      <c r="M1247">
        <v>2015</v>
      </c>
    </row>
    <row r="1248" spans="1:13" ht="15">
      <c r="A1248" t="s">
        <v>153</v>
      </c>
      <c r="B1248" t="s">
        <v>154</v>
      </c>
      <c r="C1248" s="15" t="s">
        <v>30</v>
      </c>
      <c r="D1248" s="23" t="s">
        <v>81</v>
      </c>
      <c r="E1248" s="25" t="s">
        <v>82</v>
      </c>
      <c r="F1248" s="25" t="str">
        <f>'Source Table'!$G$6</f>
        <v>Public Sector</v>
      </c>
      <c r="G1248" s="25" t="str">
        <f>'Source Table'!$G$5</f>
        <v>القطاع العام</v>
      </c>
      <c r="H1248" t="str">
        <f>'Source Table'!$G$8</f>
        <v>Female</v>
      </c>
      <c r="I1248" s="16" t="str">
        <f>'Source Table'!$G$7</f>
        <v>أنثى</v>
      </c>
      <c r="J1248" s="25" t="str">
        <f>'Source Table'!$B$28</f>
        <v>Forensic</v>
      </c>
      <c r="K1248" s="25" t="str">
        <f>'Source Table'!$I$28</f>
        <v>طب شرعي</v>
      </c>
      <c r="L1248" s="44">
        <v>1</v>
      </c>
      <c r="M1248">
        <v>2015</v>
      </c>
    </row>
    <row r="1249" spans="1:13" ht="15">
      <c r="A1249" t="s">
        <v>153</v>
      </c>
      <c r="B1249" t="s">
        <v>154</v>
      </c>
      <c r="C1249" s="15" t="s">
        <v>30</v>
      </c>
      <c r="D1249" s="23" t="s">
        <v>81</v>
      </c>
      <c r="E1249" s="25" t="s">
        <v>82</v>
      </c>
      <c r="F1249" s="25" t="str">
        <f>'Source Table'!$G$6</f>
        <v>Public Sector</v>
      </c>
      <c r="G1249" s="25" t="str">
        <f>'Source Table'!$G$5</f>
        <v>القطاع العام</v>
      </c>
      <c r="H1249" t="str">
        <f>'Source Table'!$G$8</f>
        <v>Female</v>
      </c>
      <c r="I1249" s="16" t="str">
        <f>'Source Table'!$G$7</f>
        <v>أنثى</v>
      </c>
      <c r="J1249" s="25" t="str">
        <f>'Source Table'!$B$29</f>
        <v xml:space="preserve">Family </v>
      </c>
      <c r="K1249" s="25" t="str">
        <f>'Source Table'!$I$29</f>
        <v>طب أسرة</v>
      </c>
      <c r="L1249" s="44">
        <v>63</v>
      </c>
      <c r="M1249">
        <v>2015</v>
      </c>
    </row>
    <row r="1250" spans="1:13" ht="15">
      <c r="A1250" t="s">
        <v>153</v>
      </c>
      <c r="B1250" t="s">
        <v>154</v>
      </c>
      <c r="C1250" s="15" t="s">
        <v>30</v>
      </c>
      <c r="D1250" s="23" t="s">
        <v>81</v>
      </c>
      <c r="E1250" s="25" t="s">
        <v>82</v>
      </c>
      <c r="F1250" s="25" t="str">
        <f>'Source Table'!$G$6</f>
        <v>Public Sector</v>
      </c>
      <c r="G1250" s="25" t="str">
        <f>'Source Table'!$G$5</f>
        <v>القطاع العام</v>
      </c>
      <c r="H1250" t="str">
        <f>'Source Table'!$G$8</f>
        <v>Female</v>
      </c>
      <c r="I1250" s="16" t="str">
        <f>'Source Table'!$G$7</f>
        <v>أنثى</v>
      </c>
      <c r="J1250" s="25" t="str">
        <f>'Source Table'!$B$30</f>
        <v>Urologist</v>
      </c>
      <c r="K1250" s="25" t="str">
        <f>'Source Table'!$I$30</f>
        <v xml:space="preserve">المسالك البولية </v>
      </c>
      <c r="L1250" s="44">
        <v>1</v>
      </c>
      <c r="M1250">
        <v>2015</v>
      </c>
    </row>
    <row r="1251" spans="1:13" ht="15">
      <c r="A1251" t="s">
        <v>153</v>
      </c>
      <c r="B1251" t="s">
        <v>154</v>
      </c>
      <c r="C1251" s="15" t="s">
        <v>30</v>
      </c>
      <c r="D1251" s="23" t="s">
        <v>81</v>
      </c>
      <c r="E1251" s="25" t="s">
        <v>82</v>
      </c>
      <c r="F1251" s="25" t="str">
        <f>'Source Table'!$G$6</f>
        <v>Public Sector</v>
      </c>
      <c r="G1251" s="25" t="str">
        <f>'Source Table'!$G$5</f>
        <v>القطاع العام</v>
      </c>
      <c r="H1251" t="str">
        <f>'Source Table'!$G$8</f>
        <v>Female</v>
      </c>
      <c r="I1251" s="16" t="str">
        <f>'Source Table'!$G$7</f>
        <v>أنثى</v>
      </c>
      <c r="J1251" s="25" t="str">
        <f>'Source Table'!$B$31</f>
        <v>Cardiology</v>
      </c>
      <c r="K1251" s="25" t="str">
        <f>'Source Table'!$I$31</f>
        <v>أمراض القلب</v>
      </c>
      <c r="L1251" s="44">
        <v>1</v>
      </c>
      <c r="M1251">
        <v>2015</v>
      </c>
    </row>
    <row r="1252" spans="1:13" ht="15">
      <c r="A1252" t="s">
        <v>153</v>
      </c>
      <c r="B1252" t="s">
        <v>154</v>
      </c>
      <c r="C1252" s="15" t="s">
        <v>30</v>
      </c>
      <c r="D1252" s="23" t="s">
        <v>81</v>
      </c>
      <c r="E1252" s="25" t="s">
        <v>82</v>
      </c>
      <c r="F1252" s="25" t="str">
        <f>'Source Table'!$G$6</f>
        <v>Public Sector</v>
      </c>
      <c r="G1252" s="25" t="str">
        <f>'Source Table'!$G$5</f>
        <v>القطاع العام</v>
      </c>
      <c r="H1252" t="str">
        <f>'Source Table'!$G$8</f>
        <v>Female</v>
      </c>
      <c r="I1252" s="16" t="str">
        <f>'Source Table'!$G$7</f>
        <v>أنثى</v>
      </c>
      <c r="J1252" s="25" t="str">
        <f>'Source Table'!$B$32</f>
        <v>Laboratory</v>
      </c>
      <c r="K1252" s="25" t="str">
        <f>'Source Table'!$I$32</f>
        <v>مختبرات</v>
      </c>
      <c r="L1252" s="44">
        <v>10</v>
      </c>
      <c r="M1252">
        <v>2015</v>
      </c>
    </row>
    <row r="1253" spans="1:13" ht="15">
      <c r="A1253" t="s">
        <v>153</v>
      </c>
      <c r="B1253" t="s">
        <v>154</v>
      </c>
      <c r="C1253" s="15" t="s">
        <v>30</v>
      </c>
      <c r="D1253" s="23" t="s">
        <v>81</v>
      </c>
      <c r="E1253" s="25" t="s">
        <v>82</v>
      </c>
      <c r="F1253" s="25" t="str">
        <f>'Source Table'!$G$6</f>
        <v>Public Sector</v>
      </c>
      <c r="G1253" s="25" t="str">
        <f>'Source Table'!$G$5</f>
        <v>القطاع العام</v>
      </c>
      <c r="H1253" t="str">
        <f>'Source Table'!$G$8</f>
        <v>Female</v>
      </c>
      <c r="I1253" s="16" t="str">
        <f>'Source Table'!$G$7</f>
        <v>أنثى</v>
      </c>
      <c r="J1253" s="25" t="str">
        <f>'Source Table'!$B$33</f>
        <v>Others</v>
      </c>
      <c r="K1253" s="25" t="str">
        <f>'Source Table'!$I$33</f>
        <v>أخرى</v>
      </c>
      <c r="L1253" s="44">
        <v>73</v>
      </c>
      <c r="M1253">
        <v>2015</v>
      </c>
    </row>
    <row r="1254" spans="1:13" ht="15">
      <c r="A1254" t="s">
        <v>153</v>
      </c>
      <c r="B1254" t="s">
        <v>154</v>
      </c>
      <c r="C1254" s="15" t="s">
        <v>30</v>
      </c>
      <c r="D1254" s="23" t="s">
        <v>81</v>
      </c>
      <c r="E1254" s="25" t="s">
        <v>82</v>
      </c>
      <c r="F1254" s="16" t="str">
        <f>'Source Table'!$E$6</f>
        <v>Private Sector</v>
      </c>
      <c r="G1254" s="16" t="str">
        <f>'Source Table'!$E$5</f>
        <v>القطاع الخاص</v>
      </c>
      <c r="H1254" t="str">
        <f>'Source Table'!$H$8</f>
        <v>Male</v>
      </c>
      <c r="I1254" s="25" t="str">
        <f>'Source Table'!$H$7</f>
        <v>ذكر</v>
      </c>
      <c r="J1254" s="25" t="str">
        <f>'Source Table'!$B$9</f>
        <v>General Practitioner</v>
      </c>
      <c r="K1254" s="25" t="str">
        <f>'Source Table'!$I$9</f>
        <v>طبيب عام</v>
      </c>
      <c r="L1254" s="44">
        <v>2115</v>
      </c>
      <c r="M1254">
        <v>2015</v>
      </c>
    </row>
    <row r="1255" spans="1:13" ht="15">
      <c r="A1255" t="s">
        <v>153</v>
      </c>
      <c r="B1255" t="s">
        <v>154</v>
      </c>
      <c r="C1255" s="15" t="s">
        <v>30</v>
      </c>
      <c r="D1255" s="23" t="s">
        <v>81</v>
      </c>
      <c r="E1255" s="25" t="s">
        <v>82</v>
      </c>
      <c r="F1255" s="16" t="str">
        <f>'Source Table'!$E$6</f>
        <v>Private Sector</v>
      </c>
      <c r="G1255" s="16" t="str">
        <f>'Source Table'!$E$5</f>
        <v>القطاع الخاص</v>
      </c>
      <c r="H1255" t="str">
        <f>'Source Table'!$H$8</f>
        <v>Male</v>
      </c>
      <c r="I1255" s="25" t="str">
        <f>'Source Table'!$H$7</f>
        <v>ذكر</v>
      </c>
      <c r="J1255" s="25" t="str">
        <f>'Source Table'!$B$10</f>
        <v>Surgeon</v>
      </c>
      <c r="K1255" s="25" t="str">
        <f>'Source Table'!$I$10</f>
        <v>جراحة عامة</v>
      </c>
      <c r="L1255" s="44">
        <v>293</v>
      </c>
      <c r="M1255">
        <v>2015</v>
      </c>
    </row>
    <row r="1256" spans="1:13" ht="15">
      <c r="A1256" t="s">
        <v>153</v>
      </c>
      <c r="B1256" t="s">
        <v>154</v>
      </c>
      <c r="C1256" s="15" t="s">
        <v>30</v>
      </c>
      <c r="D1256" s="23" t="s">
        <v>81</v>
      </c>
      <c r="E1256" s="25" t="s">
        <v>82</v>
      </c>
      <c r="F1256" s="16" t="str">
        <f>'Source Table'!$E$6</f>
        <v>Private Sector</v>
      </c>
      <c r="G1256" s="16" t="str">
        <f>'Source Table'!$E$5</f>
        <v>القطاع الخاص</v>
      </c>
      <c r="H1256" t="str">
        <f>'Source Table'!$H$8</f>
        <v>Male</v>
      </c>
      <c r="I1256" s="25" t="str">
        <f>'Source Table'!$H$7</f>
        <v>ذكر</v>
      </c>
      <c r="J1256" s="25" t="str">
        <f>'Source Table'!$B$11</f>
        <v>Internist</v>
      </c>
      <c r="K1256" s="25" t="str">
        <f>'Source Table'!$I$11</f>
        <v>باطنية</v>
      </c>
      <c r="L1256" s="44">
        <v>346</v>
      </c>
      <c r="M1256">
        <v>2015</v>
      </c>
    </row>
    <row r="1257" spans="1:13" ht="15">
      <c r="A1257" t="s">
        <v>153</v>
      </c>
      <c r="B1257" t="s">
        <v>154</v>
      </c>
      <c r="C1257" s="15" t="s">
        <v>30</v>
      </c>
      <c r="D1257" s="23" t="s">
        <v>81</v>
      </c>
      <c r="E1257" s="25" t="s">
        <v>82</v>
      </c>
      <c r="F1257" s="16" t="str">
        <f>'Source Table'!$E$6</f>
        <v>Private Sector</v>
      </c>
      <c r="G1257" s="16" t="str">
        <f>'Source Table'!$E$5</f>
        <v>القطاع الخاص</v>
      </c>
      <c r="H1257" t="str">
        <f>'Source Table'!$H$8</f>
        <v>Male</v>
      </c>
      <c r="I1257" s="25" t="str">
        <f>'Source Table'!$H$7</f>
        <v>ذكر</v>
      </c>
      <c r="J1257" s="25" t="str">
        <f>'Source Table'!$B$12</f>
        <v>Gynecologist and Obst.</v>
      </c>
      <c r="K1257" s="25" t="str">
        <f>'Source Table'!$I$12</f>
        <v>نسائية وتوليد</v>
      </c>
      <c r="L1257" s="44">
        <v>295</v>
      </c>
      <c r="M1257">
        <v>2015</v>
      </c>
    </row>
    <row r="1258" spans="1:13" ht="15">
      <c r="A1258" t="s">
        <v>153</v>
      </c>
      <c r="B1258" t="s">
        <v>154</v>
      </c>
      <c r="C1258" s="15" t="s">
        <v>30</v>
      </c>
      <c r="D1258" s="23" t="s">
        <v>81</v>
      </c>
      <c r="E1258" s="25" t="s">
        <v>82</v>
      </c>
      <c r="F1258" s="16" t="str">
        <f>'Source Table'!$E$6</f>
        <v>Private Sector</v>
      </c>
      <c r="G1258" s="16" t="str">
        <f>'Source Table'!$E$5</f>
        <v>القطاع الخاص</v>
      </c>
      <c r="H1258" t="str">
        <f>'Source Table'!$H$8</f>
        <v>Male</v>
      </c>
      <c r="I1258" s="25" t="str">
        <f>'Source Table'!$H$7</f>
        <v>ذكر</v>
      </c>
      <c r="J1258" s="25" t="str">
        <f>'Source Table'!$B$13</f>
        <v>Pediatrics</v>
      </c>
      <c r="K1258" s="25" t="str">
        <f>'Source Table'!$I$13</f>
        <v>أطفال</v>
      </c>
      <c r="L1258" s="44">
        <v>259</v>
      </c>
      <c r="M1258">
        <v>2015</v>
      </c>
    </row>
    <row r="1259" spans="1:13" ht="15">
      <c r="A1259" t="s">
        <v>153</v>
      </c>
      <c r="B1259" t="s">
        <v>154</v>
      </c>
      <c r="C1259" s="15" t="s">
        <v>30</v>
      </c>
      <c r="D1259" s="23" t="s">
        <v>81</v>
      </c>
      <c r="E1259" s="25" t="s">
        <v>82</v>
      </c>
      <c r="F1259" s="16" t="str">
        <f>'Source Table'!$E$6</f>
        <v>Private Sector</v>
      </c>
      <c r="G1259" s="16" t="str">
        <f>'Source Table'!$E$5</f>
        <v>القطاع الخاص</v>
      </c>
      <c r="H1259" t="str">
        <f>'Source Table'!$H$8</f>
        <v>Male</v>
      </c>
      <c r="I1259" s="25" t="str">
        <f>'Source Table'!$H$7</f>
        <v>ذكر</v>
      </c>
      <c r="J1259" s="25" t="str">
        <f>'Source Table'!$B$14</f>
        <v>Ophthalmologist</v>
      </c>
      <c r="K1259" s="25" t="str">
        <f>'Source Table'!$I$14</f>
        <v>العيون</v>
      </c>
      <c r="L1259" s="44">
        <v>149</v>
      </c>
      <c r="M1259">
        <v>2015</v>
      </c>
    </row>
    <row r="1260" spans="1:13" ht="15">
      <c r="A1260" t="s">
        <v>153</v>
      </c>
      <c r="B1260" t="s">
        <v>154</v>
      </c>
      <c r="C1260" s="15" t="s">
        <v>30</v>
      </c>
      <c r="D1260" s="23" t="s">
        <v>81</v>
      </c>
      <c r="E1260" s="25" t="s">
        <v>82</v>
      </c>
      <c r="F1260" s="16" t="str">
        <f>'Source Table'!$E$6</f>
        <v>Private Sector</v>
      </c>
      <c r="G1260" s="16" t="str">
        <f>'Source Table'!$E$5</f>
        <v>القطاع الخاص</v>
      </c>
      <c r="H1260" t="str">
        <f>'Source Table'!$H$8</f>
        <v>Male</v>
      </c>
      <c r="I1260" s="25" t="str">
        <f>'Source Table'!$H$7</f>
        <v>ذكر</v>
      </c>
      <c r="J1260" s="25" t="str">
        <f>'Source Table'!$B$15</f>
        <v>Orthopedic Surg.</v>
      </c>
      <c r="K1260" s="25" t="str">
        <f>'Source Table'!$I$15</f>
        <v>العظام</v>
      </c>
      <c r="L1260" s="44">
        <v>178</v>
      </c>
      <c r="M1260">
        <v>2015</v>
      </c>
    </row>
    <row r="1261" spans="1:13" ht="15">
      <c r="A1261" t="s">
        <v>153</v>
      </c>
      <c r="B1261" t="s">
        <v>154</v>
      </c>
      <c r="C1261" s="15" t="s">
        <v>30</v>
      </c>
      <c r="D1261" s="23" t="s">
        <v>81</v>
      </c>
      <c r="E1261" s="25" t="s">
        <v>82</v>
      </c>
      <c r="F1261" s="16" t="str">
        <f>'Source Table'!$E$6</f>
        <v>Private Sector</v>
      </c>
      <c r="G1261" s="16" t="str">
        <f>'Source Table'!$E$5</f>
        <v>القطاع الخاص</v>
      </c>
      <c r="H1261" t="str">
        <f>'Source Table'!$H$8</f>
        <v>Male</v>
      </c>
      <c r="I1261" s="25" t="str">
        <f>'Source Table'!$H$7</f>
        <v>ذكر</v>
      </c>
      <c r="J1261" s="25" t="str">
        <f>'Source Table'!$B$16</f>
        <v>E.N.T.Surg.</v>
      </c>
      <c r="K1261" s="25" t="str">
        <f>'Source Table'!$I$16</f>
        <v>أذن وأنف وحنجرة</v>
      </c>
      <c r="L1261" s="44">
        <v>110</v>
      </c>
      <c r="M1261">
        <v>2015</v>
      </c>
    </row>
    <row r="1262" spans="1:13" ht="15">
      <c r="A1262" t="s">
        <v>153</v>
      </c>
      <c r="B1262" t="s">
        <v>154</v>
      </c>
      <c r="C1262" s="15" t="s">
        <v>30</v>
      </c>
      <c r="D1262" s="23" t="s">
        <v>81</v>
      </c>
      <c r="E1262" s="25" t="s">
        <v>82</v>
      </c>
      <c r="F1262" s="16" t="str">
        <f>'Source Table'!$E$6</f>
        <v>Private Sector</v>
      </c>
      <c r="G1262" s="16" t="str">
        <f>'Source Table'!$E$5</f>
        <v>القطاع الخاص</v>
      </c>
      <c r="H1262" t="str">
        <f>'Source Table'!$H$8</f>
        <v>Male</v>
      </c>
      <c r="I1262" s="25" t="str">
        <f>'Source Table'!$H$7</f>
        <v>ذكر</v>
      </c>
      <c r="J1262" s="25" t="str">
        <f>'Source Table'!$B$17</f>
        <v>Neurosurgery</v>
      </c>
      <c r="K1262" s="25" t="str">
        <f>'Source Table'!$I$17</f>
        <v>جراحةأعصاب</v>
      </c>
      <c r="L1262" s="44">
        <v>40</v>
      </c>
      <c r="M1262">
        <v>2015</v>
      </c>
    </row>
    <row r="1263" spans="1:13" ht="15">
      <c r="A1263" t="s">
        <v>153</v>
      </c>
      <c r="B1263" t="s">
        <v>154</v>
      </c>
      <c r="C1263" s="15" t="s">
        <v>30</v>
      </c>
      <c r="D1263" s="23" t="s">
        <v>81</v>
      </c>
      <c r="E1263" s="25" t="s">
        <v>82</v>
      </c>
      <c r="F1263" s="16" t="str">
        <f>'Source Table'!$E$6</f>
        <v>Private Sector</v>
      </c>
      <c r="G1263" s="16" t="str">
        <f>'Source Table'!$E$5</f>
        <v>القطاع الخاص</v>
      </c>
      <c r="H1263" t="str">
        <f>'Source Table'!$H$8</f>
        <v>Male</v>
      </c>
      <c r="I1263" s="25" t="str">
        <f>'Source Table'!$H$7</f>
        <v>ذكر</v>
      </c>
      <c r="J1263" s="25" t="str">
        <f>'Source Table'!$B$18</f>
        <v>Cardiothoracic</v>
      </c>
      <c r="K1263" s="25" t="str">
        <f>'Source Table'!$I$18</f>
        <v>جراحة قلب</v>
      </c>
      <c r="L1263" s="44">
        <v>19</v>
      </c>
      <c r="M1263">
        <v>2015</v>
      </c>
    </row>
    <row r="1264" spans="1:13" ht="15">
      <c r="A1264" t="s">
        <v>153</v>
      </c>
      <c r="B1264" t="s">
        <v>154</v>
      </c>
      <c r="C1264" s="15" t="s">
        <v>30</v>
      </c>
      <c r="D1264" s="23" t="s">
        <v>81</v>
      </c>
      <c r="E1264" s="25" t="s">
        <v>82</v>
      </c>
      <c r="F1264" s="16" t="str">
        <f>'Source Table'!$E$6</f>
        <v>Private Sector</v>
      </c>
      <c r="G1264" s="16" t="str">
        <f>'Source Table'!$E$5</f>
        <v>القطاع الخاص</v>
      </c>
      <c r="H1264" t="str">
        <f>'Source Table'!$H$8</f>
        <v>Male</v>
      </c>
      <c r="I1264" s="25" t="str">
        <f>'Source Table'!$H$7</f>
        <v>ذكر</v>
      </c>
      <c r="J1264" s="25" t="str">
        <f>'Source Table'!$B$19</f>
        <v>Plastic Surgeon</v>
      </c>
      <c r="K1264" s="25" t="str">
        <f>'Source Table'!$I$19</f>
        <v>التجميل</v>
      </c>
      <c r="L1264" s="44">
        <v>30</v>
      </c>
      <c r="M1264">
        <v>2015</v>
      </c>
    </row>
    <row r="1265" spans="1:13" ht="15">
      <c r="A1265" t="s">
        <v>153</v>
      </c>
      <c r="B1265" t="s">
        <v>154</v>
      </c>
      <c r="C1265" s="15" t="s">
        <v>30</v>
      </c>
      <c r="D1265" s="23" t="s">
        <v>81</v>
      </c>
      <c r="E1265" s="25" t="s">
        <v>82</v>
      </c>
      <c r="F1265" s="16" t="str">
        <f>'Source Table'!$E$6</f>
        <v>Private Sector</v>
      </c>
      <c r="G1265" s="16" t="str">
        <f>'Source Table'!$E$5</f>
        <v>القطاع الخاص</v>
      </c>
      <c r="H1265" t="str">
        <f>'Source Table'!$H$8</f>
        <v>Male</v>
      </c>
      <c r="I1265" s="25" t="str">
        <f>'Source Table'!$H$7</f>
        <v>ذكر</v>
      </c>
      <c r="J1265" s="25" t="str">
        <f>'Source Table'!$B$20</f>
        <v>Psychiatry</v>
      </c>
      <c r="K1265" s="25" t="str">
        <f>'Source Table'!$I$20</f>
        <v>النفسية</v>
      </c>
      <c r="L1265" s="44">
        <v>46</v>
      </c>
      <c r="M1265">
        <v>2015</v>
      </c>
    </row>
    <row r="1266" spans="1:13" ht="15">
      <c r="A1266" t="s">
        <v>153</v>
      </c>
      <c r="B1266" t="s">
        <v>154</v>
      </c>
      <c r="C1266" s="15" t="s">
        <v>30</v>
      </c>
      <c r="D1266" s="23" t="s">
        <v>81</v>
      </c>
      <c r="E1266" s="25" t="s">
        <v>82</v>
      </c>
      <c r="F1266" s="16" t="str">
        <f>'Source Table'!$E$6</f>
        <v>Private Sector</v>
      </c>
      <c r="G1266" s="16" t="str">
        <f>'Source Table'!$E$5</f>
        <v>القطاع الخاص</v>
      </c>
      <c r="H1266" t="str">
        <f>'Source Table'!$H$8</f>
        <v>Male</v>
      </c>
      <c r="I1266" s="25" t="str">
        <f>'Source Table'!$H$7</f>
        <v>ذكر</v>
      </c>
      <c r="J1266" s="25" t="str">
        <f>'Source Table'!$B$21</f>
        <v>Dermatologist Venereal</v>
      </c>
      <c r="K1266" s="25" t="str">
        <f>'Source Table'!$I$21</f>
        <v>جلدية وتناسلية</v>
      </c>
      <c r="L1266" s="44">
        <v>102</v>
      </c>
      <c r="M1266">
        <v>2015</v>
      </c>
    </row>
    <row r="1267" spans="1:13" ht="15">
      <c r="A1267" t="s">
        <v>153</v>
      </c>
      <c r="B1267" t="s">
        <v>154</v>
      </c>
      <c r="C1267" s="15" t="s">
        <v>30</v>
      </c>
      <c r="D1267" s="23" t="s">
        <v>81</v>
      </c>
      <c r="E1267" s="25" t="s">
        <v>82</v>
      </c>
      <c r="F1267" s="16" t="str">
        <f>'Source Table'!$E$6</f>
        <v>Private Sector</v>
      </c>
      <c r="G1267" s="16" t="str">
        <f>'Source Table'!$E$5</f>
        <v>القطاع الخاص</v>
      </c>
      <c r="H1267" t="str">
        <f>'Source Table'!$H$8</f>
        <v>Male</v>
      </c>
      <c r="I1267" s="25" t="str">
        <f>'Source Table'!$H$7</f>
        <v>ذكر</v>
      </c>
      <c r="J1267" s="25" t="str">
        <f>'Source Table'!$B$22</f>
        <v>Neurology/ Nervous</v>
      </c>
      <c r="K1267" s="25" t="str">
        <f>'Source Table'!$I$22</f>
        <v>مرض الأعصاب</v>
      </c>
      <c r="L1267" s="44">
        <v>25</v>
      </c>
      <c r="M1267">
        <v>2015</v>
      </c>
    </row>
    <row r="1268" spans="1:13" ht="15">
      <c r="A1268" t="s">
        <v>153</v>
      </c>
      <c r="B1268" t="s">
        <v>154</v>
      </c>
      <c r="C1268" s="15" t="s">
        <v>30</v>
      </c>
      <c r="D1268" s="23" t="s">
        <v>81</v>
      </c>
      <c r="E1268" s="25" t="s">
        <v>82</v>
      </c>
      <c r="F1268" s="16" t="str">
        <f>'Source Table'!$E$6</f>
        <v>Private Sector</v>
      </c>
      <c r="G1268" s="16" t="str">
        <f>'Source Table'!$E$5</f>
        <v>القطاع الخاص</v>
      </c>
      <c r="H1268" t="str">
        <f>'Source Table'!$H$8</f>
        <v>Male</v>
      </c>
      <c r="I1268" s="25" t="str">
        <f>'Source Table'!$H$7</f>
        <v>ذكر</v>
      </c>
      <c r="J1268" s="25" t="str">
        <f>'Source Table'!$B$23</f>
        <v>Pumologist</v>
      </c>
      <c r="K1268" s="25" t="str">
        <f>'Source Table'!$I$23</f>
        <v>صدرية</v>
      </c>
      <c r="L1268" s="44">
        <v>28</v>
      </c>
      <c r="M1268">
        <v>2015</v>
      </c>
    </row>
    <row r="1269" spans="1:13" ht="15">
      <c r="A1269" t="s">
        <v>153</v>
      </c>
      <c r="B1269" t="s">
        <v>154</v>
      </c>
      <c r="C1269" s="15" t="s">
        <v>30</v>
      </c>
      <c r="D1269" s="23" t="s">
        <v>81</v>
      </c>
      <c r="E1269" s="25" t="s">
        <v>82</v>
      </c>
      <c r="F1269" s="16" t="str">
        <f>'Source Table'!$E$6</f>
        <v>Private Sector</v>
      </c>
      <c r="G1269" s="16" t="str">
        <f>'Source Table'!$E$5</f>
        <v>القطاع الخاص</v>
      </c>
      <c r="H1269" t="str">
        <f>'Source Table'!$H$8</f>
        <v>Male</v>
      </c>
      <c r="I1269" s="25" t="str">
        <f>'Source Table'!$H$7</f>
        <v>ذكر</v>
      </c>
      <c r="J1269" s="25" t="str">
        <f>'Source Table'!$B$24</f>
        <v>G.I.T. Specialist</v>
      </c>
      <c r="K1269" s="25" t="str">
        <f>'Source Table'!$I$24</f>
        <v>جهاز هضمي</v>
      </c>
      <c r="L1269" s="44">
        <v>42</v>
      </c>
      <c r="M1269">
        <v>2015</v>
      </c>
    </row>
    <row r="1270" spans="1:13" ht="15">
      <c r="A1270" t="s">
        <v>153</v>
      </c>
      <c r="B1270" t="s">
        <v>154</v>
      </c>
      <c r="C1270" s="15" t="s">
        <v>30</v>
      </c>
      <c r="D1270" s="23" t="s">
        <v>81</v>
      </c>
      <c r="E1270" s="25" t="s">
        <v>82</v>
      </c>
      <c r="F1270" s="16" t="str">
        <f>'Source Table'!$E$6</f>
        <v>Private Sector</v>
      </c>
      <c r="G1270" s="16" t="str">
        <f>'Source Table'!$E$5</f>
        <v>القطاع الخاص</v>
      </c>
      <c r="H1270" t="str">
        <f>'Source Table'!$H$8</f>
        <v>Male</v>
      </c>
      <c r="I1270" s="25" t="str">
        <f>'Source Table'!$H$7</f>
        <v>ذكر</v>
      </c>
      <c r="J1270" s="25" t="str">
        <f>'Source Table'!$B$25</f>
        <v>Diagnostic Radiology</v>
      </c>
      <c r="K1270" s="25" t="str">
        <f>'Source Table'!$I$25</f>
        <v>أشعة تشخيصية</v>
      </c>
      <c r="L1270" s="44">
        <v>115</v>
      </c>
      <c r="M1270">
        <v>2015</v>
      </c>
    </row>
    <row r="1271" spans="1:13" ht="15">
      <c r="A1271" t="s">
        <v>153</v>
      </c>
      <c r="B1271" t="s">
        <v>154</v>
      </c>
      <c r="C1271" s="15" t="s">
        <v>30</v>
      </c>
      <c r="D1271" s="23" t="s">
        <v>81</v>
      </c>
      <c r="E1271" s="25" t="s">
        <v>82</v>
      </c>
      <c r="F1271" s="16" t="str">
        <f>'Source Table'!$E$6</f>
        <v>Private Sector</v>
      </c>
      <c r="G1271" s="16" t="str">
        <f>'Source Table'!$E$5</f>
        <v>القطاع الخاص</v>
      </c>
      <c r="H1271" t="str">
        <f>'Source Table'!$H$8</f>
        <v>Male</v>
      </c>
      <c r="I1271" s="25" t="str">
        <f>'Source Table'!$H$7</f>
        <v>ذكر</v>
      </c>
      <c r="J1271" s="25" t="str">
        <f>'Source Table'!$B$26</f>
        <v>Anesthetic</v>
      </c>
      <c r="K1271" s="25" t="str">
        <f>'Source Table'!$I$26</f>
        <v>تخدير وإنعاش</v>
      </c>
      <c r="L1271" s="44">
        <v>144</v>
      </c>
      <c r="M1271">
        <v>2015</v>
      </c>
    </row>
    <row r="1272" spans="1:13" ht="15">
      <c r="A1272" t="s">
        <v>153</v>
      </c>
      <c r="B1272" t="s">
        <v>154</v>
      </c>
      <c r="C1272" s="15" t="s">
        <v>30</v>
      </c>
      <c r="D1272" s="23" t="s">
        <v>81</v>
      </c>
      <c r="E1272" s="25" t="s">
        <v>82</v>
      </c>
      <c r="F1272" s="16" t="str">
        <f>'Source Table'!$E$6</f>
        <v>Private Sector</v>
      </c>
      <c r="G1272" s="16" t="str">
        <f>'Source Table'!$E$5</f>
        <v>القطاع الخاص</v>
      </c>
      <c r="H1272" t="str">
        <f>'Source Table'!$H$8</f>
        <v>Male</v>
      </c>
      <c r="I1272" s="25" t="str">
        <f>'Source Table'!$H$7</f>
        <v>ذكر</v>
      </c>
      <c r="J1272" s="25" t="str">
        <f>'Source Table'!$B$27</f>
        <v>Physiotherapist</v>
      </c>
      <c r="K1272" s="25" t="str">
        <f>'Source Table'!$I$27</f>
        <v>طب طبيعي</v>
      </c>
      <c r="L1272" s="44">
        <v>15</v>
      </c>
      <c r="M1272">
        <v>2015</v>
      </c>
    </row>
    <row r="1273" spans="1:13" ht="15">
      <c r="A1273" t="s">
        <v>153</v>
      </c>
      <c r="B1273" t="s">
        <v>154</v>
      </c>
      <c r="C1273" s="15" t="s">
        <v>30</v>
      </c>
      <c r="D1273" s="23" t="s">
        <v>81</v>
      </c>
      <c r="E1273" s="25" t="s">
        <v>82</v>
      </c>
      <c r="F1273" s="16" t="str">
        <f>'Source Table'!$E$6</f>
        <v>Private Sector</v>
      </c>
      <c r="G1273" s="16" t="str">
        <f>'Source Table'!$E$5</f>
        <v>القطاع الخاص</v>
      </c>
      <c r="H1273" t="str">
        <f>'Source Table'!$H$8</f>
        <v>Male</v>
      </c>
      <c r="I1273" s="25" t="str">
        <f>'Source Table'!$H$7</f>
        <v>ذكر</v>
      </c>
      <c r="J1273" s="25" t="str">
        <f>'Source Table'!$B$28</f>
        <v>Forensic</v>
      </c>
      <c r="K1273" s="25" t="str">
        <f>'Source Table'!$I$28</f>
        <v>طب شرعي</v>
      </c>
      <c r="L1273" s="44">
        <v>1</v>
      </c>
      <c r="M1273">
        <v>2015</v>
      </c>
    </row>
    <row r="1274" spans="1:13" ht="15">
      <c r="A1274" t="s">
        <v>153</v>
      </c>
      <c r="B1274" t="s">
        <v>154</v>
      </c>
      <c r="C1274" s="15" t="s">
        <v>30</v>
      </c>
      <c r="D1274" s="23" t="s">
        <v>81</v>
      </c>
      <c r="E1274" s="25" t="s">
        <v>82</v>
      </c>
      <c r="F1274" s="16" t="str">
        <f>'Source Table'!$E$6</f>
        <v>Private Sector</v>
      </c>
      <c r="G1274" s="16" t="str">
        <f>'Source Table'!$E$5</f>
        <v>القطاع الخاص</v>
      </c>
      <c r="H1274" t="str">
        <f>'Source Table'!$H$8</f>
        <v>Male</v>
      </c>
      <c r="I1274" s="25" t="str">
        <f>'Source Table'!$H$7</f>
        <v>ذكر</v>
      </c>
      <c r="J1274" s="25" t="str">
        <f>'Source Table'!$B$29</f>
        <v xml:space="preserve">Family </v>
      </c>
      <c r="K1274" s="25" t="str">
        <f>'Source Table'!$I$29</f>
        <v>طب أسرة</v>
      </c>
      <c r="L1274" s="44">
        <v>19</v>
      </c>
      <c r="M1274">
        <v>2015</v>
      </c>
    </row>
    <row r="1275" spans="1:13" ht="15">
      <c r="A1275" t="s">
        <v>153</v>
      </c>
      <c r="B1275" t="s">
        <v>154</v>
      </c>
      <c r="C1275" s="15" t="s">
        <v>30</v>
      </c>
      <c r="D1275" s="23" t="s">
        <v>81</v>
      </c>
      <c r="E1275" s="25" t="s">
        <v>82</v>
      </c>
      <c r="F1275" s="16" t="str">
        <f>'Source Table'!$E$6</f>
        <v>Private Sector</v>
      </c>
      <c r="G1275" s="16" t="str">
        <f>'Source Table'!$E$5</f>
        <v>القطاع الخاص</v>
      </c>
      <c r="H1275" t="str">
        <f>'Source Table'!$H$8</f>
        <v>Male</v>
      </c>
      <c r="I1275" s="25" t="str">
        <f>'Source Table'!$H$7</f>
        <v>ذكر</v>
      </c>
      <c r="J1275" s="25" t="str">
        <f>'Source Table'!$B$30</f>
        <v>Urologist</v>
      </c>
      <c r="K1275" s="25" t="str">
        <f>'Source Table'!$I$30</f>
        <v xml:space="preserve">المسالك البولية </v>
      </c>
      <c r="L1275" s="44">
        <v>83</v>
      </c>
      <c r="M1275">
        <v>2015</v>
      </c>
    </row>
    <row r="1276" spans="1:13" ht="15">
      <c r="A1276" t="s">
        <v>153</v>
      </c>
      <c r="B1276" t="s">
        <v>154</v>
      </c>
      <c r="C1276" s="15" t="s">
        <v>30</v>
      </c>
      <c r="D1276" s="23" t="s">
        <v>81</v>
      </c>
      <c r="E1276" s="25" t="s">
        <v>82</v>
      </c>
      <c r="F1276" s="16" t="str">
        <f>'Source Table'!$E$6</f>
        <v>Private Sector</v>
      </c>
      <c r="G1276" s="16" t="str">
        <f>'Source Table'!$E$5</f>
        <v>القطاع الخاص</v>
      </c>
      <c r="H1276" t="str">
        <f>'Source Table'!$H$8</f>
        <v>Male</v>
      </c>
      <c r="I1276" s="25" t="str">
        <f>'Source Table'!$H$7</f>
        <v>ذكر</v>
      </c>
      <c r="J1276" s="25" t="str">
        <f>'Source Table'!$B$31</f>
        <v>Cardiology</v>
      </c>
      <c r="K1276" s="25" t="str">
        <f>'Source Table'!$I$31</f>
        <v>أمراض القلب</v>
      </c>
      <c r="L1276" s="44">
        <v>63</v>
      </c>
      <c r="M1276">
        <v>2015</v>
      </c>
    </row>
    <row r="1277" spans="1:13" ht="15">
      <c r="A1277" t="s">
        <v>153</v>
      </c>
      <c r="B1277" t="s">
        <v>154</v>
      </c>
      <c r="C1277" s="15" t="s">
        <v>30</v>
      </c>
      <c r="D1277" s="23" t="s">
        <v>81</v>
      </c>
      <c r="E1277" s="25" t="s">
        <v>82</v>
      </c>
      <c r="F1277" s="16" t="str">
        <f>'Source Table'!$E$6</f>
        <v>Private Sector</v>
      </c>
      <c r="G1277" s="16" t="str">
        <f>'Source Table'!$E$5</f>
        <v>القطاع الخاص</v>
      </c>
      <c r="H1277" t="str">
        <f>'Source Table'!$H$8</f>
        <v>Male</v>
      </c>
      <c r="I1277" s="25" t="str">
        <f>'Source Table'!$H$7</f>
        <v>ذكر</v>
      </c>
      <c r="J1277" s="25" t="str">
        <f>'Source Table'!$B$32</f>
        <v>Laboratory</v>
      </c>
      <c r="K1277" s="25" t="str">
        <f>'Source Table'!$I$32</f>
        <v>مختبرات</v>
      </c>
      <c r="L1277" s="44">
        <v>5</v>
      </c>
      <c r="M1277">
        <v>2015</v>
      </c>
    </row>
    <row r="1278" spans="1:13" ht="15">
      <c r="A1278" t="s">
        <v>153</v>
      </c>
      <c r="B1278" t="s">
        <v>154</v>
      </c>
      <c r="C1278" s="15" t="s">
        <v>30</v>
      </c>
      <c r="D1278" s="23" t="s">
        <v>81</v>
      </c>
      <c r="E1278" s="25" t="s">
        <v>82</v>
      </c>
      <c r="F1278" s="16" t="str">
        <f>'Source Table'!$E$6</f>
        <v>Private Sector</v>
      </c>
      <c r="G1278" s="16" t="str">
        <f>'Source Table'!$E$5</f>
        <v>القطاع الخاص</v>
      </c>
      <c r="H1278" t="str">
        <f>'Source Table'!$H$8</f>
        <v>Male</v>
      </c>
      <c r="I1278" s="25" t="str">
        <f>'Source Table'!$H$7</f>
        <v>ذكر</v>
      </c>
      <c r="J1278" s="25" t="str">
        <f>'Source Table'!$B$33</f>
        <v>Others</v>
      </c>
      <c r="K1278" s="25" t="str">
        <f>'Source Table'!$I$33</f>
        <v>أخرى</v>
      </c>
      <c r="L1278" s="44">
        <v>195</v>
      </c>
      <c r="M1278">
        <v>2015</v>
      </c>
    </row>
    <row r="1279" spans="1:13" ht="15">
      <c r="A1279" t="s">
        <v>153</v>
      </c>
      <c r="B1279" t="s">
        <v>154</v>
      </c>
      <c r="C1279" s="15" t="s">
        <v>30</v>
      </c>
      <c r="D1279" s="23" t="s">
        <v>81</v>
      </c>
      <c r="E1279" s="25" t="s">
        <v>82</v>
      </c>
      <c r="F1279" s="16" t="str">
        <f>'Source Table'!$E$6</f>
        <v>Private Sector</v>
      </c>
      <c r="G1279" s="16" t="str">
        <f>'Source Table'!$E$5</f>
        <v>القطاع الخاص</v>
      </c>
      <c r="H1279" t="str">
        <f>'Source Table'!$G$8</f>
        <v>Female</v>
      </c>
      <c r="I1279" s="16" t="str">
        <f>'Source Table'!$G$7</f>
        <v>أنثى</v>
      </c>
      <c r="J1279" s="25" t="str">
        <f>'Source Table'!$B$9</f>
        <v>General Practitioner</v>
      </c>
      <c r="K1279" s="25" t="str">
        <f>'Source Table'!$I$9</f>
        <v>طبيب عام</v>
      </c>
      <c r="L1279" s="44">
        <v>599</v>
      </c>
      <c r="M1279">
        <v>2015</v>
      </c>
    </row>
    <row r="1280" spans="1:13" ht="15">
      <c r="A1280" t="s">
        <v>153</v>
      </c>
      <c r="B1280" t="s">
        <v>154</v>
      </c>
      <c r="C1280" s="15" t="s">
        <v>30</v>
      </c>
      <c r="D1280" s="23" t="s">
        <v>81</v>
      </c>
      <c r="E1280" s="25" t="s">
        <v>82</v>
      </c>
      <c r="F1280" s="16" t="str">
        <f>'Source Table'!$E$6</f>
        <v>Private Sector</v>
      </c>
      <c r="G1280" s="16" t="str">
        <f>'Source Table'!$E$5</f>
        <v>القطاع الخاص</v>
      </c>
      <c r="H1280" t="str">
        <f>'Source Table'!$G$8</f>
        <v>Female</v>
      </c>
      <c r="I1280" s="16" t="str">
        <f>'Source Table'!$G$7</f>
        <v>أنثى</v>
      </c>
      <c r="J1280" s="25" t="str">
        <f>'Source Table'!$B$10</f>
        <v>Surgeon</v>
      </c>
      <c r="K1280" s="25" t="str">
        <f>'Source Table'!$I$10</f>
        <v>جراحة عامة</v>
      </c>
      <c r="L1280" s="44">
        <v>6</v>
      </c>
      <c r="M1280">
        <v>2015</v>
      </c>
    </row>
    <row r="1281" spans="1:13" ht="15">
      <c r="A1281" t="s">
        <v>153</v>
      </c>
      <c r="B1281" t="s">
        <v>154</v>
      </c>
      <c r="C1281" s="15" t="s">
        <v>30</v>
      </c>
      <c r="D1281" s="23" t="s">
        <v>81</v>
      </c>
      <c r="E1281" s="25" t="s">
        <v>82</v>
      </c>
      <c r="F1281" s="16" t="str">
        <f>'Source Table'!$E$6</f>
        <v>Private Sector</v>
      </c>
      <c r="G1281" s="16" t="str">
        <f>'Source Table'!$E$5</f>
        <v>القطاع الخاص</v>
      </c>
      <c r="H1281" t="str">
        <f>'Source Table'!$G$8</f>
        <v>Female</v>
      </c>
      <c r="I1281" s="16" t="str">
        <f>'Source Table'!$G$7</f>
        <v>أنثى</v>
      </c>
      <c r="J1281" s="25" t="str">
        <f>'Source Table'!$B$11</f>
        <v>Internist</v>
      </c>
      <c r="K1281" s="25" t="str">
        <f>'Source Table'!$I$11</f>
        <v>باطنية</v>
      </c>
      <c r="L1281" s="44">
        <v>32</v>
      </c>
      <c r="M1281">
        <v>2015</v>
      </c>
    </row>
    <row r="1282" spans="1:13" ht="15">
      <c r="A1282" t="s">
        <v>153</v>
      </c>
      <c r="B1282" t="s">
        <v>154</v>
      </c>
      <c r="C1282" s="15" t="s">
        <v>30</v>
      </c>
      <c r="D1282" s="23" t="s">
        <v>81</v>
      </c>
      <c r="E1282" s="25" t="s">
        <v>82</v>
      </c>
      <c r="F1282" s="16" t="str">
        <f>'Source Table'!$E$6</f>
        <v>Private Sector</v>
      </c>
      <c r="G1282" s="16" t="str">
        <f>'Source Table'!$E$5</f>
        <v>القطاع الخاص</v>
      </c>
      <c r="H1282" t="str">
        <f>'Source Table'!$G$8</f>
        <v>Female</v>
      </c>
      <c r="I1282" s="16" t="str">
        <f>'Source Table'!$G$7</f>
        <v>أنثى</v>
      </c>
      <c r="J1282" s="25" t="str">
        <f>'Source Table'!$B$12</f>
        <v>Gynecologist and Obst.</v>
      </c>
      <c r="K1282" s="25" t="str">
        <f>'Source Table'!$I$12</f>
        <v>نسائية وتوليد</v>
      </c>
      <c r="L1282" s="44">
        <v>163</v>
      </c>
      <c r="M1282">
        <v>2015</v>
      </c>
    </row>
    <row r="1283" spans="1:13" ht="15">
      <c r="A1283" t="s">
        <v>153</v>
      </c>
      <c r="B1283" t="s">
        <v>154</v>
      </c>
      <c r="C1283" s="15" t="s">
        <v>30</v>
      </c>
      <c r="D1283" s="23" t="s">
        <v>81</v>
      </c>
      <c r="E1283" s="25" t="s">
        <v>82</v>
      </c>
      <c r="F1283" s="16" t="str">
        <f>'Source Table'!$E$6</f>
        <v>Private Sector</v>
      </c>
      <c r="G1283" s="16" t="str">
        <f>'Source Table'!$E$5</f>
        <v>القطاع الخاص</v>
      </c>
      <c r="H1283" t="str">
        <f>'Source Table'!$G$8</f>
        <v>Female</v>
      </c>
      <c r="I1283" s="16" t="str">
        <f>'Source Table'!$G$7</f>
        <v>أنثى</v>
      </c>
      <c r="J1283" s="25" t="str">
        <f>'Source Table'!$B$13</f>
        <v>Pediatrics</v>
      </c>
      <c r="K1283" s="25" t="str">
        <f>'Source Table'!$I$13</f>
        <v>أطفال</v>
      </c>
      <c r="L1283" s="44">
        <v>75</v>
      </c>
      <c r="M1283">
        <v>2015</v>
      </c>
    </row>
    <row r="1284" spans="1:13" ht="15">
      <c r="A1284" t="s">
        <v>153</v>
      </c>
      <c r="B1284" t="s">
        <v>154</v>
      </c>
      <c r="C1284" s="15" t="s">
        <v>30</v>
      </c>
      <c r="D1284" s="23" t="s">
        <v>81</v>
      </c>
      <c r="E1284" s="25" t="s">
        <v>82</v>
      </c>
      <c r="F1284" s="16" t="str">
        <f>'Source Table'!$E$6</f>
        <v>Private Sector</v>
      </c>
      <c r="G1284" s="16" t="str">
        <f>'Source Table'!$E$5</f>
        <v>القطاع الخاص</v>
      </c>
      <c r="H1284" t="str">
        <f>'Source Table'!$G$8</f>
        <v>Female</v>
      </c>
      <c r="I1284" s="16" t="str">
        <f>'Source Table'!$G$7</f>
        <v>أنثى</v>
      </c>
      <c r="J1284" s="25" t="str">
        <f>'Source Table'!$B$14</f>
        <v>Ophthalmologist</v>
      </c>
      <c r="K1284" s="25" t="str">
        <f>'Source Table'!$I$14</f>
        <v>العيون</v>
      </c>
      <c r="L1284" s="44">
        <v>31</v>
      </c>
      <c r="M1284">
        <v>2015</v>
      </c>
    </row>
    <row r="1285" spans="1:13" ht="15">
      <c r="A1285" t="s">
        <v>153</v>
      </c>
      <c r="B1285" t="s">
        <v>154</v>
      </c>
      <c r="C1285" s="15" t="s">
        <v>30</v>
      </c>
      <c r="D1285" s="23" t="s">
        <v>81</v>
      </c>
      <c r="E1285" s="25" t="s">
        <v>82</v>
      </c>
      <c r="F1285" s="16" t="str">
        <f>'Source Table'!$E$6</f>
        <v>Private Sector</v>
      </c>
      <c r="G1285" s="16" t="str">
        <f>'Source Table'!$E$5</f>
        <v>القطاع الخاص</v>
      </c>
      <c r="H1285" t="str">
        <f>'Source Table'!$G$8</f>
        <v>Female</v>
      </c>
      <c r="I1285" s="16" t="str">
        <f>'Source Table'!$G$7</f>
        <v>أنثى</v>
      </c>
      <c r="J1285" s="25" t="str">
        <f>'Source Table'!$B$15</f>
        <v>Orthopedic Surg.</v>
      </c>
      <c r="K1285" s="25" t="str">
        <f>'Source Table'!$I$15</f>
        <v>العظام</v>
      </c>
      <c r="L1285" s="44">
        <v>0</v>
      </c>
      <c r="M1285">
        <v>2015</v>
      </c>
    </row>
    <row r="1286" spans="1:13" ht="15">
      <c r="A1286" t="s">
        <v>153</v>
      </c>
      <c r="B1286" t="s">
        <v>154</v>
      </c>
      <c r="C1286" s="15" t="s">
        <v>30</v>
      </c>
      <c r="D1286" s="23" t="s">
        <v>81</v>
      </c>
      <c r="E1286" s="25" t="s">
        <v>82</v>
      </c>
      <c r="F1286" s="16" t="str">
        <f>'Source Table'!$E$6</f>
        <v>Private Sector</v>
      </c>
      <c r="G1286" s="16" t="str">
        <f>'Source Table'!$E$5</f>
        <v>القطاع الخاص</v>
      </c>
      <c r="H1286" t="str">
        <f>'Source Table'!$G$8</f>
        <v>Female</v>
      </c>
      <c r="I1286" s="16" t="str">
        <f>'Source Table'!$G$7</f>
        <v>أنثى</v>
      </c>
      <c r="J1286" s="25" t="str">
        <f>'Source Table'!$B$16</f>
        <v>E.N.T.Surg.</v>
      </c>
      <c r="K1286" s="25" t="str">
        <f>'Source Table'!$I$16</f>
        <v>أذن وأنف وحنجرة</v>
      </c>
      <c r="L1286" s="44">
        <v>6</v>
      </c>
      <c r="M1286">
        <v>2015</v>
      </c>
    </row>
    <row r="1287" spans="1:13" ht="15">
      <c r="A1287" t="s">
        <v>153</v>
      </c>
      <c r="B1287" t="s">
        <v>154</v>
      </c>
      <c r="C1287" s="15" t="s">
        <v>30</v>
      </c>
      <c r="D1287" s="23" t="s">
        <v>81</v>
      </c>
      <c r="E1287" s="25" t="s">
        <v>82</v>
      </c>
      <c r="F1287" s="16" t="str">
        <f>'Source Table'!$E$6</f>
        <v>Private Sector</v>
      </c>
      <c r="G1287" s="16" t="str">
        <f>'Source Table'!$E$5</f>
        <v>القطاع الخاص</v>
      </c>
      <c r="H1287" t="str">
        <f>'Source Table'!$G$8</f>
        <v>Female</v>
      </c>
      <c r="I1287" s="16" t="str">
        <f>'Source Table'!$G$7</f>
        <v>أنثى</v>
      </c>
      <c r="J1287" s="25" t="str">
        <f>'Source Table'!$B$17</f>
        <v>Neurosurgery</v>
      </c>
      <c r="K1287" s="25" t="str">
        <f>'Source Table'!$I$17</f>
        <v>جراحةأعصاب</v>
      </c>
      <c r="L1287" s="44">
        <v>0</v>
      </c>
      <c r="M1287">
        <v>2015</v>
      </c>
    </row>
    <row r="1288" spans="1:13" ht="15">
      <c r="A1288" t="s">
        <v>153</v>
      </c>
      <c r="B1288" t="s">
        <v>154</v>
      </c>
      <c r="C1288" s="15" t="s">
        <v>30</v>
      </c>
      <c r="D1288" s="23" t="s">
        <v>81</v>
      </c>
      <c r="E1288" s="25" t="s">
        <v>82</v>
      </c>
      <c r="F1288" s="16" t="str">
        <f>'Source Table'!$E$6</f>
        <v>Private Sector</v>
      </c>
      <c r="G1288" s="16" t="str">
        <f>'Source Table'!$E$5</f>
        <v>القطاع الخاص</v>
      </c>
      <c r="H1288" t="str">
        <f>'Source Table'!$G$8</f>
        <v>Female</v>
      </c>
      <c r="I1288" s="16" t="str">
        <f>'Source Table'!$G$7</f>
        <v>أنثى</v>
      </c>
      <c r="J1288" s="25" t="str">
        <f>'Source Table'!$B$18</f>
        <v>Cardiothoracic</v>
      </c>
      <c r="K1288" s="25" t="str">
        <f>'Source Table'!$I$18</f>
        <v>جراحة قلب</v>
      </c>
      <c r="L1288" s="44">
        <v>0</v>
      </c>
      <c r="M1288">
        <v>2015</v>
      </c>
    </row>
    <row r="1289" spans="1:13" ht="15">
      <c r="A1289" t="s">
        <v>153</v>
      </c>
      <c r="B1289" t="s">
        <v>154</v>
      </c>
      <c r="C1289" s="15" t="s">
        <v>30</v>
      </c>
      <c r="D1289" s="23" t="s">
        <v>81</v>
      </c>
      <c r="E1289" s="25" t="s">
        <v>82</v>
      </c>
      <c r="F1289" s="16" t="str">
        <f>'Source Table'!$E$6</f>
        <v>Private Sector</v>
      </c>
      <c r="G1289" s="16" t="str">
        <f>'Source Table'!$E$5</f>
        <v>القطاع الخاص</v>
      </c>
      <c r="H1289" t="str">
        <f>'Source Table'!$G$8</f>
        <v>Female</v>
      </c>
      <c r="I1289" s="16" t="str">
        <f>'Source Table'!$G$7</f>
        <v>أنثى</v>
      </c>
      <c r="J1289" s="25" t="str">
        <f>'Source Table'!$B$19</f>
        <v>Plastic Surgeon</v>
      </c>
      <c r="K1289" s="25" t="str">
        <f>'Source Table'!$I$19</f>
        <v>التجميل</v>
      </c>
      <c r="L1289" s="44">
        <v>0</v>
      </c>
      <c r="M1289">
        <v>2015</v>
      </c>
    </row>
    <row r="1290" spans="1:13" ht="15">
      <c r="A1290" t="s">
        <v>153</v>
      </c>
      <c r="B1290" t="s">
        <v>154</v>
      </c>
      <c r="C1290" s="15" t="s">
        <v>30</v>
      </c>
      <c r="D1290" s="23" t="s">
        <v>81</v>
      </c>
      <c r="E1290" s="25" t="s">
        <v>82</v>
      </c>
      <c r="F1290" s="16" t="str">
        <f>'Source Table'!$E$6</f>
        <v>Private Sector</v>
      </c>
      <c r="G1290" s="16" t="str">
        <f>'Source Table'!$E$5</f>
        <v>القطاع الخاص</v>
      </c>
      <c r="H1290" t="str">
        <f>'Source Table'!$G$8</f>
        <v>Female</v>
      </c>
      <c r="I1290" s="16" t="str">
        <f>'Source Table'!$G$7</f>
        <v>أنثى</v>
      </c>
      <c r="J1290" s="25" t="str">
        <f>'Source Table'!$B$20</f>
        <v>Psychiatry</v>
      </c>
      <c r="K1290" s="25" t="str">
        <f>'Source Table'!$I$20</f>
        <v>النفسية</v>
      </c>
      <c r="L1290" s="44">
        <v>1</v>
      </c>
      <c r="M1290">
        <v>2015</v>
      </c>
    </row>
    <row r="1291" spans="1:13" ht="15">
      <c r="A1291" t="s">
        <v>153</v>
      </c>
      <c r="B1291" t="s">
        <v>154</v>
      </c>
      <c r="C1291" s="15" t="s">
        <v>30</v>
      </c>
      <c r="D1291" s="23" t="s">
        <v>81</v>
      </c>
      <c r="E1291" s="25" t="s">
        <v>82</v>
      </c>
      <c r="F1291" s="16" t="str">
        <f>'Source Table'!$E$6</f>
        <v>Private Sector</v>
      </c>
      <c r="G1291" s="16" t="str">
        <f>'Source Table'!$E$5</f>
        <v>القطاع الخاص</v>
      </c>
      <c r="H1291" t="str">
        <f>'Source Table'!$G$8</f>
        <v>Female</v>
      </c>
      <c r="I1291" s="16" t="str">
        <f>'Source Table'!$G$7</f>
        <v>أنثى</v>
      </c>
      <c r="J1291" s="25" t="str">
        <f>'Source Table'!$B$21</f>
        <v>Dermatologist Venereal</v>
      </c>
      <c r="K1291" s="25" t="str">
        <f>'Source Table'!$I$21</f>
        <v>جلدية وتناسلية</v>
      </c>
      <c r="L1291" s="44">
        <v>33</v>
      </c>
      <c r="M1291">
        <v>2015</v>
      </c>
    </row>
    <row r="1292" spans="1:13" ht="15">
      <c r="A1292" t="s">
        <v>153</v>
      </c>
      <c r="B1292" t="s">
        <v>154</v>
      </c>
      <c r="C1292" s="15" t="s">
        <v>30</v>
      </c>
      <c r="D1292" s="23" t="s">
        <v>81</v>
      </c>
      <c r="E1292" s="25" t="s">
        <v>82</v>
      </c>
      <c r="F1292" s="16" t="str">
        <f>'Source Table'!$E$6</f>
        <v>Private Sector</v>
      </c>
      <c r="G1292" s="16" t="str">
        <f>'Source Table'!$E$5</f>
        <v>القطاع الخاص</v>
      </c>
      <c r="H1292" t="str">
        <f>'Source Table'!$G$8</f>
        <v>Female</v>
      </c>
      <c r="I1292" s="16" t="str">
        <f>'Source Table'!$G$7</f>
        <v>أنثى</v>
      </c>
      <c r="J1292" s="25" t="str">
        <f>'Source Table'!$B$22</f>
        <v>Neurology/ Nervous</v>
      </c>
      <c r="K1292" s="25" t="str">
        <f>'Source Table'!$I$22</f>
        <v>مرض الأعصاب</v>
      </c>
      <c r="L1292" s="44">
        <v>2</v>
      </c>
      <c r="M1292">
        <v>2015</v>
      </c>
    </row>
    <row r="1293" spans="1:13" ht="15">
      <c r="A1293" t="s">
        <v>153</v>
      </c>
      <c r="B1293" t="s">
        <v>154</v>
      </c>
      <c r="C1293" s="15" t="s">
        <v>30</v>
      </c>
      <c r="D1293" s="23" t="s">
        <v>81</v>
      </c>
      <c r="E1293" s="25" t="s">
        <v>82</v>
      </c>
      <c r="F1293" s="16" t="str">
        <f>'Source Table'!$E$6</f>
        <v>Private Sector</v>
      </c>
      <c r="G1293" s="16" t="str">
        <f>'Source Table'!$E$5</f>
        <v>القطاع الخاص</v>
      </c>
      <c r="H1293" t="str">
        <f>'Source Table'!$G$8</f>
        <v>Female</v>
      </c>
      <c r="I1293" s="16" t="str">
        <f>'Source Table'!$G$7</f>
        <v>أنثى</v>
      </c>
      <c r="J1293" s="25" t="str">
        <f>'Source Table'!$B$23</f>
        <v>Pumologist</v>
      </c>
      <c r="K1293" s="25" t="str">
        <f>'Source Table'!$I$23</f>
        <v>صدرية</v>
      </c>
      <c r="L1293" s="44">
        <v>0</v>
      </c>
      <c r="M1293">
        <v>2015</v>
      </c>
    </row>
    <row r="1294" spans="1:13" ht="15">
      <c r="A1294" t="s">
        <v>153</v>
      </c>
      <c r="B1294" t="s">
        <v>154</v>
      </c>
      <c r="C1294" s="15" t="s">
        <v>30</v>
      </c>
      <c r="D1294" s="23" t="s">
        <v>81</v>
      </c>
      <c r="E1294" s="25" t="s">
        <v>82</v>
      </c>
      <c r="F1294" s="16" t="str">
        <f>'Source Table'!$E$6</f>
        <v>Private Sector</v>
      </c>
      <c r="G1294" s="16" t="str">
        <f>'Source Table'!$E$5</f>
        <v>القطاع الخاص</v>
      </c>
      <c r="H1294" t="str">
        <f>'Source Table'!$G$8</f>
        <v>Female</v>
      </c>
      <c r="I1294" s="16" t="str">
        <f>'Source Table'!$G$7</f>
        <v>أنثى</v>
      </c>
      <c r="J1294" s="25" t="str">
        <f>'Source Table'!$B$24</f>
        <v>G.I.T. Specialist</v>
      </c>
      <c r="K1294" s="25" t="str">
        <f>'Source Table'!$I$24</f>
        <v>جهاز هضمي</v>
      </c>
      <c r="L1294" s="44">
        <v>5</v>
      </c>
      <c r="M1294">
        <v>2015</v>
      </c>
    </row>
    <row r="1295" spans="1:13" ht="15">
      <c r="A1295" t="s">
        <v>153</v>
      </c>
      <c r="B1295" t="s">
        <v>154</v>
      </c>
      <c r="C1295" s="15" t="s">
        <v>30</v>
      </c>
      <c r="D1295" s="23" t="s">
        <v>81</v>
      </c>
      <c r="E1295" s="25" t="s">
        <v>82</v>
      </c>
      <c r="F1295" s="16" t="str">
        <f>'Source Table'!$E$6</f>
        <v>Private Sector</v>
      </c>
      <c r="G1295" s="16" t="str">
        <f>'Source Table'!$E$5</f>
        <v>القطاع الخاص</v>
      </c>
      <c r="H1295" t="str">
        <f>'Source Table'!$G$8</f>
        <v>Female</v>
      </c>
      <c r="I1295" s="16" t="str">
        <f>'Source Table'!$G$7</f>
        <v>أنثى</v>
      </c>
      <c r="J1295" s="25" t="str">
        <f>'Source Table'!$B$25</f>
        <v>Diagnostic Radiology</v>
      </c>
      <c r="K1295" s="25" t="str">
        <f>'Source Table'!$I$25</f>
        <v>أشعة تشخيصية</v>
      </c>
      <c r="L1295" s="44">
        <v>11</v>
      </c>
      <c r="M1295">
        <v>2015</v>
      </c>
    </row>
    <row r="1296" spans="1:13" ht="15">
      <c r="A1296" t="s">
        <v>153</v>
      </c>
      <c r="B1296" t="s">
        <v>154</v>
      </c>
      <c r="C1296" s="15" t="s">
        <v>30</v>
      </c>
      <c r="D1296" s="23" t="s">
        <v>81</v>
      </c>
      <c r="E1296" s="25" t="s">
        <v>82</v>
      </c>
      <c r="F1296" s="16" t="str">
        <f>'Source Table'!$E$6</f>
        <v>Private Sector</v>
      </c>
      <c r="G1296" s="16" t="str">
        <f>'Source Table'!$E$5</f>
        <v>القطاع الخاص</v>
      </c>
      <c r="H1296" t="str">
        <f>'Source Table'!$G$8</f>
        <v>Female</v>
      </c>
      <c r="I1296" s="16" t="str">
        <f>'Source Table'!$G$7</f>
        <v>أنثى</v>
      </c>
      <c r="J1296" s="25" t="str">
        <f>'Source Table'!$B$26</f>
        <v>Anesthetic</v>
      </c>
      <c r="K1296" s="25" t="str">
        <f>'Source Table'!$I$26</f>
        <v>تخدير وإنعاش</v>
      </c>
      <c r="L1296" s="44">
        <v>11</v>
      </c>
      <c r="M1296">
        <v>2015</v>
      </c>
    </row>
    <row r="1297" spans="1:13" ht="15">
      <c r="A1297" t="s">
        <v>153</v>
      </c>
      <c r="B1297" t="s">
        <v>154</v>
      </c>
      <c r="C1297" s="15" t="s">
        <v>30</v>
      </c>
      <c r="D1297" s="23" t="s">
        <v>81</v>
      </c>
      <c r="E1297" s="25" t="s">
        <v>82</v>
      </c>
      <c r="F1297" s="16" t="str">
        <f>'Source Table'!$E$6</f>
        <v>Private Sector</v>
      </c>
      <c r="G1297" s="16" t="str">
        <f>'Source Table'!$E$5</f>
        <v>القطاع الخاص</v>
      </c>
      <c r="H1297" t="str">
        <f>'Source Table'!$G$8</f>
        <v>Female</v>
      </c>
      <c r="I1297" s="16" t="str">
        <f>'Source Table'!$G$7</f>
        <v>أنثى</v>
      </c>
      <c r="J1297" s="25" t="str">
        <f>'Source Table'!$B$27</f>
        <v>Physiotherapist</v>
      </c>
      <c r="K1297" s="25" t="str">
        <f>'Source Table'!$I$27</f>
        <v>طب طبيعي</v>
      </c>
      <c r="L1297" s="44">
        <v>0</v>
      </c>
      <c r="M1297">
        <v>2015</v>
      </c>
    </row>
    <row r="1298" spans="1:13" ht="15">
      <c r="A1298" t="s">
        <v>153</v>
      </c>
      <c r="B1298" t="s">
        <v>154</v>
      </c>
      <c r="C1298" s="15" t="s">
        <v>30</v>
      </c>
      <c r="D1298" s="23" t="s">
        <v>81</v>
      </c>
      <c r="E1298" s="25" t="s">
        <v>82</v>
      </c>
      <c r="F1298" s="16" t="str">
        <f>'Source Table'!$E$6</f>
        <v>Private Sector</v>
      </c>
      <c r="G1298" s="16" t="str">
        <f>'Source Table'!$E$5</f>
        <v>القطاع الخاص</v>
      </c>
      <c r="H1298" t="str">
        <f>'Source Table'!$G$8</f>
        <v>Female</v>
      </c>
      <c r="I1298" s="16" t="str">
        <f>'Source Table'!$G$7</f>
        <v>أنثى</v>
      </c>
      <c r="J1298" s="25" t="str">
        <f>'Source Table'!$B$28</f>
        <v>Forensic</v>
      </c>
      <c r="K1298" s="25" t="str">
        <f>'Source Table'!$I$28</f>
        <v>طب شرعي</v>
      </c>
      <c r="L1298" s="44">
        <v>0</v>
      </c>
      <c r="M1298">
        <v>2015</v>
      </c>
    </row>
    <row r="1299" spans="1:13" ht="15">
      <c r="A1299" t="s">
        <v>153</v>
      </c>
      <c r="B1299" t="s">
        <v>154</v>
      </c>
      <c r="C1299" s="15" t="s">
        <v>30</v>
      </c>
      <c r="D1299" s="23" t="s">
        <v>81</v>
      </c>
      <c r="E1299" s="25" t="s">
        <v>82</v>
      </c>
      <c r="F1299" s="16" t="str">
        <f>'Source Table'!$E$6</f>
        <v>Private Sector</v>
      </c>
      <c r="G1299" s="16" t="str">
        <f>'Source Table'!$E$5</f>
        <v>القطاع الخاص</v>
      </c>
      <c r="H1299" t="str">
        <f>'Source Table'!$G$8</f>
        <v>Female</v>
      </c>
      <c r="I1299" s="16" t="str">
        <f>'Source Table'!$G$7</f>
        <v>أنثى</v>
      </c>
      <c r="J1299" s="25" t="str">
        <f>'Source Table'!$B$29</f>
        <v xml:space="preserve">Family </v>
      </c>
      <c r="K1299" s="25" t="str">
        <f>'Source Table'!$I$29</f>
        <v>طب أسرة</v>
      </c>
      <c r="L1299" s="44">
        <v>17</v>
      </c>
      <c r="M1299">
        <v>2015</v>
      </c>
    </row>
    <row r="1300" spans="1:13" ht="15">
      <c r="A1300" t="s">
        <v>153</v>
      </c>
      <c r="B1300" t="s">
        <v>154</v>
      </c>
      <c r="C1300" s="15" t="s">
        <v>30</v>
      </c>
      <c r="D1300" s="23" t="s">
        <v>81</v>
      </c>
      <c r="E1300" s="25" t="s">
        <v>82</v>
      </c>
      <c r="F1300" s="16" t="str">
        <f>'Source Table'!$E$6</f>
        <v>Private Sector</v>
      </c>
      <c r="G1300" s="16" t="str">
        <f>'Source Table'!$E$5</f>
        <v>القطاع الخاص</v>
      </c>
      <c r="H1300" t="str">
        <f>'Source Table'!$G$8</f>
        <v>Female</v>
      </c>
      <c r="I1300" s="16" t="str">
        <f>'Source Table'!$G$7</f>
        <v>أنثى</v>
      </c>
      <c r="J1300" s="25" t="str">
        <f>'Source Table'!$B$30</f>
        <v>Urologist</v>
      </c>
      <c r="K1300" s="25" t="str">
        <f>'Source Table'!$I$30</f>
        <v xml:space="preserve">المسالك البولية </v>
      </c>
      <c r="L1300" s="44">
        <v>2</v>
      </c>
      <c r="M1300">
        <v>2015</v>
      </c>
    </row>
    <row r="1301" spans="1:13" ht="15">
      <c r="A1301" t="s">
        <v>153</v>
      </c>
      <c r="B1301" t="s">
        <v>154</v>
      </c>
      <c r="C1301" s="15" t="s">
        <v>30</v>
      </c>
      <c r="D1301" s="23" t="s">
        <v>81</v>
      </c>
      <c r="E1301" s="25" t="s">
        <v>82</v>
      </c>
      <c r="F1301" s="16" t="str">
        <f>'Source Table'!$E$6</f>
        <v>Private Sector</v>
      </c>
      <c r="G1301" s="16" t="str">
        <f>'Source Table'!$E$5</f>
        <v>القطاع الخاص</v>
      </c>
      <c r="H1301" t="str">
        <f>'Source Table'!$G$8</f>
        <v>Female</v>
      </c>
      <c r="I1301" s="16" t="str">
        <f>'Source Table'!$G$7</f>
        <v>أنثى</v>
      </c>
      <c r="J1301" s="25" t="str">
        <f>'Source Table'!$B$31</f>
        <v>Cardiology</v>
      </c>
      <c r="K1301" s="25" t="str">
        <f>'Source Table'!$I$31</f>
        <v>أمراض القلب</v>
      </c>
      <c r="L1301" s="44">
        <v>4</v>
      </c>
      <c r="M1301">
        <v>2015</v>
      </c>
    </row>
    <row r="1302" spans="1:13" ht="15">
      <c r="A1302" t="s">
        <v>153</v>
      </c>
      <c r="B1302" t="s">
        <v>154</v>
      </c>
      <c r="C1302" s="15" t="s">
        <v>30</v>
      </c>
      <c r="D1302" s="23" t="s">
        <v>81</v>
      </c>
      <c r="E1302" s="25" t="s">
        <v>82</v>
      </c>
      <c r="F1302" s="16" t="str">
        <f>'Source Table'!$E$6</f>
        <v>Private Sector</v>
      </c>
      <c r="G1302" s="16" t="str">
        <f>'Source Table'!$E$5</f>
        <v>القطاع الخاص</v>
      </c>
      <c r="H1302" t="str">
        <f>'Source Table'!$G$8</f>
        <v>Female</v>
      </c>
      <c r="I1302" s="16" t="str">
        <f>'Source Table'!$G$7</f>
        <v>أنثى</v>
      </c>
      <c r="J1302" s="25" t="str">
        <f>'Source Table'!$B$32</f>
        <v>Laboratory</v>
      </c>
      <c r="K1302" s="25" t="str">
        <f>'Source Table'!$I$32</f>
        <v>مختبرات</v>
      </c>
      <c r="L1302" s="44">
        <v>1</v>
      </c>
      <c r="M1302">
        <v>2015</v>
      </c>
    </row>
    <row r="1303" spans="1:13" ht="15">
      <c r="A1303" t="s">
        <v>153</v>
      </c>
      <c r="B1303" t="s">
        <v>154</v>
      </c>
      <c r="C1303" s="15" t="s">
        <v>30</v>
      </c>
      <c r="D1303" s="23" t="s">
        <v>81</v>
      </c>
      <c r="E1303" s="25" t="s">
        <v>82</v>
      </c>
      <c r="F1303" s="16" t="str">
        <f>'Source Table'!$E$6</f>
        <v>Private Sector</v>
      </c>
      <c r="G1303" s="16" t="str">
        <f>'Source Table'!$E$5</f>
        <v>القطاع الخاص</v>
      </c>
      <c r="H1303" t="str">
        <f>'Source Table'!$G$8</f>
        <v>Female</v>
      </c>
      <c r="I1303" s="16" t="str">
        <f>'Source Table'!$G$7</f>
        <v>أنثى</v>
      </c>
      <c r="J1303" s="25" t="str">
        <f>'Source Table'!$B$33</f>
        <v>Others</v>
      </c>
      <c r="K1303" s="25" t="str">
        <f>'Source Table'!$I$33</f>
        <v>أخرى</v>
      </c>
      <c r="L1303" s="44">
        <v>21</v>
      </c>
      <c r="M1303">
        <v>2015</v>
      </c>
    </row>
    <row r="1304" spans="1:13" ht="15">
      <c r="A1304" t="s">
        <v>153</v>
      </c>
      <c r="B1304" t="s">
        <v>154</v>
      </c>
      <c r="C1304" s="15" t="s">
        <v>30</v>
      </c>
      <c r="D1304" s="23" t="s">
        <v>81</v>
      </c>
      <c r="E1304" s="25" t="s">
        <v>82</v>
      </c>
      <c r="F1304" t="str">
        <f>'Source Table'!$C$6</f>
        <v>Others</v>
      </c>
      <c r="G1304" t="str">
        <f>'Source Table'!$C$5</f>
        <v>آخرون</v>
      </c>
      <c r="H1304" t="str">
        <f>'Source Table'!$H$8</f>
        <v>Male</v>
      </c>
      <c r="I1304" s="25" t="str">
        <f>'Source Table'!$H$7</f>
        <v>ذكر</v>
      </c>
      <c r="J1304" s="25" t="str">
        <f>'Source Table'!$B$9</f>
        <v>General Practitioner</v>
      </c>
      <c r="K1304" s="25" t="str">
        <f>'Source Table'!$I$9</f>
        <v>طبيب عام</v>
      </c>
      <c r="L1304" s="44">
        <v>7411</v>
      </c>
      <c r="M1304">
        <v>2015</v>
      </c>
    </row>
    <row r="1305" spans="1:13" ht="15">
      <c r="A1305" t="s">
        <v>153</v>
      </c>
      <c r="B1305" t="s">
        <v>154</v>
      </c>
      <c r="C1305" s="15" t="s">
        <v>30</v>
      </c>
      <c r="D1305" s="23" t="s">
        <v>81</v>
      </c>
      <c r="E1305" s="25" t="s">
        <v>82</v>
      </c>
      <c r="F1305" t="str">
        <f>'Source Table'!$C$6</f>
        <v>Others</v>
      </c>
      <c r="G1305" t="str">
        <f>'Source Table'!$C$5</f>
        <v>آخرون</v>
      </c>
      <c r="H1305" t="str">
        <f>'Source Table'!$H$8</f>
        <v>Male</v>
      </c>
      <c r="I1305" s="25" t="str">
        <f>'Source Table'!$H$7</f>
        <v>ذكر</v>
      </c>
      <c r="J1305" s="25" t="str">
        <f>'Source Table'!$B$10</f>
        <v>Surgeon</v>
      </c>
      <c r="K1305" s="25" t="str">
        <f>'Source Table'!$I$10</f>
        <v>جراحة عامة</v>
      </c>
      <c r="L1305" s="44">
        <v>226</v>
      </c>
      <c r="M1305">
        <v>2015</v>
      </c>
    </row>
    <row r="1306" spans="1:13" ht="15">
      <c r="A1306" t="s">
        <v>153</v>
      </c>
      <c r="B1306" t="s">
        <v>154</v>
      </c>
      <c r="C1306" s="15" t="s">
        <v>30</v>
      </c>
      <c r="D1306" s="23" t="s">
        <v>81</v>
      </c>
      <c r="E1306" s="25" t="s">
        <v>82</v>
      </c>
      <c r="F1306" t="str">
        <f>'Source Table'!$C$6</f>
        <v>Others</v>
      </c>
      <c r="G1306" t="str">
        <f>'Source Table'!$C$5</f>
        <v>آخرون</v>
      </c>
      <c r="H1306" t="str">
        <f>'Source Table'!$H$8</f>
        <v>Male</v>
      </c>
      <c r="I1306" s="25" t="str">
        <f>'Source Table'!$H$7</f>
        <v>ذكر</v>
      </c>
      <c r="J1306" s="25" t="str">
        <f>'Source Table'!$B$11</f>
        <v>Internist</v>
      </c>
      <c r="K1306" s="25" t="str">
        <f>'Source Table'!$I$11</f>
        <v>باطنية</v>
      </c>
      <c r="L1306" s="44">
        <v>235</v>
      </c>
      <c r="M1306">
        <v>2015</v>
      </c>
    </row>
    <row r="1307" spans="1:13" ht="15">
      <c r="A1307" t="s">
        <v>153</v>
      </c>
      <c r="B1307" t="s">
        <v>154</v>
      </c>
      <c r="C1307" s="15" t="s">
        <v>30</v>
      </c>
      <c r="D1307" s="23" t="s">
        <v>81</v>
      </c>
      <c r="E1307" s="25" t="s">
        <v>82</v>
      </c>
      <c r="F1307" t="str">
        <f>'Source Table'!$C$6</f>
        <v>Others</v>
      </c>
      <c r="G1307" t="str">
        <f>'Source Table'!$C$5</f>
        <v>آخرون</v>
      </c>
      <c r="H1307" t="str">
        <f>'Source Table'!$H$8</f>
        <v>Male</v>
      </c>
      <c r="I1307" s="25" t="str">
        <f>'Source Table'!$H$7</f>
        <v>ذكر</v>
      </c>
      <c r="J1307" s="25" t="str">
        <f>'Source Table'!$B$12</f>
        <v>Gynecologist and Obst.</v>
      </c>
      <c r="K1307" s="25" t="str">
        <f>'Source Table'!$I$12</f>
        <v>نسائية وتوليد</v>
      </c>
      <c r="L1307" s="44">
        <v>194</v>
      </c>
      <c r="M1307">
        <v>2015</v>
      </c>
    </row>
    <row r="1308" spans="1:13" ht="15">
      <c r="A1308" t="s">
        <v>153</v>
      </c>
      <c r="B1308" t="s">
        <v>154</v>
      </c>
      <c r="C1308" s="15" t="s">
        <v>30</v>
      </c>
      <c r="D1308" s="23" t="s">
        <v>81</v>
      </c>
      <c r="E1308" s="25" t="s">
        <v>82</v>
      </c>
      <c r="F1308" t="str">
        <f>'Source Table'!$C$6</f>
        <v>Others</v>
      </c>
      <c r="G1308" t="str">
        <f>'Source Table'!$C$5</f>
        <v>آخرون</v>
      </c>
      <c r="H1308" t="str">
        <f>'Source Table'!$H$8</f>
        <v>Male</v>
      </c>
      <c r="I1308" s="25" t="str">
        <f>'Source Table'!$H$7</f>
        <v>ذكر</v>
      </c>
      <c r="J1308" s="25" t="str">
        <f>'Source Table'!$B$13</f>
        <v>Pediatrics</v>
      </c>
      <c r="K1308" s="25" t="str">
        <f>'Source Table'!$I$13</f>
        <v>أطفال</v>
      </c>
      <c r="L1308" s="44">
        <v>257</v>
      </c>
      <c r="M1308">
        <v>2015</v>
      </c>
    </row>
    <row r="1309" spans="1:13" ht="15">
      <c r="A1309" t="s">
        <v>153</v>
      </c>
      <c r="B1309" t="s">
        <v>154</v>
      </c>
      <c r="C1309" s="15" t="s">
        <v>30</v>
      </c>
      <c r="D1309" s="23" t="s">
        <v>81</v>
      </c>
      <c r="E1309" s="25" t="s">
        <v>82</v>
      </c>
      <c r="F1309" t="str">
        <f>'Source Table'!$C$6</f>
        <v>Others</v>
      </c>
      <c r="G1309" t="str">
        <f>'Source Table'!$C$5</f>
        <v>آخرون</v>
      </c>
      <c r="H1309" t="str">
        <f>'Source Table'!$H$8</f>
        <v>Male</v>
      </c>
      <c r="I1309" s="25" t="str">
        <f>'Source Table'!$H$7</f>
        <v>ذكر</v>
      </c>
      <c r="J1309" s="25" t="str">
        <f>'Source Table'!$B$14</f>
        <v>Ophthalmologist</v>
      </c>
      <c r="K1309" s="25" t="str">
        <f>'Source Table'!$I$14</f>
        <v>العيون</v>
      </c>
      <c r="L1309" s="44">
        <v>61</v>
      </c>
      <c r="M1309">
        <v>2015</v>
      </c>
    </row>
    <row r="1310" spans="1:13" ht="15">
      <c r="A1310" t="s">
        <v>153</v>
      </c>
      <c r="B1310" t="s">
        <v>154</v>
      </c>
      <c r="C1310" s="15" t="s">
        <v>30</v>
      </c>
      <c r="D1310" s="23" t="s">
        <v>81</v>
      </c>
      <c r="E1310" s="25" t="s">
        <v>82</v>
      </c>
      <c r="F1310" t="str">
        <f>'Source Table'!$C$6</f>
        <v>Others</v>
      </c>
      <c r="G1310" t="str">
        <f>'Source Table'!$C$5</f>
        <v>آخرون</v>
      </c>
      <c r="H1310" t="str">
        <f>'Source Table'!$H$8</f>
        <v>Male</v>
      </c>
      <c r="I1310" s="25" t="str">
        <f>'Source Table'!$H$7</f>
        <v>ذكر</v>
      </c>
      <c r="J1310" s="25" t="str">
        <f>'Source Table'!$B$15</f>
        <v>Orthopedic Surg.</v>
      </c>
      <c r="K1310" s="25" t="str">
        <f>'Source Table'!$I$15</f>
        <v>العظام</v>
      </c>
      <c r="L1310" s="44">
        <v>97</v>
      </c>
      <c r="M1310">
        <v>2015</v>
      </c>
    </row>
    <row r="1311" spans="1:13" ht="15">
      <c r="A1311" t="s">
        <v>153</v>
      </c>
      <c r="B1311" t="s">
        <v>154</v>
      </c>
      <c r="C1311" s="15" t="s">
        <v>30</v>
      </c>
      <c r="D1311" s="23" t="s">
        <v>81</v>
      </c>
      <c r="E1311" s="25" t="s">
        <v>82</v>
      </c>
      <c r="F1311" t="str">
        <f>'Source Table'!$C$6</f>
        <v>Others</v>
      </c>
      <c r="G1311" t="str">
        <f>'Source Table'!$C$5</f>
        <v>آخرون</v>
      </c>
      <c r="H1311" t="str">
        <f>'Source Table'!$H$8</f>
        <v>Male</v>
      </c>
      <c r="I1311" s="25" t="str">
        <f>'Source Table'!$H$7</f>
        <v>ذكر</v>
      </c>
      <c r="J1311" s="25" t="str">
        <f>'Source Table'!$B$16</f>
        <v>E.N.T.Surg.</v>
      </c>
      <c r="K1311" s="25" t="str">
        <f>'Source Table'!$I$16</f>
        <v>أذن وأنف وحنجرة</v>
      </c>
      <c r="L1311" s="44">
        <v>53</v>
      </c>
      <c r="M1311">
        <v>2015</v>
      </c>
    </row>
    <row r="1312" spans="1:13" ht="15">
      <c r="A1312" t="s">
        <v>153</v>
      </c>
      <c r="B1312" t="s">
        <v>154</v>
      </c>
      <c r="C1312" s="15" t="s">
        <v>30</v>
      </c>
      <c r="D1312" s="23" t="s">
        <v>81</v>
      </c>
      <c r="E1312" s="25" t="s">
        <v>82</v>
      </c>
      <c r="F1312" t="str">
        <f>'Source Table'!$C$6</f>
        <v>Others</v>
      </c>
      <c r="G1312" t="str">
        <f>'Source Table'!$C$5</f>
        <v>آخرون</v>
      </c>
      <c r="H1312" t="str">
        <f>'Source Table'!$H$8</f>
        <v>Male</v>
      </c>
      <c r="I1312" s="25" t="str">
        <f>'Source Table'!$H$7</f>
        <v>ذكر</v>
      </c>
      <c r="J1312" s="25" t="str">
        <f>'Source Table'!$B$17</f>
        <v>Neurosurgery</v>
      </c>
      <c r="K1312" s="25" t="str">
        <f>'Source Table'!$I$17</f>
        <v>جراحةأعصاب</v>
      </c>
      <c r="L1312" s="44">
        <v>16</v>
      </c>
      <c r="M1312">
        <v>2015</v>
      </c>
    </row>
    <row r="1313" spans="1:13" ht="15">
      <c r="A1313" t="s">
        <v>153</v>
      </c>
      <c r="B1313" t="s">
        <v>154</v>
      </c>
      <c r="C1313" s="15" t="s">
        <v>30</v>
      </c>
      <c r="D1313" s="23" t="s">
        <v>81</v>
      </c>
      <c r="E1313" s="25" t="s">
        <v>82</v>
      </c>
      <c r="F1313" t="str">
        <f>'Source Table'!$C$6</f>
        <v>Others</v>
      </c>
      <c r="G1313" t="str">
        <f>'Source Table'!$C$5</f>
        <v>آخرون</v>
      </c>
      <c r="H1313" t="str">
        <f>'Source Table'!$H$8</f>
        <v>Male</v>
      </c>
      <c r="I1313" s="25" t="str">
        <f>'Source Table'!$H$7</f>
        <v>ذكر</v>
      </c>
      <c r="J1313" s="25" t="str">
        <f>'Source Table'!$B$18</f>
        <v>Cardiothoracic</v>
      </c>
      <c r="K1313" s="25" t="str">
        <f>'Source Table'!$I$18</f>
        <v>جراحة قلب</v>
      </c>
      <c r="L1313" s="44">
        <v>12</v>
      </c>
      <c r="M1313">
        <v>2015</v>
      </c>
    </row>
    <row r="1314" spans="1:13" ht="15">
      <c r="A1314" t="s">
        <v>153</v>
      </c>
      <c r="B1314" t="s">
        <v>154</v>
      </c>
      <c r="C1314" s="15" t="s">
        <v>30</v>
      </c>
      <c r="D1314" s="23" t="s">
        <v>81</v>
      </c>
      <c r="E1314" s="25" t="s">
        <v>82</v>
      </c>
      <c r="F1314" t="str">
        <f>'Source Table'!$C$6</f>
        <v>Others</v>
      </c>
      <c r="G1314" t="str">
        <f>'Source Table'!$C$5</f>
        <v>آخرون</v>
      </c>
      <c r="H1314" t="str">
        <f>'Source Table'!$H$8</f>
        <v>Male</v>
      </c>
      <c r="I1314" s="25" t="str">
        <f>'Source Table'!$H$7</f>
        <v>ذكر</v>
      </c>
      <c r="J1314" s="25" t="str">
        <f>'Source Table'!$B$19</f>
        <v>Plastic Surgeon</v>
      </c>
      <c r="K1314" s="25" t="str">
        <f>'Source Table'!$I$19</f>
        <v>التجميل</v>
      </c>
      <c r="L1314" s="44">
        <v>9</v>
      </c>
      <c r="M1314">
        <v>2015</v>
      </c>
    </row>
    <row r="1315" spans="1:13" ht="15">
      <c r="A1315" t="s">
        <v>153</v>
      </c>
      <c r="B1315" t="s">
        <v>154</v>
      </c>
      <c r="C1315" s="15" t="s">
        <v>30</v>
      </c>
      <c r="D1315" s="23" t="s">
        <v>81</v>
      </c>
      <c r="E1315" s="25" t="s">
        <v>82</v>
      </c>
      <c r="F1315" t="str">
        <f>'Source Table'!$C$6</f>
        <v>Others</v>
      </c>
      <c r="G1315" t="str">
        <f>'Source Table'!$C$5</f>
        <v>آخرون</v>
      </c>
      <c r="H1315" t="str">
        <f>'Source Table'!$H$8</f>
        <v>Male</v>
      </c>
      <c r="I1315" s="25" t="str">
        <f>'Source Table'!$H$7</f>
        <v>ذكر</v>
      </c>
      <c r="J1315" s="25" t="str">
        <f>'Source Table'!$B$20</f>
        <v>Psychiatry</v>
      </c>
      <c r="K1315" s="25" t="str">
        <f>'Source Table'!$I$20</f>
        <v>النفسية</v>
      </c>
      <c r="L1315" s="44">
        <v>25</v>
      </c>
      <c r="M1315">
        <v>2015</v>
      </c>
    </row>
    <row r="1316" spans="1:13" ht="15">
      <c r="A1316" t="s">
        <v>153</v>
      </c>
      <c r="B1316" t="s">
        <v>154</v>
      </c>
      <c r="C1316" s="15" t="s">
        <v>30</v>
      </c>
      <c r="D1316" s="23" t="s">
        <v>81</v>
      </c>
      <c r="E1316" s="25" t="s">
        <v>82</v>
      </c>
      <c r="F1316" t="str">
        <f>'Source Table'!$C$6</f>
        <v>Others</v>
      </c>
      <c r="G1316" t="str">
        <f>'Source Table'!$C$5</f>
        <v>آخرون</v>
      </c>
      <c r="H1316" t="str">
        <f>'Source Table'!$H$8</f>
        <v>Male</v>
      </c>
      <c r="I1316" s="25" t="str">
        <f>'Source Table'!$H$7</f>
        <v>ذكر</v>
      </c>
      <c r="J1316" s="25" t="str">
        <f>'Source Table'!$B$21</f>
        <v>Dermatologist Venereal</v>
      </c>
      <c r="K1316" s="25" t="str">
        <f>'Source Table'!$I$21</f>
        <v>جلدية وتناسلية</v>
      </c>
      <c r="L1316" s="44">
        <v>49</v>
      </c>
      <c r="M1316">
        <v>2015</v>
      </c>
    </row>
    <row r="1317" spans="1:13" ht="15">
      <c r="A1317" t="s">
        <v>153</v>
      </c>
      <c r="B1317" t="s">
        <v>154</v>
      </c>
      <c r="C1317" s="15" t="s">
        <v>30</v>
      </c>
      <c r="D1317" s="23" t="s">
        <v>81</v>
      </c>
      <c r="E1317" s="25" t="s">
        <v>82</v>
      </c>
      <c r="F1317" t="str">
        <f>'Source Table'!$C$6</f>
        <v>Others</v>
      </c>
      <c r="G1317" t="str">
        <f>'Source Table'!$C$5</f>
        <v>آخرون</v>
      </c>
      <c r="H1317" t="str">
        <f>'Source Table'!$H$8</f>
        <v>Male</v>
      </c>
      <c r="I1317" s="25" t="str">
        <f>'Source Table'!$H$7</f>
        <v>ذكر</v>
      </c>
      <c r="J1317" s="25" t="str">
        <f>'Source Table'!$B$22</f>
        <v>Neurology/ Nervous</v>
      </c>
      <c r="K1317" s="25" t="str">
        <f>'Source Table'!$I$22</f>
        <v>مرض الأعصاب</v>
      </c>
      <c r="L1317" s="44">
        <v>11</v>
      </c>
      <c r="M1317">
        <v>2015</v>
      </c>
    </row>
    <row r="1318" spans="1:13" ht="15">
      <c r="A1318" t="s">
        <v>153</v>
      </c>
      <c r="B1318" t="s">
        <v>154</v>
      </c>
      <c r="C1318" s="15" t="s">
        <v>30</v>
      </c>
      <c r="D1318" s="23" t="s">
        <v>81</v>
      </c>
      <c r="E1318" s="25" t="s">
        <v>82</v>
      </c>
      <c r="F1318" t="str">
        <f>'Source Table'!$C$6</f>
        <v>Others</v>
      </c>
      <c r="G1318" t="str">
        <f>'Source Table'!$C$5</f>
        <v>آخرون</v>
      </c>
      <c r="H1318" t="str">
        <f>'Source Table'!$H$8</f>
        <v>Male</v>
      </c>
      <c r="I1318" s="25" t="str">
        <f>'Source Table'!$H$7</f>
        <v>ذكر</v>
      </c>
      <c r="J1318" s="25" t="str">
        <f>'Source Table'!$B$23</f>
        <v>Pumologist</v>
      </c>
      <c r="K1318" s="25" t="str">
        <f>'Source Table'!$I$23</f>
        <v>صدرية</v>
      </c>
      <c r="L1318" s="44">
        <v>26</v>
      </c>
      <c r="M1318">
        <v>2015</v>
      </c>
    </row>
    <row r="1319" spans="1:13" ht="15">
      <c r="A1319" t="s">
        <v>153</v>
      </c>
      <c r="B1319" t="s">
        <v>154</v>
      </c>
      <c r="C1319" s="15" t="s">
        <v>30</v>
      </c>
      <c r="D1319" s="23" t="s">
        <v>81</v>
      </c>
      <c r="E1319" s="25" t="s">
        <v>82</v>
      </c>
      <c r="F1319" t="str">
        <f>'Source Table'!$C$6</f>
        <v>Others</v>
      </c>
      <c r="G1319" t="str">
        <f>'Source Table'!$C$5</f>
        <v>آخرون</v>
      </c>
      <c r="H1319" t="str">
        <f>'Source Table'!$H$8</f>
        <v>Male</v>
      </c>
      <c r="I1319" s="25" t="str">
        <f>'Source Table'!$H$7</f>
        <v>ذكر</v>
      </c>
      <c r="J1319" s="25" t="str">
        <f>'Source Table'!$B$24</f>
        <v>G.I.T. Specialist</v>
      </c>
      <c r="K1319" s="25" t="str">
        <f>'Source Table'!$I$24</f>
        <v>جهاز هضمي</v>
      </c>
      <c r="L1319" s="44">
        <v>13</v>
      </c>
      <c r="M1319">
        <v>2015</v>
      </c>
    </row>
    <row r="1320" spans="1:13" ht="15">
      <c r="A1320" t="s">
        <v>153</v>
      </c>
      <c r="B1320" t="s">
        <v>154</v>
      </c>
      <c r="C1320" s="15" t="s">
        <v>30</v>
      </c>
      <c r="D1320" s="23" t="s">
        <v>81</v>
      </c>
      <c r="E1320" s="25" t="s">
        <v>82</v>
      </c>
      <c r="F1320" t="str">
        <f>'Source Table'!$C$6</f>
        <v>Others</v>
      </c>
      <c r="G1320" t="str">
        <f>'Source Table'!$C$5</f>
        <v>آخرون</v>
      </c>
      <c r="H1320" t="str">
        <f>'Source Table'!$H$8</f>
        <v>Male</v>
      </c>
      <c r="I1320" s="25" t="str">
        <f>'Source Table'!$H$7</f>
        <v>ذكر</v>
      </c>
      <c r="J1320" s="25" t="str">
        <f>'Source Table'!$B$25</f>
        <v>Diagnostic Radiology</v>
      </c>
      <c r="K1320" s="25" t="str">
        <f>'Source Table'!$I$25</f>
        <v>أشعة تشخيصية</v>
      </c>
      <c r="L1320" s="44">
        <v>72</v>
      </c>
      <c r="M1320">
        <v>2015</v>
      </c>
    </row>
    <row r="1321" spans="1:13" ht="15">
      <c r="A1321" t="s">
        <v>153</v>
      </c>
      <c r="B1321" t="s">
        <v>154</v>
      </c>
      <c r="C1321" s="15" t="s">
        <v>30</v>
      </c>
      <c r="D1321" s="23" t="s">
        <v>81</v>
      </c>
      <c r="E1321" s="25" t="s">
        <v>82</v>
      </c>
      <c r="F1321" t="str">
        <f>'Source Table'!$C$6</f>
        <v>Others</v>
      </c>
      <c r="G1321" t="str">
        <f>'Source Table'!$C$5</f>
        <v>آخرون</v>
      </c>
      <c r="H1321" t="str">
        <f>'Source Table'!$H$8</f>
        <v>Male</v>
      </c>
      <c r="I1321" s="25" t="str">
        <f>'Source Table'!$H$7</f>
        <v>ذكر</v>
      </c>
      <c r="J1321" s="25" t="str">
        <f>'Source Table'!$B$26</f>
        <v>Anesthetic</v>
      </c>
      <c r="K1321" s="25" t="str">
        <f>'Source Table'!$I$26</f>
        <v>تخدير وإنعاش</v>
      </c>
      <c r="L1321" s="44">
        <v>101</v>
      </c>
      <c r="M1321">
        <v>2015</v>
      </c>
    </row>
    <row r="1322" spans="1:13" ht="15">
      <c r="A1322" t="s">
        <v>153</v>
      </c>
      <c r="B1322" t="s">
        <v>154</v>
      </c>
      <c r="C1322" s="15" t="s">
        <v>30</v>
      </c>
      <c r="D1322" s="23" t="s">
        <v>81</v>
      </c>
      <c r="E1322" s="25" t="s">
        <v>82</v>
      </c>
      <c r="F1322" t="str">
        <f>'Source Table'!$C$6</f>
        <v>Others</v>
      </c>
      <c r="G1322" t="str">
        <f>'Source Table'!$C$5</f>
        <v>آخرون</v>
      </c>
      <c r="H1322" t="str">
        <f>'Source Table'!$H$8</f>
        <v>Male</v>
      </c>
      <c r="I1322" s="25" t="str">
        <f>'Source Table'!$H$7</f>
        <v>ذكر</v>
      </c>
      <c r="J1322" s="25" t="str">
        <f>'Source Table'!$B$27</f>
        <v>Physiotherapist</v>
      </c>
      <c r="K1322" s="25" t="str">
        <f>'Source Table'!$I$27</f>
        <v>طب طبيعي</v>
      </c>
      <c r="L1322" s="44">
        <v>3</v>
      </c>
      <c r="M1322">
        <v>2015</v>
      </c>
    </row>
    <row r="1323" spans="1:13" ht="15">
      <c r="A1323" t="s">
        <v>153</v>
      </c>
      <c r="B1323" t="s">
        <v>154</v>
      </c>
      <c r="C1323" s="15" t="s">
        <v>30</v>
      </c>
      <c r="D1323" s="23" t="s">
        <v>81</v>
      </c>
      <c r="E1323" s="25" t="s">
        <v>82</v>
      </c>
      <c r="F1323" t="str">
        <f>'Source Table'!$C$6</f>
        <v>Others</v>
      </c>
      <c r="G1323" t="str">
        <f>'Source Table'!$C$5</f>
        <v>آخرون</v>
      </c>
      <c r="H1323" t="str">
        <f>'Source Table'!$H$8</f>
        <v>Male</v>
      </c>
      <c r="I1323" s="25" t="str">
        <f>'Source Table'!$H$7</f>
        <v>ذكر</v>
      </c>
      <c r="J1323" s="25" t="str">
        <f>'Source Table'!$B$28</f>
        <v>Forensic</v>
      </c>
      <c r="K1323" s="25" t="str">
        <f>'Source Table'!$I$28</f>
        <v>طب شرعي</v>
      </c>
      <c r="L1323" s="44">
        <v>3</v>
      </c>
      <c r="M1323">
        <v>2015</v>
      </c>
    </row>
    <row r="1324" spans="1:13" ht="15">
      <c r="A1324" t="s">
        <v>153</v>
      </c>
      <c r="B1324" t="s">
        <v>154</v>
      </c>
      <c r="C1324" s="15" t="s">
        <v>30</v>
      </c>
      <c r="D1324" s="23" t="s">
        <v>81</v>
      </c>
      <c r="E1324" s="25" t="s">
        <v>82</v>
      </c>
      <c r="F1324" t="str">
        <f>'Source Table'!$C$6</f>
        <v>Others</v>
      </c>
      <c r="G1324" t="str">
        <f>'Source Table'!$C$5</f>
        <v>آخرون</v>
      </c>
      <c r="H1324" t="str">
        <f>'Source Table'!$H$8</f>
        <v>Male</v>
      </c>
      <c r="I1324" s="25" t="str">
        <f>'Source Table'!$H$7</f>
        <v>ذكر</v>
      </c>
      <c r="J1324" s="25" t="str">
        <f>'Source Table'!$B$29</f>
        <v xml:space="preserve">Family </v>
      </c>
      <c r="K1324" s="25" t="str">
        <f>'Source Table'!$I$29</f>
        <v>طب أسرة</v>
      </c>
      <c r="L1324" s="44">
        <v>39</v>
      </c>
      <c r="M1324">
        <v>2015</v>
      </c>
    </row>
    <row r="1325" spans="1:13" ht="15">
      <c r="A1325" t="s">
        <v>153</v>
      </c>
      <c r="B1325" t="s">
        <v>154</v>
      </c>
      <c r="C1325" s="15" t="s">
        <v>30</v>
      </c>
      <c r="D1325" s="23" t="s">
        <v>81</v>
      </c>
      <c r="E1325" s="25" t="s">
        <v>82</v>
      </c>
      <c r="F1325" t="str">
        <f>'Source Table'!$C$6</f>
        <v>Others</v>
      </c>
      <c r="G1325" t="str">
        <f>'Source Table'!$C$5</f>
        <v>آخرون</v>
      </c>
      <c r="H1325" t="str">
        <f>'Source Table'!$H$8</f>
        <v>Male</v>
      </c>
      <c r="I1325" s="25" t="str">
        <f>'Source Table'!$H$7</f>
        <v>ذكر</v>
      </c>
      <c r="J1325" s="25" t="str">
        <f>'Source Table'!$B$30</f>
        <v>Urologist</v>
      </c>
      <c r="K1325" s="25" t="str">
        <f>'Source Table'!$I$30</f>
        <v xml:space="preserve">المسالك البولية </v>
      </c>
      <c r="L1325" s="44">
        <v>55</v>
      </c>
      <c r="M1325">
        <v>2015</v>
      </c>
    </row>
    <row r="1326" spans="1:13" ht="15">
      <c r="A1326" t="s">
        <v>153</v>
      </c>
      <c r="B1326" t="s">
        <v>154</v>
      </c>
      <c r="C1326" s="15" t="s">
        <v>30</v>
      </c>
      <c r="D1326" s="23" t="s">
        <v>81</v>
      </c>
      <c r="E1326" s="25" t="s">
        <v>82</v>
      </c>
      <c r="F1326" t="str">
        <f>'Source Table'!$C$6</f>
        <v>Others</v>
      </c>
      <c r="G1326" t="str">
        <f>'Source Table'!$C$5</f>
        <v>آخرون</v>
      </c>
      <c r="H1326" t="str">
        <f>'Source Table'!$H$8</f>
        <v>Male</v>
      </c>
      <c r="I1326" s="25" t="str">
        <f>'Source Table'!$H$7</f>
        <v>ذكر</v>
      </c>
      <c r="J1326" s="25" t="str">
        <f>'Source Table'!$B$31</f>
        <v>Cardiology</v>
      </c>
      <c r="K1326" s="25" t="str">
        <f>'Source Table'!$I$31</f>
        <v>أمراض القلب</v>
      </c>
      <c r="L1326" s="44">
        <v>37</v>
      </c>
      <c r="M1326">
        <v>2015</v>
      </c>
    </row>
    <row r="1327" spans="1:13" ht="15">
      <c r="A1327" t="s">
        <v>153</v>
      </c>
      <c r="B1327" t="s">
        <v>154</v>
      </c>
      <c r="C1327" s="15" t="s">
        <v>30</v>
      </c>
      <c r="D1327" s="23" t="s">
        <v>81</v>
      </c>
      <c r="E1327" s="25" t="s">
        <v>82</v>
      </c>
      <c r="F1327" t="str">
        <f>'Source Table'!$C$6</f>
        <v>Others</v>
      </c>
      <c r="G1327" t="str">
        <f>'Source Table'!$C$5</f>
        <v>آخرون</v>
      </c>
      <c r="H1327" t="str">
        <f>'Source Table'!$H$8</f>
        <v>Male</v>
      </c>
      <c r="I1327" s="25" t="str">
        <f>'Source Table'!$H$7</f>
        <v>ذكر</v>
      </c>
      <c r="J1327" s="25" t="str">
        <f>'Source Table'!$B$32</f>
        <v>Laboratory</v>
      </c>
      <c r="K1327" s="25" t="str">
        <f>'Source Table'!$I$32</f>
        <v>مختبرات</v>
      </c>
      <c r="L1327" s="44">
        <v>9</v>
      </c>
      <c r="M1327">
        <v>2015</v>
      </c>
    </row>
    <row r="1328" spans="1:13" ht="15">
      <c r="A1328" t="s">
        <v>153</v>
      </c>
      <c r="B1328" t="s">
        <v>154</v>
      </c>
      <c r="C1328" s="15" t="s">
        <v>30</v>
      </c>
      <c r="D1328" s="23" t="s">
        <v>81</v>
      </c>
      <c r="E1328" s="25" t="s">
        <v>82</v>
      </c>
      <c r="F1328" t="str">
        <f>'Source Table'!$C$6</f>
        <v>Others</v>
      </c>
      <c r="G1328" t="str">
        <f>'Source Table'!$C$5</f>
        <v>آخرون</v>
      </c>
      <c r="H1328" t="str">
        <f>'Source Table'!$H$8</f>
        <v>Male</v>
      </c>
      <c r="I1328" s="25" t="str">
        <f>'Source Table'!$H$7</f>
        <v>ذكر</v>
      </c>
      <c r="J1328" s="25" t="str">
        <f>'Source Table'!$B$33</f>
        <v>Others</v>
      </c>
      <c r="K1328" s="25" t="str">
        <f>'Source Table'!$I$33</f>
        <v>أخرى</v>
      </c>
      <c r="L1328" s="44">
        <v>110</v>
      </c>
      <c r="M1328">
        <v>2015</v>
      </c>
    </row>
    <row r="1329" spans="1:13" ht="15">
      <c r="A1329" t="s">
        <v>153</v>
      </c>
      <c r="B1329" t="s">
        <v>154</v>
      </c>
      <c r="C1329" s="15" t="s">
        <v>30</v>
      </c>
      <c r="D1329" s="23" t="s">
        <v>81</v>
      </c>
      <c r="E1329" s="25" t="s">
        <v>82</v>
      </c>
      <c r="F1329" t="str">
        <f>'Source Table'!$C$6</f>
        <v>Others</v>
      </c>
      <c r="G1329" t="str">
        <f>'Source Table'!$C$5</f>
        <v>آخرون</v>
      </c>
      <c r="H1329" t="str">
        <f>'Source Table'!$G$8</f>
        <v>Female</v>
      </c>
      <c r="I1329" s="16" t="str">
        <f>'Source Table'!$G$7</f>
        <v>أنثى</v>
      </c>
      <c r="J1329" s="25" t="str">
        <f>'Source Table'!$B$9</f>
        <v>General Practitioner</v>
      </c>
      <c r="K1329" s="25" t="str">
        <f>'Source Table'!$I$9</f>
        <v>طبيب عام</v>
      </c>
      <c r="L1329" s="44">
        <v>2135</v>
      </c>
      <c r="M1329">
        <v>2015</v>
      </c>
    </row>
    <row r="1330" spans="1:13" ht="15">
      <c r="A1330" t="s">
        <v>153</v>
      </c>
      <c r="B1330" t="s">
        <v>154</v>
      </c>
      <c r="C1330" s="15" t="s">
        <v>30</v>
      </c>
      <c r="D1330" s="23" t="s">
        <v>81</v>
      </c>
      <c r="E1330" s="25" t="s">
        <v>82</v>
      </c>
      <c r="F1330" t="str">
        <f>'Source Table'!$C$6</f>
        <v>Others</v>
      </c>
      <c r="G1330" t="str">
        <f>'Source Table'!$C$5</f>
        <v>آخرون</v>
      </c>
      <c r="H1330" t="str">
        <f>'Source Table'!$G$8</f>
        <v>Female</v>
      </c>
      <c r="I1330" s="16" t="str">
        <f>'Source Table'!$G$7</f>
        <v>أنثى</v>
      </c>
      <c r="J1330" s="25" t="str">
        <f>'Source Table'!$B$10</f>
        <v>Surgeon</v>
      </c>
      <c r="K1330" s="25" t="str">
        <f>'Source Table'!$I$10</f>
        <v>جراحة عامة</v>
      </c>
      <c r="L1330" s="45">
        <v>7</v>
      </c>
      <c r="M1330">
        <v>2015</v>
      </c>
    </row>
    <row r="1331" spans="1:13" ht="15">
      <c r="A1331" t="s">
        <v>153</v>
      </c>
      <c r="B1331" t="s">
        <v>154</v>
      </c>
      <c r="C1331" s="15" t="s">
        <v>30</v>
      </c>
      <c r="D1331" s="23" t="s">
        <v>81</v>
      </c>
      <c r="E1331" s="25" t="s">
        <v>82</v>
      </c>
      <c r="F1331" t="str">
        <f>'Source Table'!$C$6</f>
        <v>Others</v>
      </c>
      <c r="G1331" t="str">
        <f>'Source Table'!$C$5</f>
        <v>آخرون</v>
      </c>
      <c r="H1331" t="str">
        <f>'Source Table'!$G$8</f>
        <v>Female</v>
      </c>
      <c r="I1331" s="16" t="str">
        <f>'Source Table'!$G$7</f>
        <v>أنثى</v>
      </c>
      <c r="J1331" s="25" t="str">
        <f>'Source Table'!$B$11</f>
        <v>Internist</v>
      </c>
      <c r="K1331" s="25" t="str">
        <f>'Source Table'!$I$11</f>
        <v>باطنية</v>
      </c>
      <c r="L1331" s="45">
        <v>21</v>
      </c>
      <c r="M1331">
        <v>2015</v>
      </c>
    </row>
    <row r="1332" spans="1:13" ht="15">
      <c r="A1332" t="s">
        <v>153</v>
      </c>
      <c r="B1332" t="s">
        <v>154</v>
      </c>
      <c r="C1332" s="15" t="s">
        <v>30</v>
      </c>
      <c r="D1332" s="23" t="s">
        <v>81</v>
      </c>
      <c r="E1332" s="25" t="s">
        <v>82</v>
      </c>
      <c r="F1332" t="str">
        <f>'Source Table'!$C$6</f>
        <v>Others</v>
      </c>
      <c r="G1332" t="str">
        <f>'Source Table'!$C$5</f>
        <v>آخرون</v>
      </c>
      <c r="H1332" t="str">
        <f>'Source Table'!$G$8</f>
        <v>Female</v>
      </c>
      <c r="I1332" s="16" t="str">
        <f>'Source Table'!$G$7</f>
        <v>أنثى</v>
      </c>
      <c r="J1332" s="25" t="str">
        <f>'Source Table'!$B$12</f>
        <v>Gynecologist and Obst.</v>
      </c>
      <c r="K1332" s="25" t="str">
        <f>'Source Table'!$I$12</f>
        <v>نسائية وتوليد</v>
      </c>
      <c r="L1332" s="45">
        <v>72</v>
      </c>
      <c r="M1332">
        <v>2015</v>
      </c>
    </row>
    <row r="1333" spans="1:13" ht="15">
      <c r="A1333" t="s">
        <v>153</v>
      </c>
      <c r="B1333" t="s">
        <v>154</v>
      </c>
      <c r="C1333" s="15" t="s">
        <v>30</v>
      </c>
      <c r="D1333" s="23" t="s">
        <v>81</v>
      </c>
      <c r="E1333" s="25" t="s">
        <v>82</v>
      </c>
      <c r="F1333" t="str">
        <f>'Source Table'!$C$6</f>
        <v>Others</v>
      </c>
      <c r="G1333" t="str">
        <f>'Source Table'!$C$5</f>
        <v>آخرون</v>
      </c>
      <c r="H1333" t="str">
        <f>'Source Table'!$G$8</f>
        <v>Female</v>
      </c>
      <c r="I1333" s="16" t="str">
        <f>'Source Table'!$G$7</f>
        <v>أنثى</v>
      </c>
      <c r="J1333" s="25" t="str">
        <f>'Source Table'!$B$13</f>
        <v>Pediatrics</v>
      </c>
      <c r="K1333" s="25" t="str">
        <f>'Source Table'!$I$13</f>
        <v>أطفال</v>
      </c>
      <c r="L1333" s="45">
        <v>73</v>
      </c>
      <c r="M1333">
        <v>2015</v>
      </c>
    </row>
    <row r="1334" spans="1:13" ht="15">
      <c r="A1334" t="s">
        <v>153</v>
      </c>
      <c r="B1334" t="s">
        <v>154</v>
      </c>
      <c r="C1334" s="15" t="s">
        <v>30</v>
      </c>
      <c r="D1334" s="23" t="s">
        <v>81</v>
      </c>
      <c r="E1334" s="25" t="s">
        <v>82</v>
      </c>
      <c r="F1334" t="str">
        <f>'Source Table'!$C$6</f>
        <v>Others</v>
      </c>
      <c r="G1334" t="str">
        <f>'Source Table'!$C$5</f>
        <v>آخرون</v>
      </c>
      <c r="H1334" t="str">
        <f>'Source Table'!$G$8</f>
        <v>Female</v>
      </c>
      <c r="I1334" s="16" t="str">
        <f>'Source Table'!$G$7</f>
        <v>أنثى</v>
      </c>
      <c r="J1334" s="25" t="str">
        <f>'Source Table'!$B$14</f>
        <v>Ophthalmologist</v>
      </c>
      <c r="K1334" s="25" t="str">
        <f>'Source Table'!$I$14</f>
        <v>العيون</v>
      </c>
      <c r="L1334" s="45">
        <v>14</v>
      </c>
      <c r="M1334">
        <v>2015</v>
      </c>
    </row>
    <row r="1335" spans="1:13" ht="15">
      <c r="A1335" t="s">
        <v>153</v>
      </c>
      <c r="B1335" t="s">
        <v>154</v>
      </c>
      <c r="C1335" s="15" t="s">
        <v>30</v>
      </c>
      <c r="D1335" s="23" t="s">
        <v>81</v>
      </c>
      <c r="E1335" s="25" t="s">
        <v>82</v>
      </c>
      <c r="F1335" t="str">
        <f>'Source Table'!$C$6</f>
        <v>Others</v>
      </c>
      <c r="G1335" t="str">
        <f>'Source Table'!$C$5</f>
        <v>آخرون</v>
      </c>
      <c r="H1335" t="str">
        <f>'Source Table'!$G$8</f>
        <v>Female</v>
      </c>
      <c r="I1335" s="16" t="str">
        <f>'Source Table'!$G$7</f>
        <v>أنثى</v>
      </c>
      <c r="J1335" s="25" t="str">
        <f>'Source Table'!$B$15</f>
        <v>Orthopedic Surg.</v>
      </c>
      <c r="K1335" s="25" t="str">
        <f>'Source Table'!$I$15</f>
        <v>العظام</v>
      </c>
      <c r="L1335" s="45">
        <v>1</v>
      </c>
      <c r="M1335">
        <v>2015</v>
      </c>
    </row>
    <row r="1336" spans="1:13" ht="15">
      <c r="A1336" t="s">
        <v>153</v>
      </c>
      <c r="B1336" t="s">
        <v>154</v>
      </c>
      <c r="C1336" s="15" t="s">
        <v>30</v>
      </c>
      <c r="D1336" s="23" t="s">
        <v>81</v>
      </c>
      <c r="E1336" s="25" t="s">
        <v>82</v>
      </c>
      <c r="F1336" t="str">
        <f>'Source Table'!$C$6</f>
        <v>Others</v>
      </c>
      <c r="G1336" t="str">
        <f>'Source Table'!$C$5</f>
        <v>آخرون</v>
      </c>
      <c r="H1336" t="str">
        <f>'Source Table'!$G$8</f>
        <v>Female</v>
      </c>
      <c r="I1336" s="16" t="str">
        <f>'Source Table'!$G$7</f>
        <v>أنثى</v>
      </c>
      <c r="J1336" s="25" t="str">
        <f>'Source Table'!$B$16</f>
        <v>E.N.T.Surg.</v>
      </c>
      <c r="K1336" s="25" t="str">
        <f>'Source Table'!$I$16</f>
        <v>أذن وأنف وحنجرة</v>
      </c>
      <c r="L1336" s="45">
        <v>2</v>
      </c>
      <c r="M1336">
        <v>2015</v>
      </c>
    </row>
    <row r="1337" spans="1:13" ht="15">
      <c r="A1337" t="s">
        <v>153</v>
      </c>
      <c r="B1337" t="s">
        <v>154</v>
      </c>
      <c r="C1337" s="15" t="s">
        <v>30</v>
      </c>
      <c r="D1337" s="23" t="s">
        <v>81</v>
      </c>
      <c r="E1337" s="25" t="s">
        <v>82</v>
      </c>
      <c r="F1337" t="str">
        <f>'Source Table'!$C$6</f>
        <v>Others</v>
      </c>
      <c r="G1337" t="str">
        <f>'Source Table'!$C$5</f>
        <v>آخرون</v>
      </c>
      <c r="H1337" t="str">
        <f>'Source Table'!$G$8</f>
        <v>Female</v>
      </c>
      <c r="I1337" s="16" t="str">
        <f>'Source Table'!$G$7</f>
        <v>أنثى</v>
      </c>
      <c r="J1337" s="25" t="str">
        <f>'Source Table'!$B$17</f>
        <v>Neurosurgery</v>
      </c>
      <c r="K1337" s="25" t="str">
        <f>'Source Table'!$I$17</f>
        <v>جراحةأعصاب</v>
      </c>
      <c r="L1337" s="44">
        <v>1</v>
      </c>
      <c r="M1337">
        <v>2015</v>
      </c>
    </row>
    <row r="1338" spans="1:13" ht="15">
      <c r="A1338" t="s">
        <v>153</v>
      </c>
      <c r="B1338" t="s">
        <v>154</v>
      </c>
      <c r="C1338" s="15" t="s">
        <v>30</v>
      </c>
      <c r="D1338" s="23" t="s">
        <v>81</v>
      </c>
      <c r="E1338" s="25" t="s">
        <v>82</v>
      </c>
      <c r="F1338" t="str">
        <f>'Source Table'!$C$6</f>
        <v>Others</v>
      </c>
      <c r="G1338" t="str">
        <f>'Source Table'!$C$5</f>
        <v>آخرون</v>
      </c>
      <c r="H1338" t="str">
        <f>'Source Table'!$G$8</f>
        <v>Female</v>
      </c>
      <c r="I1338" s="16" t="str">
        <f>'Source Table'!$G$7</f>
        <v>أنثى</v>
      </c>
      <c r="J1338" s="25" t="str">
        <f>'Source Table'!$B$18</f>
        <v>Cardiothoracic</v>
      </c>
      <c r="K1338" s="25" t="str">
        <f>'Source Table'!$I$18</f>
        <v>جراحة قلب</v>
      </c>
      <c r="L1338" s="44">
        <v>0</v>
      </c>
      <c r="M1338">
        <v>2015</v>
      </c>
    </row>
    <row r="1339" spans="1:13" ht="15">
      <c r="A1339" t="s">
        <v>153</v>
      </c>
      <c r="B1339" t="s">
        <v>154</v>
      </c>
      <c r="C1339" s="15" t="s">
        <v>30</v>
      </c>
      <c r="D1339" s="23" t="s">
        <v>81</v>
      </c>
      <c r="E1339" s="25" t="s">
        <v>82</v>
      </c>
      <c r="F1339" t="str">
        <f>'Source Table'!$C$6</f>
        <v>Others</v>
      </c>
      <c r="G1339" t="str">
        <f>'Source Table'!$C$5</f>
        <v>آخرون</v>
      </c>
      <c r="H1339" t="str">
        <f>'Source Table'!$G$8</f>
        <v>Female</v>
      </c>
      <c r="I1339" s="16" t="str">
        <f>'Source Table'!$G$7</f>
        <v>أنثى</v>
      </c>
      <c r="J1339" s="25" t="str">
        <f>'Source Table'!$B$19</f>
        <v>Plastic Surgeon</v>
      </c>
      <c r="K1339" s="25" t="str">
        <f>'Source Table'!$I$19</f>
        <v>التجميل</v>
      </c>
      <c r="L1339" s="44">
        <v>0</v>
      </c>
      <c r="M1339">
        <v>2015</v>
      </c>
    </row>
    <row r="1340" spans="1:13" ht="15">
      <c r="A1340" t="s">
        <v>153</v>
      </c>
      <c r="B1340" t="s">
        <v>154</v>
      </c>
      <c r="C1340" s="15" t="s">
        <v>30</v>
      </c>
      <c r="D1340" s="23" t="s">
        <v>81</v>
      </c>
      <c r="E1340" s="25" t="s">
        <v>82</v>
      </c>
      <c r="F1340" t="str">
        <f>'Source Table'!$C$6</f>
        <v>Others</v>
      </c>
      <c r="G1340" t="str">
        <f>'Source Table'!$C$5</f>
        <v>آخرون</v>
      </c>
      <c r="H1340" t="str">
        <f>'Source Table'!$G$8</f>
        <v>Female</v>
      </c>
      <c r="I1340" s="16" t="str">
        <f>'Source Table'!$G$7</f>
        <v>أنثى</v>
      </c>
      <c r="J1340" s="25" t="str">
        <f>'Source Table'!$B$20</f>
        <v>Psychiatry</v>
      </c>
      <c r="K1340" s="25" t="str">
        <f>'Source Table'!$I$20</f>
        <v>النفسية</v>
      </c>
      <c r="L1340" s="44">
        <v>0</v>
      </c>
      <c r="M1340">
        <v>2015</v>
      </c>
    </row>
    <row r="1341" spans="1:13" ht="15">
      <c r="A1341" t="s">
        <v>153</v>
      </c>
      <c r="B1341" t="s">
        <v>154</v>
      </c>
      <c r="C1341" s="15" t="s">
        <v>30</v>
      </c>
      <c r="D1341" s="23" t="s">
        <v>81</v>
      </c>
      <c r="E1341" s="25" t="s">
        <v>82</v>
      </c>
      <c r="F1341" t="str">
        <f>'Source Table'!$C$6</f>
        <v>Others</v>
      </c>
      <c r="G1341" t="str">
        <f>'Source Table'!$C$5</f>
        <v>آخرون</v>
      </c>
      <c r="H1341" t="str">
        <f>'Source Table'!$G$8</f>
        <v>Female</v>
      </c>
      <c r="I1341" s="16" t="str">
        <f>'Source Table'!$G$7</f>
        <v>أنثى</v>
      </c>
      <c r="J1341" s="25" t="str">
        <f>'Source Table'!$B$21</f>
        <v>Dermatologist Venereal</v>
      </c>
      <c r="K1341" s="25" t="str">
        <f>'Source Table'!$I$21</f>
        <v>جلدية وتناسلية</v>
      </c>
      <c r="L1341" s="45">
        <v>19</v>
      </c>
      <c r="M1341">
        <v>2015</v>
      </c>
    </row>
    <row r="1342" spans="1:13" ht="15">
      <c r="A1342" t="s">
        <v>153</v>
      </c>
      <c r="B1342" t="s">
        <v>154</v>
      </c>
      <c r="C1342" s="15" t="s">
        <v>30</v>
      </c>
      <c r="D1342" s="23" t="s">
        <v>81</v>
      </c>
      <c r="E1342" s="25" t="s">
        <v>82</v>
      </c>
      <c r="F1342" t="str">
        <f>'Source Table'!$C$6</f>
        <v>Others</v>
      </c>
      <c r="G1342" t="str">
        <f>'Source Table'!$C$5</f>
        <v>آخرون</v>
      </c>
      <c r="H1342" t="str">
        <f>'Source Table'!$G$8</f>
        <v>Female</v>
      </c>
      <c r="I1342" s="16" t="str">
        <f>'Source Table'!$G$7</f>
        <v>أنثى</v>
      </c>
      <c r="J1342" s="25" t="str">
        <f>'Source Table'!$B$22</f>
        <v>Neurology/ Nervous</v>
      </c>
      <c r="K1342" s="25" t="str">
        <f>'Source Table'!$I$22</f>
        <v>مرض الأعصاب</v>
      </c>
      <c r="L1342" s="45">
        <v>1</v>
      </c>
      <c r="M1342">
        <v>2015</v>
      </c>
    </row>
    <row r="1343" spans="1:13" ht="15">
      <c r="A1343" t="s">
        <v>153</v>
      </c>
      <c r="B1343" t="s">
        <v>154</v>
      </c>
      <c r="C1343" s="15" t="s">
        <v>30</v>
      </c>
      <c r="D1343" s="23" t="s">
        <v>81</v>
      </c>
      <c r="E1343" s="25" t="s">
        <v>82</v>
      </c>
      <c r="F1343" t="str">
        <f>'Source Table'!$C$6</f>
        <v>Others</v>
      </c>
      <c r="G1343" t="str">
        <f>'Source Table'!$C$5</f>
        <v>آخرون</v>
      </c>
      <c r="H1343" t="str">
        <f>'Source Table'!$G$8</f>
        <v>Female</v>
      </c>
      <c r="I1343" s="16" t="str">
        <f>'Source Table'!$G$7</f>
        <v>أنثى</v>
      </c>
      <c r="J1343" s="25" t="str">
        <f>'Source Table'!$B$23</f>
        <v>Pumologist</v>
      </c>
      <c r="K1343" s="25" t="str">
        <f>'Source Table'!$I$23</f>
        <v>صدرية</v>
      </c>
      <c r="L1343" s="45">
        <v>1</v>
      </c>
      <c r="M1343">
        <v>2015</v>
      </c>
    </row>
    <row r="1344" spans="1:13" ht="15">
      <c r="A1344" t="s">
        <v>153</v>
      </c>
      <c r="B1344" t="s">
        <v>154</v>
      </c>
      <c r="C1344" s="15" t="s">
        <v>30</v>
      </c>
      <c r="D1344" s="23" t="s">
        <v>81</v>
      </c>
      <c r="E1344" s="25" t="s">
        <v>82</v>
      </c>
      <c r="F1344" t="str">
        <f>'Source Table'!$C$6</f>
        <v>Others</v>
      </c>
      <c r="G1344" t="str">
        <f>'Source Table'!$C$5</f>
        <v>آخرون</v>
      </c>
      <c r="H1344" t="str">
        <f>'Source Table'!$G$8</f>
        <v>Female</v>
      </c>
      <c r="I1344" s="16" t="str">
        <f>'Source Table'!$G$7</f>
        <v>أنثى</v>
      </c>
      <c r="J1344" s="25" t="str">
        <f>'Source Table'!$B$24</f>
        <v>G.I.T. Specialist</v>
      </c>
      <c r="K1344" s="25" t="str">
        <f>'Source Table'!$I$24</f>
        <v>جهاز هضمي</v>
      </c>
      <c r="L1344" s="45">
        <v>2</v>
      </c>
      <c r="M1344">
        <v>2015</v>
      </c>
    </row>
    <row r="1345" spans="1:13" ht="15">
      <c r="A1345" t="s">
        <v>153</v>
      </c>
      <c r="B1345" t="s">
        <v>154</v>
      </c>
      <c r="C1345" s="15" t="s">
        <v>30</v>
      </c>
      <c r="D1345" s="23" t="s">
        <v>81</v>
      </c>
      <c r="E1345" s="25" t="s">
        <v>82</v>
      </c>
      <c r="F1345" t="str">
        <f>'Source Table'!$C$6</f>
        <v>Others</v>
      </c>
      <c r="G1345" t="str">
        <f>'Source Table'!$C$5</f>
        <v>آخرون</v>
      </c>
      <c r="H1345" t="str">
        <f>'Source Table'!$G$8</f>
        <v>Female</v>
      </c>
      <c r="I1345" s="16" t="str">
        <f>'Source Table'!$G$7</f>
        <v>أنثى</v>
      </c>
      <c r="J1345" s="25" t="str">
        <f>'Source Table'!$B$25</f>
        <v>Diagnostic Radiology</v>
      </c>
      <c r="K1345" s="25" t="str">
        <f>'Source Table'!$I$25</f>
        <v>أشعة تشخيصية</v>
      </c>
      <c r="L1345" s="45">
        <v>18</v>
      </c>
      <c r="M1345">
        <v>2015</v>
      </c>
    </row>
    <row r="1346" spans="1:13" ht="15">
      <c r="A1346" t="s">
        <v>153</v>
      </c>
      <c r="B1346" t="s">
        <v>154</v>
      </c>
      <c r="C1346" s="15" t="s">
        <v>30</v>
      </c>
      <c r="D1346" s="23" t="s">
        <v>81</v>
      </c>
      <c r="E1346" s="25" t="s">
        <v>82</v>
      </c>
      <c r="F1346" t="str">
        <f>'Source Table'!$C$6</f>
        <v>Others</v>
      </c>
      <c r="G1346" t="str">
        <f>'Source Table'!$C$5</f>
        <v>آخرون</v>
      </c>
      <c r="H1346" t="str">
        <f>'Source Table'!$G$8</f>
        <v>Female</v>
      </c>
      <c r="I1346" s="16" t="str">
        <f>'Source Table'!$G$7</f>
        <v>أنثى</v>
      </c>
      <c r="J1346" s="25" t="str">
        <f>'Source Table'!$B$26</f>
        <v>Anesthetic</v>
      </c>
      <c r="K1346" s="25" t="str">
        <f>'Source Table'!$I$26</f>
        <v>تخدير وإنعاش</v>
      </c>
      <c r="L1346" s="45">
        <v>5</v>
      </c>
      <c r="M1346">
        <v>2015</v>
      </c>
    </row>
    <row r="1347" spans="1:13" ht="15">
      <c r="A1347" t="s">
        <v>153</v>
      </c>
      <c r="B1347" t="s">
        <v>154</v>
      </c>
      <c r="C1347" s="15" t="s">
        <v>30</v>
      </c>
      <c r="D1347" s="23" t="s">
        <v>81</v>
      </c>
      <c r="E1347" s="25" t="s">
        <v>82</v>
      </c>
      <c r="F1347" t="str">
        <f>'Source Table'!$C$6</f>
        <v>Others</v>
      </c>
      <c r="G1347" t="str">
        <f>'Source Table'!$C$5</f>
        <v>آخرون</v>
      </c>
      <c r="H1347" t="str">
        <f>'Source Table'!$G$8</f>
        <v>Female</v>
      </c>
      <c r="I1347" s="16" t="str">
        <f>'Source Table'!$G$7</f>
        <v>أنثى</v>
      </c>
      <c r="J1347" s="25" t="str">
        <f>'Source Table'!$B$27</f>
        <v>Physiotherapist</v>
      </c>
      <c r="K1347" s="25" t="str">
        <f>'Source Table'!$I$27</f>
        <v>طب طبيعي</v>
      </c>
      <c r="L1347" s="44">
        <v>0</v>
      </c>
      <c r="M1347">
        <v>2015</v>
      </c>
    </row>
    <row r="1348" spans="1:13" ht="15">
      <c r="A1348" t="s">
        <v>153</v>
      </c>
      <c r="B1348" t="s">
        <v>154</v>
      </c>
      <c r="C1348" s="15" t="s">
        <v>30</v>
      </c>
      <c r="D1348" s="23" t="s">
        <v>81</v>
      </c>
      <c r="E1348" s="25" t="s">
        <v>82</v>
      </c>
      <c r="F1348" t="str">
        <f>'Source Table'!$C$6</f>
        <v>Others</v>
      </c>
      <c r="G1348" t="str">
        <f>'Source Table'!$C$5</f>
        <v>آخرون</v>
      </c>
      <c r="H1348" t="str">
        <f>'Source Table'!$G$8</f>
        <v>Female</v>
      </c>
      <c r="I1348" s="16" t="str">
        <f>'Source Table'!$G$7</f>
        <v>أنثى</v>
      </c>
      <c r="J1348" s="25" t="str">
        <f>'Source Table'!$B$28</f>
        <v>Forensic</v>
      </c>
      <c r="K1348" s="25" t="str">
        <f>'Source Table'!$I$28</f>
        <v>طب شرعي</v>
      </c>
      <c r="L1348" s="44">
        <v>0</v>
      </c>
      <c r="M1348">
        <v>2015</v>
      </c>
    </row>
    <row r="1349" spans="1:13" ht="15">
      <c r="A1349" t="s">
        <v>153</v>
      </c>
      <c r="B1349" t="s">
        <v>154</v>
      </c>
      <c r="C1349" s="15" t="s">
        <v>30</v>
      </c>
      <c r="D1349" s="23" t="s">
        <v>81</v>
      </c>
      <c r="E1349" s="25" t="s">
        <v>82</v>
      </c>
      <c r="F1349" t="str">
        <f>'Source Table'!$C$6</f>
        <v>Others</v>
      </c>
      <c r="G1349" t="str">
        <f>'Source Table'!$C$5</f>
        <v>آخرون</v>
      </c>
      <c r="H1349" t="str">
        <f>'Source Table'!$G$8</f>
        <v>Female</v>
      </c>
      <c r="I1349" s="16" t="str">
        <f>'Source Table'!$G$7</f>
        <v>أنثى</v>
      </c>
      <c r="J1349" s="25" t="str">
        <f>'Source Table'!$B$29</f>
        <v xml:space="preserve">Family </v>
      </c>
      <c r="K1349" s="25" t="str">
        <f>'Source Table'!$I$29</f>
        <v>طب أسرة</v>
      </c>
      <c r="L1349" s="45">
        <v>17</v>
      </c>
      <c r="M1349">
        <v>2015</v>
      </c>
    </row>
    <row r="1350" spans="1:13" ht="15">
      <c r="A1350" t="s">
        <v>153</v>
      </c>
      <c r="B1350" t="s">
        <v>154</v>
      </c>
      <c r="C1350" s="15" t="s">
        <v>30</v>
      </c>
      <c r="D1350" s="23" t="s">
        <v>81</v>
      </c>
      <c r="E1350" s="25" t="s">
        <v>82</v>
      </c>
      <c r="F1350" t="str">
        <f>'Source Table'!$C$6</f>
        <v>Others</v>
      </c>
      <c r="G1350" t="str">
        <f>'Source Table'!$C$5</f>
        <v>آخرون</v>
      </c>
      <c r="H1350" t="str">
        <f>'Source Table'!$G$8</f>
        <v>Female</v>
      </c>
      <c r="I1350" s="16" t="str">
        <f>'Source Table'!$G$7</f>
        <v>أنثى</v>
      </c>
      <c r="J1350" s="25" t="str">
        <f>'Source Table'!$B$30</f>
        <v>Urologist</v>
      </c>
      <c r="K1350" s="25" t="str">
        <f>'Source Table'!$I$30</f>
        <v xml:space="preserve">المسالك البولية </v>
      </c>
      <c r="L1350" s="45">
        <v>0</v>
      </c>
      <c r="M1350">
        <v>2015</v>
      </c>
    </row>
    <row r="1351" spans="1:13" ht="15">
      <c r="A1351" t="s">
        <v>153</v>
      </c>
      <c r="B1351" t="s">
        <v>154</v>
      </c>
      <c r="C1351" s="15" t="s">
        <v>30</v>
      </c>
      <c r="D1351" s="23" t="s">
        <v>81</v>
      </c>
      <c r="E1351" s="25" t="s">
        <v>82</v>
      </c>
      <c r="F1351" t="str">
        <f>'Source Table'!$C$6</f>
        <v>Others</v>
      </c>
      <c r="G1351" t="str">
        <f>'Source Table'!$C$5</f>
        <v>آخرون</v>
      </c>
      <c r="H1351" t="str">
        <f>'Source Table'!$G$8</f>
        <v>Female</v>
      </c>
      <c r="I1351" s="16" t="str">
        <f>'Source Table'!$G$7</f>
        <v>أنثى</v>
      </c>
      <c r="J1351" s="25" t="str">
        <f>'Source Table'!$B$31</f>
        <v>Cardiology</v>
      </c>
      <c r="K1351" s="25" t="str">
        <f>'Source Table'!$I$31</f>
        <v>أمراض القلب</v>
      </c>
      <c r="L1351" s="45">
        <v>0</v>
      </c>
      <c r="M1351">
        <v>2015</v>
      </c>
    </row>
    <row r="1352" spans="1:13" ht="15">
      <c r="A1352" t="s">
        <v>153</v>
      </c>
      <c r="B1352" t="s">
        <v>154</v>
      </c>
      <c r="C1352" s="15" t="s">
        <v>30</v>
      </c>
      <c r="D1352" s="23" t="s">
        <v>81</v>
      </c>
      <c r="E1352" s="25" t="s">
        <v>82</v>
      </c>
      <c r="F1352" t="str">
        <f>'Source Table'!$C$6</f>
        <v>Others</v>
      </c>
      <c r="G1352" t="str">
        <f>'Source Table'!$C$5</f>
        <v>آخرون</v>
      </c>
      <c r="H1352" t="str">
        <f>'Source Table'!$G$8</f>
        <v>Female</v>
      </c>
      <c r="I1352" s="16" t="str">
        <f>'Source Table'!$G$7</f>
        <v>أنثى</v>
      </c>
      <c r="J1352" s="25" t="str">
        <f>'Source Table'!$B$32</f>
        <v>Laboratory</v>
      </c>
      <c r="K1352" s="25" t="str">
        <f>'Source Table'!$I$32</f>
        <v>مختبرات</v>
      </c>
      <c r="L1352" s="45">
        <v>1</v>
      </c>
      <c r="M1352">
        <v>2015</v>
      </c>
    </row>
    <row r="1353" spans="1:13" ht="15">
      <c r="A1353" t="s">
        <v>153</v>
      </c>
      <c r="B1353" t="s">
        <v>154</v>
      </c>
      <c r="C1353" s="15" t="s">
        <v>30</v>
      </c>
      <c r="D1353" s="23" t="s">
        <v>81</v>
      </c>
      <c r="E1353" s="25" t="s">
        <v>82</v>
      </c>
      <c r="F1353" t="str">
        <f>'Source Table'!$C$6</f>
        <v>Others</v>
      </c>
      <c r="G1353" t="str">
        <f>'Source Table'!$C$5</f>
        <v>آخرون</v>
      </c>
      <c r="H1353" t="str">
        <f>'Source Table'!$G$8</f>
        <v>Female</v>
      </c>
      <c r="I1353" s="16" t="str">
        <f>'Source Table'!$G$7</f>
        <v>أنثى</v>
      </c>
      <c r="J1353" s="25" t="str">
        <f>'Source Table'!$B$33</f>
        <v>Others</v>
      </c>
      <c r="K1353" s="25" t="str">
        <f>'Source Table'!$I$33</f>
        <v>أخرى</v>
      </c>
      <c r="L1353" s="44">
        <v>18</v>
      </c>
      <c r="M1353">
        <v>2015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zoomScale="70" zoomScaleNormal="70" workbookViewId="0">
      <selection activeCell="F5" sqref="F5:G5"/>
    </sheetView>
  </sheetViews>
  <sheetFormatPr defaultColWidth="9" defaultRowHeight="13.5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spans="1:14">
      <c r="A1" s="11" t="s">
        <v>31</v>
      </c>
      <c r="B1" s="12">
        <f>DATE(B2,B3,1)</f>
        <v>45292</v>
      </c>
    </row>
    <row r="2" spans="1:14">
      <c r="A2" s="11" t="s">
        <v>11</v>
      </c>
      <c r="B2">
        <v>2024</v>
      </c>
      <c r="D2" s="12"/>
    </row>
    <row r="3" spans="1:14">
      <c r="A3" s="11" t="s">
        <v>32</v>
      </c>
      <c r="B3">
        <v>1</v>
      </c>
    </row>
    <row r="4" spans="1:14" s="10" customFormat="1" ht="18" customHeight="1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  <c r="F4" s="26" t="s">
        <v>155</v>
      </c>
      <c r="G4" s="26" t="s">
        <v>156</v>
      </c>
      <c r="H4" s="26" t="s">
        <v>89</v>
      </c>
      <c r="I4" s="26" t="s">
        <v>92</v>
      </c>
      <c r="J4" s="26" t="s">
        <v>161</v>
      </c>
      <c r="K4" s="26" t="s">
        <v>162</v>
      </c>
      <c r="L4" s="13" t="s">
        <v>19</v>
      </c>
      <c r="M4" s="13" t="s">
        <v>20</v>
      </c>
      <c r="N4" s="13" t="s">
        <v>21</v>
      </c>
    </row>
    <row r="5" spans="1:14" s="10" customFormat="1" ht="18" customHeight="1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26" t="s">
        <v>158</v>
      </c>
      <c r="G5" s="26" t="s">
        <v>157</v>
      </c>
      <c r="H5" s="26" t="s">
        <v>90</v>
      </c>
      <c r="I5" s="26" t="s">
        <v>91</v>
      </c>
      <c r="J5" s="26" t="s">
        <v>159</v>
      </c>
      <c r="K5" s="26" t="s">
        <v>160</v>
      </c>
      <c r="L5" s="13" t="s">
        <v>27</v>
      </c>
      <c r="M5" s="13" t="s">
        <v>28</v>
      </c>
      <c r="N5" s="1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topLeftCell="A17" workbookViewId="0">
      <selection activeCell="A20" sqref="A20"/>
    </sheetView>
  </sheetViews>
  <sheetFormatPr defaultColWidth="8.875" defaultRowHeight="13.5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spans="1:3" ht="18">
      <c r="A2" s="5" t="s">
        <v>33</v>
      </c>
      <c r="C2" s="6" t="s">
        <v>34</v>
      </c>
    </row>
    <row r="3" spans="1:3">
      <c r="A3" s="7"/>
    </row>
    <row r="4" spans="1:3" ht="27">
      <c r="A4" s="7" t="s">
        <v>35</v>
      </c>
      <c r="C4" s="3" t="s">
        <v>36</v>
      </c>
    </row>
    <row r="6" spans="1:3" ht="18">
      <c r="A6" s="5" t="s">
        <v>37</v>
      </c>
      <c r="C6" s="6" t="s">
        <v>38</v>
      </c>
    </row>
    <row r="7" spans="1:3">
      <c r="A7" s="7"/>
    </row>
    <row r="8" spans="1:3" ht="27">
      <c r="A8" s="8" t="s">
        <v>39</v>
      </c>
      <c r="C8" s="3" t="s">
        <v>40</v>
      </c>
    </row>
    <row r="10" spans="1:3" ht="18">
      <c r="A10" s="5" t="s">
        <v>41</v>
      </c>
      <c r="C10" s="6" t="s">
        <v>42</v>
      </c>
    </row>
    <row r="11" spans="1:3">
      <c r="A11" s="7"/>
    </row>
    <row r="12" spans="1:3">
      <c r="A12" s="7" t="s">
        <v>43</v>
      </c>
      <c r="C12" s="3" t="s">
        <v>44</v>
      </c>
    </row>
    <row r="13" spans="1:3" ht="27">
      <c r="A13" s="8" t="s">
        <v>45</v>
      </c>
      <c r="C13" s="9" t="s">
        <v>46</v>
      </c>
    </row>
    <row r="14" spans="1:3" ht="40.5">
      <c r="A14" s="8" t="s">
        <v>47</v>
      </c>
      <c r="C14" s="9" t="s">
        <v>48</v>
      </c>
    </row>
    <row r="15" spans="1:3" ht="27">
      <c r="A15" s="8" t="s">
        <v>49</v>
      </c>
      <c r="C15" s="9" t="s">
        <v>50</v>
      </c>
    </row>
    <row r="16" spans="1:3">
      <c r="A16" s="8" t="s">
        <v>51</v>
      </c>
      <c r="C16" s="9" t="s">
        <v>52</v>
      </c>
    </row>
    <row r="17" spans="1:3">
      <c r="A17" s="8" t="s">
        <v>53</v>
      </c>
      <c r="C17" s="9" t="s">
        <v>54</v>
      </c>
    </row>
    <row r="18" spans="1:3">
      <c r="A18" s="7" t="s">
        <v>55</v>
      </c>
      <c r="C18" s="3" t="s">
        <v>56</v>
      </c>
    </row>
    <row r="19" spans="1:3">
      <c r="A19" s="7" t="s">
        <v>57</v>
      </c>
      <c r="C19" s="3" t="s">
        <v>58</v>
      </c>
    </row>
    <row r="20" spans="1:3" ht="27">
      <c r="A20" s="8" t="s">
        <v>59</v>
      </c>
      <c r="C20" s="9" t="s">
        <v>60</v>
      </c>
    </row>
    <row r="22" spans="1:3" ht="18">
      <c r="A22" s="5" t="s">
        <v>61</v>
      </c>
      <c r="C22" s="6" t="s">
        <v>62</v>
      </c>
    </row>
    <row r="23" spans="1:3">
      <c r="A23" s="7"/>
    </row>
    <row r="24" spans="1:3" ht="27">
      <c r="A24" s="7" t="s">
        <v>63</v>
      </c>
      <c r="C24" s="3" t="s">
        <v>64</v>
      </c>
    </row>
    <row r="25" spans="1:3" ht="27">
      <c r="A25" s="7" t="s">
        <v>65</v>
      </c>
      <c r="C25" s="3" t="s">
        <v>66</v>
      </c>
    </row>
    <row r="27" spans="1:3" ht="18">
      <c r="A27" s="5" t="s">
        <v>67</v>
      </c>
      <c r="C27" s="6" t="s">
        <v>68</v>
      </c>
    </row>
    <row r="28" spans="1:3">
      <c r="A28" s="7"/>
    </row>
    <row r="29" spans="1:3" ht="27">
      <c r="A29" s="7" t="s">
        <v>69</v>
      </c>
      <c r="C29" s="3" t="s">
        <v>70</v>
      </c>
    </row>
    <row r="30" spans="1:3">
      <c r="A30" s="7" t="s">
        <v>71</v>
      </c>
      <c r="C30" s="3" t="s">
        <v>72</v>
      </c>
    </row>
    <row r="32" spans="1:3" ht="18">
      <c r="A32" s="5" t="s">
        <v>73</v>
      </c>
      <c r="C32" s="6" t="s">
        <v>74</v>
      </c>
    </row>
    <row r="33" spans="1:3">
      <c r="A33" s="7"/>
    </row>
    <row r="34" spans="1:3">
      <c r="A34" s="8" t="s">
        <v>75</v>
      </c>
      <c r="C34" s="3" t="s">
        <v>76</v>
      </c>
    </row>
    <row r="36" spans="1:3" ht="18">
      <c r="A36" s="5" t="s">
        <v>77</v>
      </c>
      <c r="C36" s="6" t="s">
        <v>78</v>
      </c>
    </row>
    <row r="37" spans="1:3">
      <c r="A37" s="7"/>
    </row>
    <row r="38" spans="1:3" ht="27">
      <c r="A38" s="7" t="s">
        <v>79</v>
      </c>
      <c r="C38" s="3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6B0781-3F54-40BC-A068-7F5A2310ECA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5f3aa2a1-f742-4cb3-874a-b3631849deb5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517F994-C603-46B5-AEAB-E4EEDEDA8C7D}">
  <ds:schemaRefs/>
</ds:datastoreItem>
</file>

<file path=customXml/itemProps4.xml><?xml version="1.0" encoding="utf-8"?>
<ds:datastoreItem xmlns:ds="http://schemas.openxmlformats.org/officeDocument/2006/customXml" ds:itemID="{CEFB3727-0098-41DB-9DEB-08A099D40A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178</vt:i4>
      </vt:variant>
    </vt:vector>
  </HeadingPairs>
  <TitlesOfParts>
    <vt:vector size="183" baseType="lpstr">
      <vt:lpstr>Cover Page</vt:lpstr>
      <vt:lpstr>Source Table</vt:lpstr>
      <vt:lpstr>Relational DB</vt:lpstr>
      <vt:lpstr>Template Data</vt:lpstr>
      <vt:lpstr>Help</vt:lpstr>
      <vt:lpstr>'Source Table'!_Toc175818022</vt:lpstr>
      <vt:lpstr>'Source Table'!_Toc175818030</vt:lpstr>
      <vt:lpstr>'Relational DB'!_Toc175818038</vt:lpstr>
      <vt:lpstr>'Relational DB'!_Toc175818039</vt:lpstr>
      <vt:lpstr>'Relational DB'!_Toc175818040</vt:lpstr>
      <vt:lpstr>'Relational DB'!_Toc175818041</vt:lpstr>
      <vt:lpstr>'Relational DB'!_Toc175818042</vt:lpstr>
      <vt:lpstr>'Relational DB'!_Toc175818043</vt:lpstr>
      <vt:lpstr>'Relational DB'!_Toc175818044</vt:lpstr>
      <vt:lpstr>'Relational DB'!_Toc175818048</vt:lpstr>
      <vt:lpstr>'Relational DB'!_Toc175818049</vt:lpstr>
      <vt:lpstr>'Relational DB'!_Toc175818050</vt:lpstr>
      <vt:lpstr>'Relational DB'!_Toc175818051</vt:lpstr>
      <vt:lpstr>'Relational DB'!_Toc175818052</vt:lpstr>
      <vt:lpstr>'Relational DB'!_Toc175818053</vt:lpstr>
      <vt:lpstr>'Relational DB'!_Toc175818054</vt:lpstr>
      <vt:lpstr>'Relational DB'!_Toc175818058</vt:lpstr>
      <vt:lpstr>'Relational DB'!_Toc175818059</vt:lpstr>
      <vt:lpstr>'Relational DB'!_Toc175818060</vt:lpstr>
      <vt:lpstr>'Relational DB'!_Toc175818061</vt:lpstr>
      <vt:lpstr>'Relational DB'!_Toc175818062</vt:lpstr>
      <vt:lpstr>'Relational DB'!_Toc175818063</vt:lpstr>
      <vt:lpstr>'Relational DB'!_Toc175818064</vt:lpstr>
      <vt:lpstr>'Relational DB'!_Toc175818068</vt:lpstr>
      <vt:lpstr>'Relational DB'!_Toc175818069</vt:lpstr>
      <vt:lpstr>'Relational DB'!_Toc175818070</vt:lpstr>
      <vt:lpstr>'Relational DB'!_Toc175818071</vt:lpstr>
      <vt:lpstr>'Relational DB'!_Toc175818072</vt:lpstr>
      <vt:lpstr>'Relational DB'!_Toc175818073</vt:lpstr>
      <vt:lpstr>'Relational DB'!_Toc175818074</vt:lpstr>
      <vt:lpstr>'Relational DB'!_Toc175818078</vt:lpstr>
      <vt:lpstr>'Relational DB'!_Toc175818079</vt:lpstr>
      <vt:lpstr>'Relational DB'!_Toc175818080</vt:lpstr>
      <vt:lpstr>'Relational DB'!_Toc175818081</vt:lpstr>
      <vt:lpstr>'Relational DB'!_Toc175818082</vt:lpstr>
      <vt:lpstr>'Relational DB'!_Toc175818083</vt:lpstr>
      <vt:lpstr>'Relational DB'!_Toc175818084</vt:lpstr>
      <vt:lpstr>'Relational DB'!_Toc175818088</vt:lpstr>
      <vt:lpstr>'Relational DB'!_Toc175818089</vt:lpstr>
      <vt:lpstr>'Relational DB'!_Toc175818090</vt:lpstr>
      <vt:lpstr>'Relational DB'!_Toc175818091</vt:lpstr>
      <vt:lpstr>'Relational DB'!_Toc175818092</vt:lpstr>
      <vt:lpstr>'Relational DB'!_Toc175818093</vt:lpstr>
      <vt:lpstr>'Relational DB'!_Toc175818094</vt:lpstr>
      <vt:lpstr>'Relational DB'!_Toc175818098</vt:lpstr>
      <vt:lpstr>'Relational DB'!_Toc175818099</vt:lpstr>
      <vt:lpstr>'Relational DB'!_Toc175818100</vt:lpstr>
      <vt:lpstr>'Relational DB'!_Toc175818101</vt:lpstr>
      <vt:lpstr>'Relational DB'!_Toc175818102</vt:lpstr>
      <vt:lpstr>'Relational DB'!_Toc175818103</vt:lpstr>
      <vt:lpstr>'Relational DB'!_Toc175818104</vt:lpstr>
      <vt:lpstr>'Relational DB'!_Toc175818108</vt:lpstr>
      <vt:lpstr>'Relational DB'!_Toc175818109</vt:lpstr>
      <vt:lpstr>'Relational DB'!_Toc175818110</vt:lpstr>
      <vt:lpstr>'Relational DB'!_Toc175818111</vt:lpstr>
      <vt:lpstr>'Relational DB'!_Toc175818112</vt:lpstr>
      <vt:lpstr>'Relational DB'!_Toc175818113</vt:lpstr>
      <vt:lpstr>'Relational DB'!_Toc175818114</vt:lpstr>
      <vt:lpstr>'Relational DB'!_Toc175818118</vt:lpstr>
      <vt:lpstr>'Relational DB'!_Toc175818119</vt:lpstr>
      <vt:lpstr>'Relational DB'!_Toc175818120</vt:lpstr>
      <vt:lpstr>'Relational DB'!_Toc175818121</vt:lpstr>
      <vt:lpstr>'Relational DB'!_Toc175818122</vt:lpstr>
      <vt:lpstr>'Relational DB'!_Toc175818123</vt:lpstr>
      <vt:lpstr>'Relational DB'!_Toc175818124</vt:lpstr>
      <vt:lpstr>'Relational DB'!_Toc175818128</vt:lpstr>
      <vt:lpstr>'Relational DB'!_Toc175818129</vt:lpstr>
      <vt:lpstr>'Relational DB'!_Toc175818130</vt:lpstr>
      <vt:lpstr>'Relational DB'!_Toc175818131</vt:lpstr>
      <vt:lpstr>'Relational DB'!_Toc175818132</vt:lpstr>
      <vt:lpstr>'Relational DB'!_Toc175818133</vt:lpstr>
      <vt:lpstr>'Relational DB'!_Toc175818134</vt:lpstr>
      <vt:lpstr>'Relational DB'!_Toc175818138</vt:lpstr>
      <vt:lpstr>'Relational DB'!_Toc175818139</vt:lpstr>
      <vt:lpstr>'Relational DB'!_Toc175818140</vt:lpstr>
      <vt:lpstr>'Relational DB'!_Toc175818141</vt:lpstr>
      <vt:lpstr>'Relational DB'!_Toc175818142</vt:lpstr>
      <vt:lpstr>'Relational DB'!_Toc175818143</vt:lpstr>
      <vt:lpstr>'Relational DB'!_Toc175818144</vt:lpstr>
      <vt:lpstr>'Relational DB'!_Toc175818148</vt:lpstr>
      <vt:lpstr>'Relational DB'!_Toc175818149</vt:lpstr>
      <vt:lpstr>'Relational DB'!_Toc175818150</vt:lpstr>
      <vt:lpstr>'Relational DB'!_Toc175818151</vt:lpstr>
      <vt:lpstr>'Relational DB'!_Toc175818152</vt:lpstr>
      <vt:lpstr>'Relational DB'!_Toc175818153</vt:lpstr>
      <vt:lpstr>'Relational DB'!_Toc175818154</vt:lpstr>
      <vt:lpstr>'Relational DB'!_Toc175818158</vt:lpstr>
      <vt:lpstr>'Relational DB'!_Toc175818159</vt:lpstr>
      <vt:lpstr>'Relational DB'!_Toc175818160</vt:lpstr>
      <vt:lpstr>'Relational DB'!_Toc175818161</vt:lpstr>
      <vt:lpstr>'Relational DB'!_Toc175818162</vt:lpstr>
      <vt:lpstr>'Relational DB'!_Toc175818163</vt:lpstr>
      <vt:lpstr>'Relational DB'!_Toc175818164</vt:lpstr>
      <vt:lpstr>'Relational DB'!_Toc175818168</vt:lpstr>
      <vt:lpstr>'Relational DB'!_Toc175818169</vt:lpstr>
      <vt:lpstr>'Relational DB'!_Toc175818170</vt:lpstr>
      <vt:lpstr>'Relational DB'!_Toc175818171</vt:lpstr>
      <vt:lpstr>'Relational DB'!_Toc175818172</vt:lpstr>
      <vt:lpstr>'Relational DB'!_Toc175818173</vt:lpstr>
      <vt:lpstr>'Relational DB'!_Toc175818174</vt:lpstr>
      <vt:lpstr>'Relational DB'!_Toc175818178</vt:lpstr>
      <vt:lpstr>'Relational DB'!_Toc175818179</vt:lpstr>
      <vt:lpstr>'Relational DB'!_Toc175818180</vt:lpstr>
      <vt:lpstr>'Relational DB'!_Toc175818181</vt:lpstr>
      <vt:lpstr>'Relational DB'!_Toc175818182</vt:lpstr>
      <vt:lpstr>'Relational DB'!_Toc175818183</vt:lpstr>
      <vt:lpstr>'Relational DB'!_Toc175818184</vt:lpstr>
      <vt:lpstr>'Relational DB'!_Toc175818188</vt:lpstr>
      <vt:lpstr>'Relational DB'!_Toc175818189</vt:lpstr>
      <vt:lpstr>'Relational DB'!_Toc175818190</vt:lpstr>
      <vt:lpstr>'Relational DB'!_Toc175818191</vt:lpstr>
      <vt:lpstr>'Relational DB'!_Toc175818192</vt:lpstr>
      <vt:lpstr>'Relational DB'!_Toc175818193</vt:lpstr>
      <vt:lpstr>'Relational DB'!_Toc175818194</vt:lpstr>
      <vt:lpstr>'Relational DB'!_Toc175818198</vt:lpstr>
      <vt:lpstr>'Relational DB'!_Toc175818199</vt:lpstr>
      <vt:lpstr>'Relational DB'!_Toc175818200</vt:lpstr>
      <vt:lpstr>'Relational DB'!_Toc175818201</vt:lpstr>
      <vt:lpstr>'Relational DB'!_Toc175818202</vt:lpstr>
      <vt:lpstr>'Relational DB'!_Toc175818203</vt:lpstr>
      <vt:lpstr>'Relational DB'!_Toc175818204</vt:lpstr>
      <vt:lpstr>'Relational DB'!_Toc175818208</vt:lpstr>
      <vt:lpstr>'Relational DB'!_Toc175818209</vt:lpstr>
      <vt:lpstr>'Relational DB'!_Toc175818210</vt:lpstr>
      <vt:lpstr>'Relational DB'!_Toc175818211</vt:lpstr>
      <vt:lpstr>'Relational DB'!_Toc175818212</vt:lpstr>
      <vt:lpstr>'Relational DB'!_Toc175818213</vt:lpstr>
      <vt:lpstr>'Relational DB'!_Toc175818214</vt:lpstr>
      <vt:lpstr>'Relational DB'!_Toc175818218</vt:lpstr>
      <vt:lpstr>'Relational DB'!_Toc175818219</vt:lpstr>
      <vt:lpstr>'Relational DB'!_Toc175818220</vt:lpstr>
      <vt:lpstr>'Relational DB'!_Toc175818221</vt:lpstr>
      <vt:lpstr>'Relational DB'!_Toc175818222</vt:lpstr>
      <vt:lpstr>'Relational DB'!_Toc175818223</vt:lpstr>
      <vt:lpstr>'Relational DB'!_Toc175818224</vt:lpstr>
      <vt:lpstr>'Relational DB'!_Toc175818228</vt:lpstr>
      <vt:lpstr>'Relational DB'!_Toc175818229</vt:lpstr>
      <vt:lpstr>'Relational DB'!_Toc175818230</vt:lpstr>
      <vt:lpstr>'Relational DB'!_Toc175818231</vt:lpstr>
      <vt:lpstr>'Relational DB'!_Toc175818232</vt:lpstr>
      <vt:lpstr>'Relational DB'!_Toc175818233</vt:lpstr>
      <vt:lpstr>'Relational DB'!_Toc175818234</vt:lpstr>
      <vt:lpstr>'Relational DB'!_Toc175818238</vt:lpstr>
      <vt:lpstr>'Relational DB'!_Toc175818239</vt:lpstr>
      <vt:lpstr>'Relational DB'!_Toc175818240</vt:lpstr>
      <vt:lpstr>'Relational DB'!_Toc175818241</vt:lpstr>
      <vt:lpstr>'Relational DB'!_Toc175818242</vt:lpstr>
      <vt:lpstr>'Relational DB'!_Toc175818243</vt:lpstr>
      <vt:lpstr>'Relational DB'!_Toc175818244</vt:lpstr>
      <vt:lpstr>'Relational DB'!_Toc175818248</vt:lpstr>
      <vt:lpstr>'Relational DB'!_Toc175818249</vt:lpstr>
      <vt:lpstr>'Relational DB'!_Toc175818250</vt:lpstr>
      <vt:lpstr>'Relational DB'!_Toc175818251</vt:lpstr>
      <vt:lpstr>'Relational DB'!_Toc175818252</vt:lpstr>
      <vt:lpstr>'Relational DB'!_Toc175818253</vt:lpstr>
      <vt:lpstr>'Relational DB'!_Toc175818254</vt:lpstr>
      <vt:lpstr>'Relational DB'!_Toc175818258</vt:lpstr>
      <vt:lpstr>'Relational DB'!_Toc175818259</vt:lpstr>
      <vt:lpstr>'Relational DB'!_Toc175818260</vt:lpstr>
      <vt:lpstr>'Relational DB'!_Toc175818261</vt:lpstr>
      <vt:lpstr>'Relational DB'!_Toc175818262</vt:lpstr>
      <vt:lpstr>'Relational DB'!_Toc175818263</vt:lpstr>
      <vt:lpstr>'Relational DB'!_Toc175818264</vt:lpstr>
      <vt:lpstr>'Relational DB'!_Toc175818268</vt:lpstr>
      <vt:lpstr>'Relational DB'!_Toc175818269</vt:lpstr>
      <vt:lpstr>'Relational DB'!_Toc175818270</vt:lpstr>
      <vt:lpstr>'Relational DB'!_Toc175818271</vt:lpstr>
      <vt:lpstr>'Relational DB'!_Toc175818272</vt:lpstr>
      <vt:lpstr>'Relational DB'!_Toc175818273</vt:lpstr>
      <vt:lpstr>'Relational DB'!_Toc175818274</vt:lpstr>
      <vt:lpstr>'Relational DB'!_Toc175818278</vt:lpstr>
      <vt:lpstr>'Relational DB'!_Toc175818279</vt:lpstr>
      <vt:lpstr>'Relational DB'!_Toc175818280</vt:lpstr>
      <vt:lpstr>'Relational DB'!_Toc175818281</vt:lpstr>
      <vt:lpstr>'Relational DB'!_Toc175818282</vt:lpstr>
      <vt:lpstr>'Relational DB'!_Toc175818283</vt:lpstr>
      <vt:lpstr>'Relational DB'!_Toc175818284</vt:lpstr>
      <vt:lpstr>'Source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2025-05-07T09:06:25Z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