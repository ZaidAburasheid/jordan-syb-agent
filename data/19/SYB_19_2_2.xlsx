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Tabels\His\19\"/>
    </mc:Choice>
  </mc:AlternateContent>
  <bookViews>
    <workbookView xWindow="0" yWindow="0" windowWidth="19635" windowHeight="8715" activeTab="2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Toc175817829" localSheetId="2">'Relational DB'!$L$34</definedName>
    <definedName name="_Toc175817830" localSheetId="2">'Relational DB'!$L$28</definedName>
    <definedName name="_Toc175817831" localSheetId="2">'Relational DB'!$L$22</definedName>
    <definedName name="_Toc175817832" localSheetId="2">'Relational DB'!$L$16</definedName>
    <definedName name="_Toc175817833" localSheetId="2">'Relational DB'!$L$10</definedName>
    <definedName name="_Toc175817834" localSheetId="2">'Relational DB'!$L$4</definedName>
    <definedName name="_Toc175817840" localSheetId="2">'Relational DB'!$L$35</definedName>
    <definedName name="_Toc175817841" localSheetId="2">'Relational DB'!$L$29</definedName>
    <definedName name="_Toc175817842" localSheetId="2">'Relational DB'!$L$23</definedName>
    <definedName name="_Toc175817843" localSheetId="2">'Relational DB'!$L$17</definedName>
    <definedName name="_Toc175817844" localSheetId="2">'Relational DB'!$L$11</definedName>
    <definedName name="_Toc175817845" localSheetId="2">'Relational DB'!$L$5</definedName>
    <definedName name="_Toc175817851" localSheetId="2">'Relational DB'!$L$36</definedName>
    <definedName name="_Toc175817852" localSheetId="2">'Relational DB'!$L$30</definedName>
    <definedName name="_Toc175817853" localSheetId="2">'Relational DB'!$L$24</definedName>
    <definedName name="_Toc175817854" localSheetId="2">'Relational DB'!$L$18</definedName>
    <definedName name="_Toc175817855" localSheetId="2">'Relational DB'!$L$12</definedName>
    <definedName name="_Toc175817856" localSheetId="2">'Relational DB'!$L$6</definedName>
    <definedName name="_Toc175817862" localSheetId="2">'Relational DB'!$L$37</definedName>
    <definedName name="_Toc175817863" localSheetId="2">'Relational DB'!$L$31</definedName>
    <definedName name="_Toc175817864" localSheetId="2">'Relational DB'!$L$25</definedName>
    <definedName name="_Toc175817865" localSheetId="2">'Relational DB'!$L$19</definedName>
    <definedName name="_Toc175817866" localSheetId="2">'Relational DB'!$L$13</definedName>
    <definedName name="_Toc175817867" localSheetId="2">'Relational DB'!$L$7</definedName>
    <definedName name="_Toc175817873" localSheetId="2">'Relational DB'!$L$38</definedName>
    <definedName name="_Toc175817874" localSheetId="2">'Relational DB'!$L$32</definedName>
    <definedName name="_Toc175817875" localSheetId="2">'Relational DB'!$L$26</definedName>
    <definedName name="_Toc175817876" localSheetId="2">'Relational DB'!$L$20</definedName>
    <definedName name="_Toc175817877" localSheetId="2">'Relational DB'!$L$14</definedName>
    <definedName name="_Toc175817878" localSheetId="2">'Relational DB'!$L$8</definedName>
    <definedName name="_Toc175817884" localSheetId="2">'Relational DB'!$L$39</definedName>
    <definedName name="_Toc175817885" localSheetId="2">'Relational DB'!$L$33</definedName>
    <definedName name="_Toc175817886" localSheetId="2">'Relational DB'!$L$27</definedName>
    <definedName name="_Toc175817887" localSheetId="2">'Relational DB'!$L$21</definedName>
    <definedName name="_Toc175817888" localSheetId="2">'Relational DB'!$L$15</definedName>
    <definedName name="_Toc175817889" localSheetId="2">'Relational DB'!$L$9</definedName>
    <definedName name="_xlnm.Print_Area" localSheetId="1">'Source Table'!$A$2:$I$14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7" i="3" l="1"/>
  <c r="J327" i="3"/>
  <c r="I327" i="3"/>
  <c r="H327" i="3"/>
  <c r="G327" i="3"/>
  <c r="F327" i="3"/>
  <c r="K326" i="3"/>
  <c r="J326" i="3"/>
  <c r="I326" i="3"/>
  <c r="H326" i="3"/>
  <c r="G326" i="3"/>
  <c r="F326" i="3"/>
  <c r="K325" i="3"/>
  <c r="J325" i="3"/>
  <c r="I325" i="3"/>
  <c r="H325" i="3"/>
  <c r="G325" i="3"/>
  <c r="F325" i="3"/>
  <c r="K324" i="3"/>
  <c r="J324" i="3"/>
  <c r="I324" i="3"/>
  <c r="H324" i="3"/>
  <c r="G324" i="3"/>
  <c r="F324" i="3"/>
  <c r="K323" i="3"/>
  <c r="J323" i="3"/>
  <c r="I323" i="3"/>
  <c r="H323" i="3"/>
  <c r="G323" i="3"/>
  <c r="F323" i="3"/>
  <c r="K322" i="3"/>
  <c r="J322" i="3"/>
  <c r="I322" i="3"/>
  <c r="H322" i="3"/>
  <c r="G322" i="3"/>
  <c r="F322" i="3"/>
  <c r="K321" i="3"/>
  <c r="J321" i="3"/>
  <c r="I321" i="3"/>
  <c r="H321" i="3"/>
  <c r="G321" i="3"/>
  <c r="F321" i="3"/>
  <c r="K320" i="3"/>
  <c r="J320" i="3"/>
  <c r="I320" i="3"/>
  <c r="H320" i="3"/>
  <c r="G320" i="3"/>
  <c r="F320" i="3"/>
  <c r="K319" i="3"/>
  <c r="J319" i="3"/>
  <c r="I319" i="3"/>
  <c r="H319" i="3"/>
  <c r="G319" i="3"/>
  <c r="F319" i="3"/>
  <c r="K318" i="3"/>
  <c r="J318" i="3"/>
  <c r="I318" i="3"/>
  <c r="H318" i="3"/>
  <c r="G318" i="3"/>
  <c r="F318" i="3"/>
  <c r="K317" i="3"/>
  <c r="J317" i="3"/>
  <c r="I317" i="3"/>
  <c r="H317" i="3"/>
  <c r="G317" i="3"/>
  <c r="F317" i="3"/>
  <c r="K316" i="3"/>
  <c r="J316" i="3"/>
  <c r="I316" i="3"/>
  <c r="H316" i="3"/>
  <c r="G316" i="3"/>
  <c r="F316" i="3"/>
  <c r="K315" i="3"/>
  <c r="J315" i="3"/>
  <c r="I315" i="3"/>
  <c r="H315" i="3"/>
  <c r="G315" i="3"/>
  <c r="F315" i="3"/>
  <c r="K314" i="3"/>
  <c r="J314" i="3"/>
  <c r="I314" i="3"/>
  <c r="H314" i="3"/>
  <c r="G314" i="3"/>
  <c r="F314" i="3"/>
  <c r="K313" i="3"/>
  <c r="J313" i="3"/>
  <c r="I313" i="3"/>
  <c r="H313" i="3"/>
  <c r="G313" i="3"/>
  <c r="F313" i="3"/>
  <c r="K312" i="3"/>
  <c r="J312" i="3"/>
  <c r="I312" i="3"/>
  <c r="H312" i="3"/>
  <c r="G312" i="3"/>
  <c r="F312" i="3"/>
  <c r="K311" i="3"/>
  <c r="J311" i="3"/>
  <c r="I311" i="3"/>
  <c r="H311" i="3"/>
  <c r="G311" i="3"/>
  <c r="F311" i="3"/>
  <c r="K310" i="3"/>
  <c r="J310" i="3"/>
  <c r="I310" i="3"/>
  <c r="H310" i="3"/>
  <c r="G310" i="3"/>
  <c r="F310" i="3"/>
  <c r="K309" i="3"/>
  <c r="J309" i="3"/>
  <c r="I309" i="3"/>
  <c r="H309" i="3"/>
  <c r="G309" i="3"/>
  <c r="F309" i="3"/>
  <c r="K308" i="3"/>
  <c r="J308" i="3"/>
  <c r="I308" i="3"/>
  <c r="H308" i="3"/>
  <c r="G308" i="3"/>
  <c r="F308" i="3"/>
  <c r="K307" i="3"/>
  <c r="J307" i="3"/>
  <c r="I307" i="3"/>
  <c r="H307" i="3"/>
  <c r="G307" i="3"/>
  <c r="F307" i="3"/>
  <c r="K306" i="3"/>
  <c r="J306" i="3"/>
  <c r="I306" i="3"/>
  <c r="H306" i="3"/>
  <c r="G306" i="3"/>
  <c r="F306" i="3"/>
  <c r="K305" i="3"/>
  <c r="J305" i="3"/>
  <c r="I305" i="3"/>
  <c r="H305" i="3"/>
  <c r="G305" i="3"/>
  <c r="F305" i="3"/>
  <c r="K304" i="3"/>
  <c r="J304" i="3"/>
  <c r="I304" i="3"/>
  <c r="H304" i="3"/>
  <c r="G304" i="3"/>
  <c r="F304" i="3"/>
  <c r="K303" i="3"/>
  <c r="J303" i="3"/>
  <c r="I303" i="3"/>
  <c r="H303" i="3"/>
  <c r="G303" i="3"/>
  <c r="F303" i="3"/>
  <c r="K302" i="3"/>
  <c r="J302" i="3"/>
  <c r="I302" i="3"/>
  <c r="H302" i="3"/>
  <c r="G302" i="3"/>
  <c r="F302" i="3"/>
  <c r="K301" i="3"/>
  <c r="J301" i="3"/>
  <c r="I301" i="3"/>
  <c r="H301" i="3"/>
  <c r="G301" i="3"/>
  <c r="F301" i="3"/>
  <c r="K300" i="3"/>
  <c r="J300" i="3"/>
  <c r="I300" i="3"/>
  <c r="H300" i="3"/>
  <c r="G300" i="3"/>
  <c r="F300" i="3"/>
  <c r="K299" i="3"/>
  <c r="J299" i="3"/>
  <c r="I299" i="3"/>
  <c r="H299" i="3"/>
  <c r="G299" i="3"/>
  <c r="F299" i="3"/>
  <c r="K298" i="3"/>
  <c r="J298" i="3"/>
  <c r="I298" i="3"/>
  <c r="H298" i="3"/>
  <c r="G298" i="3"/>
  <c r="F298" i="3"/>
  <c r="K297" i="3"/>
  <c r="J297" i="3"/>
  <c r="I297" i="3"/>
  <c r="H297" i="3"/>
  <c r="G297" i="3"/>
  <c r="F297" i="3"/>
  <c r="K296" i="3"/>
  <c r="J296" i="3"/>
  <c r="I296" i="3"/>
  <c r="H296" i="3"/>
  <c r="G296" i="3"/>
  <c r="F296" i="3"/>
  <c r="K295" i="3"/>
  <c r="J295" i="3"/>
  <c r="I295" i="3"/>
  <c r="H295" i="3"/>
  <c r="G295" i="3"/>
  <c r="F295" i="3"/>
  <c r="K294" i="3"/>
  <c r="J294" i="3"/>
  <c r="I294" i="3"/>
  <c r="H294" i="3"/>
  <c r="G294" i="3"/>
  <c r="F294" i="3"/>
  <c r="K293" i="3"/>
  <c r="J293" i="3"/>
  <c r="I293" i="3"/>
  <c r="H293" i="3"/>
  <c r="G293" i="3"/>
  <c r="F293" i="3"/>
  <c r="K292" i="3"/>
  <c r="J292" i="3"/>
  <c r="I292" i="3"/>
  <c r="H292" i="3"/>
  <c r="G292" i="3"/>
  <c r="F292" i="3"/>
  <c r="K291" i="3"/>
  <c r="J291" i="3"/>
  <c r="I291" i="3"/>
  <c r="H291" i="3"/>
  <c r="G291" i="3"/>
  <c r="F291" i="3"/>
  <c r="K290" i="3"/>
  <c r="J290" i="3"/>
  <c r="I290" i="3"/>
  <c r="H290" i="3"/>
  <c r="G290" i="3"/>
  <c r="F290" i="3"/>
  <c r="K289" i="3"/>
  <c r="J289" i="3"/>
  <c r="I289" i="3"/>
  <c r="H289" i="3"/>
  <c r="G289" i="3"/>
  <c r="F289" i="3"/>
  <c r="K288" i="3"/>
  <c r="J288" i="3"/>
  <c r="I288" i="3"/>
  <c r="H288" i="3"/>
  <c r="G288" i="3"/>
  <c r="F288" i="3"/>
  <c r="K287" i="3"/>
  <c r="J287" i="3"/>
  <c r="I287" i="3"/>
  <c r="H287" i="3"/>
  <c r="G287" i="3"/>
  <c r="F287" i="3"/>
  <c r="K286" i="3"/>
  <c r="J286" i="3"/>
  <c r="I286" i="3"/>
  <c r="H286" i="3"/>
  <c r="G286" i="3"/>
  <c r="F286" i="3"/>
  <c r="K285" i="3"/>
  <c r="J285" i="3"/>
  <c r="I285" i="3"/>
  <c r="H285" i="3"/>
  <c r="G285" i="3"/>
  <c r="F285" i="3"/>
  <c r="K284" i="3"/>
  <c r="J284" i="3"/>
  <c r="I284" i="3"/>
  <c r="H284" i="3"/>
  <c r="G284" i="3"/>
  <c r="F284" i="3"/>
  <c r="K283" i="3"/>
  <c r="J283" i="3"/>
  <c r="I283" i="3"/>
  <c r="H283" i="3"/>
  <c r="G283" i="3"/>
  <c r="F283" i="3"/>
  <c r="K282" i="3"/>
  <c r="J282" i="3"/>
  <c r="I282" i="3"/>
  <c r="H282" i="3"/>
  <c r="G282" i="3"/>
  <c r="F282" i="3"/>
  <c r="K281" i="3"/>
  <c r="J281" i="3"/>
  <c r="I281" i="3"/>
  <c r="H281" i="3"/>
  <c r="G281" i="3"/>
  <c r="F281" i="3"/>
  <c r="K280" i="3"/>
  <c r="J280" i="3"/>
  <c r="I280" i="3"/>
  <c r="H280" i="3"/>
  <c r="G280" i="3"/>
  <c r="F280" i="3"/>
  <c r="K279" i="3"/>
  <c r="J279" i="3"/>
  <c r="I279" i="3"/>
  <c r="H279" i="3"/>
  <c r="G279" i="3"/>
  <c r="F279" i="3"/>
  <c r="K278" i="3"/>
  <c r="J278" i="3"/>
  <c r="I278" i="3"/>
  <c r="H278" i="3"/>
  <c r="G278" i="3"/>
  <c r="F278" i="3"/>
  <c r="K277" i="3"/>
  <c r="J277" i="3"/>
  <c r="I277" i="3"/>
  <c r="H277" i="3"/>
  <c r="G277" i="3"/>
  <c r="F277" i="3"/>
  <c r="K276" i="3"/>
  <c r="J276" i="3"/>
  <c r="I276" i="3"/>
  <c r="H276" i="3"/>
  <c r="G276" i="3"/>
  <c r="F276" i="3"/>
  <c r="K275" i="3"/>
  <c r="J275" i="3"/>
  <c r="I275" i="3"/>
  <c r="H275" i="3"/>
  <c r="G275" i="3"/>
  <c r="F275" i="3"/>
  <c r="K274" i="3"/>
  <c r="J274" i="3"/>
  <c r="I274" i="3"/>
  <c r="H274" i="3"/>
  <c r="G274" i="3"/>
  <c r="F274" i="3"/>
  <c r="K273" i="3"/>
  <c r="J273" i="3"/>
  <c r="I273" i="3"/>
  <c r="H273" i="3"/>
  <c r="G273" i="3"/>
  <c r="F273" i="3"/>
  <c r="K272" i="3"/>
  <c r="J272" i="3"/>
  <c r="I272" i="3"/>
  <c r="H272" i="3"/>
  <c r="G272" i="3"/>
  <c r="F272" i="3"/>
  <c r="K271" i="3"/>
  <c r="J271" i="3"/>
  <c r="I271" i="3"/>
  <c r="H271" i="3"/>
  <c r="G271" i="3"/>
  <c r="F271" i="3"/>
  <c r="K270" i="3"/>
  <c r="J270" i="3"/>
  <c r="I270" i="3"/>
  <c r="H270" i="3"/>
  <c r="G270" i="3"/>
  <c r="F270" i="3"/>
  <c r="K269" i="3"/>
  <c r="J269" i="3"/>
  <c r="I269" i="3"/>
  <c r="H269" i="3"/>
  <c r="G269" i="3"/>
  <c r="F269" i="3"/>
  <c r="K268" i="3"/>
  <c r="J268" i="3"/>
  <c r="I268" i="3"/>
  <c r="H268" i="3"/>
  <c r="G268" i="3"/>
  <c r="F268" i="3"/>
  <c r="K267" i="3"/>
  <c r="J267" i="3"/>
  <c r="I267" i="3"/>
  <c r="H267" i="3"/>
  <c r="G267" i="3"/>
  <c r="F267" i="3"/>
  <c r="K266" i="3"/>
  <c r="J266" i="3"/>
  <c r="I266" i="3"/>
  <c r="H266" i="3"/>
  <c r="G266" i="3"/>
  <c r="F266" i="3"/>
  <c r="K265" i="3"/>
  <c r="J265" i="3"/>
  <c r="I265" i="3"/>
  <c r="H265" i="3"/>
  <c r="G265" i="3"/>
  <c r="F265" i="3"/>
  <c r="K264" i="3"/>
  <c r="J264" i="3"/>
  <c r="I264" i="3"/>
  <c r="H264" i="3"/>
  <c r="G264" i="3"/>
  <c r="F264" i="3"/>
  <c r="K263" i="3"/>
  <c r="J263" i="3"/>
  <c r="I263" i="3"/>
  <c r="H263" i="3"/>
  <c r="G263" i="3"/>
  <c r="F263" i="3"/>
  <c r="K262" i="3"/>
  <c r="J262" i="3"/>
  <c r="I262" i="3"/>
  <c r="H262" i="3"/>
  <c r="G262" i="3"/>
  <c r="F262" i="3"/>
  <c r="K261" i="3"/>
  <c r="J261" i="3"/>
  <c r="I261" i="3"/>
  <c r="H261" i="3"/>
  <c r="G261" i="3"/>
  <c r="F261" i="3"/>
  <c r="K260" i="3"/>
  <c r="J260" i="3"/>
  <c r="I260" i="3"/>
  <c r="H260" i="3"/>
  <c r="G260" i="3"/>
  <c r="F260" i="3"/>
  <c r="K259" i="3"/>
  <c r="J259" i="3"/>
  <c r="I259" i="3"/>
  <c r="H259" i="3"/>
  <c r="G259" i="3"/>
  <c r="F259" i="3"/>
  <c r="K258" i="3"/>
  <c r="J258" i="3"/>
  <c r="I258" i="3"/>
  <c r="H258" i="3"/>
  <c r="G258" i="3"/>
  <c r="F258" i="3"/>
  <c r="K257" i="3"/>
  <c r="J257" i="3"/>
  <c r="I257" i="3"/>
  <c r="H257" i="3"/>
  <c r="G257" i="3"/>
  <c r="F257" i="3"/>
  <c r="K256" i="3"/>
  <c r="J256" i="3"/>
  <c r="I256" i="3"/>
  <c r="H256" i="3"/>
  <c r="G256" i="3"/>
  <c r="F256" i="3"/>
  <c r="K255" i="3"/>
  <c r="J255" i="3"/>
  <c r="I255" i="3"/>
  <c r="H255" i="3"/>
  <c r="G255" i="3"/>
  <c r="F255" i="3"/>
  <c r="K254" i="3"/>
  <c r="J254" i="3"/>
  <c r="I254" i="3"/>
  <c r="H254" i="3"/>
  <c r="G254" i="3"/>
  <c r="F254" i="3"/>
  <c r="K253" i="3"/>
  <c r="J253" i="3"/>
  <c r="I253" i="3"/>
  <c r="H253" i="3"/>
  <c r="G253" i="3"/>
  <c r="F253" i="3"/>
  <c r="K252" i="3"/>
  <c r="J252" i="3"/>
  <c r="I252" i="3"/>
  <c r="H252" i="3"/>
  <c r="G252" i="3"/>
  <c r="F252" i="3"/>
  <c r="K251" i="3"/>
  <c r="J251" i="3"/>
  <c r="I251" i="3"/>
  <c r="H251" i="3"/>
  <c r="G251" i="3"/>
  <c r="F251" i="3"/>
  <c r="K250" i="3"/>
  <c r="J250" i="3"/>
  <c r="I250" i="3"/>
  <c r="H250" i="3"/>
  <c r="G250" i="3"/>
  <c r="F250" i="3"/>
  <c r="K249" i="3"/>
  <c r="J249" i="3"/>
  <c r="I249" i="3"/>
  <c r="H249" i="3"/>
  <c r="G249" i="3"/>
  <c r="F249" i="3"/>
  <c r="K248" i="3"/>
  <c r="J248" i="3"/>
  <c r="I248" i="3"/>
  <c r="H248" i="3"/>
  <c r="G248" i="3"/>
  <c r="F248" i="3"/>
  <c r="K247" i="3"/>
  <c r="J247" i="3"/>
  <c r="I247" i="3"/>
  <c r="H247" i="3"/>
  <c r="G247" i="3"/>
  <c r="F247" i="3"/>
  <c r="K246" i="3"/>
  <c r="J246" i="3"/>
  <c r="I246" i="3"/>
  <c r="H246" i="3"/>
  <c r="G246" i="3"/>
  <c r="F246" i="3"/>
  <c r="K245" i="3"/>
  <c r="J245" i="3"/>
  <c r="I245" i="3"/>
  <c r="H245" i="3"/>
  <c r="G245" i="3"/>
  <c r="F245" i="3"/>
  <c r="K244" i="3"/>
  <c r="J244" i="3"/>
  <c r="I244" i="3"/>
  <c r="H244" i="3"/>
  <c r="G244" i="3"/>
  <c r="F244" i="3"/>
  <c r="K243" i="3"/>
  <c r="J243" i="3"/>
  <c r="I243" i="3"/>
  <c r="H243" i="3"/>
  <c r="G243" i="3"/>
  <c r="F243" i="3"/>
  <c r="K242" i="3"/>
  <c r="J242" i="3"/>
  <c r="I242" i="3"/>
  <c r="H242" i="3"/>
  <c r="G242" i="3"/>
  <c r="F242" i="3"/>
  <c r="K241" i="3"/>
  <c r="J241" i="3"/>
  <c r="I241" i="3"/>
  <c r="H241" i="3"/>
  <c r="G241" i="3"/>
  <c r="F241" i="3"/>
  <c r="K240" i="3"/>
  <c r="J240" i="3"/>
  <c r="I240" i="3"/>
  <c r="H240" i="3"/>
  <c r="G240" i="3"/>
  <c r="F240" i="3"/>
  <c r="K239" i="3"/>
  <c r="J239" i="3"/>
  <c r="I239" i="3"/>
  <c r="H239" i="3"/>
  <c r="G239" i="3"/>
  <c r="F239" i="3"/>
  <c r="K238" i="3"/>
  <c r="J238" i="3"/>
  <c r="I238" i="3"/>
  <c r="H238" i="3"/>
  <c r="G238" i="3"/>
  <c r="F238" i="3"/>
  <c r="K237" i="3"/>
  <c r="J237" i="3"/>
  <c r="I237" i="3"/>
  <c r="H237" i="3"/>
  <c r="G237" i="3"/>
  <c r="F237" i="3"/>
  <c r="K236" i="3"/>
  <c r="J236" i="3"/>
  <c r="I236" i="3"/>
  <c r="H236" i="3"/>
  <c r="G236" i="3"/>
  <c r="F236" i="3"/>
  <c r="K235" i="3"/>
  <c r="J235" i="3"/>
  <c r="I235" i="3"/>
  <c r="H235" i="3"/>
  <c r="G235" i="3"/>
  <c r="F235" i="3"/>
  <c r="K234" i="3"/>
  <c r="J234" i="3"/>
  <c r="I234" i="3"/>
  <c r="H234" i="3"/>
  <c r="G234" i="3"/>
  <c r="F234" i="3"/>
  <c r="K233" i="3"/>
  <c r="J233" i="3"/>
  <c r="I233" i="3"/>
  <c r="H233" i="3"/>
  <c r="G233" i="3"/>
  <c r="F233" i="3"/>
  <c r="K232" i="3"/>
  <c r="J232" i="3"/>
  <c r="I232" i="3"/>
  <c r="H232" i="3"/>
  <c r="G232" i="3"/>
  <c r="F232" i="3"/>
  <c r="K231" i="3"/>
  <c r="J231" i="3"/>
  <c r="I231" i="3"/>
  <c r="H231" i="3"/>
  <c r="G231" i="3"/>
  <c r="F231" i="3"/>
  <c r="K230" i="3"/>
  <c r="J230" i="3"/>
  <c r="I230" i="3"/>
  <c r="H230" i="3"/>
  <c r="G230" i="3"/>
  <c r="F230" i="3"/>
  <c r="K229" i="3"/>
  <c r="J229" i="3"/>
  <c r="I229" i="3"/>
  <c r="H229" i="3"/>
  <c r="G229" i="3"/>
  <c r="F229" i="3"/>
  <c r="K228" i="3"/>
  <c r="J228" i="3"/>
  <c r="I228" i="3"/>
  <c r="H228" i="3"/>
  <c r="G228" i="3"/>
  <c r="F228" i="3"/>
  <c r="K227" i="3"/>
  <c r="J227" i="3"/>
  <c r="I227" i="3"/>
  <c r="H227" i="3"/>
  <c r="G227" i="3"/>
  <c r="F227" i="3"/>
  <c r="K226" i="3"/>
  <c r="J226" i="3"/>
  <c r="I226" i="3"/>
  <c r="H226" i="3"/>
  <c r="G226" i="3"/>
  <c r="F226" i="3"/>
  <c r="K225" i="3"/>
  <c r="J225" i="3"/>
  <c r="I225" i="3"/>
  <c r="H225" i="3"/>
  <c r="G225" i="3"/>
  <c r="F225" i="3"/>
  <c r="K224" i="3"/>
  <c r="J224" i="3"/>
  <c r="I224" i="3"/>
  <c r="H224" i="3"/>
  <c r="G224" i="3"/>
  <c r="F224" i="3"/>
  <c r="K223" i="3"/>
  <c r="J223" i="3"/>
  <c r="I223" i="3"/>
  <c r="H223" i="3"/>
  <c r="G223" i="3"/>
  <c r="F223" i="3"/>
  <c r="K222" i="3"/>
  <c r="J222" i="3"/>
  <c r="I222" i="3"/>
  <c r="H222" i="3"/>
  <c r="G222" i="3"/>
  <c r="F222" i="3"/>
  <c r="K221" i="3"/>
  <c r="J221" i="3"/>
  <c r="I221" i="3"/>
  <c r="H221" i="3"/>
  <c r="G221" i="3"/>
  <c r="F221" i="3"/>
  <c r="K220" i="3"/>
  <c r="J220" i="3"/>
  <c r="I220" i="3"/>
  <c r="H220" i="3"/>
  <c r="G220" i="3"/>
  <c r="F220" i="3"/>
  <c r="K219" i="3"/>
  <c r="J219" i="3"/>
  <c r="I219" i="3"/>
  <c r="H219" i="3"/>
  <c r="G219" i="3"/>
  <c r="F219" i="3"/>
  <c r="K218" i="3"/>
  <c r="J218" i="3"/>
  <c r="I218" i="3"/>
  <c r="H218" i="3"/>
  <c r="G218" i="3"/>
  <c r="F218" i="3"/>
  <c r="K217" i="3"/>
  <c r="J217" i="3"/>
  <c r="I217" i="3"/>
  <c r="H217" i="3"/>
  <c r="G217" i="3"/>
  <c r="F217" i="3"/>
  <c r="K216" i="3"/>
  <c r="J216" i="3"/>
  <c r="I216" i="3"/>
  <c r="H216" i="3"/>
  <c r="G216" i="3"/>
  <c r="F216" i="3"/>
  <c r="K215" i="3"/>
  <c r="J215" i="3"/>
  <c r="I215" i="3"/>
  <c r="H215" i="3"/>
  <c r="G215" i="3"/>
  <c r="F215" i="3"/>
  <c r="K214" i="3"/>
  <c r="J214" i="3"/>
  <c r="I214" i="3"/>
  <c r="H214" i="3"/>
  <c r="G214" i="3"/>
  <c r="F214" i="3"/>
  <c r="K213" i="3"/>
  <c r="J213" i="3"/>
  <c r="I213" i="3"/>
  <c r="H213" i="3"/>
  <c r="G213" i="3"/>
  <c r="F213" i="3"/>
  <c r="K212" i="3"/>
  <c r="J212" i="3"/>
  <c r="I212" i="3"/>
  <c r="H212" i="3"/>
  <c r="G212" i="3"/>
  <c r="F212" i="3"/>
  <c r="K211" i="3"/>
  <c r="J211" i="3"/>
  <c r="I211" i="3"/>
  <c r="H211" i="3"/>
  <c r="G211" i="3"/>
  <c r="F211" i="3"/>
  <c r="K210" i="3"/>
  <c r="J210" i="3"/>
  <c r="I210" i="3"/>
  <c r="H210" i="3"/>
  <c r="G210" i="3"/>
  <c r="F210" i="3"/>
  <c r="K209" i="3"/>
  <c r="J209" i="3"/>
  <c r="I209" i="3"/>
  <c r="H209" i="3"/>
  <c r="G209" i="3"/>
  <c r="F209" i="3"/>
  <c r="K208" i="3"/>
  <c r="J208" i="3"/>
  <c r="I208" i="3"/>
  <c r="H208" i="3"/>
  <c r="G208" i="3"/>
  <c r="F208" i="3"/>
  <c r="K207" i="3"/>
  <c r="J207" i="3"/>
  <c r="I207" i="3"/>
  <c r="H207" i="3"/>
  <c r="G207" i="3"/>
  <c r="F207" i="3"/>
  <c r="K206" i="3"/>
  <c r="J206" i="3"/>
  <c r="I206" i="3"/>
  <c r="H206" i="3"/>
  <c r="G206" i="3"/>
  <c r="F206" i="3"/>
  <c r="K205" i="3"/>
  <c r="J205" i="3"/>
  <c r="I205" i="3"/>
  <c r="H205" i="3"/>
  <c r="G205" i="3"/>
  <c r="F205" i="3"/>
  <c r="K204" i="3"/>
  <c r="J204" i="3"/>
  <c r="I204" i="3"/>
  <c r="H204" i="3"/>
  <c r="G204" i="3"/>
  <c r="F204" i="3"/>
  <c r="K203" i="3"/>
  <c r="J203" i="3"/>
  <c r="I203" i="3"/>
  <c r="H203" i="3"/>
  <c r="G203" i="3"/>
  <c r="F203" i="3"/>
  <c r="K202" i="3"/>
  <c r="J202" i="3"/>
  <c r="I202" i="3"/>
  <c r="H202" i="3"/>
  <c r="G202" i="3"/>
  <c r="F202" i="3"/>
  <c r="K201" i="3"/>
  <c r="J201" i="3"/>
  <c r="I201" i="3"/>
  <c r="H201" i="3"/>
  <c r="G201" i="3"/>
  <c r="F201" i="3"/>
  <c r="K200" i="3"/>
  <c r="J200" i="3"/>
  <c r="I200" i="3"/>
  <c r="H200" i="3"/>
  <c r="G200" i="3"/>
  <c r="F200" i="3"/>
  <c r="K199" i="3"/>
  <c r="J199" i="3"/>
  <c r="I199" i="3"/>
  <c r="H199" i="3"/>
  <c r="G199" i="3"/>
  <c r="F199" i="3"/>
  <c r="K198" i="3"/>
  <c r="J198" i="3"/>
  <c r="I198" i="3"/>
  <c r="H198" i="3"/>
  <c r="G198" i="3"/>
  <c r="F198" i="3"/>
  <c r="K197" i="3"/>
  <c r="J197" i="3"/>
  <c r="I197" i="3"/>
  <c r="H197" i="3"/>
  <c r="G197" i="3"/>
  <c r="F197" i="3"/>
  <c r="K196" i="3"/>
  <c r="J196" i="3"/>
  <c r="I196" i="3"/>
  <c r="H196" i="3"/>
  <c r="G196" i="3"/>
  <c r="F196" i="3"/>
  <c r="K195" i="3"/>
  <c r="J195" i="3"/>
  <c r="I195" i="3"/>
  <c r="H195" i="3"/>
  <c r="G195" i="3"/>
  <c r="F195" i="3"/>
  <c r="K194" i="3"/>
  <c r="J194" i="3"/>
  <c r="I194" i="3"/>
  <c r="H194" i="3"/>
  <c r="G194" i="3"/>
  <c r="F194" i="3"/>
  <c r="K193" i="3"/>
  <c r="J193" i="3"/>
  <c r="I193" i="3"/>
  <c r="H193" i="3"/>
  <c r="G193" i="3"/>
  <c r="F193" i="3"/>
  <c r="K192" i="3"/>
  <c r="J192" i="3"/>
  <c r="I192" i="3"/>
  <c r="H192" i="3"/>
  <c r="G192" i="3"/>
  <c r="F192" i="3"/>
  <c r="K191" i="3"/>
  <c r="J191" i="3"/>
  <c r="I191" i="3"/>
  <c r="H191" i="3"/>
  <c r="G191" i="3"/>
  <c r="F191" i="3"/>
  <c r="K190" i="3"/>
  <c r="J190" i="3"/>
  <c r="I190" i="3"/>
  <c r="H190" i="3"/>
  <c r="G190" i="3"/>
  <c r="F190" i="3"/>
  <c r="K189" i="3"/>
  <c r="J189" i="3"/>
  <c r="I189" i="3"/>
  <c r="H189" i="3"/>
  <c r="G189" i="3"/>
  <c r="F189" i="3"/>
  <c r="K188" i="3"/>
  <c r="J188" i="3"/>
  <c r="I188" i="3"/>
  <c r="H188" i="3"/>
  <c r="G188" i="3"/>
  <c r="F188" i="3"/>
  <c r="K187" i="3"/>
  <c r="J187" i="3"/>
  <c r="I187" i="3"/>
  <c r="H187" i="3"/>
  <c r="G187" i="3"/>
  <c r="F187" i="3"/>
  <c r="K186" i="3"/>
  <c r="J186" i="3"/>
  <c r="I186" i="3"/>
  <c r="H186" i="3"/>
  <c r="G186" i="3"/>
  <c r="F186" i="3"/>
  <c r="K185" i="3"/>
  <c r="J185" i="3"/>
  <c r="I185" i="3"/>
  <c r="H185" i="3"/>
  <c r="G185" i="3"/>
  <c r="F185" i="3"/>
  <c r="K184" i="3"/>
  <c r="J184" i="3"/>
  <c r="I184" i="3"/>
  <c r="H184" i="3"/>
  <c r="G184" i="3"/>
  <c r="F184" i="3"/>
  <c r="K183" i="3"/>
  <c r="J183" i="3"/>
  <c r="I183" i="3"/>
  <c r="H183" i="3"/>
  <c r="G183" i="3"/>
  <c r="F183" i="3"/>
  <c r="K182" i="3"/>
  <c r="J182" i="3"/>
  <c r="I182" i="3"/>
  <c r="H182" i="3"/>
  <c r="G182" i="3"/>
  <c r="F182" i="3"/>
  <c r="K181" i="3"/>
  <c r="J181" i="3"/>
  <c r="I181" i="3"/>
  <c r="H181" i="3"/>
  <c r="G181" i="3"/>
  <c r="F181" i="3"/>
  <c r="K180" i="3"/>
  <c r="J180" i="3"/>
  <c r="I180" i="3"/>
  <c r="H180" i="3"/>
  <c r="G180" i="3"/>
  <c r="F180" i="3"/>
  <c r="K179" i="3"/>
  <c r="J179" i="3"/>
  <c r="I179" i="3"/>
  <c r="H179" i="3"/>
  <c r="G179" i="3"/>
  <c r="F179" i="3"/>
  <c r="K178" i="3"/>
  <c r="J178" i="3"/>
  <c r="I178" i="3"/>
  <c r="H178" i="3"/>
  <c r="G178" i="3"/>
  <c r="F178" i="3"/>
  <c r="K177" i="3"/>
  <c r="J177" i="3"/>
  <c r="I177" i="3"/>
  <c r="H177" i="3"/>
  <c r="G177" i="3"/>
  <c r="F177" i="3"/>
  <c r="K176" i="3"/>
  <c r="J176" i="3"/>
  <c r="I176" i="3"/>
  <c r="H176" i="3"/>
  <c r="G176" i="3"/>
  <c r="F176" i="3"/>
  <c r="K175" i="3"/>
  <c r="J175" i="3"/>
  <c r="I175" i="3"/>
  <c r="H175" i="3"/>
  <c r="G175" i="3"/>
  <c r="F175" i="3"/>
  <c r="K174" i="3"/>
  <c r="J174" i="3"/>
  <c r="I174" i="3"/>
  <c r="H174" i="3"/>
  <c r="G174" i="3"/>
  <c r="F174" i="3"/>
  <c r="K173" i="3"/>
  <c r="J173" i="3"/>
  <c r="I173" i="3"/>
  <c r="H173" i="3"/>
  <c r="G173" i="3"/>
  <c r="F173" i="3"/>
  <c r="K172" i="3"/>
  <c r="J172" i="3"/>
  <c r="I172" i="3"/>
  <c r="H172" i="3"/>
  <c r="G172" i="3"/>
  <c r="F172" i="3"/>
  <c r="K171" i="3"/>
  <c r="J171" i="3"/>
  <c r="I171" i="3"/>
  <c r="H171" i="3"/>
  <c r="G171" i="3"/>
  <c r="F171" i="3"/>
  <c r="K170" i="3"/>
  <c r="J170" i="3"/>
  <c r="I170" i="3"/>
  <c r="H170" i="3"/>
  <c r="G170" i="3"/>
  <c r="F170" i="3"/>
  <c r="K169" i="3"/>
  <c r="J169" i="3"/>
  <c r="I169" i="3"/>
  <c r="H169" i="3"/>
  <c r="G169" i="3"/>
  <c r="F169" i="3"/>
  <c r="K168" i="3"/>
  <c r="J168" i="3"/>
  <c r="I168" i="3"/>
  <c r="H168" i="3"/>
  <c r="G168" i="3"/>
  <c r="F168" i="3"/>
  <c r="K167" i="3"/>
  <c r="J167" i="3"/>
  <c r="I167" i="3"/>
  <c r="H167" i="3"/>
  <c r="G167" i="3"/>
  <c r="F167" i="3"/>
  <c r="K166" i="3"/>
  <c r="J166" i="3"/>
  <c r="I166" i="3"/>
  <c r="H166" i="3"/>
  <c r="G166" i="3"/>
  <c r="F166" i="3"/>
  <c r="K165" i="3"/>
  <c r="J165" i="3"/>
  <c r="I165" i="3"/>
  <c r="H165" i="3"/>
  <c r="G165" i="3"/>
  <c r="F165" i="3"/>
  <c r="K164" i="3"/>
  <c r="J164" i="3"/>
  <c r="I164" i="3"/>
  <c r="H164" i="3"/>
  <c r="G164" i="3"/>
  <c r="F164" i="3"/>
  <c r="K163" i="3"/>
  <c r="J163" i="3"/>
  <c r="I163" i="3"/>
  <c r="H163" i="3"/>
  <c r="G163" i="3"/>
  <c r="F163" i="3"/>
  <c r="K162" i="3"/>
  <c r="J162" i="3"/>
  <c r="I162" i="3"/>
  <c r="H162" i="3"/>
  <c r="G162" i="3"/>
  <c r="F162" i="3"/>
  <c r="K161" i="3"/>
  <c r="J161" i="3"/>
  <c r="I161" i="3"/>
  <c r="H161" i="3"/>
  <c r="G161" i="3"/>
  <c r="F161" i="3"/>
  <c r="K160" i="3"/>
  <c r="J160" i="3"/>
  <c r="I160" i="3"/>
  <c r="H160" i="3"/>
  <c r="G160" i="3"/>
  <c r="F160" i="3"/>
  <c r="K159" i="3"/>
  <c r="J159" i="3"/>
  <c r="I159" i="3"/>
  <c r="H159" i="3"/>
  <c r="G159" i="3"/>
  <c r="F159" i="3"/>
  <c r="K158" i="3"/>
  <c r="J158" i="3"/>
  <c r="I158" i="3"/>
  <c r="H158" i="3"/>
  <c r="G158" i="3"/>
  <c r="F158" i="3"/>
  <c r="K157" i="3"/>
  <c r="J157" i="3"/>
  <c r="I157" i="3"/>
  <c r="H157" i="3"/>
  <c r="G157" i="3"/>
  <c r="F157" i="3"/>
  <c r="K156" i="3"/>
  <c r="J156" i="3"/>
  <c r="I156" i="3"/>
  <c r="H156" i="3"/>
  <c r="G156" i="3"/>
  <c r="F156" i="3"/>
  <c r="K155" i="3"/>
  <c r="J155" i="3"/>
  <c r="I155" i="3"/>
  <c r="H155" i="3"/>
  <c r="G155" i="3"/>
  <c r="F155" i="3"/>
  <c r="K154" i="3"/>
  <c r="J154" i="3"/>
  <c r="I154" i="3"/>
  <c r="H154" i="3"/>
  <c r="G154" i="3"/>
  <c r="F154" i="3"/>
  <c r="K153" i="3"/>
  <c r="J153" i="3"/>
  <c r="I153" i="3"/>
  <c r="H153" i="3"/>
  <c r="G153" i="3"/>
  <c r="F153" i="3"/>
  <c r="K152" i="3"/>
  <c r="J152" i="3"/>
  <c r="I152" i="3"/>
  <c r="H152" i="3"/>
  <c r="G152" i="3"/>
  <c r="F152" i="3"/>
  <c r="K151" i="3"/>
  <c r="J151" i="3"/>
  <c r="I151" i="3"/>
  <c r="H151" i="3"/>
  <c r="G151" i="3"/>
  <c r="F151" i="3"/>
  <c r="K150" i="3"/>
  <c r="J150" i="3"/>
  <c r="I150" i="3"/>
  <c r="H150" i="3"/>
  <c r="G150" i="3"/>
  <c r="F150" i="3"/>
  <c r="K149" i="3"/>
  <c r="J149" i="3"/>
  <c r="I149" i="3"/>
  <c r="H149" i="3"/>
  <c r="G149" i="3"/>
  <c r="F149" i="3"/>
  <c r="K148" i="3"/>
  <c r="J148" i="3"/>
  <c r="I148" i="3"/>
  <c r="H148" i="3"/>
  <c r="G148" i="3"/>
  <c r="F148" i="3"/>
  <c r="K147" i="3"/>
  <c r="J147" i="3"/>
  <c r="I147" i="3"/>
  <c r="H147" i="3"/>
  <c r="G147" i="3"/>
  <c r="F147" i="3"/>
  <c r="K146" i="3"/>
  <c r="J146" i="3"/>
  <c r="I146" i="3"/>
  <c r="H146" i="3"/>
  <c r="G146" i="3"/>
  <c r="F146" i="3"/>
  <c r="K145" i="3"/>
  <c r="J145" i="3"/>
  <c r="I145" i="3"/>
  <c r="H145" i="3"/>
  <c r="G145" i="3"/>
  <c r="F145" i="3"/>
  <c r="K144" i="3"/>
  <c r="J144" i="3"/>
  <c r="I144" i="3"/>
  <c r="H144" i="3"/>
  <c r="G144" i="3"/>
  <c r="F144" i="3"/>
  <c r="K143" i="3"/>
  <c r="J143" i="3"/>
  <c r="I143" i="3"/>
  <c r="H143" i="3"/>
  <c r="G143" i="3"/>
  <c r="F143" i="3"/>
  <c r="K142" i="3"/>
  <c r="J142" i="3"/>
  <c r="I142" i="3"/>
  <c r="H142" i="3"/>
  <c r="G142" i="3"/>
  <c r="F142" i="3"/>
  <c r="K141" i="3"/>
  <c r="J141" i="3"/>
  <c r="I141" i="3"/>
  <c r="H141" i="3"/>
  <c r="G141" i="3"/>
  <c r="F141" i="3"/>
  <c r="K140" i="3"/>
  <c r="J140" i="3"/>
  <c r="I140" i="3"/>
  <c r="H140" i="3"/>
  <c r="G140" i="3"/>
  <c r="F140" i="3"/>
  <c r="K139" i="3"/>
  <c r="J139" i="3"/>
  <c r="I139" i="3"/>
  <c r="H139" i="3"/>
  <c r="G139" i="3"/>
  <c r="F139" i="3"/>
  <c r="K138" i="3"/>
  <c r="J138" i="3"/>
  <c r="I138" i="3"/>
  <c r="H138" i="3"/>
  <c r="G138" i="3"/>
  <c r="F138" i="3"/>
  <c r="K137" i="3"/>
  <c r="J137" i="3"/>
  <c r="I137" i="3"/>
  <c r="H137" i="3"/>
  <c r="G137" i="3"/>
  <c r="F137" i="3"/>
  <c r="K136" i="3"/>
  <c r="J136" i="3"/>
  <c r="I136" i="3"/>
  <c r="H136" i="3"/>
  <c r="G136" i="3"/>
  <c r="F136" i="3"/>
  <c r="K135" i="3"/>
  <c r="J135" i="3"/>
  <c r="I135" i="3"/>
  <c r="H135" i="3"/>
  <c r="G135" i="3"/>
  <c r="F135" i="3"/>
  <c r="K134" i="3"/>
  <c r="J134" i="3"/>
  <c r="I134" i="3"/>
  <c r="H134" i="3"/>
  <c r="G134" i="3"/>
  <c r="F134" i="3"/>
  <c r="K133" i="3"/>
  <c r="J133" i="3"/>
  <c r="I133" i="3"/>
  <c r="H133" i="3"/>
  <c r="G133" i="3"/>
  <c r="F133" i="3"/>
  <c r="K132" i="3"/>
  <c r="J132" i="3"/>
  <c r="I132" i="3"/>
  <c r="H132" i="3"/>
  <c r="G132" i="3"/>
  <c r="F132" i="3"/>
  <c r="K131" i="3"/>
  <c r="J131" i="3"/>
  <c r="I131" i="3"/>
  <c r="H131" i="3"/>
  <c r="G131" i="3"/>
  <c r="F131" i="3"/>
  <c r="K130" i="3"/>
  <c r="J130" i="3"/>
  <c r="I130" i="3"/>
  <c r="H130" i="3"/>
  <c r="G130" i="3"/>
  <c r="F130" i="3"/>
  <c r="K129" i="3"/>
  <c r="J129" i="3"/>
  <c r="I129" i="3"/>
  <c r="H129" i="3"/>
  <c r="G129" i="3"/>
  <c r="F129" i="3"/>
  <c r="K128" i="3"/>
  <c r="J128" i="3"/>
  <c r="I128" i="3"/>
  <c r="H128" i="3"/>
  <c r="G128" i="3"/>
  <c r="F128" i="3"/>
  <c r="K127" i="3"/>
  <c r="J127" i="3"/>
  <c r="I127" i="3"/>
  <c r="H127" i="3"/>
  <c r="G127" i="3"/>
  <c r="F127" i="3"/>
  <c r="K126" i="3"/>
  <c r="J126" i="3"/>
  <c r="I126" i="3"/>
  <c r="H126" i="3"/>
  <c r="G126" i="3"/>
  <c r="F126" i="3"/>
  <c r="K125" i="3"/>
  <c r="J125" i="3"/>
  <c r="I125" i="3"/>
  <c r="H125" i="3"/>
  <c r="G125" i="3"/>
  <c r="F125" i="3"/>
  <c r="K124" i="3"/>
  <c r="J124" i="3"/>
  <c r="I124" i="3"/>
  <c r="H124" i="3"/>
  <c r="G124" i="3"/>
  <c r="F124" i="3"/>
  <c r="K123" i="3"/>
  <c r="J123" i="3"/>
  <c r="I123" i="3"/>
  <c r="H123" i="3"/>
  <c r="G123" i="3"/>
  <c r="F123" i="3"/>
  <c r="K122" i="3"/>
  <c r="J122" i="3"/>
  <c r="I122" i="3"/>
  <c r="H122" i="3"/>
  <c r="G122" i="3"/>
  <c r="F122" i="3"/>
  <c r="K121" i="3"/>
  <c r="J121" i="3"/>
  <c r="I121" i="3"/>
  <c r="H121" i="3"/>
  <c r="G121" i="3"/>
  <c r="F121" i="3"/>
  <c r="K120" i="3"/>
  <c r="J120" i="3"/>
  <c r="I120" i="3"/>
  <c r="H120" i="3"/>
  <c r="G120" i="3"/>
  <c r="F120" i="3"/>
  <c r="K119" i="3"/>
  <c r="J119" i="3"/>
  <c r="I119" i="3"/>
  <c r="H119" i="3"/>
  <c r="G119" i="3"/>
  <c r="F119" i="3"/>
  <c r="K118" i="3"/>
  <c r="J118" i="3"/>
  <c r="I118" i="3"/>
  <c r="H118" i="3"/>
  <c r="G118" i="3"/>
  <c r="F118" i="3"/>
  <c r="K117" i="3"/>
  <c r="J117" i="3"/>
  <c r="I117" i="3"/>
  <c r="H117" i="3"/>
  <c r="G117" i="3"/>
  <c r="F117" i="3"/>
  <c r="K116" i="3"/>
  <c r="J116" i="3"/>
  <c r="I116" i="3"/>
  <c r="H116" i="3"/>
  <c r="G116" i="3"/>
  <c r="F116" i="3"/>
  <c r="K115" i="3"/>
  <c r="J115" i="3"/>
  <c r="I115" i="3"/>
  <c r="H115" i="3"/>
  <c r="G115" i="3"/>
  <c r="F115" i="3"/>
  <c r="K114" i="3"/>
  <c r="J114" i="3"/>
  <c r="I114" i="3"/>
  <c r="H114" i="3"/>
  <c r="G114" i="3"/>
  <c r="F114" i="3"/>
  <c r="K113" i="3"/>
  <c r="J113" i="3"/>
  <c r="I113" i="3"/>
  <c r="H113" i="3"/>
  <c r="G113" i="3"/>
  <c r="F113" i="3"/>
  <c r="K112" i="3"/>
  <c r="J112" i="3"/>
  <c r="I112" i="3"/>
  <c r="H112" i="3"/>
  <c r="G112" i="3"/>
  <c r="F112" i="3"/>
  <c r="K111" i="3"/>
  <c r="J111" i="3"/>
  <c r="I111" i="3"/>
  <c r="H111" i="3"/>
  <c r="G111" i="3"/>
  <c r="F111" i="3"/>
  <c r="K110" i="3"/>
  <c r="J110" i="3"/>
  <c r="I110" i="3"/>
  <c r="H110" i="3"/>
  <c r="G110" i="3"/>
  <c r="F110" i="3"/>
  <c r="K109" i="3"/>
  <c r="J109" i="3"/>
  <c r="I109" i="3"/>
  <c r="H109" i="3"/>
  <c r="G109" i="3"/>
  <c r="F109" i="3"/>
  <c r="K108" i="3"/>
  <c r="J108" i="3"/>
  <c r="I108" i="3"/>
  <c r="H108" i="3"/>
  <c r="G108" i="3"/>
  <c r="F108" i="3"/>
  <c r="K107" i="3"/>
  <c r="J107" i="3"/>
  <c r="I107" i="3"/>
  <c r="H107" i="3"/>
  <c r="G107" i="3"/>
  <c r="F107" i="3"/>
  <c r="K106" i="3"/>
  <c r="J106" i="3"/>
  <c r="I106" i="3"/>
  <c r="H106" i="3"/>
  <c r="G106" i="3"/>
  <c r="F106" i="3"/>
  <c r="K105" i="3"/>
  <c r="J105" i="3"/>
  <c r="I105" i="3"/>
  <c r="H105" i="3"/>
  <c r="G105" i="3"/>
  <c r="F105" i="3"/>
  <c r="K104" i="3"/>
  <c r="J104" i="3"/>
  <c r="I104" i="3"/>
  <c r="H104" i="3"/>
  <c r="G104" i="3"/>
  <c r="F104" i="3"/>
  <c r="K103" i="3"/>
  <c r="J103" i="3"/>
  <c r="I103" i="3"/>
  <c r="H103" i="3"/>
  <c r="G103" i="3"/>
  <c r="F103" i="3"/>
  <c r="K102" i="3"/>
  <c r="J102" i="3"/>
  <c r="I102" i="3"/>
  <c r="H102" i="3"/>
  <c r="G102" i="3"/>
  <c r="F102" i="3"/>
  <c r="K101" i="3"/>
  <c r="J101" i="3"/>
  <c r="I101" i="3"/>
  <c r="H101" i="3"/>
  <c r="G101" i="3"/>
  <c r="F101" i="3"/>
  <c r="K100" i="3"/>
  <c r="J100" i="3"/>
  <c r="I100" i="3"/>
  <c r="H100" i="3"/>
  <c r="G100" i="3"/>
  <c r="F100" i="3"/>
  <c r="K99" i="3"/>
  <c r="J99" i="3"/>
  <c r="I99" i="3"/>
  <c r="H99" i="3"/>
  <c r="G99" i="3"/>
  <c r="F99" i="3"/>
  <c r="K98" i="3"/>
  <c r="J98" i="3"/>
  <c r="I98" i="3"/>
  <c r="H98" i="3"/>
  <c r="G98" i="3"/>
  <c r="F98" i="3"/>
  <c r="K97" i="3"/>
  <c r="J97" i="3"/>
  <c r="I97" i="3"/>
  <c r="H97" i="3"/>
  <c r="G97" i="3"/>
  <c r="F97" i="3"/>
  <c r="K96" i="3"/>
  <c r="J96" i="3"/>
  <c r="I96" i="3"/>
  <c r="H96" i="3"/>
  <c r="G96" i="3"/>
  <c r="F96" i="3"/>
  <c r="K95" i="3"/>
  <c r="J95" i="3"/>
  <c r="I95" i="3"/>
  <c r="H95" i="3"/>
  <c r="G95" i="3"/>
  <c r="F95" i="3"/>
  <c r="K94" i="3"/>
  <c r="J94" i="3"/>
  <c r="I94" i="3"/>
  <c r="H94" i="3"/>
  <c r="G94" i="3"/>
  <c r="F94" i="3"/>
  <c r="K93" i="3"/>
  <c r="J93" i="3"/>
  <c r="I93" i="3"/>
  <c r="H93" i="3"/>
  <c r="G93" i="3"/>
  <c r="F93" i="3"/>
  <c r="K92" i="3"/>
  <c r="J92" i="3"/>
  <c r="I92" i="3"/>
  <c r="H92" i="3"/>
  <c r="G92" i="3"/>
  <c r="F92" i="3"/>
  <c r="K91" i="3"/>
  <c r="J91" i="3"/>
  <c r="I91" i="3"/>
  <c r="H91" i="3"/>
  <c r="G91" i="3"/>
  <c r="F91" i="3"/>
  <c r="K90" i="3"/>
  <c r="J90" i="3"/>
  <c r="I90" i="3"/>
  <c r="H90" i="3"/>
  <c r="G90" i="3"/>
  <c r="F90" i="3"/>
  <c r="K89" i="3"/>
  <c r="J89" i="3"/>
  <c r="I89" i="3"/>
  <c r="H89" i="3"/>
  <c r="G89" i="3"/>
  <c r="F89" i="3"/>
  <c r="K88" i="3"/>
  <c r="J88" i="3"/>
  <c r="I88" i="3"/>
  <c r="H88" i="3"/>
  <c r="G88" i="3"/>
  <c r="F88" i="3"/>
  <c r="K87" i="3"/>
  <c r="J87" i="3"/>
  <c r="I87" i="3"/>
  <c r="H87" i="3"/>
  <c r="G87" i="3"/>
  <c r="F87" i="3"/>
  <c r="K86" i="3"/>
  <c r="J86" i="3"/>
  <c r="I86" i="3"/>
  <c r="H86" i="3"/>
  <c r="G86" i="3"/>
  <c r="F86" i="3"/>
  <c r="K85" i="3"/>
  <c r="J85" i="3"/>
  <c r="I85" i="3"/>
  <c r="H85" i="3"/>
  <c r="G85" i="3"/>
  <c r="F85" i="3"/>
  <c r="K84" i="3"/>
  <c r="J84" i="3"/>
  <c r="I84" i="3"/>
  <c r="H84" i="3"/>
  <c r="G84" i="3"/>
  <c r="F84" i="3"/>
  <c r="K83" i="3"/>
  <c r="J83" i="3"/>
  <c r="I83" i="3"/>
  <c r="H83" i="3"/>
  <c r="G83" i="3"/>
  <c r="F83" i="3"/>
  <c r="K82" i="3"/>
  <c r="J82" i="3"/>
  <c r="I82" i="3"/>
  <c r="H82" i="3"/>
  <c r="G82" i="3"/>
  <c r="F82" i="3"/>
  <c r="K81" i="3"/>
  <c r="J81" i="3"/>
  <c r="I81" i="3"/>
  <c r="H81" i="3"/>
  <c r="G81" i="3"/>
  <c r="F81" i="3"/>
  <c r="K80" i="3"/>
  <c r="J80" i="3"/>
  <c r="I80" i="3"/>
  <c r="H80" i="3"/>
  <c r="G80" i="3"/>
  <c r="F80" i="3"/>
  <c r="K79" i="3"/>
  <c r="J79" i="3"/>
  <c r="I79" i="3"/>
  <c r="H79" i="3"/>
  <c r="G79" i="3"/>
  <c r="F79" i="3"/>
  <c r="K78" i="3"/>
  <c r="J78" i="3"/>
  <c r="I78" i="3"/>
  <c r="H78" i="3"/>
  <c r="G78" i="3"/>
  <c r="F78" i="3"/>
  <c r="K77" i="3"/>
  <c r="J77" i="3"/>
  <c r="I77" i="3"/>
  <c r="H77" i="3"/>
  <c r="G77" i="3"/>
  <c r="F77" i="3"/>
  <c r="K76" i="3"/>
  <c r="J76" i="3"/>
  <c r="I76" i="3"/>
  <c r="H76" i="3"/>
  <c r="G76" i="3"/>
  <c r="F76" i="3"/>
  <c r="K75" i="3"/>
  <c r="J75" i="3"/>
  <c r="I75" i="3"/>
  <c r="H75" i="3"/>
  <c r="G75" i="3"/>
  <c r="F75" i="3"/>
  <c r="K74" i="3"/>
  <c r="J74" i="3"/>
  <c r="I74" i="3"/>
  <c r="H74" i="3"/>
  <c r="G74" i="3"/>
  <c r="F74" i="3"/>
  <c r="K73" i="3"/>
  <c r="J73" i="3"/>
  <c r="I73" i="3"/>
  <c r="H73" i="3"/>
  <c r="G73" i="3"/>
  <c r="F73" i="3"/>
  <c r="K72" i="3"/>
  <c r="J72" i="3"/>
  <c r="I72" i="3"/>
  <c r="H72" i="3"/>
  <c r="G72" i="3"/>
  <c r="F72" i="3"/>
  <c r="K71" i="3"/>
  <c r="J71" i="3"/>
  <c r="I71" i="3"/>
  <c r="H71" i="3"/>
  <c r="G71" i="3"/>
  <c r="F71" i="3"/>
  <c r="K70" i="3"/>
  <c r="J70" i="3"/>
  <c r="I70" i="3"/>
  <c r="H70" i="3"/>
  <c r="G70" i="3"/>
  <c r="F70" i="3"/>
  <c r="K69" i="3"/>
  <c r="J69" i="3"/>
  <c r="I69" i="3"/>
  <c r="H69" i="3"/>
  <c r="G69" i="3"/>
  <c r="F69" i="3"/>
  <c r="K68" i="3"/>
  <c r="J68" i="3"/>
  <c r="I68" i="3"/>
  <c r="H68" i="3"/>
  <c r="G68" i="3"/>
  <c r="F68" i="3"/>
  <c r="K67" i="3"/>
  <c r="J67" i="3"/>
  <c r="I67" i="3"/>
  <c r="H67" i="3"/>
  <c r="G67" i="3"/>
  <c r="F67" i="3"/>
  <c r="K66" i="3"/>
  <c r="J66" i="3"/>
  <c r="I66" i="3"/>
  <c r="H66" i="3"/>
  <c r="G66" i="3"/>
  <c r="F66" i="3"/>
  <c r="K65" i="3"/>
  <c r="J65" i="3"/>
  <c r="I65" i="3"/>
  <c r="H65" i="3"/>
  <c r="G65" i="3"/>
  <c r="F65" i="3"/>
  <c r="K64" i="3"/>
  <c r="J64" i="3"/>
  <c r="I64" i="3"/>
  <c r="H64" i="3"/>
  <c r="G64" i="3"/>
  <c r="F64" i="3"/>
  <c r="K63" i="3"/>
  <c r="J63" i="3"/>
  <c r="I63" i="3"/>
  <c r="H63" i="3"/>
  <c r="G63" i="3"/>
  <c r="F63" i="3"/>
  <c r="K62" i="3"/>
  <c r="J62" i="3"/>
  <c r="I62" i="3"/>
  <c r="H62" i="3"/>
  <c r="G62" i="3"/>
  <c r="F62" i="3"/>
  <c r="K61" i="3"/>
  <c r="J61" i="3"/>
  <c r="I61" i="3"/>
  <c r="H61" i="3"/>
  <c r="G61" i="3"/>
  <c r="F61" i="3"/>
  <c r="K60" i="3"/>
  <c r="J60" i="3"/>
  <c r="I60" i="3"/>
  <c r="H60" i="3"/>
  <c r="G60" i="3"/>
  <c r="F60" i="3"/>
  <c r="K59" i="3"/>
  <c r="J59" i="3"/>
  <c r="I59" i="3"/>
  <c r="H59" i="3"/>
  <c r="G59" i="3"/>
  <c r="F59" i="3"/>
  <c r="K58" i="3"/>
  <c r="J58" i="3"/>
  <c r="I58" i="3"/>
  <c r="H58" i="3"/>
  <c r="G58" i="3"/>
  <c r="F58" i="3"/>
  <c r="K57" i="3"/>
  <c r="J57" i="3"/>
  <c r="I57" i="3"/>
  <c r="H57" i="3"/>
  <c r="G57" i="3"/>
  <c r="F57" i="3"/>
  <c r="K56" i="3"/>
  <c r="J56" i="3"/>
  <c r="I56" i="3"/>
  <c r="H56" i="3"/>
  <c r="G56" i="3"/>
  <c r="F56" i="3"/>
  <c r="K55" i="3"/>
  <c r="J55" i="3"/>
  <c r="I55" i="3"/>
  <c r="H55" i="3"/>
  <c r="G55" i="3"/>
  <c r="F55" i="3"/>
  <c r="K54" i="3"/>
  <c r="J54" i="3"/>
  <c r="I54" i="3"/>
  <c r="H54" i="3"/>
  <c r="G54" i="3"/>
  <c r="F54" i="3"/>
  <c r="K53" i="3"/>
  <c r="J53" i="3"/>
  <c r="I53" i="3"/>
  <c r="H53" i="3"/>
  <c r="G53" i="3"/>
  <c r="F53" i="3"/>
  <c r="K52" i="3"/>
  <c r="J52" i="3"/>
  <c r="I52" i="3"/>
  <c r="H52" i="3"/>
  <c r="G52" i="3"/>
  <c r="F52" i="3"/>
  <c r="K51" i="3"/>
  <c r="J51" i="3"/>
  <c r="I51" i="3"/>
  <c r="H51" i="3"/>
  <c r="G51" i="3"/>
  <c r="F51" i="3"/>
  <c r="K50" i="3"/>
  <c r="J50" i="3"/>
  <c r="I50" i="3"/>
  <c r="H50" i="3"/>
  <c r="G50" i="3"/>
  <c r="F50" i="3"/>
  <c r="K49" i="3"/>
  <c r="J49" i="3"/>
  <c r="I49" i="3"/>
  <c r="H49" i="3"/>
  <c r="G49" i="3"/>
  <c r="F49" i="3"/>
  <c r="K48" i="3"/>
  <c r="J48" i="3"/>
  <c r="I48" i="3"/>
  <c r="H48" i="3"/>
  <c r="G48" i="3"/>
  <c r="F48" i="3"/>
  <c r="K47" i="3"/>
  <c r="J47" i="3"/>
  <c r="I47" i="3"/>
  <c r="H47" i="3"/>
  <c r="G47" i="3"/>
  <c r="F47" i="3"/>
  <c r="K46" i="3"/>
  <c r="J46" i="3"/>
  <c r="I46" i="3"/>
  <c r="H46" i="3"/>
  <c r="G46" i="3"/>
  <c r="F46" i="3"/>
  <c r="K45" i="3"/>
  <c r="J45" i="3"/>
  <c r="I45" i="3"/>
  <c r="H45" i="3"/>
  <c r="G45" i="3"/>
  <c r="F45" i="3"/>
  <c r="K44" i="3"/>
  <c r="J44" i="3"/>
  <c r="I44" i="3"/>
  <c r="H44" i="3"/>
  <c r="G44" i="3"/>
  <c r="F44" i="3"/>
  <c r="K43" i="3"/>
  <c r="J43" i="3"/>
  <c r="I43" i="3"/>
  <c r="H43" i="3"/>
  <c r="G43" i="3"/>
  <c r="F43" i="3"/>
  <c r="K42" i="3"/>
  <c r="J42" i="3"/>
  <c r="I42" i="3"/>
  <c r="H42" i="3"/>
  <c r="G42" i="3"/>
  <c r="F42" i="3"/>
  <c r="K41" i="3"/>
  <c r="J41" i="3"/>
  <c r="I41" i="3"/>
  <c r="H41" i="3"/>
  <c r="G41" i="3"/>
  <c r="F41" i="3"/>
  <c r="K40" i="3"/>
  <c r="J40" i="3"/>
  <c r="I40" i="3"/>
  <c r="H40" i="3"/>
  <c r="G40" i="3"/>
  <c r="F40" i="3"/>
  <c r="E4" i="2" l="1"/>
  <c r="K39" i="3" l="1"/>
  <c r="F38" i="3"/>
  <c r="G38" i="3"/>
  <c r="H38" i="3"/>
  <c r="I38" i="3"/>
  <c r="F39" i="3"/>
  <c r="G39" i="3"/>
  <c r="H39" i="3"/>
  <c r="I39" i="3"/>
  <c r="J39" i="3"/>
  <c r="K38" i="3"/>
  <c r="J38" i="3"/>
  <c r="J10" i="3"/>
  <c r="K10" i="3"/>
  <c r="J11" i="3"/>
  <c r="K11" i="3"/>
  <c r="J12" i="3"/>
  <c r="K12" i="3"/>
  <c r="J13" i="3"/>
  <c r="K13" i="3"/>
  <c r="J14" i="3"/>
  <c r="K14" i="3"/>
  <c r="J15" i="3"/>
  <c r="K15" i="3"/>
  <c r="J16" i="3"/>
  <c r="K16" i="3"/>
  <c r="J17" i="3"/>
  <c r="K17" i="3"/>
  <c r="J18" i="3"/>
  <c r="K18" i="3"/>
  <c r="J19" i="3"/>
  <c r="K19" i="3"/>
  <c r="J20" i="3"/>
  <c r="K20" i="3"/>
  <c r="J21" i="3"/>
  <c r="K21" i="3"/>
  <c r="J22" i="3"/>
  <c r="K22" i="3"/>
  <c r="J23" i="3"/>
  <c r="K23" i="3"/>
  <c r="J24" i="3"/>
  <c r="K24" i="3"/>
  <c r="J25" i="3"/>
  <c r="K25" i="3"/>
  <c r="J26" i="3"/>
  <c r="K26" i="3"/>
  <c r="J27" i="3"/>
  <c r="K27" i="3"/>
  <c r="J28" i="3"/>
  <c r="K28" i="3"/>
  <c r="J29" i="3"/>
  <c r="K29" i="3"/>
  <c r="J30" i="3"/>
  <c r="K30" i="3"/>
  <c r="J31" i="3"/>
  <c r="K31" i="3"/>
  <c r="J32" i="3"/>
  <c r="K32" i="3"/>
  <c r="J33" i="3"/>
  <c r="K33" i="3"/>
  <c r="J34" i="3"/>
  <c r="K34" i="3"/>
  <c r="J35" i="3"/>
  <c r="K35" i="3"/>
  <c r="J36" i="3"/>
  <c r="K36" i="3"/>
  <c r="J37" i="3"/>
  <c r="K37" i="3"/>
  <c r="K9" i="3"/>
  <c r="K8" i="3"/>
  <c r="K7" i="3"/>
  <c r="K6" i="3"/>
  <c r="K5" i="3"/>
  <c r="K4" i="3"/>
  <c r="J9" i="3"/>
  <c r="J8" i="3"/>
  <c r="J7" i="3"/>
  <c r="J6" i="3"/>
  <c r="J5" i="3"/>
  <c r="J4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9" i="3"/>
  <c r="I29" i="3"/>
  <c r="H30" i="3"/>
  <c r="I30" i="3"/>
  <c r="H31" i="3"/>
  <c r="I31" i="3"/>
  <c r="H32" i="3"/>
  <c r="I32" i="3"/>
  <c r="H33" i="3"/>
  <c r="I33" i="3"/>
  <c r="H34" i="3"/>
  <c r="I34" i="3"/>
  <c r="H35" i="3"/>
  <c r="I35" i="3"/>
  <c r="H36" i="3"/>
  <c r="I36" i="3"/>
  <c r="H37" i="3"/>
  <c r="I37" i="3"/>
  <c r="H17" i="3"/>
  <c r="I17" i="3"/>
  <c r="H18" i="3"/>
  <c r="I18" i="3"/>
  <c r="H19" i="3"/>
  <c r="I19" i="3"/>
  <c r="H20" i="3"/>
  <c r="I20" i="3"/>
  <c r="H21" i="3"/>
  <c r="I21" i="3"/>
  <c r="I16" i="3"/>
  <c r="H16" i="3"/>
  <c r="H11" i="3"/>
  <c r="I11" i="3"/>
  <c r="H12" i="3"/>
  <c r="I12" i="3"/>
  <c r="H13" i="3"/>
  <c r="I13" i="3"/>
  <c r="H14" i="3"/>
  <c r="I14" i="3"/>
  <c r="H15" i="3"/>
  <c r="I15" i="3"/>
  <c r="I10" i="3"/>
  <c r="H10" i="3"/>
  <c r="H5" i="3"/>
  <c r="I5" i="3"/>
  <c r="H6" i="3"/>
  <c r="I6" i="3"/>
  <c r="H7" i="3"/>
  <c r="I7" i="3"/>
  <c r="H8" i="3"/>
  <c r="I8" i="3"/>
  <c r="H9" i="3"/>
  <c r="I9" i="3"/>
  <c r="I4" i="3"/>
  <c r="H4" i="3"/>
  <c r="G4" i="3"/>
  <c r="G23" i="3"/>
  <c r="F23" i="3"/>
  <c r="G24" i="3"/>
  <c r="F24" i="3"/>
  <c r="G25" i="3"/>
  <c r="F25" i="3"/>
  <c r="G26" i="3"/>
  <c r="F26" i="3"/>
  <c r="G27" i="3"/>
  <c r="F27" i="3"/>
  <c r="G28" i="3"/>
  <c r="F28" i="3"/>
  <c r="G29" i="3"/>
  <c r="F29" i="3"/>
  <c r="G30" i="3"/>
  <c r="F30" i="3"/>
  <c r="G31" i="3"/>
  <c r="F31" i="3"/>
  <c r="G32" i="3"/>
  <c r="F32" i="3"/>
  <c r="G33" i="3"/>
  <c r="F33" i="3"/>
  <c r="G34" i="3"/>
  <c r="F34" i="3"/>
  <c r="G35" i="3"/>
  <c r="F35" i="3"/>
  <c r="G36" i="3"/>
  <c r="F36" i="3"/>
  <c r="G37" i="3"/>
  <c r="F37" i="3"/>
  <c r="F22" i="3"/>
  <c r="G22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4" i="3"/>
  <c r="G21" i="3"/>
  <c r="G20" i="3"/>
  <c r="G17" i="3"/>
  <c r="G18" i="3"/>
  <c r="G19" i="3"/>
  <c r="G14" i="3"/>
  <c r="G15" i="3"/>
  <c r="G16" i="3"/>
  <c r="G5" i="3"/>
  <c r="G6" i="3"/>
  <c r="G7" i="3"/>
  <c r="G8" i="3"/>
  <c r="G9" i="3"/>
  <c r="G10" i="3"/>
  <c r="G11" i="3"/>
  <c r="G12" i="3"/>
  <c r="G13" i="3"/>
  <c r="B2" i="2"/>
  <c r="B1" i="4" l="1"/>
  <c r="B3" i="2"/>
</calcChain>
</file>

<file path=xl/sharedStrings.xml><?xml version="1.0" encoding="utf-8"?>
<sst xmlns="http://schemas.openxmlformats.org/spreadsheetml/2006/main" count="1777" uniqueCount="127">
  <si>
    <t>Code</t>
  </si>
  <si>
    <t>Version</t>
  </si>
  <si>
    <t>V1</t>
  </si>
  <si>
    <t>اسم القالب</t>
  </si>
  <si>
    <t>Template Name</t>
  </si>
  <si>
    <t>دورية البيانات</t>
  </si>
  <si>
    <t>سنوي</t>
  </si>
  <si>
    <t>Data Frequency</t>
  </si>
  <si>
    <t>Annual</t>
  </si>
  <si>
    <t>الجهة المصدرية</t>
  </si>
  <si>
    <t>Data Source</t>
  </si>
  <si>
    <t>Year</t>
  </si>
  <si>
    <t>السنة</t>
  </si>
  <si>
    <t>Relational Sheet</t>
  </si>
  <si>
    <t>Measure_Name_Ar</t>
  </si>
  <si>
    <t>Measure_Name_En</t>
  </si>
  <si>
    <t>Measure_ID</t>
  </si>
  <si>
    <t>Unit_EN</t>
  </si>
  <si>
    <t>Unit_AR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</si>
  <si>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</si>
  <si>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</si>
  <si>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</si>
  <si>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</si>
  <si>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</si>
  <si>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</si>
  <si>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</si>
  <si>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</si>
  <si>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قيمة المؤشر</t>
  </si>
  <si>
    <t>سنة فترة القياس</t>
  </si>
  <si>
    <t>شهر فترة القياس</t>
  </si>
  <si>
    <t>M1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</si>
  <si>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</si>
  <si>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</si>
  <si>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</si>
  <si>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</si>
  <si>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</si>
  <si>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</si>
  <si>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</si>
  <si>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</si>
  <si>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</si>
  <si>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</si>
  <si>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</si>
  <si>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</si>
  <si>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</si>
  <si>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</si>
  <si>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</si>
  <si>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</si>
  <si>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</si>
  <si>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</si>
  <si>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</si>
  <si>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</si>
  <si>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</si>
  <si>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</si>
  <si>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</si>
  <si>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</si>
  <si>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</si>
  <si>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</si>
  <si>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</si>
  <si>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</si>
  <si>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</si>
  <si>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</si>
  <si>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</si>
  <si>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</si>
  <si>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</si>
  <si>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</si>
  <si>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</si>
  <si>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</si>
  <si>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</si>
  <si>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</si>
  <si>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</si>
  <si>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</si>
  <si>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</si>
  <si>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</si>
  <si>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</si>
  <si>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</si>
  <si>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</si>
  <si>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</si>
  <si>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</si>
  <si>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</si>
  <si>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</si>
  <si>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</si>
  <si>
    <t>Number</t>
  </si>
  <si>
    <t>عدد</t>
  </si>
  <si>
    <t>SYB_19_2_2</t>
  </si>
  <si>
    <t>المهندسون المسجّلون في نقابة المهندسين الأردنيين حسب التخصص والجنس والجنسية</t>
  </si>
  <si>
    <t>Engineers Registered at the Jordanian Engineers Syndicate by Specialization, Sex and NationalitySocially Insured Employees by Economic Activity</t>
  </si>
  <si>
    <t>نقابة المهندسين الأردنيين</t>
  </si>
  <si>
    <t>Jordanian Engineers Syndicate</t>
  </si>
  <si>
    <t>مدني</t>
  </si>
  <si>
    <t>عمارة</t>
  </si>
  <si>
    <t>ميكانيك</t>
  </si>
  <si>
    <t>كهرباء</t>
  </si>
  <si>
    <t>تعدين</t>
  </si>
  <si>
    <t>كيمياء</t>
  </si>
  <si>
    <t>Civil</t>
  </si>
  <si>
    <t>Architecture</t>
  </si>
  <si>
    <t>Mechanical</t>
  </si>
  <si>
    <t>Electricity</t>
  </si>
  <si>
    <t>Mining</t>
  </si>
  <si>
    <t>Chemistry</t>
  </si>
  <si>
    <t>التخصص</t>
  </si>
  <si>
    <t>Specialization</t>
  </si>
  <si>
    <t>ذكر</t>
  </si>
  <si>
    <t>Male</t>
  </si>
  <si>
    <t>أنثى</t>
  </si>
  <si>
    <t>Female</t>
  </si>
  <si>
    <t>أردني</t>
  </si>
  <si>
    <t>Jordanian</t>
  </si>
  <si>
    <t>عربي</t>
  </si>
  <si>
    <t>Arab</t>
  </si>
  <si>
    <t>أجنبي</t>
  </si>
  <si>
    <t>Foreign</t>
  </si>
  <si>
    <t>المهندسون المسجّلون في نقابة المهندسين الأردنيين</t>
  </si>
  <si>
    <t>Engineers Registered at the Jordanian Engineers Syndicate</t>
  </si>
  <si>
    <t>CL_SEX_EN_V1</t>
  </si>
  <si>
    <t>Sex</t>
  </si>
  <si>
    <t>الجنس</t>
  </si>
  <si>
    <t>Nationality</t>
  </si>
  <si>
    <t>CL_NATIONALITY_EN_V4</t>
  </si>
  <si>
    <t>CL_SEX_AR_V1</t>
  </si>
  <si>
    <t>CL_NATIONALITY_AR_V4</t>
  </si>
  <si>
    <t>الجنسية</t>
  </si>
  <si>
    <t>Engineers Specialization</t>
  </si>
  <si>
    <t>التخصص الهندسي</t>
  </si>
  <si>
    <t>CL_ENG_SPECALIZATION_EN_V1</t>
  </si>
  <si>
    <t>CL_ENG_SPECALIZATION_AR_V1</t>
  </si>
  <si>
    <t>324,25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</si>
</sst>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1"/>
      <color rgb="FF000000"/>
      <name val="Calibri"/>
      <family val="2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1"/>
      <color rgb="FF000000"/>
      <name val="Calibri"/>
      <family val="2"/>
    </font>
    <font>
      <sz val="16"/>
      <color rgb="FFFFFFFF"/>
      <name val="Aptos Narrow"/>
      <charset val="134"/>
      <scheme val="minor"/>
    </font>
    <font>
      <sz val="10"/>
      <name val="Arial"/>
      <family val="2"/>
    </font>
    <font>
      <b/>
      <sz val="14"/>
      <color indexed="12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color theme="1"/>
      <name val="Arial Unicode MS"/>
      <charset val="134"/>
    </font>
    <font>
      <sz val="11"/>
      <color theme="1"/>
      <name val="Aptos Narrow"/>
      <charset val="134"/>
      <scheme val="minor"/>
    </font>
    <font>
      <sz val="9"/>
      <color theme="1"/>
      <name val="Times New Roman"/>
      <family val="1"/>
    </font>
    <font>
      <sz val="11"/>
      <color rgb="FF000000"/>
      <name val="Calibri"/>
      <family val="2"/>
    </font>
    <font>
      <sz val="14"/>
      <color theme="7" tint="-0.249977111117893"/>
      <name val="Aptos"/>
    </font>
    <font>
      <sz val="9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8687704092531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8">
    <xf numFmtId="0" fontId="0" fillId="0" borderId="0"/>
    <xf numFmtId="0" fontId="12" fillId="0" borderId="0"/>
    <xf numFmtId="0" fontId="12" fillId="0" borderId="0"/>
    <xf numFmtId="0" fontId="13" fillId="0" borderId="0">
      <alignment horizontal="centerContinuous" vertical="center"/>
    </xf>
    <xf numFmtId="0" fontId="14" fillId="0" borderId="0">
      <alignment horizontal="centerContinuous" vertical="center"/>
    </xf>
    <xf numFmtId="1" fontId="15" fillId="7" borderId="2">
      <alignment horizontal="center" vertical="center"/>
    </xf>
    <xf numFmtId="0" fontId="16" fillId="7" borderId="2">
      <alignment horizontal="center" vertical="center" wrapText="1"/>
    </xf>
    <xf numFmtId="0" fontId="17" fillId="7" borderId="2">
      <alignment horizontal="center" vertical="center" wrapText="1"/>
    </xf>
    <xf numFmtId="0" fontId="12" fillId="0" borderId="0"/>
    <xf numFmtId="0" fontId="12" fillId="0" borderId="0"/>
    <xf numFmtId="0" fontId="20" fillId="0" borderId="0"/>
    <xf numFmtId="0" fontId="20" fillId="0" borderId="0"/>
    <xf numFmtId="0" fontId="12" fillId="0" borderId="0"/>
    <xf numFmtId="0" fontId="20" fillId="0" borderId="0"/>
    <xf numFmtId="9" fontId="20" fillId="0" borderId="0"/>
    <xf numFmtId="9" fontId="20" fillId="0" borderId="0"/>
    <xf numFmtId="0" fontId="18" fillId="0" borderId="0">
      <alignment horizontal="right" vertical="center"/>
    </xf>
    <xf numFmtId="0" fontId="12" fillId="0" borderId="0">
      <alignment horizontal="left" vertical="center"/>
    </xf>
  </cellStyleXfs>
  <cellXfs count="47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readingOrder="2"/>
    </xf>
    <xf numFmtId="0" fontId="9" fillId="4" borderId="1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readingOrder="2"/>
    </xf>
    <xf numFmtId="0" fontId="0" fillId="0" borderId="0" xfId="0" quotePrefix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readingOrder="2"/>
    </xf>
    <xf numFmtId="0" fontId="0" fillId="8" borderId="0" xfId="0" applyFont="1" applyFill="1" applyAlignment="1">
      <alignment horizontal="center" vertical="center"/>
    </xf>
    <xf numFmtId="0" fontId="21" fillId="0" borderId="0" xfId="0" applyFont="1" applyBorder="1" applyAlignment="1">
      <alignment vertical="center"/>
    </xf>
    <xf numFmtId="0" fontId="23" fillId="4" borderId="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0" fillId="0" borderId="1" xfId="8" applyFont="1" applyFill="1" applyBorder="1" applyAlignment="1" applyProtection="1">
      <alignment horizontal="center"/>
    </xf>
    <xf numFmtId="0" fontId="9" fillId="6" borderId="4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3" fontId="21" fillId="0" borderId="0" xfId="0" applyNumberFormat="1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right" vertical="center"/>
    </xf>
    <xf numFmtId="0" fontId="21" fillId="0" borderId="0" xfId="0" applyFont="1" applyBorder="1" applyAlignment="1">
      <alignment horizontal="right" vertical="center" readingOrder="2"/>
    </xf>
  </cellXfs>
  <cellStyles count="18">
    <cellStyle name="‏_x001d_ً'_x000c_ï‏÷_x000c__x001c_" xfId="1"/>
    <cellStyle name="‏_x001d_ً'_x000c_ï‏÷_x000c__x001c_ 2" xfId="2"/>
    <cellStyle name="H1" xfId="3"/>
    <cellStyle name="H2" xfId="4"/>
    <cellStyle name="Had1" xfId="5"/>
    <cellStyle name="Had2" xfId="6"/>
    <cellStyle name="Had3" xfId="7"/>
    <cellStyle name="Normal" xfId="0" builtinId="0"/>
    <cellStyle name="Normal 2" xfId="8"/>
    <cellStyle name="Normal 3" xfId="9"/>
    <cellStyle name="Normal 4" xfId="10"/>
    <cellStyle name="Normal 4 2" xfId="11"/>
    <cellStyle name="Normal 5" xfId="12"/>
    <cellStyle name="Normal 6" xfId="13"/>
    <cellStyle name="Percent 2" xfId="14"/>
    <cellStyle name="Percent 2 2" xfId="15"/>
    <cellStyle name="T1" xfId="16"/>
    <cellStyle name="T2" xfId="17"/>
  </cellStyles>
  <dxfs count="0"/>
  <tableStyles count="0" defaultTableStyle="TableStyleMedium2" defaultPivotStyle="PivotStyleLight16"/>
  <colors>
    <mruColors>
      <color rgb="FF0776AD"/>
      <color rgb="FFBCE7FC"/>
      <color rgb="FF098B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4" sqref="B4"/>
    </sheetView>
  </sheetViews>
  <sheetFormatPr defaultColWidth="9" defaultRowHeight="13.5"/>
  <cols>
    <col min="1" max="1" width="32.375" customWidth="1"/>
    <col min="2" max="2" width="120.25" customWidth="1"/>
  </cols>
  <sheetData>
    <row r="1" spans="1:2" ht="21" customHeight="1">
      <c r="A1" s="18" t="s">
        <v>0</v>
      </c>
      <c r="B1" s="19" t="s">
        <v>83</v>
      </c>
    </row>
    <row r="2" spans="1:2" ht="21" customHeight="1">
      <c r="A2" s="18" t="s">
        <v>1</v>
      </c>
      <c r="B2" s="19" t="s">
        <v>2</v>
      </c>
    </row>
    <row r="3" spans="1:2" ht="21" customHeight="1">
      <c r="A3" s="18" t="s">
        <v>3</v>
      </c>
      <c r="B3" s="20" t="s">
        <v>84</v>
      </c>
    </row>
    <row r="4" spans="1:2" ht="21" customHeight="1">
      <c r="A4" s="18" t="s">
        <v>4</v>
      </c>
      <c r="B4" s="21" t="s">
        <v>85</v>
      </c>
    </row>
    <row r="5" spans="1:2" ht="21" customHeight="1">
      <c r="A5" s="18" t="s">
        <v>5</v>
      </c>
      <c r="B5" s="22" t="s">
        <v>6</v>
      </c>
    </row>
    <row r="6" spans="1:2" ht="21" customHeight="1">
      <c r="A6" s="18" t="s">
        <v>7</v>
      </c>
      <c r="B6" s="22" t="s">
        <v>8</v>
      </c>
    </row>
    <row r="7" spans="1:2" ht="21" customHeight="1">
      <c r="A7" s="18" t="s">
        <v>9</v>
      </c>
      <c r="B7" s="19" t="s">
        <v>86</v>
      </c>
    </row>
    <row r="8" spans="1:2" ht="21" customHeight="1">
      <c r="A8" s="18" t="s">
        <v>10</v>
      </c>
      <c r="B8" s="19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5"/>
  <sheetViews>
    <sheetView view="pageBreakPreview" topLeftCell="B1" zoomScale="60" zoomScaleNormal="100" workbookViewId="0">
      <selection activeCell="E4" sqref="E4"/>
    </sheetView>
  </sheetViews>
  <sheetFormatPr defaultColWidth="16.75" defaultRowHeight="13.5"/>
  <cols>
    <col min="1" max="1" width="4.75" hidden="1" customWidth="1"/>
    <col min="2" max="2" width="22.25" bestFit="1" customWidth="1"/>
    <col min="3" max="3" width="11.625" bestFit="1" customWidth="1"/>
    <col min="4" max="4" width="7.25" bestFit="1" customWidth="1"/>
    <col min="5" max="5" width="14.75" bestFit="1" customWidth="1"/>
    <col min="6" max="6" width="11.625" bestFit="1" customWidth="1"/>
    <col min="7" max="7" width="7.25" bestFit="1" customWidth="1"/>
    <col min="8" max="8" width="14.75" bestFit="1" customWidth="1"/>
    <col min="9" max="9" width="8.5" bestFit="1" customWidth="1"/>
  </cols>
  <sheetData>
    <row r="2" spans="2:9" ht="28.15" customHeight="1">
      <c r="B2" s="35" t="str">
        <f>'Cover Page'!B4</f>
        <v>Engineers Registered at the Jordanian Engineers Syndicate by Specialization, Sex and NationalitySocially Insured Employees by Economic Activity</v>
      </c>
      <c r="C2" s="35"/>
      <c r="D2" s="35"/>
      <c r="E2" s="35"/>
      <c r="F2" s="35"/>
      <c r="G2" s="35"/>
      <c r="H2" s="35"/>
      <c r="I2" s="35"/>
    </row>
    <row r="3" spans="2:9" ht="28.15" customHeight="1">
      <c r="B3" s="35" t="str">
        <f>'Cover Page'!B3</f>
        <v>المهندسون المسجّلون في نقابة المهندسين الأردنيين حسب التخصص والجنس والجنسية</v>
      </c>
      <c r="C3" s="35"/>
      <c r="D3" s="35"/>
      <c r="E3" s="35"/>
      <c r="F3" s="35"/>
      <c r="G3" s="35"/>
      <c r="H3" s="35"/>
      <c r="I3" s="35"/>
    </row>
    <row r="4" spans="2:9" ht="28.15" customHeight="1">
      <c r="B4" s="17" t="s">
        <v>11</v>
      </c>
      <c r="C4" s="29"/>
      <c r="D4" s="30"/>
      <c r="E4" s="34">
        <f>YEAR('Template Data'!B1)</f>
        <v>2024</v>
      </c>
      <c r="F4" s="33"/>
      <c r="G4" s="30"/>
      <c r="H4" s="31"/>
      <c r="I4" s="17" t="s">
        <v>12</v>
      </c>
    </row>
    <row r="5" spans="2:9" ht="28.15" customHeight="1">
      <c r="B5" s="36" t="s">
        <v>101</v>
      </c>
      <c r="C5" s="39" t="s">
        <v>104</v>
      </c>
      <c r="D5" s="40"/>
      <c r="E5" s="41"/>
      <c r="F5" s="39" t="s">
        <v>102</v>
      </c>
      <c r="G5" s="40"/>
      <c r="H5" s="41"/>
      <c r="I5" s="36" t="s">
        <v>100</v>
      </c>
    </row>
    <row r="6" spans="2:9" ht="28.15" customHeight="1">
      <c r="B6" s="37"/>
      <c r="C6" s="39" t="s">
        <v>105</v>
      </c>
      <c r="D6" s="40"/>
      <c r="E6" s="41"/>
      <c r="F6" s="39" t="s">
        <v>103</v>
      </c>
      <c r="G6" s="40"/>
      <c r="H6" s="41"/>
      <c r="I6" s="37"/>
    </row>
    <row r="7" spans="2:9" ht="28.15" customHeight="1">
      <c r="B7" s="37"/>
      <c r="C7" s="24" t="s">
        <v>110</v>
      </c>
      <c r="D7" s="24" t="s">
        <v>108</v>
      </c>
      <c r="E7" s="24" t="s">
        <v>106</v>
      </c>
      <c r="F7" s="24" t="s">
        <v>110</v>
      </c>
      <c r="G7" s="24" t="s">
        <v>108</v>
      </c>
      <c r="H7" s="24" t="s">
        <v>106</v>
      </c>
      <c r="I7" s="37"/>
    </row>
    <row r="8" spans="2:9" ht="28.15" customHeight="1">
      <c r="B8" s="38"/>
      <c r="C8" s="24" t="s">
        <v>111</v>
      </c>
      <c r="D8" s="24" t="s">
        <v>109</v>
      </c>
      <c r="E8" s="24" t="s">
        <v>107</v>
      </c>
      <c r="F8" s="24" t="s">
        <v>111</v>
      </c>
      <c r="G8" s="24" t="s">
        <v>109</v>
      </c>
      <c r="H8" s="24" t="s">
        <v>107</v>
      </c>
      <c r="I8" s="38"/>
    </row>
    <row r="9" spans="2:9" ht="28.15" customHeight="1">
      <c r="B9" s="28" t="s">
        <v>94</v>
      </c>
      <c r="C9" s="32"/>
      <c r="D9" s="32"/>
      <c r="E9" s="32"/>
      <c r="F9" s="32"/>
      <c r="G9" s="32"/>
      <c r="H9" s="32"/>
      <c r="I9" s="28" t="s">
        <v>88</v>
      </c>
    </row>
    <row r="10" spans="2:9" ht="22.15" customHeight="1">
      <c r="B10" s="28" t="s">
        <v>95</v>
      </c>
      <c r="C10" s="32"/>
      <c r="D10" s="32"/>
      <c r="E10" s="32"/>
      <c r="F10" s="32"/>
      <c r="G10" s="32"/>
      <c r="H10" s="32"/>
      <c r="I10" s="28" t="s">
        <v>89</v>
      </c>
    </row>
    <row r="11" spans="2:9" ht="22.15" customHeight="1">
      <c r="B11" s="28" t="s">
        <v>96</v>
      </c>
      <c r="C11" s="32"/>
      <c r="D11" s="32"/>
      <c r="E11" s="32"/>
      <c r="F11" s="32"/>
      <c r="G11" s="32"/>
      <c r="H11" s="32"/>
      <c r="I11" s="28" t="s">
        <v>90</v>
      </c>
    </row>
    <row r="12" spans="2:9" ht="18">
      <c r="B12" s="28" t="s">
        <v>97</v>
      </c>
      <c r="C12" s="32"/>
      <c r="D12" s="32"/>
      <c r="E12" s="32"/>
      <c r="F12" s="32"/>
      <c r="G12" s="32"/>
      <c r="H12" s="32"/>
      <c r="I12" s="28" t="s">
        <v>91</v>
      </c>
    </row>
    <row r="13" spans="2:9" ht="18">
      <c r="B13" s="28" t="s">
        <v>98</v>
      </c>
      <c r="C13" s="32"/>
      <c r="D13" s="32"/>
      <c r="E13" s="32"/>
      <c r="F13" s="32"/>
      <c r="G13" s="32"/>
      <c r="H13" s="32"/>
      <c r="I13" s="28" t="s">
        <v>92</v>
      </c>
    </row>
    <row r="14" spans="2:9" ht="18">
      <c r="B14" s="28" t="s">
        <v>99</v>
      </c>
      <c r="C14" s="32"/>
      <c r="D14" s="32"/>
      <c r="E14" s="32"/>
      <c r="F14" s="32"/>
      <c r="G14" s="32"/>
      <c r="H14" s="32"/>
      <c r="I14" s="28" t="s">
        <v>93</v>
      </c>
    </row>
    <row r="15" spans="2:9">
      <c r="B15" s="27"/>
    </row>
  </sheetData>
  <sheetProtection password="DEF8" sheet="1" objects="1" scenarios="1"/>
  <protectedRanges>
    <protectedRange sqref="C9:H14" name="Range4"/>
    <protectedRange sqref="C9:H14" name="Range2"/>
    <protectedRange sqref="C9:H14" name="Range3"/>
  </protectedRanges>
  <mergeCells count="8">
    <mergeCell ref="B2:I2"/>
    <mergeCell ref="B3:I3"/>
    <mergeCell ref="B5:B8"/>
    <mergeCell ref="I5:I8"/>
    <mergeCell ref="F5:H5"/>
    <mergeCell ref="F6:H6"/>
    <mergeCell ref="C5:E5"/>
    <mergeCell ref="C6:E6"/>
  </mergeCells>
  <pageMargins left="0.7" right="0.7" top="0.75" bottom="0.75" header="0.3" footer="0.3"/>
  <pageSetup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7"/>
  <sheetViews>
    <sheetView tabSelected="1" topLeftCell="A299" zoomScale="70" zoomScaleNormal="70" workbookViewId="0">
      <selection activeCell="A327" sqref="A327"/>
    </sheetView>
  </sheetViews>
  <sheetFormatPr defaultColWidth="9" defaultRowHeight="13.5"/>
  <cols>
    <col min="1" max="1" width="24.75" customWidth="1"/>
    <col min="2" max="2" width="51.125" customWidth="1"/>
    <col min="3" max="3" width="9.75" customWidth="1"/>
    <col min="4" max="5" width="18.125" customWidth="1"/>
    <col min="6" max="6" width="33.375" bestFit="1" customWidth="1"/>
    <col min="7" max="10" width="33.375" customWidth="1"/>
    <col min="11" max="11" width="18.125" customWidth="1"/>
    <col min="12" max="14" width="15.375" customWidth="1"/>
  </cols>
  <sheetData>
    <row r="1" spans="1:14" ht="20.25">
      <c r="A1" s="14" t="s">
        <v>13</v>
      </c>
    </row>
    <row r="2" spans="1:14" s="10" customFormat="1" ht="18" customHeight="1">
      <c r="A2" s="13" t="s">
        <v>14</v>
      </c>
      <c r="B2" s="13" t="s">
        <v>15</v>
      </c>
      <c r="C2" s="13" t="s">
        <v>16</v>
      </c>
      <c r="D2" s="13" t="s">
        <v>17</v>
      </c>
      <c r="E2" s="13" t="s">
        <v>18</v>
      </c>
      <c r="F2" s="26" t="s">
        <v>114</v>
      </c>
      <c r="G2" s="26" t="s">
        <v>119</v>
      </c>
      <c r="H2" s="26" t="s">
        <v>118</v>
      </c>
      <c r="I2" s="26" t="s">
        <v>120</v>
      </c>
      <c r="J2" s="26" t="s">
        <v>124</v>
      </c>
      <c r="K2" s="26" t="s">
        <v>125</v>
      </c>
      <c r="L2" s="13" t="s">
        <v>19</v>
      </c>
      <c r="M2" s="13" t="s">
        <v>20</v>
      </c>
      <c r="N2" s="13" t="s">
        <v>21</v>
      </c>
    </row>
    <row r="3" spans="1:14" s="10" customFormat="1" ht="18" customHeight="1">
      <c r="A3" s="13" t="s">
        <v>22</v>
      </c>
      <c r="B3" s="13" t="s">
        <v>23</v>
      </c>
      <c r="C3" s="13" t="s">
        <v>24</v>
      </c>
      <c r="D3" s="13" t="s">
        <v>25</v>
      </c>
      <c r="E3" s="13" t="s">
        <v>26</v>
      </c>
      <c r="F3" s="26" t="s">
        <v>115</v>
      </c>
      <c r="G3" s="26" t="s">
        <v>116</v>
      </c>
      <c r="H3" s="26" t="s">
        <v>117</v>
      </c>
      <c r="I3" s="26" t="s">
        <v>121</v>
      </c>
      <c r="J3" s="26" t="s">
        <v>122</v>
      </c>
      <c r="K3" s="26" t="s">
        <v>123</v>
      </c>
      <c r="L3" s="13" t="s">
        <v>27</v>
      </c>
      <c r="M3" s="13" t="s">
        <v>28</v>
      </c>
      <c r="N3" s="13" t="s">
        <v>29</v>
      </c>
    </row>
    <row r="4" spans="1:14" ht="15">
      <c r="A4" t="s">
        <v>112</v>
      </c>
      <c r="B4" t="s">
        <v>113</v>
      </c>
      <c r="C4" s="15" t="s">
        <v>30</v>
      </c>
      <c r="D4" s="23" t="s">
        <v>81</v>
      </c>
      <c r="E4" s="25" t="s">
        <v>82</v>
      </c>
      <c r="F4" s="25" t="str">
        <f>'Source Table'!$F$6</f>
        <v>Male</v>
      </c>
      <c r="G4" s="25" t="str">
        <f>'Source Table'!$F$5</f>
        <v>ذكر</v>
      </c>
      <c r="H4" t="str">
        <f>'Source Table'!$H$8</f>
        <v>Jordanian</v>
      </c>
      <c r="I4" s="25" t="str">
        <f>'Source Table'!$H$7</f>
        <v>أردني</v>
      </c>
      <c r="J4" s="25" t="str">
        <f>'Source Table'!$B$9</f>
        <v>Civil</v>
      </c>
      <c r="K4" s="25" t="str">
        <f>'Source Table'!$I$9</f>
        <v>مدني</v>
      </c>
      <c r="L4" s="42">
        <v>43403</v>
      </c>
      <c r="M4">
        <v>2023</v>
      </c>
    </row>
    <row r="5" spans="1:14" ht="15">
      <c r="A5" t="s">
        <v>112</v>
      </c>
      <c r="B5" t="s">
        <v>113</v>
      </c>
      <c r="C5" s="15" t="s">
        <v>30</v>
      </c>
      <c r="D5" s="23" t="s">
        <v>81</v>
      </c>
      <c r="E5" s="25" t="s">
        <v>82</v>
      </c>
      <c r="F5" s="25" t="str">
        <f>'Source Table'!$F$6</f>
        <v>Male</v>
      </c>
      <c r="G5" s="25" t="str">
        <f>'Source Table'!$F$5</f>
        <v>ذكر</v>
      </c>
      <c r="H5" t="str">
        <f>'Source Table'!$H$8</f>
        <v>Jordanian</v>
      </c>
      <c r="I5" s="25" t="str">
        <f>'Source Table'!$H$7</f>
        <v>أردني</v>
      </c>
      <c r="J5" s="25" t="str">
        <f>'Source Table'!$B$10</f>
        <v>Architecture</v>
      </c>
      <c r="K5" s="25" t="str">
        <f>'Source Table'!$I$10</f>
        <v>عمارة</v>
      </c>
      <c r="L5" s="42">
        <v>7426</v>
      </c>
      <c r="M5">
        <v>2023</v>
      </c>
    </row>
    <row r="6" spans="1:14" ht="15">
      <c r="A6" t="s">
        <v>112</v>
      </c>
      <c r="B6" t="s">
        <v>113</v>
      </c>
      <c r="C6" s="15" t="s">
        <v>30</v>
      </c>
      <c r="D6" s="23" t="s">
        <v>81</v>
      </c>
      <c r="E6" s="25" t="s">
        <v>82</v>
      </c>
      <c r="F6" s="25" t="str">
        <f>'Source Table'!$F$6</f>
        <v>Male</v>
      </c>
      <c r="G6" s="25" t="str">
        <f>'Source Table'!$F$5</f>
        <v>ذكر</v>
      </c>
      <c r="H6" t="str">
        <f>'Source Table'!$H$8</f>
        <v>Jordanian</v>
      </c>
      <c r="I6" s="25" t="str">
        <f>'Source Table'!$H$7</f>
        <v>أردني</v>
      </c>
      <c r="J6" s="25" t="str">
        <f>'Source Table'!$B$11</f>
        <v>Mechanical</v>
      </c>
      <c r="K6" s="25" t="str">
        <f>'Source Table'!$I$11</f>
        <v>ميكانيك</v>
      </c>
      <c r="L6" s="42">
        <v>33568</v>
      </c>
      <c r="M6">
        <v>2023</v>
      </c>
    </row>
    <row r="7" spans="1:14" ht="15">
      <c r="A7" t="s">
        <v>112</v>
      </c>
      <c r="B7" t="s">
        <v>113</v>
      </c>
      <c r="C7" s="15" t="s">
        <v>30</v>
      </c>
      <c r="D7" s="23" t="s">
        <v>81</v>
      </c>
      <c r="E7" s="25" t="s">
        <v>82</v>
      </c>
      <c r="F7" s="25" t="str">
        <f>'Source Table'!$F$6</f>
        <v>Male</v>
      </c>
      <c r="G7" s="25" t="str">
        <f>'Source Table'!$F$5</f>
        <v>ذكر</v>
      </c>
      <c r="H7" t="str">
        <f>'Source Table'!$H$8</f>
        <v>Jordanian</v>
      </c>
      <c r="I7" s="25" t="str">
        <f>'Source Table'!$H$7</f>
        <v>أردني</v>
      </c>
      <c r="J7" s="25" t="str">
        <f>'Source Table'!$B$12</f>
        <v>Electricity</v>
      </c>
      <c r="K7" s="25" t="str">
        <f>'Source Table'!$I$12</f>
        <v>كهرباء</v>
      </c>
      <c r="L7" s="42">
        <v>47232</v>
      </c>
      <c r="M7">
        <v>2023</v>
      </c>
    </row>
    <row r="8" spans="1:14" ht="15">
      <c r="A8" t="s">
        <v>112</v>
      </c>
      <c r="B8" t="s">
        <v>113</v>
      </c>
      <c r="C8" s="15" t="s">
        <v>30</v>
      </c>
      <c r="D8" s="23" t="s">
        <v>81</v>
      </c>
      <c r="E8" s="25" t="s">
        <v>82</v>
      </c>
      <c r="F8" s="25" t="str">
        <f>'Source Table'!$F$6</f>
        <v>Male</v>
      </c>
      <c r="G8" s="25" t="str">
        <f>'Source Table'!$F$5</f>
        <v>ذكر</v>
      </c>
      <c r="H8" t="str">
        <f>'Source Table'!$H$8</f>
        <v>Jordanian</v>
      </c>
      <c r="I8" s="25" t="str">
        <f>'Source Table'!$H$7</f>
        <v>أردني</v>
      </c>
      <c r="J8" s="25" t="str">
        <f>'Source Table'!$B$13</f>
        <v>Mining</v>
      </c>
      <c r="K8" s="25" t="str">
        <f>'Source Table'!$I$13</f>
        <v>تعدين</v>
      </c>
      <c r="L8" s="42">
        <v>1520</v>
      </c>
      <c r="M8">
        <v>2023</v>
      </c>
    </row>
    <row r="9" spans="1:14" ht="15">
      <c r="A9" t="s">
        <v>112</v>
      </c>
      <c r="B9" t="s">
        <v>113</v>
      </c>
      <c r="C9" s="15" t="s">
        <v>30</v>
      </c>
      <c r="D9" s="23" t="s">
        <v>81</v>
      </c>
      <c r="E9" s="25" t="s">
        <v>82</v>
      </c>
      <c r="F9" s="25" t="str">
        <f>'Source Table'!$F$6</f>
        <v>Male</v>
      </c>
      <c r="G9" s="25" t="str">
        <f>'Source Table'!$F$5</f>
        <v>ذكر</v>
      </c>
      <c r="H9" t="str">
        <f>'Source Table'!$H$8</f>
        <v>Jordanian</v>
      </c>
      <c r="I9" s="25" t="str">
        <f>'Source Table'!$H$7</f>
        <v>أردني</v>
      </c>
      <c r="J9" s="25" t="str">
        <f>'Source Table'!$B$14</f>
        <v>Chemistry</v>
      </c>
      <c r="K9" s="25" t="str">
        <f>'Source Table'!$I$14</f>
        <v>كيمياء</v>
      </c>
      <c r="L9" s="42">
        <v>4540</v>
      </c>
      <c r="M9">
        <v>2023</v>
      </c>
    </row>
    <row r="10" spans="1:14" ht="15">
      <c r="A10" t="s">
        <v>112</v>
      </c>
      <c r="B10" t="s">
        <v>113</v>
      </c>
      <c r="C10" s="15" t="s">
        <v>30</v>
      </c>
      <c r="D10" s="23" t="s">
        <v>81</v>
      </c>
      <c r="E10" s="25" t="s">
        <v>82</v>
      </c>
      <c r="F10" s="25" t="str">
        <f>'Source Table'!$F$6</f>
        <v>Male</v>
      </c>
      <c r="G10" s="25" t="str">
        <f>'Source Table'!$F$5</f>
        <v>ذكر</v>
      </c>
      <c r="H10" t="str">
        <f>'Source Table'!$G$8</f>
        <v>Arab</v>
      </c>
      <c r="I10" s="16" t="str">
        <f>'Source Table'!$G$7</f>
        <v>عربي</v>
      </c>
      <c r="J10" s="25" t="str">
        <f>'Source Table'!$B$9</f>
        <v>Civil</v>
      </c>
      <c r="K10" s="25" t="str">
        <f>'Source Table'!$I$9</f>
        <v>مدني</v>
      </c>
      <c r="L10" s="42">
        <v>1827</v>
      </c>
      <c r="M10">
        <v>2023</v>
      </c>
    </row>
    <row r="11" spans="1:14" ht="15">
      <c r="A11" t="s">
        <v>112</v>
      </c>
      <c r="B11" t="s">
        <v>113</v>
      </c>
      <c r="C11" s="15" t="s">
        <v>30</v>
      </c>
      <c r="D11" s="23" t="s">
        <v>81</v>
      </c>
      <c r="E11" s="25" t="s">
        <v>82</v>
      </c>
      <c r="F11" s="25" t="str">
        <f>'Source Table'!$F$6</f>
        <v>Male</v>
      </c>
      <c r="G11" s="25" t="str">
        <f>'Source Table'!$F$5</f>
        <v>ذكر</v>
      </c>
      <c r="H11" t="str">
        <f>'Source Table'!$G$8</f>
        <v>Arab</v>
      </c>
      <c r="I11" s="16" t="str">
        <f>'Source Table'!$G$7</f>
        <v>عربي</v>
      </c>
      <c r="J11" s="25" t="str">
        <f>'Source Table'!$B$10</f>
        <v>Architecture</v>
      </c>
      <c r="K11" s="25" t="str">
        <f>'Source Table'!$I$10</f>
        <v>عمارة</v>
      </c>
      <c r="L11" s="43">
        <v>604</v>
      </c>
      <c r="M11">
        <v>2023</v>
      </c>
    </row>
    <row r="12" spans="1:14" ht="15">
      <c r="A12" t="s">
        <v>112</v>
      </c>
      <c r="B12" t="s">
        <v>113</v>
      </c>
      <c r="C12" s="15" t="s">
        <v>30</v>
      </c>
      <c r="D12" s="23" t="s">
        <v>81</v>
      </c>
      <c r="E12" s="25" t="s">
        <v>82</v>
      </c>
      <c r="F12" s="25" t="str">
        <f>'Source Table'!$F$6</f>
        <v>Male</v>
      </c>
      <c r="G12" s="25" t="str">
        <f>'Source Table'!$F$5</f>
        <v>ذكر</v>
      </c>
      <c r="H12" t="str">
        <f>'Source Table'!$G$8</f>
        <v>Arab</v>
      </c>
      <c r="I12" s="16" t="str">
        <f>'Source Table'!$G$7</f>
        <v>عربي</v>
      </c>
      <c r="J12" s="25" t="str">
        <f>'Source Table'!$B$11</f>
        <v>Mechanical</v>
      </c>
      <c r="K12" s="25" t="str">
        <f>'Source Table'!$I$11</f>
        <v>ميكانيك</v>
      </c>
      <c r="L12" s="43">
        <v>578</v>
      </c>
      <c r="M12">
        <v>2023</v>
      </c>
    </row>
    <row r="13" spans="1:14" ht="15">
      <c r="A13" t="s">
        <v>112</v>
      </c>
      <c r="B13" t="s">
        <v>113</v>
      </c>
      <c r="C13" s="15" t="s">
        <v>30</v>
      </c>
      <c r="D13" s="23" t="s">
        <v>81</v>
      </c>
      <c r="E13" s="25" t="s">
        <v>82</v>
      </c>
      <c r="F13" s="25" t="str">
        <f>'Source Table'!$F$6</f>
        <v>Male</v>
      </c>
      <c r="G13" s="25" t="str">
        <f>'Source Table'!$F$5</f>
        <v>ذكر</v>
      </c>
      <c r="H13" t="str">
        <f>'Source Table'!$G$8</f>
        <v>Arab</v>
      </c>
      <c r="I13" s="16" t="str">
        <f>'Source Table'!$G$7</f>
        <v>عربي</v>
      </c>
      <c r="J13" s="25" t="str">
        <f>'Source Table'!$B$12</f>
        <v>Electricity</v>
      </c>
      <c r="K13" s="25" t="str">
        <f>'Source Table'!$I$12</f>
        <v>كهرباء</v>
      </c>
      <c r="L13" s="43">
        <v>971</v>
      </c>
      <c r="M13">
        <v>2023</v>
      </c>
    </row>
    <row r="14" spans="1:14" ht="15">
      <c r="A14" t="s">
        <v>112</v>
      </c>
      <c r="B14" t="s">
        <v>113</v>
      </c>
      <c r="C14" s="15" t="s">
        <v>30</v>
      </c>
      <c r="D14" s="23" t="s">
        <v>81</v>
      </c>
      <c r="E14" s="25" t="s">
        <v>82</v>
      </c>
      <c r="F14" s="25" t="str">
        <f>'Source Table'!$F$6</f>
        <v>Male</v>
      </c>
      <c r="G14" s="25" t="str">
        <f>'Source Table'!$F$5</f>
        <v>ذكر</v>
      </c>
      <c r="H14" t="str">
        <f>'Source Table'!$G$8</f>
        <v>Arab</v>
      </c>
      <c r="I14" s="16" t="str">
        <f>'Source Table'!$G$7</f>
        <v>عربي</v>
      </c>
      <c r="J14" s="25" t="str">
        <f>'Source Table'!$B$13</f>
        <v>Mining</v>
      </c>
      <c r="K14" s="25" t="str">
        <f>'Source Table'!$I$13</f>
        <v>تعدين</v>
      </c>
      <c r="L14" s="43">
        <v>17</v>
      </c>
      <c r="M14">
        <v>2023</v>
      </c>
    </row>
    <row r="15" spans="1:14" ht="15">
      <c r="A15" t="s">
        <v>112</v>
      </c>
      <c r="B15" t="s">
        <v>113</v>
      </c>
      <c r="C15" s="15" t="s">
        <v>30</v>
      </c>
      <c r="D15" s="23" t="s">
        <v>81</v>
      </c>
      <c r="E15" s="25" t="s">
        <v>82</v>
      </c>
      <c r="F15" s="25" t="str">
        <f>'Source Table'!$F$6</f>
        <v>Male</v>
      </c>
      <c r="G15" s="25" t="str">
        <f>'Source Table'!$F$5</f>
        <v>ذكر</v>
      </c>
      <c r="H15" t="str">
        <f>'Source Table'!$G$8</f>
        <v>Arab</v>
      </c>
      <c r="I15" s="16" t="str">
        <f>'Source Table'!$G$7</f>
        <v>عربي</v>
      </c>
      <c r="J15" s="25" t="str">
        <f>'Source Table'!$B$14</f>
        <v>Chemistry</v>
      </c>
      <c r="K15" s="25" t="str">
        <f>'Source Table'!$I$14</f>
        <v>كيمياء</v>
      </c>
      <c r="L15" s="43">
        <v>62</v>
      </c>
      <c r="M15">
        <v>2023</v>
      </c>
    </row>
    <row r="16" spans="1:14" ht="15">
      <c r="A16" t="s">
        <v>112</v>
      </c>
      <c r="B16" t="s">
        <v>113</v>
      </c>
      <c r="C16" s="15" t="s">
        <v>30</v>
      </c>
      <c r="D16" s="23" t="s">
        <v>81</v>
      </c>
      <c r="E16" s="25" t="s">
        <v>82</v>
      </c>
      <c r="F16" s="25" t="str">
        <f>'Source Table'!$F$6</f>
        <v>Male</v>
      </c>
      <c r="G16" s="25" t="str">
        <f>'Source Table'!$F$5</f>
        <v>ذكر</v>
      </c>
      <c r="H16" t="str">
        <f>'Source Table'!$F$8</f>
        <v>Foreign</v>
      </c>
      <c r="I16" s="16" t="str">
        <f>'Source Table'!$F$7</f>
        <v>أجنبي</v>
      </c>
      <c r="J16" s="25" t="str">
        <f>'Source Table'!$B$9</f>
        <v>Civil</v>
      </c>
      <c r="K16" s="25" t="str">
        <f>'Source Table'!$I$9</f>
        <v>مدني</v>
      </c>
      <c r="L16" s="43">
        <v>187</v>
      </c>
      <c r="M16">
        <v>2023</v>
      </c>
    </row>
    <row r="17" spans="1:13" ht="15">
      <c r="A17" t="s">
        <v>112</v>
      </c>
      <c r="B17" t="s">
        <v>113</v>
      </c>
      <c r="C17" s="15" t="s">
        <v>30</v>
      </c>
      <c r="D17" s="23" t="s">
        <v>81</v>
      </c>
      <c r="E17" s="25" t="s">
        <v>82</v>
      </c>
      <c r="F17" s="25" t="str">
        <f>'Source Table'!$F$6</f>
        <v>Male</v>
      </c>
      <c r="G17" s="25" t="str">
        <f>'Source Table'!$F$5</f>
        <v>ذكر</v>
      </c>
      <c r="H17" t="str">
        <f>'Source Table'!$F$8</f>
        <v>Foreign</v>
      </c>
      <c r="I17" s="16" t="str">
        <f>'Source Table'!$F$7</f>
        <v>أجنبي</v>
      </c>
      <c r="J17" s="25" t="str">
        <f>'Source Table'!$B$10</f>
        <v>Architecture</v>
      </c>
      <c r="K17" s="25" t="str">
        <f>'Source Table'!$I$10</f>
        <v>عمارة</v>
      </c>
      <c r="L17" s="43">
        <v>39</v>
      </c>
      <c r="M17">
        <v>2023</v>
      </c>
    </row>
    <row r="18" spans="1:13" ht="15">
      <c r="A18" t="s">
        <v>112</v>
      </c>
      <c r="B18" t="s">
        <v>113</v>
      </c>
      <c r="C18" s="15" t="s">
        <v>30</v>
      </c>
      <c r="D18" s="23" t="s">
        <v>81</v>
      </c>
      <c r="E18" s="25" t="s">
        <v>82</v>
      </c>
      <c r="F18" s="25" t="str">
        <f>'Source Table'!$F$6</f>
        <v>Male</v>
      </c>
      <c r="G18" s="25" t="str">
        <f>'Source Table'!$F$5</f>
        <v>ذكر</v>
      </c>
      <c r="H18" t="str">
        <f>'Source Table'!$F$8</f>
        <v>Foreign</v>
      </c>
      <c r="I18" s="16" t="str">
        <f>'Source Table'!$F$7</f>
        <v>أجنبي</v>
      </c>
      <c r="J18" s="25" t="str">
        <f>'Source Table'!$B$11</f>
        <v>Mechanical</v>
      </c>
      <c r="K18" s="25" t="str">
        <f>'Source Table'!$I$11</f>
        <v>ميكانيك</v>
      </c>
      <c r="L18" s="43">
        <v>41</v>
      </c>
      <c r="M18">
        <v>2023</v>
      </c>
    </row>
    <row r="19" spans="1:13" ht="15">
      <c r="A19" t="s">
        <v>112</v>
      </c>
      <c r="B19" t="s">
        <v>113</v>
      </c>
      <c r="C19" s="15" t="s">
        <v>30</v>
      </c>
      <c r="D19" s="23" t="s">
        <v>81</v>
      </c>
      <c r="E19" s="25" t="s">
        <v>82</v>
      </c>
      <c r="F19" s="25" t="str">
        <f>'Source Table'!$F$6</f>
        <v>Male</v>
      </c>
      <c r="G19" s="25" t="str">
        <f>'Source Table'!$F$5</f>
        <v>ذكر</v>
      </c>
      <c r="H19" t="str">
        <f>'Source Table'!$F$8</f>
        <v>Foreign</v>
      </c>
      <c r="I19" s="16" t="str">
        <f>'Source Table'!$F$7</f>
        <v>أجنبي</v>
      </c>
      <c r="J19" s="25" t="str">
        <f>'Source Table'!$B$12</f>
        <v>Electricity</v>
      </c>
      <c r="K19" s="25" t="str">
        <f>'Source Table'!$I$12</f>
        <v>كهرباء</v>
      </c>
      <c r="L19" s="43">
        <v>33</v>
      </c>
      <c r="M19">
        <v>2023</v>
      </c>
    </row>
    <row r="20" spans="1:13" ht="15">
      <c r="A20" t="s">
        <v>112</v>
      </c>
      <c r="B20" t="s">
        <v>113</v>
      </c>
      <c r="C20" s="15" t="s">
        <v>30</v>
      </c>
      <c r="D20" s="23" t="s">
        <v>81</v>
      </c>
      <c r="E20" s="25" t="s">
        <v>82</v>
      </c>
      <c r="F20" s="25" t="str">
        <f>'Source Table'!$F$6</f>
        <v>Male</v>
      </c>
      <c r="G20" s="25" t="str">
        <f>'Source Table'!$F$5</f>
        <v>ذكر</v>
      </c>
      <c r="H20" t="str">
        <f>'Source Table'!$F$8</f>
        <v>Foreign</v>
      </c>
      <c r="I20" s="16" t="str">
        <f>'Source Table'!$F$7</f>
        <v>أجنبي</v>
      </c>
      <c r="J20" s="25" t="str">
        <f>'Source Table'!$B$13</f>
        <v>Mining</v>
      </c>
      <c r="K20" s="25" t="str">
        <f>'Source Table'!$I$13</f>
        <v>تعدين</v>
      </c>
      <c r="L20" s="43">
        <v>3</v>
      </c>
      <c r="M20">
        <v>2023</v>
      </c>
    </row>
    <row r="21" spans="1:13" ht="15">
      <c r="A21" t="s">
        <v>112</v>
      </c>
      <c r="B21" t="s">
        <v>113</v>
      </c>
      <c r="C21" s="15" t="s">
        <v>30</v>
      </c>
      <c r="D21" s="23" t="s">
        <v>81</v>
      </c>
      <c r="E21" s="25" t="s">
        <v>82</v>
      </c>
      <c r="F21" s="25" t="str">
        <f>'Source Table'!$F$6</f>
        <v>Male</v>
      </c>
      <c r="G21" s="25" t="str">
        <f>'Source Table'!$F$5</f>
        <v>ذكر</v>
      </c>
      <c r="H21" t="str">
        <f>'Source Table'!$F$8</f>
        <v>Foreign</v>
      </c>
      <c r="I21" s="16" t="str">
        <f>'Source Table'!$F$7</f>
        <v>أجنبي</v>
      </c>
      <c r="J21" s="25" t="str">
        <f>'Source Table'!$B$14</f>
        <v>Chemistry</v>
      </c>
      <c r="K21" s="25" t="str">
        <f>'Source Table'!$I$14</f>
        <v>كيمياء</v>
      </c>
      <c r="L21" s="43">
        <v>4</v>
      </c>
      <c r="M21">
        <v>2023</v>
      </c>
    </row>
    <row r="22" spans="1:13" ht="15">
      <c r="A22" t="s">
        <v>112</v>
      </c>
      <c r="B22" t="s">
        <v>113</v>
      </c>
      <c r="C22" s="15" t="s">
        <v>30</v>
      </c>
      <c r="D22" s="23" t="s">
        <v>81</v>
      </c>
      <c r="E22" s="25" t="s">
        <v>82</v>
      </c>
      <c r="F22" s="16" t="str">
        <f>'Source Table'!$C$6</f>
        <v>Female</v>
      </c>
      <c r="G22" s="16" t="str">
        <f>'Source Table'!$C$5</f>
        <v>أنثى</v>
      </c>
      <c r="H22" t="str">
        <f>'Source Table'!$H$8</f>
        <v>Jordanian</v>
      </c>
      <c r="I22" s="25" t="str">
        <f>'Source Table'!$H$7</f>
        <v>أردني</v>
      </c>
      <c r="J22" s="25" t="str">
        <f>'Source Table'!$B$9</f>
        <v>Civil</v>
      </c>
      <c r="K22" s="25" t="str">
        <f>'Source Table'!$I$9</f>
        <v>مدني</v>
      </c>
      <c r="L22" s="42">
        <v>13309</v>
      </c>
      <c r="M22">
        <v>2023</v>
      </c>
    </row>
    <row r="23" spans="1:13" ht="15">
      <c r="A23" t="s">
        <v>112</v>
      </c>
      <c r="B23" t="s">
        <v>113</v>
      </c>
      <c r="C23" s="15" t="s">
        <v>30</v>
      </c>
      <c r="D23" s="23" t="s">
        <v>81</v>
      </c>
      <c r="E23" s="25" t="s">
        <v>82</v>
      </c>
      <c r="F23" s="16" t="str">
        <f>'Source Table'!$C$6</f>
        <v>Female</v>
      </c>
      <c r="G23" s="16" t="str">
        <f>'Source Table'!$C$5</f>
        <v>أنثى</v>
      </c>
      <c r="H23" t="str">
        <f>'Source Table'!$H$8</f>
        <v>Jordanian</v>
      </c>
      <c r="I23" s="25" t="str">
        <f>'Source Table'!$H$7</f>
        <v>أردني</v>
      </c>
      <c r="J23" s="25" t="str">
        <f>'Source Table'!$B$10</f>
        <v>Architecture</v>
      </c>
      <c r="K23" s="25" t="str">
        <f>'Source Table'!$I$10</f>
        <v>عمارة</v>
      </c>
      <c r="L23" s="42">
        <v>9462</v>
      </c>
      <c r="M23">
        <v>2023</v>
      </c>
    </row>
    <row r="24" spans="1:13" ht="15">
      <c r="A24" t="s">
        <v>112</v>
      </c>
      <c r="B24" t="s">
        <v>113</v>
      </c>
      <c r="C24" s="15" t="s">
        <v>30</v>
      </c>
      <c r="D24" s="23" t="s">
        <v>81</v>
      </c>
      <c r="E24" s="25" t="s">
        <v>82</v>
      </c>
      <c r="F24" s="16" t="str">
        <f>'Source Table'!$C$6</f>
        <v>Female</v>
      </c>
      <c r="G24" s="16" t="str">
        <f>'Source Table'!$C$5</f>
        <v>أنثى</v>
      </c>
      <c r="H24" t="str">
        <f>'Source Table'!$H$8</f>
        <v>Jordanian</v>
      </c>
      <c r="I24" s="25" t="str">
        <f>'Source Table'!$H$7</f>
        <v>أردني</v>
      </c>
      <c r="J24" s="25" t="str">
        <f>'Source Table'!$B$11</f>
        <v>Mechanical</v>
      </c>
      <c r="K24" s="25" t="str">
        <f>'Source Table'!$I$11</f>
        <v>ميكانيك</v>
      </c>
      <c r="L24" s="42">
        <v>5380</v>
      </c>
      <c r="M24">
        <v>2023</v>
      </c>
    </row>
    <row r="25" spans="1:13" ht="15">
      <c r="A25" t="s">
        <v>112</v>
      </c>
      <c r="B25" t="s">
        <v>113</v>
      </c>
      <c r="C25" s="15" t="s">
        <v>30</v>
      </c>
      <c r="D25" s="23" t="s">
        <v>81</v>
      </c>
      <c r="E25" s="25" t="s">
        <v>82</v>
      </c>
      <c r="F25" s="16" t="str">
        <f>'Source Table'!$C$6</f>
        <v>Female</v>
      </c>
      <c r="G25" s="16" t="str">
        <f>'Source Table'!$C$5</f>
        <v>أنثى</v>
      </c>
      <c r="H25" t="str">
        <f>'Source Table'!$H$8</f>
        <v>Jordanian</v>
      </c>
      <c r="I25" s="25" t="str">
        <f>'Source Table'!$H$7</f>
        <v>أردني</v>
      </c>
      <c r="J25" s="25" t="str">
        <f>'Source Table'!$B$12</f>
        <v>Electricity</v>
      </c>
      <c r="K25" s="25" t="str">
        <f>'Source Table'!$I$12</f>
        <v>كهرباء</v>
      </c>
      <c r="L25" s="42">
        <v>18011</v>
      </c>
      <c r="M25">
        <v>2023</v>
      </c>
    </row>
    <row r="26" spans="1:13" ht="15">
      <c r="A26" t="s">
        <v>112</v>
      </c>
      <c r="B26" t="s">
        <v>113</v>
      </c>
      <c r="C26" s="15" t="s">
        <v>30</v>
      </c>
      <c r="D26" s="23" t="s">
        <v>81</v>
      </c>
      <c r="E26" s="25" t="s">
        <v>82</v>
      </c>
      <c r="F26" s="16" t="str">
        <f>'Source Table'!$C$6</f>
        <v>Female</v>
      </c>
      <c r="G26" s="16" t="str">
        <f>'Source Table'!$C$5</f>
        <v>أنثى</v>
      </c>
      <c r="H26" t="str">
        <f>'Source Table'!$H$8</f>
        <v>Jordanian</v>
      </c>
      <c r="I26" s="25" t="str">
        <f>'Source Table'!$H$7</f>
        <v>أردني</v>
      </c>
      <c r="J26" s="25" t="str">
        <f>'Source Table'!$B$13</f>
        <v>Mining</v>
      </c>
      <c r="K26" s="25" t="str">
        <f>'Source Table'!$I$13</f>
        <v>تعدين</v>
      </c>
      <c r="L26" s="43">
        <v>153</v>
      </c>
      <c r="M26">
        <v>2023</v>
      </c>
    </row>
    <row r="27" spans="1:13" ht="15">
      <c r="A27" t="s">
        <v>112</v>
      </c>
      <c r="B27" t="s">
        <v>113</v>
      </c>
      <c r="C27" s="15" t="s">
        <v>30</v>
      </c>
      <c r="D27" s="23" t="s">
        <v>81</v>
      </c>
      <c r="E27" s="25" t="s">
        <v>82</v>
      </c>
      <c r="F27" s="16" t="str">
        <f>'Source Table'!$C$6</f>
        <v>Female</v>
      </c>
      <c r="G27" s="16" t="str">
        <f>'Source Table'!$C$5</f>
        <v>أنثى</v>
      </c>
      <c r="H27" t="str">
        <f>'Source Table'!$H$8</f>
        <v>Jordanian</v>
      </c>
      <c r="I27" s="25" t="str">
        <f>'Source Table'!$H$7</f>
        <v>أردني</v>
      </c>
      <c r="J27" s="25" t="str">
        <f>'Source Table'!$B$14</f>
        <v>Chemistry</v>
      </c>
      <c r="K27" s="25" t="str">
        <f>'Source Table'!$I$14</f>
        <v>كيمياء</v>
      </c>
      <c r="L27" s="42">
        <v>5253</v>
      </c>
      <c r="M27">
        <v>2023</v>
      </c>
    </row>
    <row r="28" spans="1:13" ht="15">
      <c r="A28" t="s">
        <v>112</v>
      </c>
      <c r="B28" t="s">
        <v>113</v>
      </c>
      <c r="C28" s="15" t="s">
        <v>30</v>
      </c>
      <c r="D28" s="23" t="s">
        <v>81</v>
      </c>
      <c r="E28" s="25" t="s">
        <v>82</v>
      </c>
      <c r="F28" s="16" t="str">
        <f>'Source Table'!$C$6</f>
        <v>Female</v>
      </c>
      <c r="G28" s="16" t="str">
        <f>'Source Table'!$C$5</f>
        <v>أنثى</v>
      </c>
      <c r="H28" t="str">
        <f>'Source Table'!$G$8</f>
        <v>Arab</v>
      </c>
      <c r="I28" s="16" t="str">
        <f>'Source Table'!$G$7</f>
        <v>عربي</v>
      </c>
      <c r="J28" s="25" t="str">
        <f>'Source Table'!$B$9</f>
        <v>Civil</v>
      </c>
      <c r="K28" s="25" t="str">
        <f>'Source Table'!$I$9</f>
        <v>مدني</v>
      </c>
      <c r="L28" s="43">
        <v>196</v>
      </c>
      <c r="M28">
        <v>2023</v>
      </c>
    </row>
    <row r="29" spans="1:13" ht="15">
      <c r="A29" t="s">
        <v>112</v>
      </c>
      <c r="B29" t="s">
        <v>113</v>
      </c>
      <c r="C29" s="15" t="s">
        <v>30</v>
      </c>
      <c r="D29" s="23" t="s">
        <v>81</v>
      </c>
      <c r="E29" s="25" t="s">
        <v>82</v>
      </c>
      <c r="F29" s="16" t="str">
        <f>'Source Table'!$C$6</f>
        <v>Female</v>
      </c>
      <c r="G29" s="16" t="str">
        <f>'Source Table'!$C$5</f>
        <v>أنثى</v>
      </c>
      <c r="H29" t="str">
        <f>'Source Table'!$G$8</f>
        <v>Arab</v>
      </c>
      <c r="I29" s="16" t="str">
        <f>'Source Table'!$G$7</f>
        <v>عربي</v>
      </c>
      <c r="J29" s="25" t="str">
        <f>'Source Table'!$B$10</f>
        <v>Architecture</v>
      </c>
      <c r="K29" s="25" t="str">
        <f>'Source Table'!$I$10</f>
        <v>عمارة</v>
      </c>
      <c r="L29" s="43">
        <v>359</v>
      </c>
      <c r="M29">
        <v>2023</v>
      </c>
    </row>
    <row r="30" spans="1:13" ht="15">
      <c r="A30" t="s">
        <v>112</v>
      </c>
      <c r="B30" t="s">
        <v>113</v>
      </c>
      <c r="C30" s="15" t="s">
        <v>30</v>
      </c>
      <c r="D30" s="23" t="s">
        <v>81</v>
      </c>
      <c r="E30" s="25" t="s">
        <v>82</v>
      </c>
      <c r="F30" s="16" t="str">
        <f>'Source Table'!$C$6</f>
        <v>Female</v>
      </c>
      <c r="G30" s="16" t="str">
        <f>'Source Table'!$C$5</f>
        <v>أنثى</v>
      </c>
      <c r="H30" t="str">
        <f>'Source Table'!$G$8</f>
        <v>Arab</v>
      </c>
      <c r="I30" s="16" t="str">
        <f>'Source Table'!$G$7</f>
        <v>عربي</v>
      </c>
      <c r="J30" s="25" t="str">
        <f>'Source Table'!$B$11</f>
        <v>Mechanical</v>
      </c>
      <c r="K30" s="25" t="str">
        <f>'Source Table'!$I$11</f>
        <v>ميكانيك</v>
      </c>
      <c r="L30" s="43">
        <v>34</v>
      </c>
      <c r="M30">
        <v>2023</v>
      </c>
    </row>
    <row r="31" spans="1:13" ht="15">
      <c r="A31" t="s">
        <v>112</v>
      </c>
      <c r="B31" t="s">
        <v>113</v>
      </c>
      <c r="C31" s="15" t="s">
        <v>30</v>
      </c>
      <c r="D31" s="23" t="s">
        <v>81</v>
      </c>
      <c r="E31" s="25" t="s">
        <v>82</v>
      </c>
      <c r="F31" s="16" t="str">
        <f>'Source Table'!$C$6</f>
        <v>Female</v>
      </c>
      <c r="G31" s="16" t="str">
        <f>'Source Table'!$C$5</f>
        <v>أنثى</v>
      </c>
      <c r="H31" t="str">
        <f>'Source Table'!$G$8</f>
        <v>Arab</v>
      </c>
      <c r="I31" s="16" t="str">
        <f>'Source Table'!$G$7</f>
        <v>عربي</v>
      </c>
      <c r="J31" s="25" t="str">
        <f>'Source Table'!$B$12</f>
        <v>Electricity</v>
      </c>
      <c r="K31" s="25" t="str">
        <f>'Source Table'!$I$12</f>
        <v>كهرباء</v>
      </c>
      <c r="L31" s="43">
        <v>130</v>
      </c>
      <c r="M31">
        <v>2023</v>
      </c>
    </row>
    <row r="32" spans="1:13" ht="15">
      <c r="A32" t="s">
        <v>112</v>
      </c>
      <c r="B32" t="s">
        <v>113</v>
      </c>
      <c r="C32" s="15" t="s">
        <v>30</v>
      </c>
      <c r="D32" s="23" t="s">
        <v>81</v>
      </c>
      <c r="E32" s="25" t="s">
        <v>82</v>
      </c>
      <c r="F32" s="16" t="str">
        <f>'Source Table'!$C$6</f>
        <v>Female</v>
      </c>
      <c r="G32" s="16" t="str">
        <f>'Source Table'!$C$5</f>
        <v>أنثى</v>
      </c>
      <c r="H32" t="str">
        <f>'Source Table'!$G$8</f>
        <v>Arab</v>
      </c>
      <c r="I32" s="16" t="str">
        <f>'Source Table'!$G$7</f>
        <v>عربي</v>
      </c>
      <c r="J32" s="25" t="str">
        <f>'Source Table'!$B$13</f>
        <v>Mining</v>
      </c>
      <c r="K32" s="25" t="str">
        <f>'Source Table'!$I$13</f>
        <v>تعدين</v>
      </c>
      <c r="L32" s="43">
        <v>0</v>
      </c>
      <c r="M32">
        <v>2023</v>
      </c>
    </row>
    <row r="33" spans="1:13" ht="15">
      <c r="A33" t="s">
        <v>112</v>
      </c>
      <c r="B33" t="s">
        <v>113</v>
      </c>
      <c r="C33" s="15" t="s">
        <v>30</v>
      </c>
      <c r="D33" s="23" t="s">
        <v>81</v>
      </c>
      <c r="E33" s="25" t="s">
        <v>82</v>
      </c>
      <c r="F33" s="16" t="str">
        <f>'Source Table'!$C$6</f>
        <v>Female</v>
      </c>
      <c r="G33" s="16" t="str">
        <f>'Source Table'!$C$5</f>
        <v>أنثى</v>
      </c>
      <c r="H33" t="str">
        <f>'Source Table'!$G$8</f>
        <v>Arab</v>
      </c>
      <c r="I33" s="16" t="str">
        <f>'Source Table'!$G$7</f>
        <v>عربي</v>
      </c>
      <c r="J33" s="25" t="str">
        <f>'Source Table'!$B$14</f>
        <v>Chemistry</v>
      </c>
      <c r="K33" s="25" t="str">
        <f>'Source Table'!$I$14</f>
        <v>كيمياء</v>
      </c>
      <c r="L33" s="43">
        <v>29</v>
      </c>
      <c r="M33">
        <v>2023</v>
      </c>
    </row>
    <row r="34" spans="1:13" ht="15">
      <c r="A34" t="s">
        <v>112</v>
      </c>
      <c r="B34" t="s">
        <v>113</v>
      </c>
      <c r="C34" s="15" t="s">
        <v>30</v>
      </c>
      <c r="D34" s="23" t="s">
        <v>81</v>
      </c>
      <c r="E34" s="25" t="s">
        <v>82</v>
      </c>
      <c r="F34" s="16" t="str">
        <f>'Source Table'!$C$6</f>
        <v>Female</v>
      </c>
      <c r="G34" s="16" t="str">
        <f>'Source Table'!$C$5</f>
        <v>أنثى</v>
      </c>
      <c r="H34" t="str">
        <f>'Source Table'!$F$8</f>
        <v>Foreign</v>
      </c>
      <c r="I34" s="16" t="str">
        <f>'Source Table'!$F$7</f>
        <v>أجنبي</v>
      </c>
      <c r="J34" s="25" t="str">
        <f>'Source Table'!$B$9</f>
        <v>Civil</v>
      </c>
      <c r="K34" s="25" t="str">
        <f>'Source Table'!$I$9</f>
        <v>مدني</v>
      </c>
      <c r="L34" s="43">
        <v>23</v>
      </c>
      <c r="M34">
        <v>2023</v>
      </c>
    </row>
    <row r="35" spans="1:13" ht="15">
      <c r="A35" t="s">
        <v>112</v>
      </c>
      <c r="B35" t="s">
        <v>113</v>
      </c>
      <c r="C35" s="15" t="s">
        <v>30</v>
      </c>
      <c r="D35" s="23" t="s">
        <v>81</v>
      </c>
      <c r="E35" s="25" t="s">
        <v>82</v>
      </c>
      <c r="F35" s="16" t="str">
        <f>'Source Table'!$C$6</f>
        <v>Female</v>
      </c>
      <c r="G35" s="16" t="str">
        <f>'Source Table'!$C$5</f>
        <v>أنثى</v>
      </c>
      <c r="H35" t="str">
        <f>'Source Table'!$F$8</f>
        <v>Foreign</v>
      </c>
      <c r="I35" s="16" t="str">
        <f>'Source Table'!$F$7</f>
        <v>أجنبي</v>
      </c>
      <c r="J35" s="25" t="str">
        <f>'Source Table'!$B$10</f>
        <v>Architecture</v>
      </c>
      <c r="K35" s="25" t="str">
        <f>'Source Table'!$I$10</f>
        <v>عمارة</v>
      </c>
      <c r="L35" s="43">
        <v>19</v>
      </c>
      <c r="M35">
        <v>2023</v>
      </c>
    </row>
    <row r="36" spans="1:13" ht="15">
      <c r="A36" t="s">
        <v>112</v>
      </c>
      <c r="B36" t="s">
        <v>113</v>
      </c>
      <c r="C36" s="15" t="s">
        <v>30</v>
      </c>
      <c r="D36" s="23" t="s">
        <v>81</v>
      </c>
      <c r="E36" s="25" t="s">
        <v>82</v>
      </c>
      <c r="F36" s="16" t="str">
        <f>'Source Table'!$C$6</f>
        <v>Female</v>
      </c>
      <c r="G36" s="16" t="str">
        <f>'Source Table'!$C$5</f>
        <v>أنثى</v>
      </c>
      <c r="H36" t="str">
        <f>'Source Table'!$F$8</f>
        <v>Foreign</v>
      </c>
      <c r="I36" s="16" t="str">
        <f>'Source Table'!$F$7</f>
        <v>أجنبي</v>
      </c>
      <c r="J36" s="25" t="str">
        <f>'Source Table'!$B$11</f>
        <v>Mechanical</v>
      </c>
      <c r="K36" s="25" t="str">
        <f>'Source Table'!$I$11</f>
        <v>ميكانيك</v>
      </c>
      <c r="L36" s="43">
        <v>8</v>
      </c>
      <c r="M36">
        <v>2023</v>
      </c>
    </row>
    <row r="37" spans="1:13" ht="15">
      <c r="A37" t="s">
        <v>112</v>
      </c>
      <c r="B37" t="s">
        <v>113</v>
      </c>
      <c r="C37" s="15" t="s">
        <v>30</v>
      </c>
      <c r="D37" s="23" t="s">
        <v>81</v>
      </c>
      <c r="E37" s="25" t="s">
        <v>82</v>
      </c>
      <c r="F37" s="16" t="str">
        <f>'Source Table'!$C$6</f>
        <v>Female</v>
      </c>
      <c r="G37" s="16" t="str">
        <f>'Source Table'!$C$5</f>
        <v>أنثى</v>
      </c>
      <c r="H37" t="str">
        <f>'Source Table'!$F$8</f>
        <v>Foreign</v>
      </c>
      <c r="I37" s="16" t="str">
        <f>'Source Table'!$F$7</f>
        <v>أجنبي</v>
      </c>
      <c r="J37" s="25" t="str">
        <f>'Source Table'!$B$12</f>
        <v>Electricity</v>
      </c>
      <c r="K37" s="25" t="str">
        <f>'Source Table'!$I$12</f>
        <v>كهرباء</v>
      </c>
      <c r="L37" s="43">
        <v>3</v>
      </c>
      <c r="M37">
        <v>2023</v>
      </c>
    </row>
    <row r="38" spans="1:13" ht="15">
      <c r="A38" t="s">
        <v>112</v>
      </c>
      <c r="B38" t="s">
        <v>113</v>
      </c>
      <c r="C38" s="15" t="s">
        <v>30</v>
      </c>
      <c r="D38" s="23" t="s">
        <v>81</v>
      </c>
      <c r="E38" s="25" t="s">
        <v>82</v>
      </c>
      <c r="F38" s="16" t="str">
        <f>'Source Table'!$C$6</f>
        <v>Female</v>
      </c>
      <c r="G38" s="16" t="str">
        <f>'Source Table'!$C$5</f>
        <v>أنثى</v>
      </c>
      <c r="H38" t="str">
        <f>'Source Table'!$F$8</f>
        <v>Foreign</v>
      </c>
      <c r="I38" s="16" t="str">
        <f>'Source Table'!$F$7</f>
        <v>أجنبي</v>
      </c>
      <c r="J38" s="25" t="str">
        <f>'Source Table'!$B$13</f>
        <v>Mining</v>
      </c>
      <c r="K38" s="25" t="str">
        <f>'Source Table'!$I$13</f>
        <v>تعدين</v>
      </c>
      <c r="L38" s="43">
        <v>0</v>
      </c>
      <c r="M38">
        <v>2023</v>
      </c>
    </row>
    <row r="39" spans="1:13" ht="15">
      <c r="A39" t="s">
        <v>112</v>
      </c>
      <c r="B39" t="s">
        <v>113</v>
      </c>
      <c r="C39" s="15" t="s">
        <v>30</v>
      </c>
      <c r="D39" s="23" t="s">
        <v>81</v>
      </c>
      <c r="E39" s="25" t="s">
        <v>82</v>
      </c>
      <c r="F39" s="16" t="str">
        <f>'Source Table'!$C$6</f>
        <v>Female</v>
      </c>
      <c r="G39" s="16" t="str">
        <f>'Source Table'!$C$5</f>
        <v>أنثى</v>
      </c>
      <c r="H39" t="str">
        <f>'Source Table'!$F$8</f>
        <v>Foreign</v>
      </c>
      <c r="I39" s="16" t="str">
        <f>'Source Table'!$F$7</f>
        <v>أجنبي</v>
      </c>
      <c r="J39" s="25" t="str">
        <f>'Source Table'!$B$14</f>
        <v>Chemistry</v>
      </c>
      <c r="K39" s="25" t="str">
        <f>'Source Table'!$I$14</f>
        <v>كيمياء</v>
      </c>
      <c r="L39" s="43">
        <v>3</v>
      </c>
      <c r="M39">
        <v>2023</v>
      </c>
    </row>
    <row r="40" spans="1:13" ht="15">
      <c r="A40" t="s">
        <v>112</v>
      </c>
      <c r="B40" t="s">
        <v>113</v>
      </c>
      <c r="C40" s="15" t="s">
        <v>30</v>
      </c>
      <c r="D40" s="23" t="s">
        <v>81</v>
      </c>
      <c r="E40" s="25" t="s">
        <v>82</v>
      </c>
      <c r="F40" s="25" t="str">
        <f>'Source Table'!$F$6</f>
        <v>Male</v>
      </c>
      <c r="G40" s="25" t="str">
        <f>'Source Table'!$F$5</f>
        <v>ذكر</v>
      </c>
      <c r="H40" t="str">
        <f>'Source Table'!$H$8</f>
        <v>Jordanian</v>
      </c>
      <c r="I40" s="25" t="str">
        <f>'Source Table'!$H$7</f>
        <v>أردني</v>
      </c>
      <c r="J40" s="25" t="str">
        <f>'Source Table'!$B$9</f>
        <v>Civil</v>
      </c>
      <c r="K40" s="25" t="str">
        <f>'Source Table'!$I$9</f>
        <v>مدني</v>
      </c>
      <c r="L40" s="42">
        <v>42319</v>
      </c>
      <c r="M40">
        <v>2022</v>
      </c>
    </row>
    <row r="41" spans="1:13" ht="15">
      <c r="A41" t="s">
        <v>112</v>
      </c>
      <c r="B41" t="s">
        <v>113</v>
      </c>
      <c r="C41" s="15" t="s">
        <v>30</v>
      </c>
      <c r="D41" s="23" t="s">
        <v>81</v>
      </c>
      <c r="E41" s="25" t="s">
        <v>82</v>
      </c>
      <c r="F41" s="25" t="str">
        <f>'Source Table'!$F$6</f>
        <v>Male</v>
      </c>
      <c r="G41" s="25" t="str">
        <f>'Source Table'!$F$5</f>
        <v>ذكر</v>
      </c>
      <c r="H41" t="str">
        <f>'Source Table'!$H$8</f>
        <v>Jordanian</v>
      </c>
      <c r="I41" s="25" t="str">
        <f>'Source Table'!$H$7</f>
        <v>أردني</v>
      </c>
      <c r="J41" s="25" t="str">
        <f>'Source Table'!$B$10</f>
        <v>Architecture</v>
      </c>
      <c r="K41" s="25" t="str">
        <f>'Source Table'!$I$10</f>
        <v>عمارة</v>
      </c>
      <c r="L41" s="42">
        <v>7210</v>
      </c>
      <c r="M41">
        <v>2022</v>
      </c>
    </row>
    <row r="42" spans="1:13" ht="15">
      <c r="A42" t="s">
        <v>112</v>
      </c>
      <c r="B42" t="s">
        <v>113</v>
      </c>
      <c r="C42" s="15" t="s">
        <v>30</v>
      </c>
      <c r="D42" s="23" t="s">
        <v>81</v>
      </c>
      <c r="E42" s="25" t="s">
        <v>82</v>
      </c>
      <c r="F42" s="25" t="str">
        <f>'Source Table'!$F$6</f>
        <v>Male</v>
      </c>
      <c r="G42" s="25" t="str">
        <f>'Source Table'!$F$5</f>
        <v>ذكر</v>
      </c>
      <c r="H42" t="str">
        <f>'Source Table'!$H$8</f>
        <v>Jordanian</v>
      </c>
      <c r="I42" s="25" t="str">
        <f>'Source Table'!$H$7</f>
        <v>أردني</v>
      </c>
      <c r="J42" s="25" t="str">
        <f>'Source Table'!$B$11</f>
        <v>Mechanical</v>
      </c>
      <c r="K42" s="25" t="str">
        <f>'Source Table'!$I$11</f>
        <v>ميكانيك</v>
      </c>
      <c r="L42" s="43" t="s">
        <v>126</v>
      </c>
      <c r="M42">
        <v>2022</v>
      </c>
    </row>
    <row r="43" spans="1:13" ht="15">
      <c r="A43" t="s">
        <v>112</v>
      </c>
      <c r="B43" t="s">
        <v>113</v>
      </c>
      <c r="C43" s="15" t="s">
        <v>30</v>
      </c>
      <c r="D43" s="23" t="s">
        <v>81</v>
      </c>
      <c r="E43" s="25" t="s">
        <v>82</v>
      </c>
      <c r="F43" s="25" t="str">
        <f>'Source Table'!$F$6</f>
        <v>Male</v>
      </c>
      <c r="G43" s="25" t="str">
        <f>'Source Table'!$F$5</f>
        <v>ذكر</v>
      </c>
      <c r="H43" t="str">
        <f>'Source Table'!$H$8</f>
        <v>Jordanian</v>
      </c>
      <c r="I43" s="25" t="str">
        <f>'Source Table'!$H$7</f>
        <v>أردني</v>
      </c>
      <c r="J43" s="25" t="str">
        <f>'Source Table'!$B$12</f>
        <v>Electricity</v>
      </c>
      <c r="K43" s="25" t="str">
        <f>'Source Table'!$I$12</f>
        <v>كهرباء</v>
      </c>
      <c r="L43" s="42">
        <v>46099</v>
      </c>
      <c r="M43">
        <v>2022</v>
      </c>
    </row>
    <row r="44" spans="1:13" ht="15">
      <c r="A44" t="s">
        <v>112</v>
      </c>
      <c r="B44" t="s">
        <v>113</v>
      </c>
      <c r="C44" s="15" t="s">
        <v>30</v>
      </c>
      <c r="D44" s="23" t="s">
        <v>81</v>
      </c>
      <c r="E44" s="25" t="s">
        <v>82</v>
      </c>
      <c r="F44" s="25" t="str">
        <f>'Source Table'!$F$6</f>
        <v>Male</v>
      </c>
      <c r="G44" s="25" t="str">
        <f>'Source Table'!$F$5</f>
        <v>ذكر</v>
      </c>
      <c r="H44" t="str">
        <f>'Source Table'!$H$8</f>
        <v>Jordanian</v>
      </c>
      <c r="I44" s="25" t="str">
        <f>'Source Table'!$H$7</f>
        <v>أردني</v>
      </c>
      <c r="J44" s="25" t="str">
        <f>'Source Table'!$B$13</f>
        <v>Mining</v>
      </c>
      <c r="K44" s="25" t="str">
        <f>'Source Table'!$I$13</f>
        <v>تعدين</v>
      </c>
      <c r="L44" s="42">
        <v>1512</v>
      </c>
      <c r="M44">
        <v>2022</v>
      </c>
    </row>
    <row r="45" spans="1:13" ht="15">
      <c r="A45" t="s">
        <v>112</v>
      </c>
      <c r="B45" t="s">
        <v>113</v>
      </c>
      <c r="C45" s="15" t="s">
        <v>30</v>
      </c>
      <c r="D45" s="23" t="s">
        <v>81</v>
      </c>
      <c r="E45" s="25" t="s">
        <v>82</v>
      </c>
      <c r="F45" s="25" t="str">
        <f>'Source Table'!$F$6</f>
        <v>Male</v>
      </c>
      <c r="G45" s="25" t="str">
        <f>'Source Table'!$F$5</f>
        <v>ذكر</v>
      </c>
      <c r="H45" t="str">
        <f>'Source Table'!$H$8</f>
        <v>Jordanian</v>
      </c>
      <c r="I45" s="25" t="str">
        <f>'Source Table'!$H$7</f>
        <v>أردني</v>
      </c>
      <c r="J45" s="25" t="str">
        <f>'Source Table'!$B$14</f>
        <v>Chemistry</v>
      </c>
      <c r="K45" s="25" t="str">
        <f>'Source Table'!$I$14</f>
        <v>كيمياء</v>
      </c>
      <c r="L45" s="42">
        <v>4443</v>
      </c>
      <c r="M45">
        <v>2022</v>
      </c>
    </row>
    <row r="46" spans="1:13" ht="15">
      <c r="A46" t="s">
        <v>112</v>
      </c>
      <c r="B46" t="s">
        <v>113</v>
      </c>
      <c r="C46" s="15" t="s">
        <v>30</v>
      </c>
      <c r="D46" s="23" t="s">
        <v>81</v>
      </c>
      <c r="E46" s="25" t="s">
        <v>82</v>
      </c>
      <c r="F46" s="25" t="str">
        <f>'Source Table'!$F$6</f>
        <v>Male</v>
      </c>
      <c r="G46" s="25" t="str">
        <f>'Source Table'!$F$5</f>
        <v>ذكر</v>
      </c>
      <c r="H46" t="str">
        <f>'Source Table'!$G$8</f>
        <v>Arab</v>
      </c>
      <c r="I46" s="16" t="str">
        <f>'Source Table'!$G$7</f>
        <v>عربي</v>
      </c>
      <c r="J46" s="25" t="str">
        <f>'Source Table'!$B$9</f>
        <v>Civil</v>
      </c>
      <c r="K46" s="25" t="str">
        <f>'Source Table'!$I$9</f>
        <v>مدني</v>
      </c>
      <c r="L46" s="42">
        <v>1778</v>
      </c>
      <c r="M46">
        <v>2022</v>
      </c>
    </row>
    <row r="47" spans="1:13" ht="15">
      <c r="A47" t="s">
        <v>112</v>
      </c>
      <c r="B47" t="s">
        <v>113</v>
      </c>
      <c r="C47" s="15" t="s">
        <v>30</v>
      </c>
      <c r="D47" s="23" t="s">
        <v>81</v>
      </c>
      <c r="E47" s="25" t="s">
        <v>82</v>
      </c>
      <c r="F47" s="25" t="str">
        <f>'Source Table'!$F$6</f>
        <v>Male</v>
      </c>
      <c r="G47" s="25" t="str">
        <f>'Source Table'!$F$5</f>
        <v>ذكر</v>
      </c>
      <c r="H47" t="str">
        <f>'Source Table'!$G$8</f>
        <v>Arab</v>
      </c>
      <c r="I47" s="16" t="str">
        <f>'Source Table'!$G$7</f>
        <v>عربي</v>
      </c>
      <c r="J47" s="25" t="str">
        <f>'Source Table'!$B$10</f>
        <v>Architecture</v>
      </c>
      <c r="K47" s="25" t="str">
        <f>'Source Table'!$I$10</f>
        <v>عمارة</v>
      </c>
      <c r="L47" s="43">
        <v>590</v>
      </c>
      <c r="M47">
        <v>2022</v>
      </c>
    </row>
    <row r="48" spans="1:13" ht="15">
      <c r="A48" t="s">
        <v>112</v>
      </c>
      <c r="B48" t="s">
        <v>113</v>
      </c>
      <c r="C48" s="15" t="s">
        <v>30</v>
      </c>
      <c r="D48" s="23" t="s">
        <v>81</v>
      </c>
      <c r="E48" s="25" t="s">
        <v>82</v>
      </c>
      <c r="F48" s="25" t="str">
        <f>'Source Table'!$F$6</f>
        <v>Male</v>
      </c>
      <c r="G48" s="25" t="str">
        <f>'Source Table'!$F$5</f>
        <v>ذكر</v>
      </c>
      <c r="H48" t="str">
        <f>'Source Table'!$G$8</f>
        <v>Arab</v>
      </c>
      <c r="I48" s="16" t="str">
        <f>'Source Table'!$G$7</f>
        <v>عربي</v>
      </c>
      <c r="J48" s="25" t="str">
        <f>'Source Table'!$B$11</f>
        <v>Mechanical</v>
      </c>
      <c r="K48" s="25" t="str">
        <f>'Source Table'!$I$11</f>
        <v>ميكانيك</v>
      </c>
      <c r="L48" s="43">
        <v>564</v>
      </c>
      <c r="M48">
        <v>2022</v>
      </c>
    </row>
    <row r="49" spans="1:13" ht="15">
      <c r="A49" t="s">
        <v>112</v>
      </c>
      <c r="B49" t="s">
        <v>113</v>
      </c>
      <c r="C49" s="15" t="s">
        <v>30</v>
      </c>
      <c r="D49" s="23" t="s">
        <v>81</v>
      </c>
      <c r="E49" s="25" t="s">
        <v>82</v>
      </c>
      <c r="F49" s="25" t="str">
        <f>'Source Table'!$F$6</f>
        <v>Male</v>
      </c>
      <c r="G49" s="25" t="str">
        <f>'Source Table'!$F$5</f>
        <v>ذكر</v>
      </c>
      <c r="H49" t="str">
        <f>'Source Table'!$G$8</f>
        <v>Arab</v>
      </c>
      <c r="I49" s="16" t="str">
        <f>'Source Table'!$G$7</f>
        <v>عربي</v>
      </c>
      <c r="J49" s="25" t="str">
        <f>'Source Table'!$B$12</f>
        <v>Electricity</v>
      </c>
      <c r="K49" s="25" t="str">
        <f>'Source Table'!$I$12</f>
        <v>كهرباء</v>
      </c>
      <c r="L49" s="43">
        <v>953</v>
      </c>
      <c r="M49">
        <v>2022</v>
      </c>
    </row>
    <row r="50" spans="1:13" ht="15">
      <c r="A50" t="s">
        <v>112</v>
      </c>
      <c r="B50" t="s">
        <v>113</v>
      </c>
      <c r="C50" s="15" t="s">
        <v>30</v>
      </c>
      <c r="D50" s="23" t="s">
        <v>81</v>
      </c>
      <c r="E50" s="25" t="s">
        <v>82</v>
      </c>
      <c r="F50" s="25" t="str">
        <f>'Source Table'!$F$6</f>
        <v>Male</v>
      </c>
      <c r="G50" s="25" t="str">
        <f>'Source Table'!$F$5</f>
        <v>ذكر</v>
      </c>
      <c r="H50" t="str">
        <f>'Source Table'!$G$8</f>
        <v>Arab</v>
      </c>
      <c r="I50" s="16" t="str">
        <f>'Source Table'!$G$7</f>
        <v>عربي</v>
      </c>
      <c r="J50" s="25" t="str">
        <f>'Source Table'!$B$13</f>
        <v>Mining</v>
      </c>
      <c r="K50" s="25" t="str">
        <f>'Source Table'!$I$13</f>
        <v>تعدين</v>
      </c>
      <c r="L50" s="43">
        <v>17</v>
      </c>
      <c r="M50">
        <v>2022</v>
      </c>
    </row>
    <row r="51" spans="1:13" ht="15">
      <c r="A51" t="s">
        <v>112</v>
      </c>
      <c r="B51" t="s">
        <v>113</v>
      </c>
      <c r="C51" s="15" t="s">
        <v>30</v>
      </c>
      <c r="D51" s="23" t="s">
        <v>81</v>
      </c>
      <c r="E51" s="25" t="s">
        <v>82</v>
      </c>
      <c r="F51" s="25" t="str">
        <f>'Source Table'!$F$6</f>
        <v>Male</v>
      </c>
      <c r="G51" s="25" t="str">
        <f>'Source Table'!$F$5</f>
        <v>ذكر</v>
      </c>
      <c r="H51" t="str">
        <f>'Source Table'!$G$8</f>
        <v>Arab</v>
      </c>
      <c r="I51" s="16" t="str">
        <f>'Source Table'!$G$7</f>
        <v>عربي</v>
      </c>
      <c r="J51" s="25" t="str">
        <f>'Source Table'!$B$14</f>
        <v>Chemistry</v>
      </c>
      <c r="K51" s="25" t="str">
        <f>'Source Table'!$I$14</f>
        <v>كيمياء</v>
      </c>
      <c r="L51" s="43">
        <v>62</v>
      </c>
      <c r="M51">
        <v>2022</v>
      </c>
    </row>
    <row r="52" spans="1:13" ht="15">
      <c r="A52" t="s">
        <v>112</v>
      </c>
      <c r="B52" t="s">
        <v>113</v>
      </c>
      <c r="C52" s="15" t="s">
        <v>30</v>
      </c>
      <c r="D52" s="23" t="s">
        <v>81</v>
      </c>
      <c r="E52" s="25" t="s">
        <v>82</v>
      </c>
      <c r="F52" s="25" t="str">
        <f>'Source Table'!$F$6</f>
        <v>Male</v>
      </c>
      <c r="G52" s="25" t="str">
        <f>'Source Table'!$F$5</f>
        <v>ذكر</v>
      </c>
      <c r="H52" t="str">
        <f>'Source Table'!$F$8</f>
        <v>Foreign</v>
      </c>
      <c r="I52" s="16" t="str">
        <f>'Source Table'!$F$7</f>
        <v>أجنبي</v>
      </c>
      <c r="J52" s="25" t="str">
        <f>'Source Table'!$B$9</f>
        <v>Civil</v>
      </c>
      <c r="K52" s="25" t="str">
        <f>'Source Table'!$I$9</f>
        <v>مدني</v>
      </c>
      <c r="L52" s="43">
        <v>186</v>
      </c>
      <c r="M52">
        <v>2022</v>
      </c>
    </row>
    <row r="53" spans="1:13" ht="15">
      <c r="A53" t="s">
        <v>112</v>
      </c>
      <c r="B53" t="s">
        <v>113</v>
      </c>
      <c r="C53" s="15" t="s">
        <v>30</v>
      </c>
      <c r="D53" s="23" t="s">
        <v>81</v>
      </c>
      <c r="E53" s="25" t="s">
        <v>82</v>
      </c>
      <c r="F53" s="25" t="str">
        <f>'Source Table'!$F$6</f>
        <v>Male</v>
      </c>
      <c r="G53" s="25" t="str">
        <f>'Source Table'!$F$5</f>
        <v>ذكر</v>
      </c>
      <c r="H53" t="str">
        <f>'Source Table'!$F$8</f>
        <v>Foreign</v>
      </c>
      <c r="I53" s="16" t="str">
        <f>'Source Table'!$F$7</f>
        <v>أجنبي</v>
      </c>
      <c r="J53" s="25" t="str">
        <f>'Source Table'!$B$10</f>
        <v>Architecture</v>
      </c>
      <c r="K53" s="25" t="str">
        <f>'Source Table'!$I$10</f>
        <v>عمارة</v>
      </c>
      <c r="L53" s="43">
        <v>39</v>
      </c>
      <c r="M53">
        <v>2022</v>
      </c>
    </row>
    <row r="54" spans="1:13" ht="15">
      <c r="A54" t="s">
        <v>112</v>
      </c>
      <c r="B54" t="s">
        <v>113</v>
      </c>
      <c r="C54" s="15" t="s">
        <v>30</v>
      </c>
      <c r="D54" s="23" t="s">
        <v>81</v>
      </c>
      <c r="E54" s="25" t="s">
        <v>82</v>
      </c>
      <c r="F54" s="25" t="str">
        <f>'Source Table'!$F$6</f>
        <v>Male</v>
      </c>
      <c r="G54" s="25" t="str">
        <f>'Source Table'!$F$5</f>
        <v>ذكر</v>
      </c>
      <c r="H54" t="str">
        <f>'Source Table'!$F$8</f>
        <v>Foreign</v>
      </c>
      <c r="I54" s="16" t="str">
        <f>'Source Table'!$F$7</f>
        <v>أجنبي</v>
      </c>
      <c r="J54" s="25" t="str">
        <f>'Source Table'!$B$11</f>
        <v>Mechanical</v>
      </c>
      <c r="K54" s="25" t="str">
        <f>'Source Table'!$I$11</f>
        <v>ميكانيك</v>
      </c>
      <c r="L54" s="43">
        <v>41</v>
      </c>
      <c r="M54">
        <v>2022</v>
      </c>
    </row>
    <row r="55" spans="1:13" ht="15">
      <c r="A55" t="s">
        <v>112</v>
      </c>
      <c r="B55" t="s">
        <v>113</v>
      </c>
      <c r="C55" s="15" t="s">
        <v>30</v>
      </c>
      <c r="D55" s="23" t="s">
        <v>81</v>
      </c>
      <c r="E55" s="25" t="s">
        <v>82</v>
      </c>
      <c r="F55" s="25" t="str">
        <f>'Source Table'!$F$6</f>
        <v>Male</v>
      </c>
      <c r="G55" s="25" t="str">
        <f>'Source Table'!$F$5</f>
        <v>ذكر</v>
      </c>
      <c r="H55" t="str">
        <f>'Source Table'!$F$8</f>
        <v>Foreign</v>
      </c>
      <c r="I55" s="16" t="str">
        <f>'Source Table'!$F$7</f>
        <v>أجنبي</v>
      </c>
      <c r="J55" s="25" t="str">
        <f>'Source Table'!$B$12</f>
        <v>Electricity</v>
      </c>
      <c r="K55" s="25" t="str">
        <f>'Source Table'!$I$12</f>
        <v>كهرباء</v>
      </c>
      <c r="L55" s="43">
        <v>33</v>
      </c>
      <c r="M55">
        <v>2022</v>
      </c>
    </row>
    <row r="56" spans="1:13" ht="15">
      <c r="A56" t="s">
        <v>112</v>
      </c>
      <c r="B56" t="s">
        <v>113</v>
      </c>
      <c r="C56" s="15" t="s">
        <v>30</v>
      </c>
      <c r="D56" s="23" t="s">
        <v>81</v>
      </c>
      <c r="E56" s="25" t="s">
        <v>82</v>
      </c>
      <c r="F56" s="25" t="str">
        <f>'Source Table'!$F$6</f>
        <v>Male</v>
      </c>
      <c r="G56" s="25" t="str">
        <f>'Source Table'!$F$5</f>
        <v>ذكر</v>
      </c>
      <c r="H56" t="str">
        <f>'Source Table'!$F$8</f>
        <v>Foreign</v>
      </c>
      <c r="I56" s="16" t="str">
        <f>'Source Table'!$F$7</f>
        <v>أجنبي</v>
      </c>
      <c r="J56" s="25" t="str">
        <f>'Source Table'!$B$13</f>
        <v>Mining</v>
      </c>
      <c r="K56" s="25" t="str">
        <f>'Source Table'!$I$13</f>
        <v>تعدين</v>
      </c>
      <c r="L56" s="43">
        <v>3</v>
      </c>
      <c r="M56">
        <v>2022</v>
      </c>
    </row>
    <row r="57" spans="1:13" ht="15">
      <c r="A57" t="s">
        <v>112</v>
      </c>
      <c r="B57" t="s">
        <v>113</v>
      </c>
      <c r="C57" s="15" t="s">
        <v>30</v>
      </c>
      <c r="D57" s="23" t="s">
        <v>81</v>
      </c>
      <c r="E57" s="25" t="s">
        <v>82</v>
      </c>
      <c r="F57" s="25" t="str">
        <f>'Source Table'!$F$6</f>
        <v>Male</v>
      </c>
      <c r="G57" s="25" t="str">
        <f>'Source Table'!$F$5</f>
        <v>ذكر</v>
      </c>
      <c r="H57" t="str">
        <f>'Source Table'!$F$8</f>
        <v>Foreign</v>
      </c>
      <c r="I57" s="16" t="str">
        <f>'Source Table'!$F$7</f>
        <v>أجنبي</v>
      </c>
      <c r="J57" s="25" t="str">
        <f>'Source Table'!$B$14</f>
        <v>Chemistry</v>
      </c>
      <c r="K57" s="25" t="str">
        <f>'Source Table'!$I$14</f>
        <v>كيمياء</v>
      </c>
      <c r="L57" s="43">
        <v>4</v>
      </c>
      <c r="M57">
        <v>2022</v>
      </c>
    </row>
    <row r="58" spans="1:13" ht="15">
      <c r="A58" t="s">
        <v>112</v>
      </c>
      <c r="B58" t="s">
        <v>113</v>
      </c>
      <c r="C58" s="15" t="s">
        <v>30</v>
      </c>
      <c r="D58" s="23" t="s">
        <v>81</v>
      </c>
      <c r="E58" s="25" t="s">
        <v>82</v>
      </c>
      <c r="F58" s="16" t="str">
        <f>'Source Table'!$C$6</f>
        <v>Female</v>
      </c>
      <c r="G58" s="16" t="str">
        <f>'Source Table'!$C$5</f>
        <v>أنثى</v>
      </c>
      <c r="H58" t="str">
        <f>'Source Table'!$H$8</f>
        <v>Jordanian</v>
      </c>
      <c r="I58" s="25" t="str">
        <f>'Source Table'!$H$7</f>
        <v>أردني</v>
      </c>
      <c r="J58" s="25" t="str">
        <f>'Source Table'!$B$9</f>
        <v>Civil</v>
      </c>
      <c r="K58" s="25" t="str">
        <f>'Source Table'!$I$9</f>
        <v>مدني</v>
      </c>
      <c r="L58" s="42">
        <v>12910</v>
      </c>
      <c r="M58">
        <v>2022</v>
      </c>
    </row>
    <row r="59" spans="1:13" ht="15">
      <c r="A59" t="s">
        <v>112</v>
      </c>
      <c r="B59" t="s">
        <v>113</v>
      </c>
      <c r="C59" s="15" t="s">
        <v>30</v>
      </c>
      <c r="D59" s="23" t="s">
        <v>81</v>
      </c>
      <c r="E59" s="25" t="s">
        <v>82</v>
      </c>
      <c r="F59" s="16" t="str">
        <f>'Source Table'!$C$6</f>
        <v>Female</v>
      </c>
      <c r="G59" s="16" t="str">
        <f>'Source Table'!$C$5</f>
        <v>أنثى</v>
      </c>
      <c r="H59" t="str">
        <f>'Source Table'!$H$8</f>
        <v>Jordanian</v>
      </c>
      <c r="I59" s="25" t="str">
        <f>'Source Table'!$H$7</f>
        <v>أردني</v>
      </c>
      <c r="J59" s="25" t="str">
        <f>'Source Table'!$B$10</f>
        <v>Architecture</v>
      </c>
      <c r="K59" s="25" t="str">
        <f>'Source Table'!$I$10</f>
        <v>عمارة</v>
      </c>
      <c r="L59" s="42">
        <v>9113</v>
      </c>
      <c r="M59">
        <v>2022</v>
      </c>
    </row>
    <row r="60" spans="1:13" ht="15">
      <c r="A60" t="s">
        <v>112</v>
      </c>
      <c r="B60" t="s">
        <v>113</v>
      </c>
      <c r="C60" s="15" t="s">
        <v>30</v>
      </c>
      <c r="D60" s="23" t="s">
        <v>81</v>
      </c>
      <c r="E60" s="25" t="s">
        <v>82</v>
      </c>
      <c r="F60" s="16" t="str">
        <f>'Source Table'!$C$6</f>
        <v>Female</v>
      </c>
      <c r="G60" s="16" t="str">
        <f>'Source Table'!$C$5</f>
        <v>أنثى</v>
      </c>
      <c r="H60" t="str">
        <f>'Source Table'!$H$8</f>
        <v>Jordanian</v>
      </c>
      <c r="I60" s="25" t="str">
        <f>'Source Table'!$H$7</f>
        <v>أردني</v>
      </c>
      <c r="J60" s="25" t="str">
        <f>'Source Table'!$B$11</f>
        <v>Mechanical</v>
      </c>
      <c r="K60" s="25" t="str">
        <f>'Source Table'!$I$11</f>
        <v>ميكانيك</v>
      </c>
      <c r="L60" s="42">
        <v>5175</v>
      </c>
      <c r="M60">
        <v>2022</v>
      </c>
    </row>
    <row r="61" spans="1:13" ht="15">
      <c r="A61" t="s">
        <v>112</v>
      </c>
      <c r="B61" t="s">
        <v>113</v>
      </c>
      <c r="C61" s="15" t="s">
        <v>30</v>
      </c>
      <c r="D61" s="23" t="s">
        <v>81</v>
      </c>
      <c r="E61" s="25" t="s">
        <v>82</v>
      </c>
      <c r="F61" s="16" t="str">
        <f>'Source Table'!$C$6</f>
        <v>Female</v>
      </c>
      <c r="G61" s="16" t="str">
        <f>'Source Table'!$C$5</f>
        <v>أنثى</v>
      </c>
      <c r="H61" t="str">
        <f>'Source Table'!$H$8</f>
        <v>Jordanian</v>
      </c>
      <c r="I61" s="25" t="str">
        <f>'Source Table'!$H$7</f>
        <v>أردني</v>
      </c>
      <c r="J61" s="25" t="str">
        <f>'Source Table'!$B$12</f>
        <v>Electricity</v>
      </c>
      <c r="K61" s="25" t="str">
        <f>'Source Table'!$I$12</f>
        <v>كهرباء</v>
      </c>
      <c r="L61" s="42">
        <v>17401</v>
      </c>
      <c r="M61">
        <v>2022</v>
      </c>
    </row>
    <row r="62" spans="1:13" ht="15">
      <c r="A62" t="s">
        <v>112</v>
      </c>
      <c r="B62" t="s">
        <v>113</v>
      </c>
      <c r="C62" s="15" t="s">
        <v>30</v>
      </c>
      <c r="D62" s="23" t="s">
        <v>81</v>
      </c>
      <c r="E62" s="25" t="s">
        <v>82</v>
      </c>
      <c r="F62" s="16" t="str">
        <f>'Source Table'!$C$6</f>
        <v>Female</v>
      </c>
      <c r="G62" s="16" t="str">
        <f>'Source Table'!$C$5</f>
        <v>أنثى</v>
      </c>
      <c r="H62" t="str">
        <f>'Source Table'!$H$8</f>
        <v>Jordanian</v>
      </c>
      <c r="I62" s="25" t="str">
        <f>'Source Table'!$H$7</f>
        <v>أردني</v>
      </c>
      <c r="J62" s="25" t="str">
        <f>'Source Table'!$B$13</f>
        <v>Mining</v>
      </c>
      <c r="K62" s="25" t="str">
        <f>'Source Table'!$I$13</f>
        <v>تعدين</v>
      </c>
      <c r="L62" s="43">
        <v>153</v>
      </c>
      <c r="M62">
        <v>2022</v>
      </c>
    </row>
    <row r="63" spans="1:13" ht="15">
      <c r="A63" t="s">
        <v>112</v>
      </c>
      <c r="B63" t="s">
        <v>113</v>
      </c>
      <c r="C63" s="15" t="s">
        <v>30</v>
      </c>
      <c r="D63" s="23" t="s">
        <v>81</v>
      </c>
      <c r="E63" s="25" t="s">
        <v>82</v>
      </c>
      <c r="F63" s="16" t="str">
        <f>'Source Table'!$C$6</f>
        <v>Female</v>
      </c>
      <c r="G63" s="16" t="str">
        <f>'Source Table'!$C$5</f>
        <v>أنثى</v>
      </c>
      <c r="H63" t="str">
        <f>'Source Table'!$H$8</f>
        <v>Jordanian</v>
      </c>
      <c r="I63" s="25" t="str">
        <f>'Source Table'!$H$7</f>
        <v>أردني</v>
      </c>
      <c r="J63" s="25" t="str">
        <f>'Source Table'!$B$14</f>
        <v>Chemistry</v>
      </c>
      <c r="K63" s="25" t="str">
        <f>'Source Table'!$I$14</f>
        <v>كيمياء</v>
      </c>
      <c r="L63" s="42">
        <v>5100</v>
      </c>
      <c r="M63">
        <v>2022</v>
      </c>
    </row>
    <row r="64" spans="1:13" ht="15">
      <c r="A64" t="s">
        <v>112</v>
      </c>
      <c r="B64" t="s">
        <v>113</v>
      </c>
      <c r="C64" s="15" t="s">
        <v>30</v>
      </c>
      <c r="D64" s="23" t="s">
        <v>81</v>
      </c>
      <c r="E64" s="25" t="s">
        <v>82</v>
      </c>
      <c r="F64" s="16" t="str">
        <f>'Source Table'!$C$6</f>
        <v>Female</v>
      </c>
      <c r="G64" s="16" t="str">
        <f>'Source Table'!$C$5</f>
        <v>أنثى</v>
      </c>
      <c r="H64" t="str">
        <f>'Source Table'!$G$8</f>
        <v>Arab</v>
      </c>
      <c r="I64" s="16" t="str">
        <f>'Source Table'!$G$7</f>
        <v>عربي</v>
      </c>
      <c r="J64" s="25" t="str">
        <f>'Source Table'!$B$9</f>
        <v>Civil</v>
      </c>
      <c r="K64" s="25" t="str">
        <f>'Source Table'!$I$9</f>
        <v>مدني</v>
      </c>
      <c r="L64" s="43">
        <v>196</v>
      </c>
      <c r="M64">
        <v>2022</v>
      </c>
    </row>
    <row r="65" spans="1:13" ht="15">
      <c r="A65" t="s">
        <v>112</v>
      </c>
      <c r="B65" t="s">
        <v>113</v>
      </c>
      <c r="C65" s="15" t="s">
        <v>30</v>
      </c>
      <c r="D65" s="23" t="s">
        <v>81</v>
      </c>
      <c r="E65" s="25" t="s">
        <v>82</v>
      </c>
      <c r="F65" s="16" t="str">
        <f>'Source Table'!$C$6</f>
        <v>Female</v>
      </c>
      <c r="G65" s="16" t="str">
        <f>'Source Table'!$C$5</f>
        <v>أنثى</v>
      </c>
      <c r="H65" t="str">
        <f>'Source Table'!$G$8</f>
        <v>Arab</v>
      </c>
      <c r="I65" s="16" t="str">
        <f>'Source Table'!$G$7</f>
        <v>عربي</v>
      </c>
      <c r="J65" s="25" t="str">
        <f>'Source Table'!$B$10</f>
        <v>Architecture</v>
      </c>
      <c r="K65" s="25" t="str">
        <f>'Source Table'!$I$10</f>
        <v>عمارة</v>
      </c>
      <c r="L65" s="43">
        <v>349</v>
      </c>
      <c r="M65">
        <v>2022</v>
      </c>
    </row>
    <row r="66" spans="1:13" ht="15">
      <c r="A66" t="s">
        <v>112</v>
      </c>
      <c r="B66" t="s">
        <v>113</v>
      </c>
      <c r="C66" s="15" t="s">
        <v>30</v>
      </c>
      <c r="D66" s="23" t="s">
        <v>81</v>
      </c>
      <c r="E66" s="25" t="s">
        <v>82</v>
      </c>
      <c r="F66" s="16" t="str">
        <f>'Source Table'!$C$6</f>
        <v>Female</v>
      </c>
      <c r="G66" s="16" t="str">
        <f>'Source Table'!$C$5</f>
        <v>أنثى</v>
      </c>
      <c r="H66" t="str">
        <f>'Source Table'!$G$8</f>
        <v>Arab</v>
      </c>
      <c r="I66" s="16" t="str">
        <f>'Source Table'!$G$7</f>
        <v>عربي</v>
      </c>
      <c r="J66" s="25" t="str">
        <f>'Source Table'!$B$11</f>
        <v>Mechanical</v>
      </c>
      <c r="K66" s="25" t="str">
        <f>'Source Table'!$I$11</f>
        <v>ميكانيك</v>
      </c>
      <c r="L66" s="43">
        <v>32</v>
      </c>
      <c r="M66">
        <v>2022</v>
      </c>
    </row>
    <row r="67" spans="1:13" ht="15">
      <c r="A67" t="s">
        <v>112</v>
      </c>
      <c r="B67" t="s">
        <v>113</v>
      </c>
      <c r="C67" s="15" t="s">
        <v>30</v>
      </c>
      <c r="D67" s="23" t="s">
        <v>81</v>
      </c>
      <c r="E67" s="25" t="s">
        <v>82</v>
      </c>
      <c r="F67" s="16" t="str">
        <f>'Source Table'!$C$6</f>
        <v>Female</v>
      </c>
      <c r="G67" s="16" t="str">
        <f>'Source Table'!$C$5</f>
        <v>أنثى</v>
      </c>
      <c r="H67" t="str">
        <f>'Source Table'!$G$8</f>
        <v>Arab</v>
      </c>
      <c r="I67" s="16" t="str">
        <f>'Source Table'!$G$7</f>
        <v>عربي</v>
      </c>
      <c r="J67" s="25" t="str">
        <f>'Source Table'!$B$12</f>
        <v>Electricity</v>
      </c>
      <c r="K67" s="25" t="str">
        <f>'Source Table'!$I$12</f>
        <v>كهرباء</v>
      </c>
      <c r="L67" s="43">
        <v>130</v>
      </c>
      <c r="M67">
        <v>2022</v>
      </c>
    </row>
    <row r="68" spans="1:13" ht="15">
      <c r="A68" t="s">
        <v>112</v>
      </c>
      <c r="B68" t="s">
        <v>113</v>
      </c>
      <c r="C68" s="15" t="s">
        <v>30</v>
      </c>
      <c r="D68" s="23" t="s">
        <v>81</v>
      </c>
      <c r="E68" s="25" t="s">
        <v>82</v>
      </c>
      <c r="F68" s="16" t="str">
        <f>'Source Table'!$C$6</f>
        <v>Female</v>
      </c>
      <c r="G68" s="16" t="str">
        <f>'Source Table'!$C$5</f>
        <v>أنثى</v>
      </c>
      <c r="H68" t="str">
        <f>'Source Table'!$G$8</f>
        <v>Arab</v>
      </c>
      <c r="I68" s="16" t="str">
        <f>'Source Table'!$G$7</f>
        <v>عربي</v>
      </c>
      <c r="J68" s="25" t="str">
        <f>'Source Table'!$B$13</f>
        <v>Mining</v>
      </c>
      <c r="K68" s="25" t="str">
        <f>'Source Table'!$I$13</f>
        <v>تعدين</v>
      </c>
      <c r="L68" s="43">
        <v>0</v>
      </c>
      <c r="M68">
        <v>2022</v>
      </c>
    </row>
    <row r="69" spans="1:13" ht="15">
      <c r="A69" t="s">
        <v>112</v>
      </c>
      <c r="B69" t="s">
        <v>113</v>
      </c>
      <c r="C69" s="15" t="s">
        <v>30</v>
      </c>
      <c r="D69" s="23" t="s">
        <v>81</v>
      </c>
      <c r="E69" s="25" t="s">
        <v>82</v>
      </c>
      <c r="F69" s="16" t="str">
        <f>'Source Table'!$C$6</f>
        <v>Female</v>
      </c>
      <c r="G69" s="16" t="str">
        <f>'Source Table'!$C$5</f>
        <v>أنثى</v>
      </c>
      <c r="H69" t="str">
        <f>'Source Table'!$G$8</f>
        <v>Arab</v>
      </c>
      <c r="I69" s="16" t="str">
        <f>'Source Table'!$G$7</f>
        <v>عربي</v>
      </c>
      <c r="J69" s="25" t="str">
        <f>'Source Table'!$B$14</f>
        <v>Chemistry</v>
      </c>
      <c r="K69" s="25" t="str">
        <f>'Source Table'!$I$14</f>
        <v>كيمياء</v>
      </c>
      <c r="L69" s="43">
        <v>29</v>
      </c>
      <c r="M69">
        <v>2022</v>
      </c>
    </row>
    <row r="70" spans="1:13" ht="15">
      <c r="A70" t="s">
        <v>112</v>
      </c>
      <c r="B70" t="s">
        <v>113</v>
      </c>
      <c r="C70" s="15" t="s">
        <v>30</v>
      </c>
      <c r="D70" s="23" t="s">
        <v>81</v>
      </c>
      <c r="E70" s="25" t="s">
        <v>82</v>
      </c>
      <c r="F70" s="16" t="str">
        <f>'Source Table'!$C$6</f>
        <v>Female</v>
      </c>
      <c r="G70" s="16" t="str">
        <f>'Source Table'!$C$5</f>
        <v>أنثى</v>
      </c>
      <c r="H70" t="str">
        <f>'Source Table'!$F$8</f>
        <v>Foreign</v>
      </c>
      <c r="I70" s="16" t="str">
        <f>'Source Table'!$F$7</f>
        <v>أجنبي</v>
      </c>
      <c r="J70" s="25" t="str">
        <f>'Source Table'!$B$9</f>
        <v>Civil</v>
      </c>
      <c r="K70" s="25" t="str">
        <f>'Source Table'!$I$9</f>
        <v>مدني</v>
      </c>
      <c r="L70" s="43">
        <v>23</v>
      </c>
      <c r="M70">
        <v>2022</v>
      </c>
    </row>
    <row r="71" spans="1:13" ht="15">
      <c r="A71" t="s">
        <v>112</v>
      </c>
      <c r="B71" t="s">
        <v>113</v>
      </c>
      <c r="C71" s="15" t="s">
        <v>30</v>
      </c>
      <c r="D71" s="23" t="s">
        <v>81</v>
      </c>
      <c r="E71" s="25" t="s">
        <v>82</v>
      </c>
      <c r="F71" s="16" t="str">
        <f>'Source Table'!$C$6</f>
        <v>Female</v>
      </c>
      <c r="G71" s="16" t="str">
        <f>'Source Table'!$C$5</f>
        <v>أنثى</v>
      </c>
      <c r="H71" t="str">
        <f>'Source Table'!$F$8</f>
        <v>Foreign</v>
      </c>
      <c r="I71" s="16" t="str">
        <f>'Source Table'!$F$7</f>
        <v>أجنبي</v>
      </c>
      <c r="J71" s="25" t="str">
        <f>'Source Table'!$B$10</f>
        <v>Architecture</v>
      </c>
      <c r="K71" s="25" t="str">
        <f>'Source Table'!$I$10</f>
        <v>عمارة</v>
      </c>
      <c r="L71" s="43">
        <v>18</v>
      </c>
      <c r="M71">
        <v>2022</v>
      </c>
    </row>
    <row r="72" spans="1:13" ht="15">
      <c r="A72" t="s">
        <v>112</v>
      </c>
      <c r="B72" t="s">
        <v>113</v>
      </c>
      <c r="C72" s="15" t="s">
        <v>30</v>
      </c>
      <c r="D72" s="23" t="s">
        <v>81</v>
      </c>
      <c r="E72" s="25" t="s">
        <v>82</v>
      </c>
      <c r="F72" s="16" t="str">
        <f>'Source Table'!$C$6</f>
        <v>Female</v>
      </c>
      <c r="G72" s="16" t="str">
        <f>'Source Table'!$C$5</f>
        <v>أنثى</v>
      </c>
      <c r="H72" t="str">
        <f>'Source Table'!$F$8</f>
        <v>Foreign</v>
      </c>
      <c r="I72" s="16" t="str">
        <f>'Source Table'!$F$7</f>
        <v>أجنبي</v>
      </c>
      <c r="J72" s="25" t="str">
        <f>'Source Table'!$B$11</f>
        <v>Mechanical</v>
      </c>
      <c r="K72" s="25" t="str">
        <f>'Source Table'!$I$11</f>
        <v>ميكانيك</v>
      </c>
      <c r="L72" s="43">
        <v>8</v>
      </c>
      <c r="M72">
        <v>2022</v>
      </c>
    </row>
    <row r="73" spans="1:13" ht="15">
      <c r="A73" t="s">
        <v>112</v>
      </c>
      <c r="B73" t="s">
        <v>113</v>
      </c>
      <c r="C73" s="15" t="s">
        <v>30</v>
      </c>
      <c r="D73" s="23" t="s">
        <v>81</v>
      </c>
      <c r="E73" s="25" t="s">
        <v>82</v>
      </c>
      <c r="F73" s="16" t="str">
        <f>'Source Table'!$C$6</f>
        <v>Female</v>
      </c>
      <c r="G73" s="16" t="str">
        <f>'Source Table'!$C$5</f>
        <v>أنثى</v>
      </c>
      <c r="H73" t="str">
        <f>'Source Table'!$F$8</f>
        <v>Foreign</v>
      </c>
      <c r="I73" s="16" t="str">
        <f>'Source Table'!$F$7</f>
        <v>أجنبي</v>
      </c>
      <c r="J73" s="25" t="str">
        <f>'Source Table'!$B$12</f>
        <v>Electricity</v>
      </c>
      <c r="K73" s="25" t="str">
        <f>'Source Table'!$I$12</f>
        <v>كهرباء</v>
      </c>
      <c r="L73" s="43">
        <v>3</v>
      </c>
      <c r="M73">
        <v>2022</v>
      </c>
    </row>
    <row r="74" spans="1:13" ht="15">
      <c r="A74" t="s">
        <v>112</v>
      </c>
      <c r="B74" t="s">
        <v>113</v>
      </c>
      <c r="C74" s="15" t="s">
        <v>30</v>
      </c>
      <c r="D74" s="23" t="s">
        <v>81</v>
      </c>
      <c r="E74" s="25" t="s">
        <v>82</v>
      </c>
      <c r="F74" s="16" t="str">
        <f>'Source Table'!$C$6</f>
        <v>Female</v>
      </c>
      <c r="G74" s="16" t="str">
        <f>'Source Table'!$C$5</f>
        <v>أنثى</v>
      </c>
      <c r="H74" t="str">
        <f>'Source Table'!$F$8</f>
        <v>Foreign</v>
      </c>
      <c r="I74" s="16" t="str">
        <f>'Source Table'!$F$7</f>
        <v>أجنبي</v>
      </c>
      <c r="J74" s="25" t="str">
        <f>'Source Table'!$B$13</f>
        <v>Mining</v>
      </c>
      <c r="K74" s="25" t="str">
        <f>'Source Table'!$I$13</f>
        <v>تعدين</v>
      </c>
      <c r="L74" s="43">
        <v>0</v>
      </c>
      <c r="M74">
        <v>2022</v>
      </c>
    </row>
    <row r="75" spans="1:13" ht="15">
      <c r="A75" t="s">
        <v>112</v>
      </c>
      <c r="B75" t="s">
        <v>113</v>
      </c>
      <c r="C75" s="15" t="s">
        <v>30</v>
      </c>
      <c r="D75" s="23" t="s">
        <v>81</v>
      </c>
      <c r="E75" s="25" t="s">
        <v>82</v>
      </c>
      <c r="F75" s="16" t="str">
        <f>'Source Table'!$C$6</f>
        <v>Female</v>
      </c>
      <c r="G75" s="16" t="str">
        <f>'Source Table'!$C$5</f>
        <v>أنثى</v>
      </c>
      <c r="H75" t="str">
        <f>'Source Table'!$F$8</f>
        <v>Foreign</v>
      </c>
      <c r="I75" s="16" t="str">
        <f>'Source Table'!$F$7</f>
        <v>أجنبي</v>
      </c>
      <c r="J75" s="25" t="str">
        <f>'Source Table'!$B$14</f>
        <v>Chemistry</v>
      </c>
      <c r="K75" s="25" t="str">
        <f>'Source Table'!$I$14</f>
        <v>كيمياء</v>
      </c>
      <c r="L75" s="43">
        <v>3</v>
      </c>
      <c r="M75">
        <v>2022</v>
      </c>
    </row>
    <row r="76" spans="1:13" ht="15">
      <c r="A76" t="s">
        <v>112</v>
      </c>
      <c r="B76" t="s">
        <v>113</v>
      </c>
      <c r="C76" s="15" t="s">
        <v>30</v>
      </c>
      <c r="D76" s="23" t="s">
        <v>81</v>
      </c>
      <c r="E76" s="25" t="s">
        <v>82</v>
      </c>
      <c r="F76" s="25" t="str">
        <f>'Source Table'!$F$6</f>
        <v>Male</v>
      </c>
      <c r="G76" s="25" t="str">
        <f>'Source Table'!$F$5</f>
        <v>ذكر</v>
      </c>
      <c r="H76" t="str">
        <f>'Source Table'!$H$8</f>
        <v>Jordanian</v>
      </c>
      <c r="I76" s="25" t="str">
        <f>'Source Table'!$H$7</f>
        <v>أردني</v>
      </c>
      <c r="J76" s="25" t="str">
        <f>'Source Table'!$B$9</f>
        <v>Civil</v>
      </c>
      <c r="K76" s="25" t="str">
        <f>'Source Table'!$I$9</f>
        <v>مدني</v>
      </c>
      <c r="L76" s="44">
        <v>38390</v>
      </c>
      <c r="M76">
        <v>2021</v>
      </c>
    </row>
    <row r="77" spans="1:13" ht="15">
      <c r="A77" t="s">
        <v>112</v>
      </c>
      <c r="B77" t="s">
        <v>113</v>
      </c>
      <c r="C77" s="15" t="s">
        <v>30</v>
      </c>
      <c r="D77" s="23" t="s">
        <v>81</v>
      </c>
      <c r="E77" s="25" t="s">
        <v>82</v>
      </c>
      <c r="F77" s="25" t="str">
        <f>'Source Table'!$F$6</f>
        <v>Male</v>
      </c>
      <c r="G77" s="25" t="str">
        <f>'Source Table'!$F$5</f>
        <v>ذكر</v>
      </c>
      <c r="H77" t="str">
        <f>'Source Table'!$H$8</f>
        <v>Jordanian</v>
      </c>
      <c r="I77" s="25" t="str">
        <f>'Source Table'!$H$7</f>
        <v>أردني</v>
      </c>
      <c r="J77" s="25" t="str">
        <f>'Source Table'!$B$10</f>
        <v>Architecture</v>
      </c>
      <c r="K77" s="25" t="str">
        <f>'Source Table'!$I$10</f>
        <v>عمارة</v>
      </c>
      <c r="L77" s="44">
        <v>6637</v>
      </c>
      <c r="M77">
        <v>2021</v>
      </c>
    </row>
    <row r="78" spans="1:13" ht="15">
      <c r="A78" t="s">
        <v>112</v>
      </c>
      <c r="B78" t="s">
        <v>113</v>
      </c>
      <c r="C78" s="15" t="s">
        <v>30</v>
      </c>
      <c r="D78" s="23" t="s">
        <v>81</v>
      </c>
      <c r="E78" s="25" t="s">
        <v>82</v>
      </c>
      <c r="F78" s="25" t="str">
        <f>'Source Table'!$F$6</f>
        <v>Male</v>
      </c>
      <c r="G78" s="25" t="str">
        <f>'Source Table'!$F$5</f>
        <v>ذكر</v>
      </c>
      <c r="H78" t="str">
        <f>'Source Table'!$H$8</f>
        <v>Jordanian</v>
      </c>
      <c r="I78" s="25" t="str">
        <f>'Source Table'!$H$7</f>
        <v>أردني</v>
      </c>
      <c r="J78" s="25" t="str">
        <f>'Source Table'!$B$11</f>
        <v>Mechanical</v>
      </c>
      <c r="K78" s="25" t="str">
        <f>'Source Table'!$I$11</f>
        <v>ميكانيك</v>
      </c>
      <c r="L78" s="44">
        <v>29134</v>
      </c>
      <c r="M78">
        <v>2021</v>
      </c>
    </row>
    <row r="79" spans="1:13" ht="15">
      <c r="A79" t="s">
        <v>112</v>
      </c>
      <c r="B79" t="s">
        <v>113</v>
      </c>
      <c r="C79" s="15" t="s">
        <v>30</v>
      </c>
      <c r="D79" s="23" t="s">
        <v>81</v>
      </c>
      <c r="E79" s="25" t="s">
        <v>82</v>
      </c>
      <c r="F79" s="25" t="str">
        <f>'Source Table'!$F$6</f>
        <v>Male</v>
      </c>
      <c r="G79" s="25" t="str">
        <f>'Source Table'!$F$5</f>
        <v>ذكر</v>
      </c>
      <c r="H79" t="str">
        <f>'Source Table'!$H$8</f>
        <v>Jordanian</v>
      </c>
      <c r="I79" s="25" t="str">
        <f>'Source Table'!$H$7</f>
        <v>أردني</v>
      </c>
      <c r="J79" s="25" t="str">
        <f>'Source Table'!$B$12</f>
        <v>Electricity</v>
      </c>
      <c r="K79" s="25" t="str">
        <f>'Source Table'!$I$12</f>
        <v>كهرباء</v>
      </c>
      <c r="L79" s="44">
        <v>43318</v>
      </c>
      <c r="M79">
        <v>2021</v>
      </c>
    </row>
    <row r="80" spans="1:13" ht="15">
      <c r="A80" t="s">
        <v>112</v>
      </c>
      <c r="B80" t="s">
        <v>113</v>
      </c>
      <c r="C80" s="15" t="s">
        <v>30</v>
      </c>
      <c r="D80" s="23" t="s">
        <v>81</v>
      </c>
      <c r="E80" s="25" t="s">
        <v>82</v>
      </c>
      <c r="F80" s="25" t="str">
        <f>'Source Table'!$F$6</f>
        <v>Male</v>
      </c>
      <c r="G80" s="25" t="str">
        <f>'Source Table'!$F$5</f>
        <v>ذكر</v>
      </c>
      <c r="H80" t="str">
        <f>'Source Table'!$H$8</f>
        <v>Jordanian</v>
      </c>
      <c r="I80" s="25" t="str">
        <f>'Source Table'!$H$7</f>
        <v>أردني</v>
      </c>
      <c r="J80" s="25" t="str">
        <f>'Source Table'!$B$13</f>
        <v>Mining</v>
      </c>
      <c r="K80" s="25" t="str">
        <f>'Source Table'!$I$13</f>
        <v>تعدين</v>
      </c>
      <c r="L80" s="44">
        <v>1460</v>
      </c>
      <c r="M80">
        <v>2021</v>
      </c>
    </row>
    <row r="81" spans="1:13" ht="15">
      <c r="A81" t="s">
        <v>112</v>
      </c>
      <c r="B81" t="s">
        <v>113</v>
      </c>
      <c r="C81" s="15" t="s">
        <v>30</v>
      </c>
      <c r="D81" s="23" t="s">
        <v>81</v>
      </c>
      <c r="E81" s="25" t="s">
        <v>82</v>
      </c>
      <c r="F81" s="25" t="str">
        <f>'Source Table'!$F$6</f>
        <v>Male</v>
      </c>
      <c r="G81" s="25" t="str">
        <f>'Source Table'!$F$5</f>
        <v>ذكر</v>
      </c>
      <c r="H81" t="str">
        <f>'Source Table'!$H$8</f>
        <v>Jordanian</v>
      </c>
      <c r="I81" s="25" t="str">
        <f>'Source Table'!$H$7</f>
        <v>أردني</v>
      </c>
      <c r="J81" s="25" t="str">
        <f>'Source Table'!$B$14</f>
        <v>Chemistry</v>
      </c>
      <c r="K81" s="25" t="str">
        <f>'Source Table'!$I$14</f>
        <v>كيمياء</v>
      </c>
      <c r="L81" s="44">
        <v>4199</v>
      </c>
      <c r="M81">
        <v>2021</v>
      </c>
    </row>
    <row r="82" spans="1:13" ht="15">
      <c r="A82" t="s">
        <v>112</v>
      </c>
      <c r="B82" t="s">
        <v>113</v>
      </c>
      <c r="C82" s="15" t="s">
        <v>30</v>
      </c>
      <c r="D82" s="23" t="s">
        <v>81</v>
      </c>
      <c r="E82" s="25" t="s">
        <v>82</v>
      </c>
      <c r="F82" s="25" t="str">
        <f>'Source Table'!$F$6</f>
        <v>Male</v>
      </c>
      <c r="G82" s="25" t="str">
        <f>'Source Table'!$F$5</f>
        <v>ذكر</v>
      </c>
      <c r="H82" t="str">
        <f>'Source Table'!$G$8</f>
        <v>Arab</v>
      </c>
      <c r="I82" s="16" t="str">
        <f>'Source Table'!$G$7</f>
        <v>عربي</v>
      </c>
      <c r="J82" s="25" t="str">
        <f>'Source Table'!$B$9</f>
        <v>Civil</v>
      </c>
      <c r="K82" s="25" t="str">
        <f>'Source Table'!$I$9</f>
        <v>مدني</v>
      </c>
      <c r="L82" s="44">
        <v>1559</v>
      </c>
      <c r="M82">
        <v>2021</v>
      </c>
    </row>
    <row r="83" spans="1:13" ht="15">
      <c r="A83" t="s">
        <v>112</v>
      </c>
      <c r="B83" t="s">
        <v>113</v>
      </c>
      <c r="C83" s="15" t="s">
        <v>30</v>
      </c>
      <c r="D83" s="23" t="s">
        <v>81</v>
      </c>
      <c r="E83" s="25" t="s">
        <v>82</v>
      </c>
      <c r="F83" s="25" t="str">
        <f>'Source Table'!$F$6</f>
        <v>Male</v>
      </c>
      <c r="G83" s="25" t="str">
        <f>'Source Table'!$F$5</f>
        <v>ذكر</v>
      </c>
      <c r="H83" t="str">
        <f>'Source Table'!$G$8</f>
        <v>Arab</v>
      </c>
      <c r="I83" s="16" t="str">
        <f>'Source Table'!$G$7</f>
        <v>عربي</v>
      </c>
      <c r="J83" s="25" t="str">
        <f>'Source Table'!$B$10</f>
        <v>Architecture</v>
      </c>
      <c r="K83" s="25" t="str">
        <f>'Source Table'!$I$10</f>
        <v>عمارة</v>
      </c>
      <c r="L83" s="44">
        <v>494</v>
      </c>
      <c r="M83">
        <v>2021</v>
      </c>
    </row>
    <row r="84" spans="1:13" ht="15">
      <c r="A84" t="s">
        <v>112</v>
      </c>
      <c r="B84" t="s">
        <v>113</v>
      </c>
      <c r="C84" s="15" t="s">
        <v>30</v>
      </c>
      <c r="D84" s="23" t="s">
        <v>81</v>
      </c>
      <c r="E84" s="25" t="s">
        <v>82</v>
      </c>
      <c r="F84" s="25" t="str">
        <f>'Source Table'!$F$6</f>
        <v>Male</v>
      </c>
      <c r="G84" s="25" t="str">
        <f>'Source Table'!$F$5</f>
        <v>ذكر</v>
      </c>
      <c r="H84" t="str">
        <f>'Source Table'!$G$8</f>
        <v>Arab</v>
      </c>
      <c r="I84" s="16" t="str">
        <f>'Source Table'!$G$7</f>
        <v>عربي</v>
      </c>
      <c r="J84" s="25" t="str">
        <f>'Source Table'!$B$11</f>
        <v>Mechanical</v>
      </c>
      <c r="K84" s="25" t="str">
        <f>'Source Table'!$I$11</f>
        <v>ميكانيك</v>
      </c>
      <c r="L84" s="44">
        <v>513</v>
      </c>
      <c r="M84">
        <v>2021</v>
      </c>
    </row>
    <row r="85" spans="1:13" ht="15">
      <c r="A85" t="s">
        <v>112</v>
      </c>
      <c r="B85" t="s">
        <v>113</v>
      </c>
      <c r="C85" s="15" t="s">
        <v>30</v>
      </c>
      <c r="D85" s="23" t="s">
        <v>81</v>
      </c>
      <c r="E85" s="25" t="s">
        <v>82</v>
      </c>
      <c r="F85" s="25" t="str">
        <f>'Source Table'!$F$6</f>
        <v>Male</v>
      </c>
      <c r="G85" s="25" t="str">
        <f>'Source Table'!$F$5</f>
        <v>ذكر</v>
      </c>
      <c r="H85" t="str">
        <f>'Source Table'!$G$8</f>
        <v>Arab</v>
      </c>
      <c r="I85" s="16" t="str">
        <f>'Source Table'!$G$7</f>
        <v>عربي</v>
      </c>
      <c r="J85" s="25" t="str">
        <f>'Source Table'!$B$12</f>
        <v>Electricity</v>
      </c>
      <c r="K85" s="25" t="str">
        <f>'Source Table'!$I$12</f>
        <v>كهرباء</v>
      </c>
      <c r="L85" s="44">
        <v>864</v>
      </c>
      <c r="M85">
        <v>2021</v>
      </c>
    </row>
    <row r="86" spans="1:13" ht="15">
      <c r="A86" t="s">
        <v>112</v>
      </c>
      <c r="B86" t="s">
        <v>113</v>
      </c>
      <c r="C86" s="15" t="s">
        <v>30</v>
      </c>
      <c r="D86" s="23" t="s">
        <v>81</v>
      </c>
      <c r="E86" s="25" t="s">
        <v>82</v>
      </c>
      <c r="F86" s="25" t="str">
        <f>'Source Table'!$F$6</f>
        <v>Male</v>
      </c>
      <c r="G86" s="25" t="str">
        <f>'Source Table'!$F$5</f>
        <v>ذكر</v>
      </c>
      <c r="H86" t="str">
        <f>'Source Table'!$G$8</f>
        <v>Arab</v>
      </c>
      <c r="I86" s="16" t="str">
        <f>'Source Table'!$G$7</f>
        <v>عربي</v>
      </c>
      <c r="J86" s="25" t="str">
        <f>'Source Table'!$B$13</f>
        <v>Mining</v>
      </c>
      <c r="K86" s="25" t="str">
        <f>'Source Table'!$I$13</f>
        <v>تعدين</v>
      </c>
      <c r="L86" s="44">
        <v>17</v>
      </c>
      <c r="M86">
        <v>2021</v>
      </c>
    </row>
    <row r="87" spans="1:13" ht="15">
      <c r="A87" t="s">
        <v>112</v>
      </c>
      <c r="B87" t="s">
        <v>113</v>
      </c>
      <c r="C87" s="15" t="s">
        <v>30</v>
      </c>
      <c r="D87" s="23" t="s">
        <v>81</v>
      </c>
      <c r="E87" s="25" t="s">
        <v>82</v>
      </c>
      <c r="F87" s="25" t="str">
        <f>'Source Table'!$F$6</f>
        <v>Male</v>
      </c>
      <c r="G87" s="25" t="str">
        <f>'Source Table'!$F$5</f>
        <v>ذكر</v>
      </c>
      <c r="H87" t="str">
        <f>'Source Table'!$G$8</f>
        <v>Arab</v>
      </c>
      <c r="I87" s="16" t="str">
        <f>'Source Table'!$G$7</f>
        <v>عربي</v>
      </c>
      <c r="J87" s="25" t="str">
        <f>'Source Table'!$B$14</f>
        <v>Chemistry</v>
      </c>
      <c r="K87" s="25" t="str">
        <f>'Source Table'!$I$14</f>
        <v>كيمياء</v>
      </c>
      <c r="L87" s="44">
        <v>60</v>
      </c>
      <c r="M87">
        <v>2021</v>
      </c>
    </row>
    <row r="88" spans="1:13" ht="15">
      <c r="A88" t="s">
        <v>112</v>
      </c>
      <c r="B88" t="s">
        <v>113</v>
      </c>
      <c r="C88" s="15" t="s">
        <v>30</v>
      </c>
      <c r="D88" s="23" t="s">
        <v>81</v>
      </c>
      <c r="E88" s="25" t="s">
        <v>82</v>
      </c>
      <c r="F88" s="25" t="str">
        <f>'Source Table'!$F$6</f>
        <v>Male</v>
      </c>
      <c r="G88" s="25" t="str">
        <f>'Source Table'!$F$5</f>
        <v>ذكر</v>
      </c>
      <c r="H88" t="str">
        <f>'Source Table'!$F$8</f>
        <v>Foreign</v>
      </c>
      <c r="I88" s="16" t="str">
        <f>'Source Table'!$F$7</f>
        <v>أجنبي</v>
      </c>
      <c r="J88" s="25" t="str">
        <f>'Source Table'!$B$9</f>
        <v>Civil</v>
      </c>
      <c r="K88" s="25" t="str">
        <f>'Source Table'!$I$9</f>
        <v>مدني</v>
      </c>
      <c r="L88" s="44">
        <v>178</v>
      </c>
      <c r="M88">
        <v>2021</v>
      </c>
    </row>
    <row r="89" spans="1:13" ht="15">
      <c r="A89" t="s">
        <v>112</v>
      </c>
      <c r="B89" t="s">
        <v>113</v>
      </c>
      <c r="C89" s="15" t="s">
        <v>30</v>
      </c>
      <c r="D89" s="23" t="s">
        <v>81</v>
      </c>
      <c r="E89" s="25" t="s">
        <v>82</v>
      </c>
      <c r="F89" s="25" t="str">
        <f>'Source Table'!$F$6</f>
        <v>Male</v>
      </c>
      <c r="G89" s="25" t="str">
        <f>'Source Table'!$F$5</f>
        <v>ذكر</v>
      </c>
      <c r="H89" t="str">
        <f>'Source Table'!$F$8</f>
        <v>Foreign</v>
      </c>
      <c r="I89" s="16" t="str">
        <f>'Source Table'!$F$7</f>
        <v>أجنبي</v>
      </c>
      <c r="J89" s="25" t="str">
        <f>'Source Table'!$B$10</f>
        <v>Architecture</v>
      </c>
      <c r="K89" s="25" t="str">
        <f>'Source Table'!$I$10</f>
        <v>عمارة</v>
      </c>
      <c r="L89" s="44">
        <v>38</v>
      </c>
      <c r="M89">
        <v>2021</v>
      </c>
    </row>
    <row r="90" spans="1:13" ht="15">
      <c r="A90" t="s">
        <v>112</v>
      </c>
      <c r="B90" t="s">
        <v>113</v>
      </c>
      <c r="C90" s="15" t="s">
        <v>30</v>
      </c>
      <c r="D90" s="23" t="s">
        <v>81</v>
      </c>
      <c r="E90" s="25" t="s">
        <v>82</v>
      </c>
      <c r="F90" s="25" t="str">
        <f>'Source Table'!$F$6</f>
        <v>Male</v>
      </c>
      <c r="G90" s="25" t="str">
        <f>'Source Table'!$F$5</f>
        <v>ذكر</v>
      </c>
      <c r="H90" t="str">
        <f>'Source Table'!$F$8</f>
        <v>Foreign</v>
      </c>
      <c r="I90" s="16" t="str">
        <f>'Source Table'!$F$7</f>
        <v>أجنبي</v>
      </c>
      <c r="J90" s="25" t="str">
        <f>'Source Table'!$B$11</f>
        <v>Mechanical</v>
      </c>
      <c r="K90" s="25" t="str">
        <f>'Source Table'!$I$11</f>
        <v>ميكانيك</v>
      </c>
      <c r="L90" s="44">
        <v>36</v>
      </c>
      <c r="M90">
        <v>2021</v>
      </c>
    </row>
    <row r="91" spans="1:13" ht="15">
      <c r="A91" t="s">
        <v>112</v>
      </c>
      <c r="B91" t="s">
        <v>113</v>
      </c>
      <c r="C91" s="15" t="s">
        <v>30</v>
      </c>
      <c r="D91" s="23" t="s">
        <v>81</v>
      </c>
      <c r="E91" s="25" t="s">
        <v>82</v>
      </c>
      <c r="F91" s="25" t="str">
        <f>'Source Table'!$F$6</f>
        <v>Male</v>
      </c>
      <c r="G91" s="25" t="str">
        <f>'Source Table'!$F$5</f>
        <v>ذكر</v>
      </c>
      <c r="H91" t="str">
        <f>'Source Table'!$F$8</f>
        <v>Foreign</v>
      </c>
      <c r="I91" s="16" t="str">
        <f>'Source Table'!$F$7</f>
        <v>أجنبي</v>
      </c>
      <c r="J91" s="25" t="str">
        <f>'Source Table'!$B$12</f>
        <v>Electricity</v>
      </c>
      <c r="K91" s="25" t="str">
        <f>'Source Table'!$I$12</f>
        <v>كهرباء</v>
      </c>
      <c r="L91" s="44">
        <v>30</v>
      </c>
      <c r="M91">
        <v>2021</v>
      </c>
    </row>
    <row r="92" spans="1:13" ht="15">
      <c r="A92" t="s">
        <v>112</v>
      </c>
      <c r="B92" t="s">
        <v>113</v>
      </c>
      <c r="C92" s="15" t="s">
        <v>30</v>
      </c>
      <c r="D92" s="23" t="s">
        <v>81</v>
      </c>
      <c r="E92" s="25" t="s">
        <v>82</v>
      </c>
      <c r="F92" s="25" t="str">
        <f>'Source Table'!$F$6</f>
        <v>Male</v>
      </c>
      <c r="G92" s="25" t="str">
        <f>'Source Table'!$F$5</f>
        <v>ذكر</v>
      </c>
      <c r="H92" t="str">
        <f>'Source Table'!$F$8</f>
        <v>Foreign</v>
      </c>
      <c r="I92" s="16" t="str">
        <f>'Source Table'!$F$7</f>
        <v>أجنبي</v>
      </c>
      <c r="J92" s="25" t="str">
        <f>'Source Table'!$B$13</f>
        <v>Mining</v>
      </c>
      <c r="K92" s="25" t="str">
        <f>'Source Table'!$I$13</f>
        <v>تعدين</v>
      </c>
      <c r="L92" s="44">
        <v>3</v>
      </c>
      <c r="M92">
        <v>2021</v>
      </c>
    </row>
    <row r="93" spans="1:13" ht="15">
      <c r="A93" t="s">
        <v>112</v>
      </c>
      <c r="B93" t="s">
        <v>113</v>
      </c>
      <c r="C93" s="15" t="s">
        <v>30</v>
      </c>
      <c r="D93" s="23" t="s">
        <v>81</v>
      </c>
      <c r="E93" s="25" t="s">
        <v>82</v>
      </c>
      <c r="F93" s="25" t="str">
        <f>'Source Table'!$F$6</f>
        <v>Male</v>
      </c>
      <c r="G93" s="25" t="str">
        <f>'Source Table'!$F$5</f>
        <v>ذكر</v>
      </c>
      <c r="H93" t="str">
        <f>'Source Table'!$F$8</f>
        <v>Foreign</v>
      </c>
      <c r="I93" s="16" t="str">
        <f>'Source Table'!$F$7</f>
        <v>أجنبي</v>
      </c>
      <c r="J93" s="25" t="str">
        <f>'Source Table'!$B$14</f>
        <v>Chemistry</v>
      </c>
      <c r="K93" s="25" t="str">
        <f>'Source Table'!$I$14</f>
        <v>كيمياء</v>
      </c>
      <c r="L93" s="44">
        <v>3</v>
      </c>
      <c r="M93">
        <v>2021</v>
      </c>
    </row>
    <row r="94" spans="1:13" ht="15">
      <c r="A94" t="s">
        <v>112</v>
      </c>
      <c r="B94" t="s">
        <v>113</v>
      </c>
      <c r="C94" s="15" t="s">
        <v>30</v>
      </c>
      <c r="D94" s="23" t="s">
        <v>81</v>
      </c>
      <c r="E94" s="25" t="s">
        <v>82</v>
      </c>
      <c r="F94" s="16" t="str">
        <f>'Source Table'!$C$6</f>
        <v>Female</v>
      </c>
      <c r="G94" s="16" t="str">
        <f>'Source Table'!$C$5</f>
        <v>أنثى</v>
      </c>
      <c r="H94" t="str">
        <f>'Source Table'!$H$8</f>
        <v>Jordanian</v>
      </c>
      <c r="I94" s="25" t="str">
        <f>'Source Table'!$H$7</f>
        <v>أردني</v>
      </c>
      <c r="J94" s="25" t="str">
        <f>'Source Table'!$B$9</f>
        <v>Civil</v>
      </c>
      <c r="K94" s="25" t="str">
        <f>'Source Table'!$I$9</f>
        <v>مدني</v>
      </c>
      <c r="L94" s="44">
        <v>11752</v>
      </c>
      <c r="M94">
        <v>2021</v>
      </c>
    </row>
    <row r="95" spans="1:13" ht="15">
      <c r="A95" t="s">
        <v>112</v>
      </c>
      <c r="B95" t="s">
        <v>113</v>
      </c>
      <c r="C95" s="15" t="s">
        <v>30</v>
      </c>
      <c r="D95" s="23" t="s">
        <v>81</v>
      </c>
      <c r="E95" s="25" t="s">
        <v>82</v>
      </c>
      <c r="F95" s="16" t="str">
        <f>'Source Table'!$C$6</f>
        <v>Female</v>
      </c>
      <c r="G95" s="16" t="str">
        <f>'Source Table'!$C$5</f>
        <v>أنثى</v>
      </c>
      <c r="H95" t="str">
        <f>'Source Table'!$H$8</f>
        <v>Jordanian</v>
      </c>
      <c r="I95" s="25" t="str">
        <f>'Source Table'!$H$7</f>
        <v>أردني</v>
      </c>
      <c r="J95" s="25" t="str">
        <f>'Source Table'!$B$10</f>
        <v>Architecture</v>
      </c>
      <c r="K95" s="25" t="str">
        <f>'Source Table'!$I$10</f>
        <v>عمارة</v>
      </c>
      <c r="L95" s="44">
        <v>8088</v>
      </c>
      <c r="M95">
        <v>2021</v>
      </c>
    </row>
    <row r="96" spans="1:13" ht="15">
      <c r="A96" t="s">
        <v>112</v>
      </c>
      <c r="B96" t="s">
        <v>113</v>
      </c>
      <c r="C96" s="15" t="s">
        <v>30</v>
      </c>
      <c r="D96" s="23" t="s">
        <v>81</v>
      </c>
      <c r="E96" s="25" t="s">
        <v>82</v>
      </c>
      <c r="F96" s="16" t="str">
        <f>'Source Table'!$C$6</f>
        <v>Female</v>
      </c>
      <c r="G96" s="16" t="str">
        <f>'Source Table'!$C$5</f>
        <v>أنثى</v>
      </c>
      <c r="H96" t="str">
        <f>'Source Table'!$H$8</f>
        <v>Jordanian</v>
      </c>
      <c r="I96" s="25" t="str">
        <f>'Source Table'!$H$7</f>
        <v>أردني</v>
      </c>
      <c r="J96" s="25" t="str">
        <f>'Source Table'!$B$11</f>
        <v>Mechanical</v>
      </c>
      <c r="K96" s="25" t="str">
        <f>'Source Table'!$I$11</f>
        <v>ميكانيك</v>
      </c>
      <c r="L96" s="44">
        <v>4655</v>
      </c>
      <c r="M96">
        <v>2021</v>
      </c>
    </row>
    <row r="97" spans="1:13" ht="15">
      <c r="A97" t="s">
        <v>112</v>
      </c>
      <c r="B97" t="s">
        <v>113</v>
      </c>
      <c r="C97" s="15" t="s">
        <v>30</v>
      </c>
      <c r="D97" s="23" t="s">
        <v>81</v>
      </c>
      <c r="E97" s="25" t="s">
        <v>82</v>
      </c>
      <c r="F97" s="16" t="str">
        <f>'Source Table'!$C$6</f>
        <v>Female</v>
      </c>
      <c r="G97" s="16" t="str">
        <f>'Source Table'!$C$5</f>
        <v>أنثى</v>
      </c>
      <c r="H97" t="str">
        <f>'Source Table'!$H$8</f>
        <v>Jordanian</v>
      </c>
      <c r="I97" s="25" t="str">
        <f>'Source Table'!$H$7</f>
        <v>أردني</v>
      </c>
      <c r="J97" s="25" t="str">
        <f>'Source Table'!$B$12</f>
        <v>Electricity</v>
      </c>
      <c r="K97" s="25" t="str">
        <f>'Source Table'!$I$12</f>
        <v>كهرباء</v>
      </c>
      <c r="L97" s="44">
        <v>16033</v>
      </c>
      <c r="M97">
        <v>2021</v>
      </c>
    </row>
    <row r="98" spans="1:13" ht="15">
      <c r="A98" t="s">
        <v>112</v>
      </c>
      <c r="B98" t="s">
        <v>113</v>
      </c>
      <c r="C98" s="15" t="s">
        <v>30</v>
      </c>
      <c r="D98" s="23" t="s">
        <v>81</v>
      </c>
      <c r="E98" s="25" t="s">
        <v>82</v>
      </c>
      <c r="F98" s="16" t="str">
        <f>'Source Table'!$C$6</f>
        <v>Female</v>
      </c>
      <c r="G98" s="16" t="str">
        <f>'Source Table'!$C$5</f>
        <v>أنثى</v>
      </c>
      <c r="H98" t="str">
        <f>'Source Table'!$H$8</f>
        <v>Jordanian</v>
      </c>
      <c r="I98" s="25" t="str">
        <f>'Source Table'!$H$7</f>
        <v>أردني</v>
      </c>
      <c r="J98" s="25" t="str">
        <f>'Source Table'!$B$13</f>
        <v>Mining</v>
      </c>
      <c r="K98" s="25" t="str">
        <f>'Source Table'!$I$13</f>
        <v>تعدين</v>
      </c>
      <c r="L98" s="44">
        <v>149</v>
      </c>
      <c r="M98">
        <v>2021</v>
      </c>
    </row>
    <row r="99" spans="1:13" ht="15">
      <c r="A99" t="s">
        <v>112</v>
      </c>
      <c r="B99" t="s">
        <v>113</v>
      </c>
      <c r="C99" s="15" t="s">
        <v>30</v>
      </c>
      <c r="D99" s="23" t="s">
        <v>81</v>
      </c>
      <c r="E99" s="25" t="s">
        <v>82</v>
      </c>
      <c r="F99" s="16" t="str">
        <f>'Source Table'!$C$6</f>
        <v>Female</v>
      </c>
      <c r="G99" s="16" t="str">
        <f>'Source Table'!$C$5</f>
        <v>أنثى</v>
      </c>
      <c r="H99" t="str">
        <f>'Source Table'!$H$8</f>
        <v>Jordanian</v>
      </c>
      <c r="I99" s="25" t="str">
        <f>'Source Table'!$H$7</f>
        <v>أردني</v>
      </c>
      <c r="J99" s="25" t="str">
        <f>'Source Table'!$B$14</f>
        <v>Chemistry</v>
      </c>
      <c r="K99" s="25" t="str">
        <f>'Source Table'!$I$14</f>
        <v>كيمياء</v>
      </c>
      <c r="L99" s="44">
        <v>4752</v>
      </c>
      <c r="M99">
        <v>2021</v>
      </c>
    </row>
    <row r="100" spans="1:13" ht="15">
      <c r="A100" t="s">
        <v>112</v>
      </c>
      <c r="B100" t="s">
        <v>113</v>
      </c>
      <c r="C100" s="15" t="s">
        <v>30</v>
      </c>
      <c r="D100" s="23" t="s">
        <v>81</v>
      </c>
      <c r="E100" s="25" t="s">
        <v>82</v>
      </c>
      <c r="F100" s="16" t="str">
        <f>'Source Table'!$C$6</f>
        <v>Female</v>
      </c>
      <c r="G100" s="16" t="str">
        <f>'Source Table'!$C$5</f>
        <v>أنثى</v>
      </c>
      <c r="H100" t="str">
        <f>'Source Table'!$G$8</f>
        <v>Arab</v>
      </c>
      <c r="I100" s="16" t="str">
        <f>'Source Table'!$G$7</f>
        <v>عربي</v>
      </c>
      <c r="J100" s="25" t="str">
        <f>'Source Table'!$B$9</f>
        <v>Civil</v>
      </c>
      <c r="K100" s="25" t="str">
        <f>'Source Table'!$I$9</f>
        <v>مدني</v>
      </c>
      <c r="L100" s="44">
        <v>196</v>
      </c>
      <c r="M100">
        <v>2021</v>
      </c>
    </row>
    <row r="101" spans="1:13" ht="15">
      <c r="A101" t="s">
        <v>112</v>
      </c>
      <c r="B101" t="s">
        <v>113</v>
      </c>
      <c r="C101" s="15" t="s">
        <v>30</v>
      </c>
      <c r="D101" s="23" t="s">
        <v>81</v>
      </c>
      <c r="E101" s="25" t="s">
        <v>82</v>
      </c>
      <c r="F101" s="16" t="str">
        <f>'Source Table'!$C$6</f>
        <v>Female</v>
      </c>
      <c r="G101" s="16" t="str">
        <f>'Source Table'!$C$5</f>
        <v>أنثى</v>
      </c>
      <c r="H101" t="str">
        <f>'Source Table'!$G$8</f>
        <v>Arab</v>
      </c>
      <c r="I101" s="16" t="str">
        <f>'Source Table'!$G$7</f>
        <v>عربي</v>
      </c>
      <c r="J101" s="25" t="str">
        <f>'Source Table'!$B$10</f>
        <v>Architecture</v>
      </c>
      <c r="K101" s="25" t="str">
        <f>'Source Table'!$I$10</f>
        <v>عمارة</v>
      </c>
      <c r="L101" s="44">
        <v>339</v>
      </c>
      <c r="M101">
        <v>2021</v>
      </c>
    </row>
    <row r="102" spans="1:13" ht="15">
      <c r="A102" t="s">
        <v>112</v>
      </c>
      <c r="B102" t="s">
        <v>113</v>
      </c>
      <c r="C102" s="15" t="s">
        <v>30</v>
      </c>
      <c r="D102" s="23" t="s">
        <v>81</v>
      </c>
      <c r="E102" s="25" t="s">
        <v>82</v>
      </c>
      <c r="F102" s="16" t="str">
        <f>'Source Table'!$C$6</f>
        <v>Female</v>
      </c>
      <c r="G102" s="16" t="str">
        <f>'Source Table'!$C$5</f>
        <v>أنثى</v>
      </c>
      <c r="H102" t="str">
        <f>'Source Table'!$G$8</f>
        <v>Arab</v>
      </c>
      <c r="I102" s="16" t="str">
        <f>'Source Table'!$G$7</f>
        <v>عربي</v>
      </c>
      <c r="J102" s="25" t="str">
        <f>'Source Table'!$B$11</f>
        <v>Mechanical</v>
      </c>
      <c r="K102" s="25" t="str">
        <f>'Source Table'!$I$11</f>
        <v>ميكانيك</v>
      </c>
      <c r="L102" s="44">
        <v>32</v>
      </c>
      <c r="M102">
        <v>2021</v>
      </c>
    </row>
    <row r="103" spans="1:13" ht="15">
      <c r="A103" t="s">
        <v>112</v>
      </c>
      <c r="B103" t="s">
        <v>113</v>
      </c>
      <c r="C103" s="15" t="s">
        <v>30</v>
      </c>
      <c r="D103" s="23" t="s">
        <v>81</v>
      </c>
      <c r="E103" s="25" t="s">
        <v>82</v>
      </c>
      <c r="F103" s="16" t="str">
        <f>'Source Table'!$C$6</f>
        <v>Female</v>
      </c>
      <c r="G103" s="16" t="str">
        <f>'Source Table'!$C$5</f>
        <v>أنثى</v>
      </c>
      <c r="H103" t="str">
        <f>'Source Table'!$G$8</f>
        <v>Arab</v>
      </c>
      <c r="I103" s="16" t="str">
        <f>'Source Table'!$G$7</f>
        <v>عربي</v>
      </c>
      <c r="J103" s="25" t="str">
        <f>'Source Table'!$B$12</f>
        <v>Electricity</v>
      </c>
      <c r="K103" s="25" t="str">
        <f>'Source Table'!$I$12</f>
        <v>كهرباء</v>
      </c>
      <c r="L103" s="44">
        <v>130</v>
      </c>
      <c r="M103">
        <v>2021</v>
      </c>
    </row>
    <row r="104" spans="1:13" ht="15">
      <c r="A104" t="s">
        <v>112</v>
      </c>
      <c r="B104" t="s">
        <v>113</v>
      </c>
      <c r="C104" s="15" t="s">
        <v>30</v>
      </c>
      <c r="D104" s="23" t="s">
        <v>81</v>
      </c>
      <c r="E104" s="25" t="s">
        <v>82</v>
      </c>
      <c r="F104" s="16" t="str">
        <f>'Source Table'!$C$6</f>
        <v>Female</v>
      </c>
      <c r="G104" s="16" t="str">
        <f>'Source Table'!$C$5</f>
        <v>أنثى</v>
      </c>
      <c r="H104" t="str">
        <f>'Source Table'!$G$8</f>
        <v>Arab</v>
      </c>
      <c r="I104" s="16" t="str">
        <f>'Source Table'!$G$7</f>
        <v>عربي</v>
      </c>
      <c r="J104" s="25" t="str">
        <f>'Source Table'!$B$13</f>
        <v>Mining</v>
      </c>
      <c r="K104" s="25" t="str">
        <f>'Source Table'!$I$13</f>
        <v>تعدين</v>
      </c>
      <c r="L104" s="44">
        <v>0</v>
      </c>
      <c r="M104">
        <v>2021</v>
      </c>
    </row>
    <row r="105" spans="1:13" ht="15">
      <c r="A105" t="s">
        <v>112</v>
      </c>
      <c r="B105" t="s">
        <v>113</v>
      </c>
      <c r="C105" s="15" t="s">
        <v>30</v>
      </c>
      <c r="D105" s="23" t="s">
        <v>81</v>
      </c>
      <c r="E105" s="25" t="s">
        <v>82</v>
      </c>
      <c r="F105" s="16" t="str">
        <f>'Source Table'!$C$6</f>
        <v>Female</v>
      </c>
      <c r="G105" s="16" t="str">
        <f>'Source Table'!$C$5</f>
        <v>أنثى</v>
      </c>
      <c r="H105" t="str">
        <f>'Source Table'!$G$8</f>
        <v>Arab</v>
      </c>
      <c r="I105" s="16" t="str">
        <f>'Source Table'!$G$7</f>
        <v>عربي</v>
      </c>
      <c r="J105" s="25" t="str">
        <f>'Source Table'!$B$14</f>
        <v>Chemistry</v>
      </c>
      <c r="K105" s="25" t="str">
        <f>'Source Table'!$I$14</f>
        <v>كيمياء</v>
      </c>
      <c r="L105" s="44">
        <v>36</v>
      </c>
      <c r="M105">
        <v>2021</v>
      </c>
    </row>
    <row r="106" spans="1:13" ht="15">
      <c r="A106" t="s">
        <v>112</v>
      </c>
      <c r="B106" t="s">
        <v>113</v>
      </c>
      <c r="C106" s="15" t="s">
        <v>30</v>
      </c>
      <c r="D106" s="23" t="s">
        <v>81</v>
      </c>
      <c r="E106" s="25" t="s">
        <v>82</v>
      </c>
      <c r="F106" s="16" t="str">
        <f>'Source Table'!$C$6</f>
        <v>Female</v>
      </c>
      <c r="G106" s="16" t="str">
        <f>'Source Table'!$C$5</f>
        <v>أنثى</v>
      </c>
      <c r="H106" t="str">
        <f>'Source Table'!$F$8</f>
        <v>Foreign</v>
      </c>
      <c r="I106" s="16" t="str">
        <f>'Source Table'!$F$7</f>
        <v>أجنبي</v>
      </c>
      <c r="J106" s="25" t="str">
        <f>'Source Table'!$B$9</f>
        <v>Civil</v>
      </c>
      <c r="K106" s="25" t="str">
        <f>'Source Table'!$I$9</f>
        <v>مدني</v>
      </c>
      <c r="L106" s="44">
        <v>18</v>
      </c>
      <c r="M106">
        <v>2020</v>
      </c>
    </row>
    <row r="107" spans="1:13" ht="15">
      <c r="A107" t="s">
        <v>112</v>
      </c>
      <c r="B107" t="s">
        <v>113</v>
      </c>
      <c r="C107" s="15" t="s">
        <v>30</v>
      </c>
      <c r="D107" s="23" t="s">
        <v>81</v>
      </c>
      <c r="E107" s="25" t="s">
        <v>82</v>
      </c>
      <c r="F107" s="16" t="str">
        <f>'Source Table'!$C$6</f>
        <v>Female</v>
      </c>
      <c r="G107" s="16" t="str">
        <f>'Source Table'!$C$5</f>
        <v>أنثى</v>
      </c>
      <c r="H107" t="str">
        <f>'Source Table'!$F$8</f>
        <v>Foreign</v>
      </c>
      <c r="I107" s="16" t="str">
        <f>'Source Table'!$F$7</f>
        <v>أجنبي</v>
      </c>
      <c r="J107" s="25" t="str">
        <f>'Source Table'!$B$10</f>
        <v>Architecture</v>
      </c>
      <c r="K107" s="25" t="str">
        <f>'Source Table'!$I$10</f>
        <v>عمارة</v>
      </c>
      <c r="L107" s="44">
        <v>19</v>
      </c>
      <c r="M107">
        <v>2020</v>
      </c>
    </row>
    <row r="108" spans="1:13" ht="15">
      <c r="A108" t="s">
        <v>112</v>
      </c>
      <c r="B108" t="s">
        <v>113</v>
      </c>
      <c r="C108" s="15" t="s">
        <v>30</v>
      </c>
      <c r="D108" s="23" t="s">
        <v>81</v>
      </c>
      <c r="E108" s="25" t="s">
        <v>82</v>
      </c>
      <c r="F108" s="16" t="str">
        <f>'Source Table'!$C$6</f>
        <v>Female</v>
      </c>
      <c r="G108" s="16" t="str">
        <f>'Source Table'!$C$5</f>
        <v>أنثى</v>
      </c>
      <c r="H108" t="str">
        <f>'Source Table'!$F$8</f>
        <v>Foreign</v>
      </c>
      <c r="I108" s="16" t="str">
        <f>'Source Table'!$F$7</f>
        <v>أجنبي</v>
      </c>
      <c r="J108" s="25" t="str">
        <f>'Source Table'!$B$11</f>
        <v>Mechanical</v>
      </c>
      <c r="K108" s="25" t="str">
        <f>'Source Table'!$I$11</f>
        <v>ميكانيك</v>
      </c>
      <c r="L108" s="44">
        <v>6</v>
      </c>
      <c r="M108">
        <v>2020</v>
      </c>
    </row>
    <row r="109" spans="1:13" ht="15">
      <c r="A109" t="s">
        <v>112</v>
      </c>
      <c r="B109" t="s">
        <v>113</v>
      </c>
      <c r="C109" s="15" t="s">
        <v>30</v>
      </c>
      <c r="D109" s="23" t="s">
        <v>81</v>
      </c>
      <c r="E109" s="25" t="s">
        <v>82</v>
      </c>
      <c r="F109" s="16" t="str">
        <f>'Source Table'!$C$6</f>
        <v>Female</v>
      </c>
      <c r="G109" s="16" t="str">
        <f>'Source Table'!$C$5</f>
        <v>أنثى</v>
      </c>
      <c r="H109" t="str">
        <f>'Source Table'!$F$8</f>
        <v>Foreign</v>
      </c>
      <c r="I109" s="16" t="str">
        <f>'Source Table'!$F$7</f>
        <v>أجنبي</v>
      </c>
      <c r="J109" s="25" t="str">
        <f>'Source Table'!$B$12</f>
        <v>Electricity</v>
      </c>
      <c r="K109" s="25" t="str">
        <f>'Source Table'!$I$12</f>
        <v>كهرباء</v>
      </c>
      <c r="L109" s="44">
        <v>3</v>
      </c>
      <c r="M109">
        <v>2020</v>
      </c>
    </row>
    <row r="110" spans="1:13" ht="15">
      <c r="A110" t="s">
        <v>112</v>
      </c>
      <c r="B110" t="s">
        <v>113</v>
      </c>
      <c r="C110" s="15" t="s">
        <v>30</v>
      </c>
      <c r="D110" s="23" t="s">
        <v>81</v>
      </c>
      <c r="E110" s="25" t="s">
        <v>82</v>
      </c>
      <c r="F110" s="16" t="str">
        <f>'Source Table'!$C$6</f>
        <v>Female</v>
      </c>
      <c r="G110" s="16" t="str">
        <f>'Source Table'!$C$5</f>
        <v>أنثى</v>
      </c>
      <c r="H110" t="str">
        <f>'Source Table'!$F$8</f>
        <v>Foreign</v>
      </c>
      <c r="I110" s="16" t="str">
        <f>'Source Table'!$F$7</f>
        <v>أجنبي</v>
      </c>
      <c r="J110" s="25" t="str">
        <f>'Source Table'!$B$13</f>
        <v>Mining</v>
      </c>
      <c r="K110" s="25" t="str">
        <f>'Source Table'!$I$13</f>
        <v>تعدين</v>
      </c>
      <c r="L110" s="44">
        <v>0</v>
      </c>
      <c r="M110">
        <v>2020</v>
      </c>
    </row>
    <row r="111" spans="1:13" ht="15">
      <c r="A111" t="s">
        <v>112</v>
      </c>
      <c r="B111" t="s">
        <v>113</v>
      </c>
      <c r="C111" s="15" t="s">
        <v>30</v>
      </c>
      <c r="D111" s="23" t="s">
        <v>81</v>
      </c>
      <c r="E111" s="25" t="s">
        <v>82</v>
      </c>
      <c r="F111" s="16" t="str">
        <f>'Source Table'!$C$6</f>
        <v>Female</v>
      </c>
      <c r="G111" s="16" t="str">
        <f>'Source Table'!$C$5</f>
        <v>أنثى</v>
      </c>
      <c r="H111" t="str">
        <f>'Source Table'!$F$8</f>
        <v>Foreign</v>
      </c>
      <c r="I111" s="16" t="str">
        <f>'Source Table'!$F$7</f>
        <v>أجنبي</v>
      </c>
      <c r="J111" s="25" t="str">
        <f>'Source Table'!$B$14</f>
        <v>Chemistry</v>
      </c>
      <c r="K111" s="25" t="str">
        <f>'Source Table'!$I$14</f>
        <v>كيمياء</v>
      </c>
      <c r="L111" s="44">
        <v>3</v>
      </c>
      <c r="M111">
        <v>2020</v>
      </c>
    </row>
    <row r="112" spans="1:13" ht="15">
      <c r="A112" t="s">
        <v>112</v>
      </c>
      <c r="B112" t="s">
        <v>113</v>
      </c>
      <c r="C112" s="15" t="s">
        <v>30</v>
      </c>
      <c r="D112" s="23" t="s">
        <v>81</v>
      </c>
      <c r="E112" s="25" t="s">
        <v>82</v>
      </c>
      <c r="F112" s="25" t="str">
        <f>'Source Table'!$F$6</f>
        <v>Male</v>
      </c>
      <c r="G112" s="25" t="str">
        <f>'Source Table'!$F$5</f>
        <v>ذكر</v>
      </c>
      <c r="H112" t="str">
        <f>'Source Table'!$H$8</f>
        <v>Jordanian</v>
      </c>
      <c r="I112" s="25" t="str">
        <f>'Source Table'!$H$7</f>
        <v>أردني</v>
      </c>
      <c r="J112" s="25" t="str">
        <f>'Source Table'!$B$9</f>
        <v>Civil</v>
      </c>
      <c r="K112" s="25" t="str">
        <f>'Source Table'!$I$9</f>
        <v>مدني</v>
      </c>
      <c r="L112" s="45">
        <v>41466</v>
      </c>
      <c r="M112">
        <v>2021</v>
      </c>
    </row>
    <row r="113" spans="1:13" ht="15">
      <c r="A113" t="s">
        <v>112</v>
      </c>
      <c r="B113" t="s">
        <v>113</v>
      </c>
      <c r="C113" s="15" t="s">
        <v>30</v>
      </c>
      <c r="D113" s="23" t="s">
        <v>81</v>
      </c>
      <c r="E113" s="25" t="s">
        <v>82</v>
      </c>
      <c r="F113" s="25" t="str">
        <f>'Source Table'!$F$6</f>
        <v>Male</v>
      </c>
      <c r="G113" s="25" t="str">
        <f>'Source Table'!$F$5</f>
        <v>ذكر</v>
      </c>
      <c r="H113" t="str">
        <f>'Source Table'!$H$8</f>
        <v>Jordanian</v>
      </c>
      <c r="I113" s="25" t="str">
        <f>'Source Table'!$H$7</f>
        <v>أردني</v>
      </c>
      <c r="J113" s="25" t="str">
        <f>'Source Table'!$B$10</f>
        <v>Architecture</v>
      </c>
      <c r="K113" s="25" t="str">
        <f>'Source Table'!$I$10</f>
        <v>عمارة</v>
      </c>
      <c r="L113" s="45">
        <v>7048</v>
      </c>
      <c r="M113">
        <v>2021</v>
      </c>
    </row>
    <row r="114" spans="1:13" ht="15">
      <c r="A114" t="s">
        <v>112</v>
      </c>
      <c r="B114" t="s">
        <v>113</v>
      </c>
      <c r="C114" s="15" t="s">
        <v>30</v>
      </c>
      <c r="D114" s="23" t="s">
        <v>81</v>
      </c>
      <c r="E114" s="25" t="s">
        <v>82</v>
      </c>
      <c r="F114" s="25" t="str">
        <f>'Source Table'!$F$6</f>
        <v>Male</v>
      </c>
      <c r="G114" s="25" t="str">
        <f>'Source Table'!$F$5</f>
        <v>ذكر</v>
      </c>
      <c r="H114" t="str">
        <f>'Source Table'!$H$8</f>
        <v>Jordanian</v>
      </c>
      <c r="I114" s="25" t="str">
        <f>'Source Table'!$H$7</f>
        <v>أردني</v>
      </c>
      <c r="J114" s="25" t="str">
        <f>'Source Table'!$B$11</f>
        <v>Mechanical</v>
      </c>
      <c r="K114" s="25" t="str">
        <f>'Source Table'!$I$11</f>
        <v>ميكانيك</v>
      </c>
      <c r="L114" s="45">
        <v>31733</v>
      </c>
      <c r="M114">
        <v>2021</v>
      </c>
    </row>
    <row r="115" spans="1:13" ht="15">
      <c r="A115" t="s">
        <v>112</v>
      </c>
      <c r="B115" t="s">
        <v>113</v>
      </c>
      <c r="C115" s="15" t="s">
        <v>30</v>
      </c>
      <c r="D115" s="23" t="s">
        <v>81</v>
      </c>
      <c r="E115" s="25" t="s">
        <v>82</v>
      </c>
      <c r="F115" s="25" t="str">
        <f>'Source Table'!$F$6</f>
        <v>Male</v>
      </c>
      <c r="G115" s="25" t="str">
        <f>'Source Table'!$F$5</f>
        <v>ذكر</v>
      </c>
      <c r="H115" t="str">
        <f>'Source Table'!$H$8</f>
        <v>Jordanian</v>
      </c>
      <c r="I115" s="25" t="str">
        <f>'Source Table'!$H$7</f>
        <v>أردني</v>
      </c>
      <c r="J115" s="25" t="str">
        <f>'Source Table'!$B$12</f>
        <v>Electricity</v>
      </c>
      <c r="K115" s="25" t="str">
        <f>'Source Table'!$I$12</f>
        <v>كهرباء</v>
      </c>
      <c r="L115" s="45">
        <v>45456</v>
      </c>
      <c r="M115">
        <v>2021</v>
      </c>
    </row>
    <row r="116" spans="1:13" ht="15">
      <c r="A116" t="s">
        <v>112</v>
      </c>
      <c r="B116" t="s">
        <v>113</v>
      </c>
      <c r="C116" s="15" t="s">
        <v>30</v>
      </c>
      <c r="D116" s="23" t="s">
        <v>81</v>
      </c>
      <c r="E116" s="25" t="s">
        <v>82</v>
      </c>
      <c r="F116" s="25" t="str">
        <f>'Source Table'!$F$6</f>
        <v>Male</v>
      </c>
      <c r="G116" s="25" t="str">
        <f>'Source Table'!$F$5</f>
        <v>ذكر</v>
      </c>
      <c r="H116" t="str">
        <f>'Source Table'!$H$8</f>
        <v>Jordanian</v>
      </c>
      <c r="I116" s="25" t="str">
        <f>'Source Table'!$H$7</f>
        <v>أردني</v>
      </c>
      <c r="J116" s="25" t="str">
        <f>'Source Table'!$B$13</f>
        <v>Mining</v>
      </c>
      <c r="K116" s="25" t="str">
        <f>'Source Table'!$I$13</f>
        <v>تعدين</v>
      </c>
      <c r="L116" s="45">
        <v>1507</v>
      </c>
      <c r="M116">
        <v>2021</v>
      </c>
    </row>
    <row r="117" spans="1:13" ht="15">
      <c r="A117" t="s">
        <v>112</v>
      </c>
      <c r="B117" t="s">
        <v>113</v>
      </c>
      <c r="C117" s="15" t="s">
        <v>30</v>
      </c>
      <c r="D117" s="23" t="s">
        <v>81</v>
      </c>
      <c r="E117" s="25" t="s">
        <v>82</v>
      </c>
      <c r="F117" s="25" t="str">
        <f>'Source Table'!$F$6</f>
        <v>Male</v>
      </c>
      <c r="G117" s="25" t="str">
        <f>'Source Table'!$F$5</f>
        <v>ذكر</v>
      </c>
      <c r="H117" t="str">
        <f>'Source Table'!$H$8</f>
        <v>Jordanian</v>
      </c>
      <c r="I117" s="25" t="str">
        <f>'Source Table'!$H$7</f>
        <v>أردني</v>
      </c>
      <c r="J117" s="25" t="str">
        <f>'Source Table'!$B$14</f>
        <v>Chemistry</v>
      </c>
      <c r="K117" s="25" t="str">
        <f>'Source Table'!$I$14</f>
        <v>كيمياء</v>
      </c>
      <c r="L117" s="45">
        <v>4383</v>
      </c>
      <c r="M117">
        <v>2021</v>
      </c>
    </row>
    <row r="118" spans="1:13" ht="15">
      <c r="A118" t="s">
        <v>112</v>
      </c>
      <c r="B118" t="s">
        <v>113</v>
      </c>
      <c r="C118" s="15" t="s">
        <v>30</v>
      </c>
      <c r="D118" s="23" t="s">
        <v>81</v>
      </c>
      <c r="E118" s="25" t="s">
        <v>82</v>
      </c>
      <c r="F118" s="25" t="str">
        <f>'Source Table'!$F$6</f>
        <v>Male</v>
      </c>
      <c r="G118" s="25" t="str">
        <f>'Source Table'!$F$5</f>
        <v>ذكر</v>
      </c>
      <c r="H118" t="str">
        <f>'Source Table'!$G$8</f>
        <v>Arab</v>
      </c>
      <c r="I118" s="16" t="str">
        <f>'Source Table'!$G$7</f>
        <v>عربي</v>
      </c>
      <c r="J118" s="25" t="str">
        <f>'Source Table'!$B$9</f>
        <v>Civil</v>
      </c>
      <c r="K118" s="25" t="str">
        <f>'Source Table'!$I$9</f>
        <v>مدني</v>
      </c>
      <c r="L118" s="45">
        <v>1754</v>
      </c>
      <c r="M118">
        <v>2021</v>
      </c>
    </row>
    <row r="119" spans="1:13" ht="15">
      <c r="A119" t="s">
        <v>112</v>
      </c>
      <c r="B119" t="s">
        <v>113</v>
      </c>
      <c r="C119" s="15" t="s">
        <v>30</v>
      </c>
      <c r="D119" s="23" t="s">
        <v>81</v>
      </c>
      <c r="E119" s="25" t="s">
        <v>82</v>
      </c>
      <c r="F119" s="25" t="str">
        <f>'Source Table'!$F$6</f>
        <v>Male</v>
      </c>
      <c r="G119" s="25" t="str">
        <f>'Source Table'!$F$5</f>
        <v>ذكر</v>
      </c>
      <c r="H119" t="str">
        <f>'Source Table'!$G$8</f>
        <v>Arab</v>
      </c>
      <c r="I119" s="16" t="str">
        <f>'Source Table'!$G$7</f>
        <v>عربي</v>
      </c>
      <c r="J119" s="25" t="str">
        <f>'Source Table'!$B$10</f>
        <v>Architecture</v>
      </c>
      <c r="K119" s="25" t="str">
        <f>'Source Table'!$I$10</f>
        <v>عمارة</v>
      </c>
      <c r="L119" s="45">
        <v>586</v>
      </c>
      <c r="M119">
        <v>2021</v>
      </c>
    </row>
    <row r="120" spans="1:13" ht="15">
      <c r="A120" t="s">
        <v>112</v>
      </c>
      <c r="B120" t="s">
        <v>113</v>
      </c>
      <c r="C120" s="15" t="s">
        <v>30</v>
      </c>
      <c r="D120" s="23" t="s">
        <v>81</v>
      </c>
      <c r="E120" s="25" t="s">
        <v>82</v>
      </c>
      <c r="F120" s="25" t="str">
        <f>'Source Table'!$F$6</f>
        <v>Male</v>
      </c>
      <c r="G120" s="25" t="str">
        <f>'Source Table'!$F$5</f>
        <v>ذكر</v>
      </c>
      <c r="H120" t="str">
        <f>'Source Table'!$G$8</f>
        <v>Arab</v>
      </c>
      <c r="I120" s="16" t="str">
        <f>'Source Table'!$G$7</f>
        <v>عربي</v>
      </c>
      <c r="J120" s="25" t="str">
        <f>'Source Table'!$B$11</f>
        <v>Mechanical</v>
      </c>
      <c r="K120" s="25" t="str">
        <f>'Source Table'!$I$11</f>
        <v>ميكانيك</v>
      </c>
      <c r="L120" s="45">
        <v>561</v>
      </c>
      <c r="M120">
        <v>2021</v>
      </c>
    </row>
    <row r="121" spans="1:13" ht="15">
      <c r="A121" t="s">
        <v>112</v>
      </c>
      <c r="B121" t="s">
        <v>113</v>
      </c>
      <c r="C121" s="15" t="s">
        <v>30</v>
      </c>
      <c r="D121" s="23" t="s">
        <v>81</v>
      </c>
      <c r="E121" s="25" t="s">
        <v>82</v>
      </c>
      <c r="F121" s="25" t="str">
        <f>'Source Table'!$F$6</f>
        <v>Male</v>
      </c>
      <c r="G121" s="25" t="str">
        <f>'Source Table'!$F$5</f>
        <v>ذكر</v>
      </c>
      <c r="H121" t="str">
        <f>'Source Table'!$G$8</f>
        <v>Arab</v>
      </c>
      <c r="I121" s="16" t="str">
        <f>'Source Table'!$G$7</f>
        <v>عربي</v>
      </c>
      <c r="J121" s="25" t="str">
        <f>'Source Table'!$B$12</f>
        <v>Electricity</v>
      </c>
      <c r="K121" s="25" t="str">
        <f>'Source Table'!$I$12</f>
        <v>كهرباء</v>
      </c>
      <c r="L121" s="45">
        <v>947</v>
      </c>
      <c r="M121">
        <v>2021</v>
      </c>
    </row>
    <row r="122" spans="1:13" ht="15">
      <c r="A122" t="s">
        <v>112</v>
      </c>
      <c r="B122" t="s">
        <v>113</v>
      </c>
      <c r="C122" s="15" t="s">
        <v>30</v>
      </c>
      <c r="D122" s="23" t="s">
        <v>81</v>
      </c>
      <c r="E122" s="25" t="s">
        <v>82</v>
      </c>
      <c r="F122" s="25" t="str">
        <f>'Source Table'!$F$6</f>
        <v>Male</v>
      </c>
      <c r="G122" s="25" t="str">
        <f>'Source Table'!$F$5</f>
        <v>ذكر</v>
      </c>
      <c r="H122" t="str">
        <f>'Source Table'!$G$8</f>
        <v>Arab</v>
      </c>
      <c r="I122" s="16" t="str">
        <f>'Source Table'!$G$7</f>
        <v>عربي</v>
      </c>
      <c r="J122" s="25" t="str">
        <f>'Source Table'!$B$13</f>
        <v>Mining</v>
      </c>
      <c r="K122" s="25" t="str">
        <f>'Source Table'!$I$13</f>
        <v>تعدين</v>
      </c>
      <c r="L122" s="45">
        <v>17</v>
      </c>
      <c r="M122">
        <v>2021</v>
      </c>
    </row>
    <row r="123" spans="1:13" ht="15">
      <c r="A123" t="s">
        <v>112</v>
      </c>
      <c r="B123" t="s">
        <v>113</v>
      </c>
      <c r="C123" s="15" t="s">
        <v>30</v>
      </c>
      <c r="D123" s="23" t="s">
        <v>81</v>
      </c>
      <c r="E123" s="25" t="s">
        <v>82</v>
      </c>
      <c r="F123" s="25" t="str">
        <f>'Source Table'!$F$6</f>
        <v>Male</v>
      </c>
      <c r="G123" s="25" t="str">
        <f>'Source Table'!$F$5</f>
        <v>ذكر</v>
      </c>
      <c r="H123" t="str">
        <f>'Source Table'!$G$8</f>
        <v>Arab</v>
      </c>
      <c r="I123" s="16" t="str">
        <f>'Source Table'!$G$7</f>
        <v>عربي</v>
      </c>
      <c r="J123" s="25" t="str">
        <f>'Source Table'!$B$14</f>
        <v>Chemistry</v>
      </c>
      <c r="K123" s="25" t="str">
        <f>'Source Table'!$I$14</f>
        <v>كيمياء</v>
      </c>
      <c r="L123" s="45">
        <v>62</v>
      </c>
      <c r="M123">
        <v>2021</v>
      </c>
    </row>
    <row r="124" spans="1:13" ht="15">
      <c r="A124" t="s">
        <v>112</v>
      </c>
      <c r="B124" t="s">
        <v>113</v>
      </c>
      <c r="C124" s="15" t="s">
        <v>30</v>
      </c>
      <c r="D124" s="23" t="s">
        <v>81</v>
      </c>
      <c r="E124" s="25" t="s">
        <v>82</v>
      </c>
      <c r="F124" s="25" t="str">
        <f>'Source Table'!$F$6</f>
        <v>Male</v>
      </c>
      <c r="G124" s="25" t="str">
        <f>'Source Table'!$F$5</f>
        <v>ذكر</v>
      </c>
      <c r="H124" t="str">
        <f>'Source Table'!$F$8</f>
        <v>Foreign</v>
      </c>
      <c r="I124" s="16" t="str">
        <f>'Source Table'!$F$7</f>
        <v>أجنبي</v>
      </c>
      <c r="J124" s="25" t="str">
        <f>'Source Table'!$B$9</f>
        <v>Civil</v>
      </c>
      <c r="K124" s="25" t="str">
        <f>'Source Table'!$I$9</f>
        <v>مدني</v>
      </c>
      <c r="L124" s="45">
        <v>186</v>
      </c>
      <c r="M124">
        <v>2021</v>
      </c>
    </row>
    <row r="125" spans="1:13" ht="15">
      <c r="A125" t="s">
        <v>112</v>
      </c>
      <c r="B125" t="s">
        <v>113</v>
      </c>
      <c r="C125" s="15" t="s">
        <v>30</v>
      </c>
      <c r="D125" s="23" t="s">
        <v>81</v>
      </c>
      <c r="E125" s="25" t="s">
        <v>82</v>
      </c>
      <c r="F125" s="25" t="str">
        <f>'Source Table'!$F$6</f>
        <v>Male</v>
      </c>
      <c r="G125" s="25" t="str">
        <f>'Source Table'!$F$5</f>
        <v>ذكر</v>
      </c>
      <c r="H125" t="str">
        <f>'Source Table'!$F$8</f>
        <v>Foreign</v>
      </c>
      <c r="I125" s="16" t="str">
        <f>'Source Table'!$F$7</f>
        <v>أجنبي</v>
      </c>
      <c r="J125" s="25" t="str">
        <f>'Source Table'!$B$10</f>
        <v>Architecture</v>
      </c>
      <c r="K125" s="25" t="str">
        <f>'Source Table'!$I$10</f>
        <v>عمارة</v>
      </c>
      <c r="L125" s="45">
        <v>39</v>
      </c>
      <c r="M125">
        <v>2021</v>
      </c>
    </row>
    <row r="126" spans="1:13" ht="15">
      <c r="A126" t="s">
        <v>112</v>
      </c>
      <c r="B126" t="s">
        <v>113</v>
      </c>
      <c r="C126" s="15" t="s">
        <v>30</v>
      </c>
      <c r="D126" s="23" t="s">
        <v>81</v>
      </c>
      <c r="E126" s="25" t="s">
        <v>82</v>
      </c>
      <c r="F126" s="25" t="str">
        <f>'Source Table'!$F$6</f>
        <v>Male</v>
      </c>
      <c r="G126" s="25" t="str">
        <f>'Source Table'!$F$5</f>
        <v>ذكر</v>
      </c>
      <c r="H126" t="str">
        <f>'Source Table'!$F$8</f>
        <v>Foreign</v>
      </c>
      <c r="I126" s="16" t="str">
        <f>'Source Table'!$F$7</f>
        <v>أجنبي</v>
      </c>
      <c r="J126" s="25" t="str">
        <f>'Source Table'!$B$11</f>
        <v>Mechanical</v>
      </c>
      <c r="K126" s="25" t="str">
        <f>'Source Table'!$I$11</f>
        <v>ميكانيك</v>
      </c>
      <c r="L126" s="45">
        <v>41</v>
      </c>
      <c r="M126">
        <v>2021</v>
      </c>
    </row>
    <row r="127" spans="1:13" ht="15">
      <c r="A127" t="s">
        <v>112</v>
      </c>
      <c r="B127" t="s">
        <v>113</v>
      </c>
      <c r="C127" s="15" t="s">
        <v>30</v>
      </c>
      <c r="D127" s="23" t="s">
        <v>81</v>
      </c>
      <c r="E127" s="25" t="s">
        <v>82</v>
      </c>
      <c r="F127" s="25" t="str">
        <f>'Source Table'!$F$6</f>
        <v>Male</v>
      </c>
      <c r="G127" s="25" t="str">
        <f>'Source Table'!$F$5</f>
        <v>ذكر</v>
      </c>
      <c r="H127" t="str">
        <f>'Source Table'!$F$8</f>
        <v>Foreign</v>
      </c>
      <c r="I127" s="16" t="str">
        <f>'Source Table'!$F$7</f>
        <v>أجنبي</v>
      </c>
      <c r="J127" s="25" t="str">
        <f>'Source Table'!$B$12</f>
        <v>Electricity</v>
      </c>
      <c r="K127" s="25" t="str">
        <f>'Source Table'!$I$12</f>
        <v>كهرباء</v>
      </c>
      <c r="L127" s="45">
        <v>33</v>
      </c>
      <c r="M127">
        <v>2021</v>
      </c>
    </row>
    <row r="128" spans="1:13" ht="15">
      <c r="A128" t="s">
        <v>112</v>
      </c>
      <c r="B128" t="s">
        <v>113</v>
      </c>
      <c r="C128" s="15" t="s">
        <v>30</v>
      </c>
      <c r="D128" s="23" t="s">
        <v>81</v>
      </c>
      <c r="E128" s="25" t="s">
        <v>82</v>
      </c>
      <c r="F128" s="25" t="str">
        <f>'Source Table'!$F$6</f>
        <v>Male</v>
      </c>
      <c r="G128" s="25" t="str">
        <f>'Source Table'!$F$5</f>
        <v>ذكر</v>
      </c>
      <c r="H128" t="str">
        <f>'Source Table'!$F$8</f>
        <v>Foreign</v>
      </c>
      <c r="I128" s="16" t="str">
        <f>'Source Table'!$F$7</f>
        <v>أجنبي</v>
      </c>
      <c r="J128" s="25" t="str">
        <f>'Source Table'!$B$13</f>
        <v>Mining</v>
      </c>
      <c r="K128" s="25" t="str">
        <f>'Source Table'!$I$13</f>
        <v>تعدين</v>
      </c>
      <c r="L128" s="45">
        <v>3</v>
      </c>
      <c r="M128">
        <v>2021</v>
      </c>
    </row>
    <row r="129" spans="1:13" ht="15">
      <c r="A129" t="s">
        <v>112</v>
      </c>
      <c r="B129" t="s">
        <v>113</v>
      </c>
      <c r="C129" s="15" t="s">
        <v>30</v>
      </c>
      <c r="D129" s="23" t="s">
        <v>81</v>
      </c>
      <c r="E129" s="25" t="s">
        <v>82</v>
      </c>
      <c r="F129" s="25" t="str">
        <f>'Source Table'!$F$6</f>
        <v>Male</v>
      </c>
      <c r="G129" s="25" t="str">
        <f>'Source Table'!$F$5</f>
        <v>ذكر</v>
      </c>
      <c r="H129" t="str">
        <f>'Source Table'!$F$8</f>
        <v>Foreign</v>
      </c>
      <c r="I129" s="16" t="str">
        <f>'Source Table'!$F$7</f>
        <v>أجنبي</v>
      </c>
      <c r="J129" s="25" t="str">
        <f>'Source Table'!$B$14</f>
        <v>Chemistry</v>
      </c>
      <c r="K129" s="25" t="str">
        <f>'Source Table'!$I$14</f>
        <v>كيمياء</v>
      </c>
      <c r="L129" s="45">
        <v>4</v>
      </c>
      <c r="M129">
        <v>2021</v>
      </c>
    </row>
    <row r="130" spans="1:13" ht="15">
      <c r="A130" t="s">
        <v>112</v>
      </c>
      <c r="B130" t="s">
        <v>113</v>
      </c>
      <c r="C130" s="15" t="s">
        <v>30</v>
      </c>
      <c r="D130" s="23" t="s">
        <v>81</v>
      </c>
      <c r="E130" s="25" t="s">
        <v>82</v>
      </c>
      <c r="F130" s="16" t="str">
        <f>'Source Table'!$C$6</f>
        <v>Female</v>
      </c>
      <c r="G130" s="16" t="str">
        <f>'Source Table'!$C$5</f>
        <v>أنثى</v>
      </c>
      <c r="H130" t="str">
        <f>'Source Table'!$H$8</f>
        <v>Jordanian</v>
      </c>
      <c r="I130" s="25" t="str">
        <f>'Source Table'!$H$7</f>
        <v>أردني</v>
      </c>
      <c r="J130" s="25" t="str">
        <f>'Source Table'!$B$9</f>
        <v>Civil</v>
      </c>
      <c r="K130" s="25" t="str">
        <f>'Source Table'!$I$9</f>
        <v>مدني</v>
      </c>
      <c r="L130" s="45">
        <v>12655</v>
      </c>
      <c r="M130">
        <v>2021</v>
      </c>
    </row>
    <row r="131" spans="1:13" ht="15">
      <c r="A131" t="s">
        <v>112</v>
      </c>
      <c r="B131" t="s">
        <v>113</v>
      </c>
      <c r="C131" s="15" t="s">
        <v>30</v>
      </c>
      <c r="D131" s="23" t="s">
        <v>81</v>
      </c>
      <c r="E131" s="25" t="s">
        <v>82</v>
      </c>
      <c r="F131" s="16" t="str">
        <f>'Source Table'!$C$6</f>
        <v>Female</v>
      </c>
      <c r="G131" s="16" t="str">
        <f>'Source Table'!$C$5</f>
        <v>أنثى</v>
      </c>
      <c r="H131" t="str">
        <f>'Source Table'!$H$8</f>
        <v>Jordanian</v>
      </c>
      <c r="I131" s="25" t="str">
        <f>'Source Table'!$H$7</f>
        <v>أردني</v>
      </c>
      <c r="J131" s="25" t="str">
        <f>'Source Table'!$B$10</f>
        <v>Architecture</v>
      </c>
      <c r="K131" s="25" t="str">
        <f>'Source Table'!$I$10</f>
        <v>عمارة</v>
      </c>
      <c r="L131" s="45">
        <v>8858</v>
      </c>
      <c r="M131">
        <v>2021</v>
      </c>
    </row>
    <row r="132" spans="1:13" ht="15">
      <c r="A132" t="s">
        <v>112</v>
      </c>
      <c r="B132" t="s">
        <v>113</v>
      </c>
      <c r="C132" s="15" t="s">
        <v>30</v>
      </c>
      <c r="D132" s="23" t="s">
        <v>81</v>
      </c>
      <c r="E132" s="25" t="s">
        <v>82</v>
      </c>
      <c r="F132" s="16" t="str">
        <f>'Source Table'!$C$6</f>
        <v>Female</v>
      </c>
      <c r="G132" s="16" t="str">
        <f>'Source Table'!$C$5</f>
        <v>أنثى</v>
      </c>
      <c r="H132" t="str">
        <f>'Source Table'!$H$8</f>
        <v>Jordanian</v>
      </c>
      <c r="I132" s="25" t="str">
        <f>'Source Table'!$H$7</f>
        <v>أردني</v>
      </c>
      <c r="J132" s="25" t="str">
        <f>'Source Table'!$B$11</f>
        <v>Mechanical</v>
      </c>
      <c r="K132" s="25" t="str">
        <f>'Source Table'!$I$11</f>
        <v>ميكانيك</v>
      </c>
      <c r="L132" s="45">
        <v>5065</v>
      </c>
      <c r="M132">
        <v>2021</v>
      </c>
    </row>
    <row r="133" spans="1:13" ht="15">
      <c r="A133" t="s">
        <v>112</v>
      </c>
      <c r="B133" t="s">
        <v>113</v>
      </c>
      <c r="C133" s="15" t="s">
        <v>30</v>
      </c>
      <c r="D133" s="23" t="s">
        <v>81</v>
      </c>
      <c r="E133" s="25" t="s">
        <v>82</v>
      </c>
      <c r="F133" s="16" t="str">
        <f>'Source Table'!$C$6</f>
        <v>Female</v>
      </c>
      <c r="G133" s="16" t="str">
        <f>'Source Table'!$C$5</f>
        <v>أنثى</v>
      </c>
      <c r="H133" t="str">
        <f>'Source Table'!$H$8</f>
        <v>Jordanian</v>
      </c>
      <c r="I133" s="25" t="str">
        <f>'Source Table'!$H$7</f>
        <v>أردني</v>
      </c>
      <c r="J133" s="25" t="str">
        <f>'Source Table'!$B$12</f>
        <v>Electricity</v>
      </c>
      <c r="K133" s="25" t="str">
        <f>'Source Table'!$I$12</f>
        <v>كهرباء</v>
      </c>
      <c r="L133" s="45">
        <v>17088</v>
      </c>
      <c r="M133">
        <v>2021</v>
      </c>
    </row>
    <row r="134" spans="1:13" ht="15">
      <c r="A134" t="s">
        <v>112</v>
      </c>
      <c r="B134" t="s">
        <v>113</v>
      </c>
      <c r="C134" s="15" t="s">
        <v>30</v>
      </c>
      <c r="D134" s="23" t="s">
        <v>81</v>
      </c>
      <c r="E134" s="25" t="s">
        <v>82</v>
      </c>
      <c r="F134" s="16" t="str">
        <f>'Source Table'!$C$6</f>
        <v>Female</v>
      </c>
      <c r="G134" s="16" t="str">
        <f>'Source Table'!$C$5</f>
        <v>أنثى</v>
      </c>
      <c r="H134" t="str">
        <f>'Source Table'!$H$8</f>
        <v>Jordanian</v>
      </c>
      <c r="I134" s="25" t="str">
        <f>'Source Table'!$H$7</f>
        <v>أردني</v>
      </c>
      <c r="J134" s="25" t="str">
        <f>'Source Table'!$B$13</f>
        <v>Mining</v>
      </c>
      <c r="K134" s="25" t="str">
        <f>'Source Table'!$I$13</f>
        <v>تعدين</v>
      </c>
      <c r="L134" s="45">
        <v>152</v>
      </c>
      <c r="M134">
        <v>2021</v>
      </c>
    </row>
    <row r="135" spans="1:13" ht="15">
      <c r="A135" t="s">
        <v>112</v>
      </c>
      <c r="B135" t="s">
        <v>113</v>
      </c>
      <c r="C135" s="15" t="s">
        <v>30</v>
      </c>
      <c r="D135" s="23" t="s">
        <v>81</v>
      </c>
      <c r="E135" s="25" t="s">
        <v>82</v>
      </c>
      <c r="F135" s="16" t="str">
        <f>'Source Table'!$C$6</f>
        <v>Female</v>
      </c>
      <c r="G135" s="16" t="str">
        <f>'Source Table'!$C$5</f>
        <v>أنثى</v>
      </c>
      <c r="H135" t="str">
        <f>'Source Table'!$H$8</f>
        <v>Jordanian</v>
      </c>
      <c r="I135" s="25" t="str">
        <f>'Source Table'!$H$7</f>
        <v>أردني</v>
      </c>
      <c r="J135" s="25" t="str">
        <f>'Source Table'!$B$14</f>
        <v>Chemistry</v>
      </c>
      <c r="K135" s="25" t="str">
        <f>'Source Table'!$I$14</f>
        <v>كيمياء</v>
      </c>
      <c r="L135" s="45">
        <v>5016</v>
      </c>
      <c r="M135">
        <v>2021</v>
      </c>
    </row>
    <row r="136" spans="1:13" ht="15">
      <c r="A136" t="s">
        <v>112</v>
      </c>
      <c r="B136" t="s">
        <v>113</v>
      </c>
      <c r="C136" s="15" t="s">
        <v>30</v>
      </c>
      <c r="D136" s="23" t="s">
        <v>81</v>
      </c>
      <c r="E136" s="25" t="s">
        <v>82</v>
      </c>
      <c r="F136" s="16" t="str">
        <f>'Source Table'!$C$6</f>
        <v>Female</v>
      </c>
      <c r="G136" s="16" t="str">
        <f>'Source Table'!$C$5</f>
        <v>أنثى</v>
      </c>
      <c r="H136" t="str">
        <f>'Source Table'!$G$8</f>
        <v>Arab</v>
      </c>
      <c r="I136" s="16" t="str">
        <f>'Source Table'!$G$7</f>
        <v>عربي</v>
      </c>
      <c r="J136" s="25" t="str">
        <f>'Source Table'!$B$9</f>
        <v>Civil</v>
      </c>
      <c r="K136" s="25" t="str">
        <f>'Source Table'!$I$9</f>
        <v>مدني</v>
      </c>
      <c r="L136" s="45">
        <v>194</v>
      </c>
      <c r="M136">
        <v>2021</v>
      </c>
    </row>
    <row r="137" spans="1:13" ht="15">
      <c r="A137" t="s">
        <v>112</v>
      </c>
      <c r="B137" t="s">
        <v>113</v>
      </c>
      <c r="C137" s="15" t="s">
        <v>30</v>
      </c>
      <c r="D137" s="23" t="s">
        <v>81</v>
      </c>
      <c r="E137" s="25" t="s">
        <v>82</v>
      </c>
      <c r="F137" s="16" t="str">
        <f>'Source Table'!$C$6</f>
        <v>Female</v>
      </c>
      <c r="G137" s="16" t="str">
        <f>'Source Table'!$C$5</f>
        <v>أنثى</v>
      </c>
      <c r="H137" t="str">
        <f>'Source Table'!$G$8</f>
        <v>Arab</v>
      </c>
      <c r="I137" s="16" t="str">
        <f>'Source Table'!$G$7</f>
        <v>عربي</v>
      </c>
      <c r="J137" s="25" t="str">
        <f>'Source Table'!$B$10</f>
        <v>Architecture</v>
      </c>
      <c r="K137" s="25" t="str">
        <f>'Source Table'!$I$10</f>
        <v>عمارة</v>
      </c>
      <c r="L137" s="45">
        <v>343</v>
      </c>
      <c r="M137">
        <v>2021</v>
      </c>
    </row>
    <row r="138" spans="1:13" ht="15">
      <c r="A138" t="s">
        <v>112</v>
      </c>
      <c r="B138" t="s">
        <v>113</v>
      </c>
      <c r="C138" s="15" t="s">
        <v>30</v>
      </c>
      <c r="D138" s="23" t="s">
        <v>81</v>
      </c>
      <c r="E138" s="25" t="s">
        <v>82</v>
      </c>
      <c r="F138" s="16" t="str">
        <f>'Source Table'!$C$6</f>
        <v>Female</v>
      </c>
      <c r="G138" s="16" t="str">
        <f>'Source Table'!$C$5</f>
        <v>أنثى</v>
      </c>
      <c r="H138" t="str">
        <f>'Source Table'!$G$8</f>
        <v>Arab</v>
      </c>
      <c r="I138" s="16" t="str">
        <f>'Source Table'!$G$7</f>
        <v>عربي</v>
      </c>
      <c r="J138" s="25" t="str">
        <f>'Source Table'!$B$11</f>
        <v>Mechanical</v>
      </c>
      <c r="K138" s="25" t="str">
        <f>'Source Table'!$I$11</f>
        <v>ميكانيك</v>
      </c>
      <c r="L138" s="45">
        <v>32</v>
      </c>
      <c r="M138">
        <v>2021</v>
      </c>
    </row>
    <row r="139" spans="1:13" ht="15">
      <c r="A139" t="s">
        <v>112</v>
      </c>
      <c r="B139" t="s">
        <v>113</v>
      </c>
      <c r="C139" s="15" t="s">
        <v>30</v>
      </c>
      <c r="D139" s="23" t="s">
        <v>81</v>
      </c>
      <c r="E139" s="25" t="s">
        <v>82</v>
      </c>
      <c r="F139" s="16" t="str">
        <f>'Source Table'!$C$6</f>
        <v>Female</v>
      </c>
      <c r="G139" s="16" t="str">
        <f>'Source Table'!$C$5</f>
        <v>أنثى</v>
      </c>
      <c r="H139" t="str">
        <f>'Source Table'!$G$8</f>
        <v>Arab</v>
      </c>
      <c r="I139" s="16" t="str">
        <f>'Source Table'!$G$7</f>
        <v>عربي</v>
      </c>
      <c r="J139" s="25" t="str">
        <f>'Source Table'!$B$12</f>
        <v>Electricity</v>
      </c>
      <c r="K139" s="25" t="str">
        <f>'Source Table'!$I$12</f>
        <v>كهرباء</v>
      </c>
      <c r="L139" s="45">
        <v>129</v>
      </c>
      <c r="M139">
        <v>2021</v>
      </c>
    </row>
    <row r="140" spans="1:13" ht="15">
      <c r="A140" t="s">
        <v>112</v>
      </c>
      <c r="B140" t="s">
        <v>113</v>
      </c>
      <c r="C140" s="15" t="s">
        <v>30</v>
      </c>
      <c r="D140" s="23" t="s">
        <v>81</v>
      </c>
      <c r="E140" s="25" t="s">
        <v>82</v>
      </c>
      <c r="F140" s="16" t="str">
        <f>'Source Table'!$C$6</f>
        <v>Female</v>
      </c>
      <c r="G140" s="16" t="str">
        <f>'Source Table'!$C$5</f>
        <v>أنثى</v>
      </c>
      <c r="H140" t="str">
        <f>'Source Table'!$G$8</f>
        <v>Arab</v>
      </c>
      <c r="I140" s="16" t="str">
        <f>'Source Table'!$G$7</f>
        <v>عربي</v>
      </c>
      <c r="J140" s="25" t="str">
        <f>'Source Table'!$B$13</f>
        <v>Mining</v>
      </c>
      <c r="K140" s="25" t="str">
        <f>'Source Table'!$I$13</f>
        <v>تعدين</v>
      </c>
      <c r="L140" s="45">
        <v>0</v>
      </c>
      <c r="M140">
        <v>2021</v>
      </c>
    </row>
    <row r="141" spans="1:13" ht="15">
      <c r="A141" t="s">
        <v>112</v>
      </c>
      <c r="B141" t="s">
        <v>113</v>
      </c>
      <c r="C141" s="15" t="s">
        <v>30</v>
      </c>
      <c r="D141" s="23" t="s">
        <v>81</v>
      </c>
      <c r="E141" s="25" t="s">
        <v>82</v>
      </c>
      <c r="F141" s="16" t="str">
        <f>'Source Table'!$C$6</f>
        <v>Female</v>
      </c>
      <c r="G141" s="16" t="str">
        <f>'Source Table'!$C$5</f>
        <v>أنثى</v>
      </c>
      <c r="H141" t="str">
        <f>'Source Table'!$G$8</f>
        <v>Arab</v>
      </c>
      <c r="I141" s="16" t="str">
        <f>'Source Table'!$G$7</f>
        <v>عربي</v>
      </c>
      <c r="J141" s="25" t="str">
        <f>'Source Table'!$B$14</f>
        <v>Chemistry</v>
      </c>
      <c r="K141" s="25" t="str">
        <f>'Source Table'!$I$14</f>
        <v>كيمياء</v>
      </c>
      <c r="L141" s="45">
        <v>29</v>
      </c>
      <c r="M141">
        <v>2021</v>
      </c>
    </row>
    <row r="142" spans="1:13" ht="15">
      <c r="A142" t="s">
        <v>112</v>
      </c>
      <c r="B142" t="s">
        <v>113</v>
      </c>
      <c r="C142" s="15" t="s">
        <v>30</v>
      </c>
      <c r="D142" s="23" t="s">
        <v>81</v>
      </c>
      <c r="E142" s="25" t="s">
        <v>82</v>
      </c>
      <c r="F142" s="16" t="str">
        <f>'Source Table'!$C$6</f>
        <v>Female</v>
      </c>
      <c r="G142" s="16" t="str">
        <f>'Source Table'!$C$5</f>
        <v>أنثى</v>
      </c>
      <c r="H142" t="str">
        <f>'Source Table'!$F$8</f>
        <v>Foreign</v>
      </c>
      <c r="I142" s="16" t="str">
        <f>'Source Table'!$F$7</f>
        <v>أجنبي</v>
      </c>
      <c r="J142" s="25" t="str">
        <f>'Source Table'!$B$9</f>
        <v>Civil</v>
      </c>
      <c r="K142" s="25" t="str">
        <f>'Source Table'!$I$9</f>
        <v>مدني</v>
      </c>
      <c r="L142" s="45">
        <v>23</v>
      </c>
      <c r="M142">
        <v>2021</v>
      </c>
    </row>
    <row r="143" spans="1:13" ht="15">
      <c r="A143" t="s">
        <v>112</v>
      </c>
      <c r="B143" t="s">
        <v>113</v>
      </c>
      <c r="C143" s="15" t="s">
        <v>30</v>
      </c>
      <c r="D143" s="23" t="s">
        <v>81</v>
      </c>
      <c r="E143" s="25" t="s">
        <v>82</v>
      </c>
      <c r="F143" s="16" t="str">
        <f>'Source Table'!$C$6</f>
        <v>Female</v>
      </c>
      <c r="G143" s="16" t="str">
        <f>'Source Table'!$C$5</f>
        <v>أنثى</v>
      </c>
      <c r="H143" t="str">
        <f>'Source Table'!$F$8</f>
        <v>Foreign</v>
      </c>
      <c r="I143" s="16" t="str">
        <f>'Source Table'!$F$7</f>
        <v>أجنبي</v>
      </c>
      <c r="J143" s="25" t="str">
        <f>'Source Table'!$B$10</f>
        <v>Architecture</v>
      </c>
      <c r="K143" s="25" t="str">
        <f>'Source Table'!$I$10</f>
        <v>عمارة</v>
      </c>
      <c r="L143" s="45">
        <v>18</v>
      </c>
      <c r="M143">
        <v>2021</v>
      </c>
    </row>
    <row r="144" spans="1:13" ht="15">
      <c r="A144" t="s">
        <v>112</v>
      </c>
      <c r="B144" t="s">
        <v>113</v>
      </c>
      <c r="C144" s="15" t="s">
        <v>30</v>
      </c>
      <c r="D144" s="23" t="s">
        <v>81</v>
      </c>
      <c r="E144" s="25" t="s">
        <v>82</v>
      </c>
      <c r="F144" s="16" t="str">
        <f>'Source Table'!$C$6</f>
        <v>Female</v>
      </c>
      <c r="G144" s="16" t="str">
        <f>'Source Table'!$C$5</f>
        <v>أنثى</v>
      </c>
      <c r="H144" t="str">
        <f>'Source Table'!$F$8</f>
        <v>Foreign</v>
      </c>
      <c r="I144" s="16" t="str">
        <f>'Source Table'!$F$7</f>
        <v>أجنبي</v>
      </c>
      <c r="J144" s="25" t="str">
        <f>'Source Table'!$B$11</f>
        <v>Mechanical</v>
      </c>
      <c r="K144" s="25" t="str">
        <f>'Source Table'!$I$11</f>
        <v>ميكانيك</v>
      </c>
      <c r="L144" s="45">
        <v>8</v>
      </c>
      <c r="M144">
        <v>2021</v>
      </c>
    </row>
    <row r="145" spans="1:13" ht="15">
      <c r="A145" t="s">
        <v>112</v>
      </c>
      <c r="B145" t="s">
        <v>113</v>
      </c>
      <c r="C145" s="15" t="s">
        <v>30</v>
      </c>
      <c r="D145" s="23" t="s">
        <v>81</v>
      </c>
      <c r="E145" s="25" t="s">
        <v>82</v>
      </c>
      <c r="F145" s="16" t="str">
        <f>'Source Table'!$C$6</f>
        <v>Female</v>
      </c>
      <c r="G145" s="16" t="str">
        <f>'Source Table'!$C$5</f>
        <v>أنثى</v>
      </c>
      <c r="H145" t="str">
        <f>'Source Table'!$F$8</f>
        <v>Foreign</v>
      </c>
      <c r="I145" s="16" t="str">
        <f>'Source Table'!$F$7</f>
        <v>أجنبي</v>
      </c>
      <c r="J145" s="25" t="str">
        <f>'Source Table'!$B$12</f>
        <v>Electricity</v>
      </c>
      <c r="K145" s="25" t="str">
        <f>'Source Table'!$I$12</f>
        <v>كهرباء</v>
      </c>
      <c r="L145" s="45">
        <v>3</v>
      </c>
      <c r="M145">
        <v>2021</v>
      </c>
    </row>
    <row r="146" spans="1:13" ht="15">
      <c r="A146" t="s">
        <v>112</v>
      </c>
      <c r="B146" t="s">
        <v>113</v>
      </c>
      <c r="C146" s="15" t="s">
        <v>30</v>
      </c>
      <c r="D146" s="23" t="s">
        <v>81</v>
      </c>
      <c r="E146" s="25" t="s">
        <v>82</v>
      </c>
      <c r="F146" s="16" t="str">
        <f>'Source Table'!$C$6</f>
        <v>Female</v>
      </c>
      <c r="G146" s="16" t="str">
        <f>'Source Table'!$C$5</f>
        <v>أنثى</v>
      </c>
      <c r="H146" t="str">
        <f>'Source Table'!$F$8</f>
        <v>Foreign</v>
      </c>
      <c r="I146" s="16" t="str">
        <f>'Source Table'!$F$7</f>
        <v>أجنبي</v>
      </c>
      <c r="J146" s="25" t="str">
        <f>'Source Table'!$B$13</f>
        <v>Mining</v>
      </c>
      <c r="K146" s="25" t="str">
        <f>'Source Table'!$I$13</f>
        <v>تعدين</v>
      </c>
      <c r="L146" s="45">
        <v>0</v>
      </c>
      <c r="M146">
        <v>2021</v>
      </c>
    </row>
    <row r="147" spans="1:13" ht="15">
      <c r="A147" t="s">
        <v>112</v>
      </c>
      <c r="B147" t="s">
        <v>113</v>
      </c>
      <c r="C147" s="15" t="s">
        <v>30</v>
      </c>
      <c r="D147" s="23" t="s">
        <v>81</v>
      </c>
      <c r="E147" s="25" t="s">
        <v>82</v>
      </c>
      <c r="F147" s="16" t="str">
        <f>'Source Table'!$C$6</f>
        <v>Female</v>
      </c>
      <c r="G147" s="16" t="str">
        <f>'Source Table'!$C$5</f>
        <v>أنثى</v>
      </c>
      <c r="H147" t="str">
        <f>'Source Table'!$F$8</f>
        <v>Foreign</v>
      </c>
      <c r="I147" s="16" t="str">
        <f>'Source Table'!$F$7</f>
        <v>أجنبي</v>
      </c>
      <c r="J147" s="25" t="str">
        <f>'Source Table'!$B$14</f>
        <v>Chemistry</v>
      </c>
      <c r="K147" s="25" t="str">
        <f>'Source Table'!$I$14</f>
        <v>كيمياء</v>
      </c>
      <c r="L147" s="45">
        <v>3</v>
      </c>
      <c r="M147">
        <v>2021</v>
      </c>
    </row>
    <row r="148" spans="1:13" ht="15">
      <c r="A148" t="s">
        <v>112</v>
      </c>
      <c r="B148" t="s">
        <v>113</v>
      </c>
      <c r="C148" s="15" t="s">
        <v>30</v>
      </c>
      <c r="D148" s="23" t="s">
        <v>81</v>
      </c>
      <c r="E148" s="25" t="s">
        <v>82</v>
      </c>
      <c r="F148" s="25" t="str">
        <f>'Source Table'!$F$6</f>
        <v>Male</v>
      </c>
      <c r="G148" s="25" t="str">
        <f>'Source Table'!$F$5</f>
        <v>ذكر</v>
      </c>
      <c r="H148" t="str">
        <f>'Source Table'!$H$8</f>
        <v>Jordanian</v>
      </c>
      <c r="I148" s="25" t="str">
        <f>'Source Table'!$H$7</f>
        <v>أردني</v>
      </c>
      <c r="J148" s="25" t="str">
        <f>'Source Table'!$B$9</f>
        <v>Civil</v>
      </c>
      <c r="K148" s="25" t="str">
        <f>'Source Table'!$I$9</f>
        <v>مدني</v>
      </c>
      <c r="L148" s="44">
        <v>36390</v>
      </c>
      <c r="M148">
        <v>2019</v>
      </c>
    </row>
    <row r="149" spans="1:13" ht="15">
      <c r="A149" t="s">
        <v>112</v>
      </c>
      <c r="B149" t="s">
        <v>113</v>
      </c>
      <c r="C149" s="15" t="s">
        <v>30</v>
      </c>
      <c r="D149" s="23" t="s">
        <v>81</v>
      </c>
      <c r="E149" s="25" t="s">
        <v>82</v>
      </c>
      <c r="F149" s="25" t="str">
        <f>'Source Table'!$F$6</f>
        <v>Male</v>
      </c>
      <c r="G149" s="25" t="str">
        <f>'Source Table'!$F$5</f>
        <v>ذكر</v>
      </c>
      <c r="H149" t="str">
        <f>'Source Table'!$H$8</f>
        <v>Jordanian</v>
      </c>
      <c r="I149" s="25" t="str">
        <f>'Source Table'!$H$7</f>
        <v>أردني</v>
      </c>
      <c r="J149" s="25" t="str">
        <f>'Source Table'!$B$10</f>
        <v>Architecture</v>
      </c>
      <c r="K149" s="25" t="str">
        <f>'Source Table'!$I$10</f>
        <v>عمارة</v>
      </c>
      <c r="L149" s="44">
        <v>6400</v>
      </c>
      <c r="M149">
        <v>2019</v>
      </c>
    </row>
    <row r="150" spans="1:13" ht="15">
      <c r="A150" t="s">
        <v>112</v>
      </c>
      <c r="B150" t="s">
        <v>113</v>
      </c>
      <c r="C150" s="15" t="s">
        <v>30</v>
      </c>
      <c r="D150" s="23" t="s">
        <v>81</v>
      </c>
      <c r="E150" s="25" t="s">
        <v>82</v>
      </c>
      <c r="F150" s="25" t="str">
        <f>'Source Table'!$F$6</f>
        <v>Male</v>
      </c>
      <c r="G150" s="25" t="str">
        <f>'Source Table'!$F$5</f>
        <v>ذكر</v>
      </c>
      <c r="H150" t="str">
        <f>'Source Table'!$H$8</f>
        <v>Jordanian</v>
      </c>
      <c r="I150" s="25" t="str">
        <f>'Source Table'!$H$7</f>
        <v>أردني</v>
      </c>
      <c r="J150" s="25" t="str">
        <f>'Source Table'!$B$11</f>
        <v>Mechanical</v>
      </c>
      <c r="K150" s="25" t="str">
        <f>'Source Table'!$I$11</f>
        <v>ميكانيك</v>
      </c>
      <c r="L150" s="44">
        <v>27753</v>
      </c>
      <c r="M150">
        <v>2019</v>
      </c>
    </row>
    <row r="151" spans="1:13" ht="15">
      <c r="A151" t="s">
        <v>112</v>
      </c>
      <c r="B151" t="s">
        <v>113</v>
      </c>
      <c r="C151" s="15" t="s">
        <v>30</v>
      </c>
      <c r="D151" s="23" t="s">
        <v>81</v>
      </c>
      <c r="E151" s="25" t="s">
        <v>82</v>
      </c>
      <c r="F151" s="25" t="str">
        <f>'Source Table'!$F$6</f>
        <v>Male</v>
      </c>
      <c r="G151" s="25" t="str">
        <f>'Source Table'!$F$5</f>
        <v>ذكر</v>
      </c>
      <c r="H151" t="str">
        <f>'Source Table'!$H$8</f>
        <v>Jordanian</v>
      </c>
      <c r="I151" s="25" t="str">
        <f>'Source Table'!$H$7</f>
        <v>أردني</v>
      </c>
      <c r="J151" s="25" t="str">
        <f>'Source Table'!$B$12</f>
        <v>Electricity</v>
      </c>
      <c r="K151" s="25" t="str">
        <f>'Source Table'!$I$12</f>
        <v>كهرباء</v>
      </c>
      <c r="L151" s="44">
        <v>42171</v>
      </c>
      <c r="M151">
        <v>2019</v>
      </c>
    </row>
    <row r="152" spans="1:13" ht="15">
      <c r="A152" t="s">
        <v>112</v>
      </c>
      <c r="B152" t="s">
        <v>113</v>
      </c>
      <c r="C152" s="15" t="s">
        <v>30</v>
      </c>
      <c r="D152" s="23" t="s">
        <v>81</v>
      </c>
      <c r="E152" s="25" t="s">
        <v>82</v>
      </c>
      <c r="F152" s="25" t="str">
        <f>'Source Table'!$F$6</f>
        <v>Male</v>
      </c>
      <c r="G152" s="25" t="str">
        <f>'Source Table'!$F$5</f>
        <v>ذكر</v>
      </c>
      <c r="H152" t="str">
        <f>'Source Table'!$H$8</f>
        <v>Jordanian</v>
      </c>
      <c r="I152" s="25" t="str">
        <f>'Source Table'!$H$7</f>
        <v>أردني</v>
      </c>
      <c r="J152" s="25" t="str">
        <f>'Source Table'!$B$13</f>
        <v>Mining</v>
      </c>
      <c r="K152" s="25" t="str">
        <f>'Source Table'!$I$13</f>
        <v>تعدين</v>
      </c>
      <c r="L152" s="44">
        <v>1419</v>
      </c>
      <c r="M152">
        <v>2019</v>
      </c>
    </row>
    <row r="153" spans="1:13" ht="15">
      <c r="A153" t="s">
        <v>112</v>
      </c>
      <c r="B153" t="s">
        <v>113</v>
      </c>
      <c r="C153" s="15" t="s">
        <v>30</v>
      </c>
      <c r="D153" s="23" t="s">
        <v>81</v>
      </c>
      <c r="E153" s="25" t="s">
        <v>82</v>
      </c>
      <c r="F153" s="25" t="str">
        <f>'Source Table'!$F$6</f>
        <v>Male</v>
      </c>
      <c r="G153" s="25" t="str">
        <f>'Source Table'!$F$5</f>
        <v>ذكر</v>
      </c>
      <c r="H153" t="str">
        <f>'Source Table'!$H$8</f>
        <v>Jordanian</v>
      </c>
      <c r="I153" s="25" t="str">
        <f>'Source Table'!$H$7</f>
        <v>أردني</v>
      </c>
      <c r="J153" s="25" t="str">
        <f>'Source Table'!$B$14</f>
        <v>Chemistry</v>
      </c>
      <c r="K153" s="25" t="str">
        <f>'Source Table'!$I$14</f>
        <v>كيمياء</v>
      </c>
      <c r="L153" s="44">
        <v>4102</v>
      </c>
      <c r="M153">
        <v>2019</v>
      </c>
    </row>
    <row r="154" spans="1:13" ht="15">
      <c r="A154" t="s">
        <v>112</v>
      </c>
      <c r="B154" t="s">
        <v>113</v>
      </c>
      <c r="C154" s="15" t="s">
        <v>30</v>
      </c>
      <c r="D154" s="23" t="s">
        <v>81</v>
      </c>
      <c r="E154" s="25" t="s">
        <v>82</v>
      </c>
      <c r="F154" s="25" t="str">
        <f>'Source Table'!$F$6</f>
        <v>Male</v>
      </c>
      <c r="G154" s="25" t="str">
        <f>'Source Table'!$F$5</f>
        <v>ذكر</v>
      </c>
      <c r="H154" t="str">
        <f>'Source Table'!$G$8</f>
        <v>Arab</v>
      </c>
      <c r="I154" s="16" t="str">
        <f>'Source Table'!$G$7</f>
        <v>عربي</v>
      </c>
      <c r="J154" s="25" t="str">
        <f>'Source Table'!$B$9</f>
        <v>Civil</v>
      </c>
      <c r="K154" s="25" t="str">
        <f>'Source Table'!$I$9</f>
        <v>مدني</v>
      </c>
      <c r="L154" s="44">
        <v>1507</v>
      </c>
      <c r="M154">
        <v>2019</v>
      </c>
    </row>
    <row r="155" spans="1:13" ht="15">
      <c r="A155" t="s">
        <v>112</v>
      </c>
      <c r="B155" t="s">
        <v>113</v>
      </c>
      <c r="C155" s="15" t="s">
        <v>30</v>
      </c>
      <c r="D155" s="23" t="s">
        <v>81</v>
      </c>
      <c r="E155" s="25" t="s">
        <v>82</v>
      </c>
      <c r="F155" s="25" t="str">
        <f>'Source Table'!$F$6</f>
        <v>Male</v>
      </c>
      <c r="G155" s="25" t="str">
        <f>'Source Table'!$F$5</f>
        <v>ذكر</v>
      </c>
      <c r="H155" t="str">
        <f>'Source Table'!$G$8</f>
        <v>Arab</v>
      </c>
      <c r="I155" s="16" t="str">
        <f>'Source Table'!$G$7</f>
        <v>عربي</v>
      </c>
      <c r="J155" s="25" t="str">
        <f>'Source Table'!$B$10</f>
        <v>Architecture</v>
      </c>
      <c r="K155" s="25" t="str">
        <f>'Source Table'!$I$10</f>
        <v>عمارة</v>
      </c>
      <c r="L155" s="44">
        <v>486</v>
      </c>
      <c r="M155">
        <v>2019</v>
      </c>
    </row>
    <row r="156" spans="1:13" ht="15">
      <c r="A156" t="s">
        <v>112</v>
      </c>
      <c r="B156" t="s">
        <v>113</v>
      </c>
      <c r="C156" s="15" t="s">
        <v>30</v>
      </c>
      <c r="D156" s="23" t="s">
        <v>81</v>
      </c>
      <c r="E156" s="25" t="s">
        <v>82</v>
      </c>
      <c r="F156" s="25" t="str">
        <f>'Source Table'!$F$6</f>
        <v>Male</v>
      </c>
      <c r="G156" s="25" t="str">
        <f>'Source Table'!$F$5</f>
        <v>ذكر</v>
      </c>
      <c r="H156" t="str">
        <f>'Source Table'!$G$8</f>
        <v>Arab</v>
      </c>
      <c r="I156" s="16" t="str">
        <f>'Source Table'!$G$7</f>
        <v>عربي</v>
      </c>
      <c r="J156" s="25" t="str">
        <f>'Source Table'!$B$11</f>
        <v>Mechanical</v>
      </c>
      <c r="K156" s="25" t="str">
        <f>'Source Table'!$I$11</f>
        <v>ميكانيك</v>
      </c>
      <c r="L156" s="44">
        <v>500</v>
      </c>
      <c r="M156">
        <v>2019</v>
      </c>
    </row>
    <row r="157" spans="1:13" ht="15">
      <c r="A157" t="s">
        <v>112</v>
      </c>
      <c r="B157" t="s">
        <v>113</v>
      </c>
      <c r="C157" s="15" t="s">
        <v>30</v>
      </c>
      <c r="D157" s="23" t="s">
        <v>81</v>
      </c>
      <c r="E157" s="25" t="s">
        <v>82</v>
      </c>
      <c r="F157" s="25" t="str">
        <f>'Source Table'!$F$6</f>
        <v>Male</v>
      </c>
      <c r="G157" s="25" t="str">
        <f>'Source Table'!$F$5</f>
        <v>ذكر</v>
      </c>
      <c r="H157" t="str">
        <f>'Source Table'!$G$8</f>
        <v>Arab</v>
      </c>
      <c r="I157" s="16" t="str">
        <f>'Source Table'!$G$7</f>
        <v>عربي</v>
      </c>
      <c r="J157" s="25" t="str">
        <f>'Source Table'!$B$12</f>
        <v>Electricity</v>
      </c>
      <c r="K157" s="25" t="str">
        <f>'Source Table'!$I$12</f>
        <v>كهرباء</v>
      </c>
      <c r="L157" s="44">
        <v>840</v>
      </c>
      <c r="M157">
        <v>2019</v>
      </c>
    </row>
    <row r="158" spans="1:13" ht="15">
      <c r="A158" t="s">
        <v>112</v>
      </c>
      <c r="B158" t="s">
        <v>113</v>
      </c>
      <c r="C158" s="15" t="s">
        <v>30</v>
      </c>
      <c r="D158" s="23" t="s">
        <v>81</v>
      </c>
      <c r="E158" s="25" t="s">
        <v>82</v>
      </c>
      <c r="F158" s="25" t="str">
        <f>'Source Table'!$F$6</f>
        <v>Male</v>
      </c>
      <c r="G158" s="25" t="str">
        <f>'Source Table'!$F$5</f>
        <v>ذكر</v>
      </c>
      <c r="H158" t="str">
        <f>'Source Table'!$G$8</f>
        <v>Arab</v>
      </c>
      <c r="I158" s="16" t="str">
        <f>'Source Table'!$G$7</f>
        <v>عربي</v>
      </c>
      <c r="J158" s="25" t="str">
        <f>'Source Table'!$B$13</f>
        <v>Mining</v>
      </c>
      <c r="K158" s="25" t="str">
        <f>'Source Table'!$I$13</f>
        <v>تعدين</v>
      </c>
      <c r="L158" s="44">
        <v>17</v>
      </c>
      <c r="M158">
        <v>2019</v>
      </c>
    </row>
    <row r="159" spans="1:13" ht="15">
      <c r="A159" t="s">
        <v>112</v>
      </c>
      <c r="B159" t="s">
        <v>113</v>
      </c>
      <c r="C159" s="15" t="s">
        <v>30</v>
      </c>
      <c r="D159" s="23" t="s">
        <v>81</v>
      </c>
      <c r="E159" s="25" t="s">
        <v>82</v>
      </c>
      <c r="F159" s="25" t="str">
        <f>'Source Table'!$F$6</f>
        <v>Male</v>
      </c>
      <c r="G159" s="25" t="str">
        <f>'Source Table'!$F$5</f>
        <v>ذكر</v>
      </c>
      <c r="H159" t="str">
        <f>'Source Table'!$G$8</f>
        <v>Arab</v>
      </c>
      <c r="I159" s="16" t="str">
        <f>'Source Table'!$G$7</f>
        <v>عربي</v>
      </c>
      <c r="J159" s="25" t="str">
        <f>'Source Table'!$B$14</f>
        <v>Chemistry</v>
      </c>
      <c r="K159" s="25" t="str">
        <f>'Source Table'!$I$14</f>
        <v>كيمياء</v>
      </c>
      <c r="L159" s="44">
        <v>56</v>
      </c>
      <c r="M159">
        <v>2019</v>
      </c>
    </row>
    <row r="160" spans="1:13" ht="15">
      <c r="A160" t="s">
        <v>112</v>
      </c>
      <c r="B160" t="s">
        <v>113</v>
      </c>
      <c r="C160" s="15" t="s">
        <v>30</v>
      </c>
      <c r="D160" s="23" t="s">
        <v>81</v>
      </c>
      <c r="E160" s="25" t="s">
        <v>82</v>
      </c>
      <c r="F160" s="25" t="str">
        <f>'Source Table'!$F$6</f>
        <v>Male</v>
      </c>
      <c r="G160" s="25" t="str">
        <f>'Source Table'!$F$5</f>
        <v>ذكر</v>
      </c>
      <c r="H160" t="str">
        <f>'Source Table'!$F$8</f>
        <v>Foreign</v>
      </c>
      <c r="I160" s="16" t="str">
        <f>'Source Table'!$F$7</f>
        <v>أجنبي</v>
      </c>
      <c r="J160" s="25" t="str">
        <f>'Source Table'!$B$9</f>
        <v>Civil</v>
      </c>
      <c r="K160" s="25" t="str">
        <f>'Source Table'!$I$9</f>
        <v>مدني</v>
      </c>
      <c r="L160" s="44">
        <v>178</v>
      </c>
      <c r="M160">
        <v>2019</v>
      </c>
    </row>
    <row r="161" spans="1:13" ht="15">
      <c r="A161" t="s">
        <v>112</v>
      </c>
      <c r="B161" t="s">
        <v>113</v>
      </c>
      <c r="C161" s="15" t="s">
        <v>30</v>
      </c>
      <c r="D161" s="23" t="s">
        <v>81</v>
      </c>
      <c r="E161" s="25" t="s">
        <v>82</v>
      </c>
      <c r="F161" s="25" t="str">
        <f>'Source Table'!$F$6</f>
        <v>Male</v>
      </c>
      <c r="G161" s="25" t="str">
        <f>'Source Table'!$F$5</f>
        <v>ذكر</v>
      </c>
      <c r="H161" t="str">
        <f>'Source Table'!$F$8</f>
        <v>Foreign</v>
      </c>
      <c r="I161" s="16" t="str">
        <f>'Source Table'!$F$7</f>
        <v>أجنبي</v>
      </c>
      <c r="J161" s="25" t="str">
        <f>'Source Table'!$B$10</f>
        <v>Architecture</v>
      </c>
      <c r="K161" s="25" t="str">
        <f>'Source Table'!$I$10</f>
        <v>عمارة</v>
      </c>
      <c r="L161" s="44">
        <v>38</v>
      </c>
      <c r="M161">
        <v>2019</v>
      </c>
    </row>
    <row r="162" spans="1:13" ht="15">
      <c r="A162" t="s">
        <v>112</v>
      </c>
      <c r="B162" t="s">
        <v>113</v>
      </c>
      <c r="C162" s="15" t="s">
        <v>30</v>
      </c>
      <c r="D162" s="23" t="s">
        <v>81</v>
      </c>
      <c r="E162" s="25" t="s">
        <v>82</v>
      </c>
      <c r="F162" s="25" t="str">
        <f>'Source Table'!$F$6</f>
        <v>Male</v>
      </c>
      <c r="G162" s="25" t="str">
        <f>'Source Table'!$F$5</f>
        <v>ذكر</v>
      </c>
      <c r="H162" t="str">
        <f>'Source Table'!$F$8</f>
        <v>Foreign</v>
      </c>
      <c r="I162" s="16" t="str">
        <f>'Source Table'!$F$7</f>
        <v>أجنبي</v>
      </c>
      <c r="J162" s="25" t="str">
        <f>'Source Table'!$B$11</f>
        <v>Mechanical</v>
      </c>
      <c r="K162" s="25" t="str">
        <f>'Source Table'!$I$11</f>
        <v>ميكانيك</v>
      </c>
      <c r="L162" s="44">
        <v>36</v>
      </c>
      <c r="M162">
        <v>2019</v>
      </c>
    </row>
    <row r="163" spans="1:13" ht="15">
      <c r="A163" t="s">
        <v>112</v>
      </c>
      <c r="B163" t="s">
        <v>113</v>
      </c>
      <c r="C163" s="15" t="s">
        <v>30</v>
      </c>
      <c r="D163" s="23" t="s">
        <v>81</v>
      </c>
      <c r="E163" s="25" t="s">
        <v>82</v>
      </c>
      <c r="F163" s="25" t="str">
        <f>'Source Table'!$F$6</f>
        <v>Male</v>
      </c>
      <c r="G163" s="25" t="str">
        <f>'Source Table'!$F$5</f>
        <v>ذكر</v>
      </c>
      <c r="H163" t="str">
        <f>'Source Table'!$F$8</f>
        <v>Foreign</v>
      </c>
      <c r="I163" s="16" t="str">
        <f>'Source Table'!$F$7</f>
        <v>أجنبي</v>
      </c>
      <c r="J163" s="25" t="str">
        <f>'Source Table'!$B$12</f>
        <v>Electricity</v>
      </c>
      <c r="K163" s="25" t="str">
        <f>'Source Table'!$I$12</f>
        <v>كهرباء</v>
      </c>
      <c r="L163" s="44">
        <v>30</v>
      </c>
      <c r="M163">
        <v>2019</v>
      </c>
    </row>
    <row r="164" spans="1:13" ht="15">
      <c r="A164" t="s">
        <v>112</v>
      </c>
      <c r="B164" t="s">
        <v>113</v>
      </c>
      <c r="C164" s="15" t="s">
        <v>30</v>
      </c>
      <c r="D164" s="23" t="s">
        <v>81</v>
      </c>
      <c r="E164" s="25" t="s">
        <v>82</v>
      </c>
      <c r="F164" s="25" t="str">
        <f>'Source Table'!$F$6</f>
        <v>Male</v>
      </c>
      <c r="G164" s="25" t="str">
        <f>'Source Table'!$F$5</f>
        <v>ذكر</v>
      </c>
      <c r="H164" t="str">
        <f>'Source Table'!$F$8</f>
        <v>Foreign</v>
      </c>
      <c r="I164" s="16" t="str">
        <f>'Source Table'!$F$7</f>
        <v>أجنبي</v>
      </c>
      <c r="J164" s="25" t="str">
        <f>'Source Table'!$B$13</f>
        <v>Mining</v>
      </c>
      <c r="K164" s="25" t="str">
        <f>'Source Table'!$I$13</f>
        <v>تعدين</v>
      </c>
      <c r="L164" s="44">
        <v>3</v>
      </c>
      <c r="M164">
        <v>2019</v>
      </c>
    </row>
    <row r="165" spans="1:13" ht="15">
      <c r="A165" t="s">
        <v>112</v>
      </c>
      <c r="B165" t="s">
        <v>113</v>
      </c>
      <c r="C165" s="15" t="s">
        <v>30</v>
      </c>
      <c r="D165" s="23" t="s">
        <v>81</v>
      </c>
      <c r="E165" s="25" t="s">
        <v>82</v>
      </c>
      <c r="F165" s="25" t="str">
        <f>'Source Table'!$F$6</f>
        <v>Male</v>
      </c>
      <c r="G165" s="25" t="str">
        <f>'Source Table'!$F$5</f>
        <v>ذكر</v>
      </c>
      <c r="H165" t="str">
        <f>'Source Table'!$F$8</f>
        <v>Foreign</v>
      </c>
      <c r="I165" s="16" t="str">
        <f>'Source Table'!$F$7</f>
        <v>أجنبي</v>
      </c>
      <c r="J165" s="25" t="str">
        <f>'Source Table'!$B$14</f>
        <v>Chemistry</v>
      </c>
      <c r="K165" s="25" t="str">
        <f>'Source Table'!$I$14</f>
        <v>كيمياء</v>
      </c>
      <c r="L165" s="44">
        <v>3</v>
      </c>
      <c r="M165">
        <v>2019</v>
      </c>
    </row>
    <row r="166" spans="1:13" ht="15">
      <c r="A166" t="s">
        <v>112</v>
      </c>
      <c r="B166" t="s">
        <v>113</v>
      </c>
      <c r="C166" s="15" t="s">
        <v>30</v>
      </c>
      <c r="D166" s="23" t="s">
        <v>81</v>
      </c>
      <c r="E166" s="25" t="s">
        <v>82</v>
      </c>
      <c r="F166" s="16" t="str">
        <f>'Source Table'!$C$6</f>
        <v>Female</v>
      </c>
      <c r="G166" s="16" t="str">
        <f>'Source Table'!$C$5</f>
        <v>أنثى</v>
      </c>
      <c r="H166" t="str">
        <f>'Source Table'!$H$8</f>
        <v>Jordanian</v>
      </c>
      <c r="I166" s="25" t="str">
        <f>'Source Table'!$H$7</f>
        <v>أردني</v>
      </c>
      <c r="J166" s="25" t="str">
        <f>'Source Table'!$B$9</f>
        <v>Civil</v>
      </c>
      <c r="K166" s="25" t="str">
        <f>'Source Table'!$I$9</f>
        <v>مدني</v>
      </c>
      <c r="L166" s="44">
        <v>11245</v>
      </c>
      <c r="M166">
        <v>2019</v>
      </c>
    </row>
    <row r="167" spans="1:13" ht="15">
      <c r="A167" t="s">
        <v>112</v>
      </c>
      <c r="B167" t="s">
        <v>113</v>
      </c>
      <c r="C167" s="15" t="s">
        <v>30</v>
      </c>
      <c r="D167" s="23" t="s">
        <v>81</v>
      </c>
      <c r="E167" s="25" t="s">
        <v>82</v>
      </c>
      <c r="F167" s="16" t="str">
        <f>'Source Table'!$C$6</f>
        <v>Female</v>
      </c>
      <c r="G167" s="16" t="str">
        <f>'Source Table'!$C$5</f>
        <v>أنثى</v>
      </c>
      <c r="H167" t="str">
        <f>'Source Table'!$H$8</f>
        <v>Jordanian</v>
      </c>
      <c r="I167" s="25" t="str">
        <f>'Source Table'!$H$7</f>
        <v>أردني</v>
      </c>
      <c r="J167" s="25" t="str">
        <f>'Source Table'!$B$10</f>
        <v>Architecture</v>
      </c>
      <c r="K167" s="25" t="str">
        <f>'Source Table'!$I$10</f>
        <v>عمارة</v>
      </c>
      <c r="L167" s="44">
        <v>7700</v>
      </c>
      <c r="M167">
        <v>2019</v>
      </c>
    </row>
    <row r="168" spans="1:13" ht="15">
      <c r="A168" t="s">
        <v>112</v>
      </c>
      <c r="B168" t="s">
        <v>113</v>
      </c>
      <c r="C168" s="15" t="s">
        <v>30</v>
      </c>
      <c r="D168" s="23" t="s">
        <v>81</v>
      </c>
      <c r="E168" s="25" t="s">
        <v>82</v>
      </c>
      <c r="F168" s="16" t="str">
        <f>'Source Table'!$C$6</f>
        <v>Female</v>
      </c>
      <c r="G168" s="16" t="str">
        <f>'Source Table'!$C$5</f>
        <v>أنثى</v>
      </c>
      <c r="H168" t="str">
        <f>'Source Table'!$H$8</f>
        <v>Jordanian</v>
      </c>
      <c r="I168" s="25" t="str">
        <f>'Source Table'!$H$7</f>
        <v>أردني</v>
      </c>
      <c r="J168" s="25" t="str">
        <f>'Source Table'!$B$11</f>
        <v>Mechanical</v>
      </c>
      <c r="K168" s="25" t="str">
        <f>'Source Table'!$I$11</f>
        <v>ميكانيك</v>
      </c>
      <c r="L168" s="44">
        <v>4439</v>
      </c>
      <c r="M168">
        <v>2019</v>
      </c>
    </row>
    <row r="169" spans="1:13" ht="15">
      <c r="A169" t="s">
        <v>112</v>
      </c>
      <c r="B169" t="s">
        <v>113</v>
      </c>
      <c r="C169" s="15" t="s">
        <v>30</v>
      </c>
      <c r="D169" s="23" t="s">
        <v>81</v>
      </c>
      <c r="E169" s="25" t="s">
        <v>82</v>
      </c>
      <c r="F169" s="16" t="str">
        <f>'Source Table'!$C$6</f>
        <v>Female</v>
      </c>
      <c r="G169" s="16" t="str">
        <f>'Source Table'!$C$5</f>
        <v>أنثى</v>
      </c>
      <c r="H169" t="str">
        <f>'Source Table'!$H$8</f>
        <v>Jordanian</v>
      </c>
      <c r="I169" s="25" t="str">
        <f>'Source Table'!$H$7</f>
        <v>أردني</v>
      </c>
      <c r="J169" s="25" t="str">
        <f>'Source Table'!$B$12</f>
        <v>Electricity</v>
      </c>
      <c r="K169" s="25" t="str">
        <f>'Source Table'!$I$12</f>
        <v>كهرباء</v>
      </c>
      <c r="L169" s="44">
        <v>15431</v>
      </c>
      <c r="M169">
        <v>2019</v>
      </c>
    </row>
    <row r="170" spans="1:13" ht="15">
      <c r="A170" t="s">
        <v>112</v>
      </c>
      <c r="B170" t="s">
        <v>113</v>
      </c>
      <c r="C170" s="15" t="s">
        <v>30</v>
      </c>
      <c r="D170" s="23" t="s">
        <v>81</v>
      </c>
      <c r="E170" s="25" t="s">
        <v>82</v>
      </c>
      <c r="F170" s="16" t="str">
        <f>'Source Table'!$C$6</f>
        <v>Female</v>
      </c>
      <c r="G170" s="16" t="str">
        <f>'Source Table'!$C$5</f>
        <v>أنثى</v>
      </c>
      <c r="H170" t="str">
        <f>'Source Table'!$H$8</f>
        <v>Jordanian</v>
      </c>
      <c r="I170" s="25" t="str">
        <f>'Source Table'!$H$7</f>
        <v>أردني</v>
      </c>
      <c r="J170" s="25" t="str">
        <f>'Source Table'!$B$13</f>
        <v>Mining</v>
      </c>
      <c r="K170" s="25" t="str">
        <f>'Source Table'!$I$13</f>
        <v>تعدين</v>
      </c>
      <c r="L170" s="44">
        <v>144</v>
      </c>
      <c r="M170">
        <v>2019</v>
      </c>
    </row>
    <row r="171" spans="1:13" ht="15">
      <c r="A171" t="s">
        <v>112</v>
      </c>
      <c r="B171" t="s">
        <v>113</v>
      </c>
      <c r="C171" s="15" t="s">
        <v>30</v>
      </c>
      <c r="D171" s="23" t="s">
        <v>81</v>
      </c>
      <c r="E171" s="25" t="s">
        <v>82</v>
      </c>
      <c r="F171" s="16" t="str">
        <f>'Source Table'!$C$6</f>
        <v>Female</v>
      </c>
      <c r="G171" s="16" t="str">
        <f>'Source Table'!$C$5</f>
        <v>أنثى</v>
      </c>
      <c r="H171" t="str">
        <f>'Source Table'!$H$8</f>
        <v>Jordanian</v>
      </c>
      <c r="I171" s="25" t="str">
        <f>'Source Table'!$H$7</f>
        <v>أردني</v>
      </c>
      <c r="J171" s="25" t="str">
        <f>'Source Table'!$B$14</f>
        <v>Chemistry</v>
      </c>
      <c r="K171" s="25" t="str">
        <f>'Source Table'!$I$14</f>
        <v>كيمياء</v>
      </c>
      <c r="L171" s="44">
        <v>4620</v>
      </c>
      <c r="M171">
        <v>2019</v>
      </c>
    </row>
    <row r="172" spans="1:13" ht="15">
      <c r="A172" t="s">
        <v>112</v>
      </c>
      <c r="B172" t="s">
        <v>113</v>
      </c>
      <c r="C172" s="15" t="s">
        <v>30</v>
      </c>
      <c r="D172" s="23" t="s">
        <v>81</v>
      </c>
      <c r="E172" s="25" t="s">
        <v>82</v>
      </c>
      <c r="F172" s="16" t="str">
        <f>'Source Table'!$C$6</f>
        <v>Female</v>
      </c>
      <c r="G172" s="16" t="str">
        <f>'Source Table'!$C$5</f>
        <v>أنثى</v>
      </c>
      <c r="H172" t="str">
        <f>'Source Table'!$G$8</f>
        <v>Arab</v>
      </c>
      <c r="I172" s="16" t="str">
        <f>'Source Table'!$G$7</f>
        <v>عربي</v>
      </c>
      <c r="J172" s="25" t="str">
        <f>'Source Table'!$B$9</f>
        <v>Civil</v>
      </c>
      <c r="K172" s="25" t="str">
        <f>'Source Table'!$I$9</f>
        <v>مدني</v>
      </c>
      <c r="L172" s="44">
        <v>187</v>
      </c>
      <c r="M172">
        <v>2019</v>
      </c>
    </row>
    <row r="173" spans="1:13" ht="15">
      <c r="A173" t="s">
        <v>112</v>
      </c>
      <c r="B173" t="s">
        <v>113</v>
      </c>
      <c r="C173" s="15" t="s">
        <v>30</v>
      </c>
      <c r="D173" s="23" t="s">
        <v>81</v>
      </c>
      <c r="E173" s="25" t="s">
        <v>82</v>
      </c>
      <c r="F173" s="16" t="str">
        <f>'Source Table'!$C$6</f>
        <v>Female</v>
      </c>
      <c r="G173" s="16" t="str">
        <f>'Source Table'!$C$5</f>
        <v>أنثى</v>
      </c>
      <c r="H173" t="str">
        <f>'Source Table'!$G$8</f>
        <v>Arab</v>
      </c>
      <c r="I173" s="16" t="str">
        <f>'Source Table'!$G$7</f>
        <v>عربي</v>
      </c>
      <c r="J173" s="25" t="str">
        <f>'Source Table'!$B$10</f>
        <v>Architecture</v>
      </c>
      <c r="K173" s="25" t="str">
        <f>'Source Table'!$I$10</f>
        <v>عمارة</v>
      </c>
      <c r="L173" s="44">
        <v>330</v>
      </c>
      <c r="M173">
        <v>2019</v>
      </c>
    </row>
    <row r="174" spans="1:13" ht="15">
      <c r="A174" t="s">
        <v>112</v>
      </c>
      <c r="B174" t="s">
        <v>113</v>
      </c>
      <c r="C174" s="15" t="s">
        <v>30</v>
      </c>
      <c r="D174" s="23" t="s">
        <v>81</v>
      </c>
      <c r="E174" s="25" t="s">
        <v>82</v>
      </c>
      <c r="F174" s="16" t="str">
        <f>'Source Table'!$C$6</f>
        <v>Female</v>
      </c>
      <c r="G174" s="16" t="str">
        <f>'Source Table'!$C$5</f>
        <v>أنثى</v>
      </c>
      <c r="H174" t="str">
        <f>'Source Table'!$G$8</f>
        <v>Arab</v>
      </c>
      <c r="I174" s="16" t="str">
        <f>'Source Table'!$G$7</f>
        <v>عربي</v>
      </c>
      <c r="J174" s="25" t="str">
        <f>'Source Table'!$B$11</f>
        <v>Mechanical</v>
      </c>
      <c r="K174" s="25" t="str">
        <f>'Source Table'!$I$11</f>
        <v>ميكانيك</v>
      </c>
      <c r="L174" s="44">
        <v>32</v>
      </c>
      <c r="M174">
        <v>2019</v>
      </c>
    </row>
    <row r="175" spans="1:13" ht="15">
      <c r="A175" t="s">
        <v>112</v>
      </c>
      <c r="B175" t="s">
        <v>113</v>
      </c>
      <c r="C175" s="15" t="s">
        <v>30</v>
      </c>
      <c r="D175" s="23" t="s">
        <v>81</v>
      </c>
      <c r="E175" s="25" t="s">
        <v>82</v>
      </c>
      <c r="F175" s="16" t="str">
        <f>'Source Table'!$C$6</f>
        <v>Female</v>
      </c>
      <c r="G175" s="16" t="str">
        <f>'Source Table'!$C$5</f>
        <v>أنثى</v>
      </c>
      <c r="H175" t="str">
        <f>'Source Table'!$G$8</f>
        <v>Arab</v>
      </c>
      <c r="I175" s="16" t="str">
        <f>'Source Table'!$G$7</f>
        <v>عربي</v>
      </c>
      <c r="J175" s="25" t="str">
        <f>'Source Table'!$B$12</f>
        <v>Electricity</v>
      </c>
      <c r="K175" s="25" t="str">
        <f>'Source Table'!$I$12</f>
        <v>كهرباء</v>
      </c>
      <c r="L175" s="44">
        <v>127</v>
      </c>
      <c r="M175">
        <v>2019</v>
      </c>
    </row>
    <row r="176" spans="1:13" ht="15">
      <c r="A176" t="s">
        <v>112</v>
      </c>
      <c r="B176" t="s">
        <v>113</v>
      </c>
      <c r="C176" s="15" t="s">
        <v>30</v>
      </c>
      <c r="D176" s="23" t="s">
        <v>81</v>
      </c>
      <c r="E176" s="25" t="s">
        <v>82</v>
      </c>
      <c r="F176" s="16" t="str">
        <f>'Source Table'!$C$6</f>
        <v>Female</v>
      </c>
      <c r="G176" s="16" t="str">
        <f>'Source Table'!$C$5</f>
        <v>أنثى</v>
      </c>
      <c r="H176" t="str">
        <f>'Source Table'!$G$8</f>
        <v>Arab</v>
      </c>
      <c r="I176" s="16" t="str">
        <f>'Source Table'!$G$7</f>
        <v>عربي</v>
      </c>
      <c r="J176" s="25" t="str">
        <f>'Source Table'!$B$13</f>
        <v>Mining</v>
      </c>
      <c r="K176" s="25" t="str">
        <f>'Source Table'!$I$13</f>
        <v>تعدين</v>
      </c>
      <c r="L176" s="44">
        <v>0</v>
      </c>
      <c r="M176">
        <v>2019</v>
      </c>
    </row>
    <row r="177" spans="1:13" ht="15">
      <c r="A177" t="s">
        <v>112</v>
      </c>
      <c r="B177" t="s">
        <v>113</v>
      </c>
      <c r="C177" s="15" t="s">
        <v>30</v>
      </c>
      <c r="D177" s="23" t="s">
        <v>81</v>
      </c>
      <c r="E177" s="25" t="s">
        <v>82</v>
      </c>
      <c r="F177" s="16" t="str">
        <f>'Source Table'!$C$6</f>
        <v>Female</v>
      </c>
      <c r="G177" s="16" t="str">
        <f>'Source Table'!$C$5</f>
        <v>أنثى</v>
      </c>
      <c r="H177" t="str">
        <f>'Source Table'!$G$8</f>
        <v>Arab</v>
      </c>
      <c r="I177" s="16" t="str">
        <f>'Source Table'!$G$7</f>
        <v>عربي</v>
      </c>
      <c r="J177" s="25" t="str">
        <f>'Source Table'!$B$14</f>
        <v>Chemistry</v>
      </c>
      <c r="K177" s="25" t="str">
        <f>'Source Table'!$I$14</f>
        <v>كيمياء</v>
      </c>
      <c r="L177" s="44">
        <v>36</v>
      </c>
      <c r="M177">
        <v>2019</v>
      </c>
    </row>
    <row r="178" spans="1:13" ht="15">
      <c r="A178" t="s">
        <v>112</v>
      </c>
      <c r="B178" t="s">
        <v>113</v>
      </c>
      <c r="C178" s="15" t="s">
        <v>30</v>
      </c>
      <c r="D178" s="23" t="s">
        <v>81</v>
      </c>
      <c r="E178" s="25" t="s">
        <v>82</v>
      </c>
      <c r="F178" s="16" t="str">
        <f>'Source Table'!$C$6</f>
        <v>Female</v>
      </c>
      <c r="G178" s="16" t="str">
        <f>'Source Table'!$C$5</f>
        <v>أنثى</v>
      </c>
      <c r="H178" t="str">
        <f>'Source Table'!$F$8</f>
        <v>Foreign</v>
      </c>
      <c r="I178" s="16" t="str">
        <f>'Source Table'!$F$7</f>
        <v>أجنبي</v>
      </c>
      <c r="J178" s="25" t="str">
        <f>'Source Table'!$B$9</f>
        <v>Civil</v>
      </c>
      <c r="K178" s="25" t="str">
        <f>'Source Table'!$I$9</f>
        <v>مدني</v>
      </c>
      <c r="L178" s="44">
        <v>18</v>
      </c>
      <c r="M178">
        <v>2019</v>
      </c>
    </row>
    <row r="179" spans="1:13" ht="15">
      <c r="A179" t="s">
        <v>112</v>
      </c>
      <c r="B179" t="s">
        <v>113</v>
      </c>
      <c r="C179" s="15" t="s">
        <v>30</v>
      </c>
      <c r="D179" s="23" t="s">
        <v>81</v>
      </c>
      <c r="E179" s="25" t="s">
        <v>82</v>
      </c>
      <c r="F179" s="16" t="str">
        <f>'Source Table'!$C$6</f>
        <v>Female</v>
      </c>
      <c r="G179" s="16" t="str">
        <f>'Source Table'!$C$5</f>
        <v>أنثى</v>
      </c>
      <c r="H179" t="str">
        <f>'Source Table'!$F$8</f>
        <v>Foreign</v>
      </c>
      <c r="I179" s="16" t="str">
        <f>'Source Table'!$F$7</f>
        <v>أجنبي</v>
      </c>
      <c r="J179" s="25" t="str">
        <f>'Source Table'!$B$10</f>
        <v>Architecture</v>
      </c>
      <c r="K179" s="25" t="str">
        <f>'Source Table'!$I$10</f>
        <v>عمارة</v>
      </c>
      <c r="L179" s="44">
        <v>19</v>
      </c>
      <c r="M179">
        <v>2019</v>
      </c>
    </row>
    <row r="180" spans="1:13" ht="15">
      <c r="A180" t="s">
        <v>112</v>
      </c>
      <c r="B180" t="s">
        <v>113</v>
      </c>
      <c r="C180" s="15" t="s">
        <v>30</v>
      </c>
      <c r="D180" s="23" t="s">
        <v>81</v>
      </c>
      <c r="E180" s="25" t="s">
        <v>82</v>
      </c>
      <c r="F180" s="16" t="str">
        <f>'Source Table'!$C$6</f>
        <v>Female</v>
      </c>
      <c r="G180" s="16" t="str">
        <f>'Source Table'!$C$5</f>
        <v>أنثى</v>
      </c>
      <c r="H180" t="str">
        <f>'Source Table'!$F$8</f>
        <v>Foreign</v>
      </c>
      <c r="I180" s="16" t="str">
        <f>'Source Table'!$F$7</f>
        <v>أجنبي</v>
      </c>
      <c r="J180" s="25" t="str">
        <f>'Source Table'!$B$11</f>
        <v>Mechanical</v>
      </c>
      <c r="K180" s="25" t="str">
        <f>'Source Table'!$I$11</f>
        <v>ميكانيك</v>
      </c>
      <c r="L180" s="44">
        <v>6</v>
      </c>
      <c r="M180">
        <v>2019</v>
      </c>
    </row>
    <row r="181" spans="1:13" ht="15">
      <c r="A181" t="s">
        <v>112</v>
      </c>
      <c r="B181" t="s">
        <v>113</v>
      </c>
      <c r="C181" s="15" t="s">
        <v>30</v>
      </c>
      <c r="D181" s="23" t="s">
        <v>81</v>
      </c>
      <c r="E181" s="25" t="s">
        <v>82</v>
      </c>
      <c r="F181" s="16" t="str">
        <f>'Source Table'!$C$6</f>
        <v>Female</v>
      </c>
      <c r="G181" s="16" t="str">
        <f>'Source Table'!$C$5</f>
        <v>أنثى</v>
      </c>
      <c r="H181" t="str">
        <f>'Source Table'!$F$8</f>
        <v>Foreign</v>
      </c>
      <c r="I181" s="16" t="str">
        <f>'Source Table'!$F$7</f>
        <v>أجنبي</v>
      </c>
      <c r="J181" s="25" t="str">
        <f>'Source Table'!$B$12</f>
        <v>Electricity</v>
      </c>
      <c r="K181" s="25" t="str">
        <f>'Source Table'!$I$12</f>
        <v>كهرباء</v>
      </c>
      <c r="L181" s="44">
        <v>3</v>
      </c>
      <c r="M181">
        <v>2019</v>
      </c>
    </row>
    <row r="182" spans="1:13" ht="15">
      <c r="A182" t="s">
        <v>112</v>
      </c>
      <c r="B182" t="s">
        <v>113</v>
      </c>
      <c r="C182" s="15" t="s">
        <v>30</v>
      </c>
      <c r="D182" s="23" t="s">
        <v>81</v>
      </c>
      <c r="E182" s="25" t="s">
        <v>82</v>
      </c>
      <c r="F182" s="16" t="str">
        <f>'Source Table'!$C$6</f>
        <v>Female</v>
      </c>
      <c r="G182" s="16" t="str">
        <f>'Source Table'!$C$5</f>
        <v>أنثى</v>
      </c>
      <c r="H182" t="str">
        <f>'Source Table'!$F$8</f>
        <v>Foreign</v>
      </c>
      <c r="I182" s="16" t="str">
        <f>'Source Table'!$F$7</f>
        <v>أجنبي</v>
      </c>
      <c r="J182" s="25" t="str">
        <f>'Source Table'!$B$13</f>
        <v>Mining</v>
      </c>
      <c r="K182" s="25" t="str">
        <f>'Source Table'!$I$13</f>
        <v>تعدين</v>
      </c>
      <c r="L182" s="44">
        <v>0</v>
      </c>
      <c r="M182">
        <v>2019</v>
      </c>
    </row>
    <row r="183" spans="1:13" ht="15">
      <c r="A183" t="s">
        <v>112</v>
      </c>
      <c r="B183" t="s">
        <v>113</v>
      </c>
      <c r="C183" s="15" t="s">
        <v>30</v>
      </c>
      <c r="D183" s="23" t="s">
        <v>81</v>
      </c>
      <c r="E183" s="25" t="s">
        <v>82</v>
      </c>
      <c r="F183" s="16" t="str">
        <f>'Source Table'!$C$6</f>
        <v>Female</v>
      </c>
      <c r="G183" s="16" t="str">
        <f>'Source Table'!$C$5</f>
        <v>أنثى</v>
      </c>
      <c r="H183" t="str">
        <f>'Source Table'!$F$8</f>
        <v>Foreign</v>
      </c>
      <c r="I183" s="16" t="str">
        <f>'Source Table'!$F$7</f>
        <v>أجنبي</v>
      </c>
      <c r="J183" s="25" t="str">
        <f>'Source Table'!$B$14</f>
        <v>Chemistry</v>
      </c>
      <c r="K183" s="25" t="str">
        <f>'Source Table'!$I$14</f>
        <v>كيمياء</v>
      </c>
      <c r="L183" s="44">
        <v>3</v>
      </c>
      <c r="M183">
        <v>2019</v>
      </c>
    </row>
    <row r="184" spans="1:13" ht="15">
      <c r="A184" t="s">
        <v>112</v>
      </c>
      <c r="B184" t="s">
        <v>113</v>
      </c>
      <c r="C184" s="15" t="s">
        <v>30</v>
      </c>
      <c r="D184" s="23" t="s">
        <v>81</v>
      </c>
      <c r="E184" s="25" t="s">
        <v>82</v>
      </c>
      <c r="F184" s="25" t="str">
        <f>'Source Table'!$F$6</f>
        <v>Male</v>
      </c>
      <c r="G184" s="25" t="str">
        <f>'Source Table'!$F$5</f>
        <v>ذكر</v>
      </c>
      <c r="H184" t="str">
        <f>'Source Table'!$H$8</f>
        <v>Jordanian</v>
      </c>
      <c r="I184" s="25" t="str">
        <f>'Source Table'!$H$7</f>
        <v>أردني</v>
      </c>
      <c r="J184" s="25" t="str">
        <f>'Source Table'!$B$9</f>
        <v>Civil</v>
      </c>
      <c r="K184" s="25" t="str">
        <f>'Source Table'!$I$9</f>
        <v>مدني</v>
      </c>
      <c r="L184" s="45">
        <v>33753</v>
      </c>
      <c r="M184">
        <v>2018</v>
      </c>
    </row>
    <row r="185" spans="1:13" ht="15">
      <c r="A185" t="s">
        <v>112</v>
      </c>
      <c r="B185" t="s">
        <v>113</v>
      </c>
      <c r="C185" s="15" t="s">
        <v>30</v>
      </c>
      <c r="D185" s="23" t="s">
        <v>81</v>
      </c>
      <c r="E185" s="25" t="s">
        <v>82</v>
      </c>
      <c r="F185" s="25" t="str">
        <f>'Source Table'!$F$6</f>
        <v>Male</v>
      </c>
      <c r="G185" s="25" t="str">
        <f>'Source Table'!$F$5</f>
        <v>ذكر</v>
      </c>
      <c r="H185" t="str">
        <f>'Source Table'!$H$8</f>
        <v>Jordanian</v>
      </c>
      <c r="I185" s="25" t="str">
        <f>'Source Table'!$H$7</f>
        <v>أردني</v>
      </c>
      <c r="J185" s="25" t="str">
        <f>'Source Table'!$B$10</f>
        <v>Architecture</v>
      </c>
      <c r="K185" s="25" t="str">
        <f>'Source Table'!$I$10</f>
        <v>عمارة</v>
      </c>
      <c r="L185" s="45">
        <v>6096</v>
      </c>
      <c r="M185">
        <v>2018</v>
      </c>
    </row>
    <row r="186" spans="1:13" ht="15">
      <c r="A186" t="s">
        <v>112</v>
      </c>
      <c r="B186" t="s">
        <v>113</v>
      </c>
      <c r="C186" s="15" t="s">
        <v>30</v>
      </c>
      <c r="D186" s="23" t="s">
        <v>81</v>
      </c>
      <c r="E186" s="25" t="s">
        <v>82</v>
      </c>
      <c r="F186" s="25" t="str">
        <f>'Source Table'!$F$6</f>
        <v>Male</v>
      </c>
      <c r="G186" s="25" t="str">
        <f>'Source Table'!$F$5</f>
        <v>ذكر</v>
      </c>
      <c r="H186" t="str">
        <f>'Source Table'!$H$8</f>
        <v>Jordanian</v>
      </c>
      <c r="I186" s="25" t="str">
        <f>'Source Table'!$H$7</f>
        <v>أردني</v>
      </c>
      <c r="J186" s="25" t="str">
        <f>'Source Table'!$B$11</f>
        <v>Mechanical</v>
      </c>
      <c r="K186" s="25" t="str">
        <f>'Source Table'!$I$11</f>
        <v>ميكانيك</v>
      </c>
      <c r="L186" s="45">
        <v>26054</v>
      </c>
      <c r="M186">
        <v>2018</v>
      </c>
    </row>
    <row r="187" spans="1:13" ht="15">
      <c r="A187" t="s">
        <v>112</v>
      </c>
      <c r="B187" t="s">
        <v>113</v>
      </c>
      <c r="C187" s="15" t="s">
        <v>30</v>
      </c>
      <c r="D187" s="23" t="s">
        <v>81</v>
      </c>
      <c r="E187" s="25" t="s">
        <v>82</v>
      </c>
      <c r="F187" s="25" t="str">
        <f>'Source Table'!$F$6</f>
        <v>Male</v>
      </c>
      <c r="G187" s="25" t="str">
        <f>'Source Table'!$F$5</f>
        <v>ذكر</v>
      </c>
      <c r="H187" t="str">
        <f>'Source Table'!$H$8</f>
        <v>Jordanian</v>
      </c>
      <c r="I187" s="25" t="str">
        <f>'Source Table'!$H$7</f>
        <v>أردني</v>
      </c>
      <c r="J187" s="25" t="str">
        <f>'Source Table'!$B$12</f>
        <v>Electricity</v>
      </c>
      <c r="K187" s="25" t="str">
        <f>'Source Table'!$I$12</f>
        <v>كهرباء</v>
      </c>
      <c r="L187" s="45">
        <v>40649</v>
      </c>
      <c r="M187">
        <v>2018</v>
      </c>
    </row>
    <row r="188" spans="1:13" ht="15">
      <c r="A188" t="s">
        <v>112</v>
      </c>
      <c r="B188" t="s">
        <v>113</v>
      </c>
      <c r="C188" s="15" t="s">
        <v>30</v>
      </c>
      <c r="D188" s="23" t="s">
        <v>81</v>
      </c>
      <c r="E188" s="25" t="s">
        <v>82</v>
      </c>
      <c r="F188" s="25" t="str">
        <f>'Source Table'!$F$6</f>
        <v>Male</v>
      </c>
      <c r="G188" s="25" t="str">
        <f>'Source Table'!$F$5</f>
        <v>ذكر</v>
      </c>
      <c r="H188" t="str">
        <f>'Source Table'!$H$8</f>
        <v>Jordanian</v>
      </c>
      <c r="I188" s="25" t="str">
        <f>'Source Table'!$H$7</f>
        <v>أردني</v>
      </c>
      <c r="J188" s="25" t="str">
        <f>'Source Table'!$B$13</f>
        <v>Mining</v>
      </c>
      <c r="K188" s="25" t="str">
        <f>'Source Table'!$I$13</f>
        <v>تعدين</v>
      </c>
      <c r="L188" s="45">
        <v>1354</v>
      </c>
      <c r="M188">
        <v>2018</v>
      </c>
    </row>
    <row r="189" spans="1:13" ht="15">
      <c r="A189" t="s">
        <v>112</v>
      </c>
      <c r="B189" t="s">
        <v>113</v>
      </c>
      <c r="C189" s="15" t="s">
        <v>30</v>
      </c>
      <c r="D189" s="23" t="s">
        <v>81</v>
      </c>
      <c r="E189" s="25" t="s">
        <v>82</v>
      </c>
      <c r="F189" s="25" t="str">
        <f>'Source Table'!$F$6</f>
        <v>Male</v>
      </c>
      <c r="G189" s="25" t="str">
        <f>'Source Table'!$F$5</f>
        <v>ذكر</v>
      </c>
      <c r="H189" t="str">
        <f>'Source Table'!$H$8</f>
        <v>Jordanian</v>
      </c>
      <c r="I189" s="25" t="str">
        <f>'Source Table'!$H$7</f>
        <v>أردني</v>
      </c>
      <c r="J189" s="25" t="str">
        <f>'Source Table'!$B$14</f>
        <v>Chemistry</v>
      </c>
      <c r="K189" s="25" t="str">
        <f>'Source Table'!$I$14</f>
        <v>كيمياء</v>
      </c>
      <c r="L189" s="45">
        <v>3961</v>
      </c>
      <c r="M189">
        <v>2018</v>
      </c>
    </row>
    <row r="190" spans="1:13" ht="15">
      <c r="A190" t="s">
        <v>112</v>
      </c>
      <c r="B190" t="s">
        <v>113</v>
      </c>
      <c r="C190" s="15" t="s">
        <v>30</v>
      </c>
      <c r="D190" s="23" t="s">
        <v>81</v>
      </c>
      <c r="E190" s="25" t="s">
        <v>82</v>
      </c>
      <c r="F190" s="25" t="str">
        <f>'Source Table'!$F$6</f>
        <v>Male</v>
      </c>
      <c r="G190" s="25" t="str">
        <f>'Source Table'!$F$5</f>
        <v>ذكر</v>
      </c>
      <c r="H190" t="str">
        <f>'Source Table'!$G$8</f>
        <v>Arab</v>
      </c>
      <c r="I190" s="16" t="str">
        <f>'Source Table'!$G$7</f>
        <v>عربي</v>
      </c>
      <c r="J190" s="25" t="str">
        <f>'Source Table'!$B$9</f>
        <v>Civil</v>
      </c>
      <c r="K190" s="25" t="str">
        <f>'Source Table'!$I$9</f>
        <v>مدني</v>
      </c>
      <c r="L190" s="45">
        <v>1441</v>
      </c>
      <c r="M190">
        <v>2018</v>
      </c>
    </row>
    <row r="191" spans="1:13" ht="15">
      <c r="A191" t="s">
        <v>112</v>
      </c>
      <c r="B191" t="s">
        <v>113</v>
      </c>
      <c r="C191" s="15" t="s">
        <v>30</v>
      </c>
      <c r="D191" s="23" t="s">
        <v>81</v>
      </c>
      <c r="E191" s="25" t="s">
        <v>82</v>
      </c>
      <c r="F191" s="25" t="str">
        <f>'Source Table'!$F$6</f>
        <v>Male</v>
      </c>
      <c r="G191" s="25" t="str">
        <f>'Source Table'!$F$5</f>
        <v>ذكر</v>
      </c>
      <c r="H191" t="str">
        <f>'Source Table'!$G$8</f>
        <v>Arab</v>
      </c>
      <c r="I191" s="16" t="str">
        <f>'Source Table'!$G$7</f>
        <v>عربي</v>
      </c>
      <c r="J191" s="25" t="str">
        <f>'Source Table'!$B$10</f>
        <v>Architecture</v>
      </c>
      <c r="K191" s="25" t="str">
        <f>'Source Table'!$I$10</f>
        <v>عمارة</v>
      </c>
      <c r="L191" s="45">
        <v>466</v>
      </c>
      <c r="M191">
        <v>2018</v>
      </c>
    </row>
    <row r="192" spans="1:13" ht="15">
      <c r="A192" t="s">
        <v>112</v>
      </c>
      <c r="B192" t="s">
        <v>113</v>
      </c>
      <c r="C192" s="15" t="s">
        <v>30</v>
      </c>
      <c r="D192" s="23" t="s">
        <v>81</v>
      </c>
      <c r="E192" s="25" t="s">
        <v>82</v>
      </c>
      <c r="F192" s="25" t="str">
        <f>'Source Table'!$F$6</f>
        <v>Male</v>
      </c>
      <c r="G192" s="25" t="str">
        <f>'Source Table'!$F$5</f>
        <v>ذكر</v>
      </c>
      <c r="H192" t="str">
        <f>'Source Table'!$G$8</f>
        <v>Arab</v>
      </c>
      <c r="I192" s="16" t="str">
        <f>'Source Table'!$G$7</f>
        <v>عربي</v>
      </c>
      <c r="J192" s="25" t="str">
        <f>'Source Table'!$B$11</f>
        <v>Mechanical</v>
      </c>
      <c r="K192" s="25" t="str">
        <f>'Source Table'!$I$11</f>
        <v>ميكانيك</v>
      </c>
      <c r="L192" s="45">
        <v>479</v>
      </c>
      <c r="M192">
        <v>2018</v>
      </c>
    </row>
    <row r="193" spans="1:13" ht="15">
      <c r="A193" t="s">
        <v>112</v>
      </c>
      <c r="B193" t="s">
        <v>113</v>
      </c>
      <c r="C193" s="15" t="s">
        <v>30</v>
      </c>
      <c r="D193" s="23" t="s">
        <v>81</v>
      </c>
      <c r="E193" s="25" t="s">
        <v>82</v>
      </c>
      <c r="F193" s="25" t="str">
        <f>'Source Table'!$F$6</f>
        <v>Male</v>
      </c>
      <c r="G193" s="25" t="str">
        <f>'Source Table'!$F$5</f>
        <v>ذكر</v>
      </c>
      <c r="H193" t="str">
        <f>'Source Table'!$G$8</f>
        <v>Arab</v>
      </c>
      <c r="I193" s="16" t="str">
        <f>'Source Table'!$G$7</f>
        <v>عربي</v>
      </c>
      <c r="J193" s="25" t="str">
        <f>'Source Table'!$B$12</f>
        <v>Electricity</v>
      </c>
      <c r="K193" s="25" t="str">
        <f>'Source Table'!$I$12</f>
        <v>كهرباء</v>
      </c>
      <c r="L193" s="45">
        <v>812</v>
      </c>
      <c r="M193">
        <v>2018</v>
      </c>
    </row>
    <row r="194" spans="1:13" ht="15">
      <c r="A194" t="s">
        <v>112</v>
      </c>
      <c r="B194" t="s">
        <v>113</v>
      </c>
      <c r="C194" s="15" t="s">
        <v>30</v>
      </c>
      <c r="D194" s="23" t="s">
        <v>81</v>
      </c>
      <c r="E194" s="25" t="s">
        <v>82</v>
      </c>
      <c r="F194" s="25" t="str">
        <f>'Source Table'!$F$6</f>
        <v>Male</v>
      </c>
      <c r="G194" s="25" t="str">
        <f>'Source Table'!$F$5</f>
        <v>ذكر</v>
      </c>
      <c r="H194" t="str">
        <f>'Source Table'!$G$8</f>
        <v>Arab</v>
      </c>
      <c r="I194" s="16" t="str">
        <f>'Source Table'!$G$7</f>
        <v>عربي</v>
      </c>
      <c r="J194" s="25" t="str">
        <f>'Source Table'!$B$13</f>
        <v>Mining</v>
      </c>
      <c r="K194" s="25" t="str">
        <f>'Source Table'!$I$13</f>
        <v>تعدين</v>
      </c>
      <c r="L194" s="45">
        <v>17</v>
      </c>
      <c r="M194">
        <v>2018</v>
      </c>
    </row>
    <row r="195" spans="1:13" ht="15">
      <c r="A195" t="s">
        <v>112</v>
      </c>
      <c r="B195" t="s">
        <v>113</v>
      </c>
      <c r="C195" s="15" t="s">
        <v>30</v>
      </c>
      <c r="D195" s="23" t="s">
        <v>81</v>
      </c>
      <c r="E195" s="25" t="s">
        <v>82</v>
      </c>
      <c r="F195" s="25" t="str">
        <f>'Source Table'!$F$6</f>
        <v>Male</v>
      </c>
      <c r="G195" s="25" t="str">
        <f>'Source Table'!$F$5</f>
        <v>ذكر</v>
      </c>
      <c r="H195" t="str">
        <f>'Source Table'!$G$8</f>
        <v>Arab</v>
      </c>
      <c r="I195" s="16" t="str">
        <f>'Source Table'!$G$7</f>
        <v>عربي</v>
      </c>
      <c r="J195" s="25" t="str">
        <f>'Source Table'!$B$14</f>
        <v>Chemistry</v>
      </c>
      <c r="K195" s="25" t="str">
        <f>'Source Table'!$I$14</f>
        <v>كيمياء</v>
      </c>
      <c r="L195" s="45">
        <v>54</v>
      </c>
      <c r="M195">
        <v>2018</v>
      </c>
    </row>
    <row r="196" spans="1:13" ht="15">
      <c r="A196" t="s">
        <v>112</v>
      </c>
      <c r="B196" t="s">
        <v>113</v>
      </c>
      <c r="C196" s="15" t="s">
        <v>30</v>
      </c>
      <c r="D196" s="23" t="s">
        <v>81</v>
      </c>
      <c r="E196" s="25" t="s">
        <v>82</v>
      </c>
      <c r="F196" s="25" t="str">
        <f>'Source Table'!$F$6</f>
        <v>Male</v>
      </c>
      <c r="G196" s="25" t="str">
        <f>'Source Table'!$F$5</f>
        <v>ذكر</v>
      </c>
      <c r="H196" t="str">
        <f>'Source Table'!$F$8</f>
        <v>Foreign</v>
      </c>
      <c r="I196" s="16" t="str">
        <f>'Source Table'!$F$7</f>
        <v>أجنبي</v>
      </c>
      <c r="J196" s="25" t="str">
        <f>'Source Table'!$B$9</f>
        <v>Civil</v>
      </c>
      <c r="K196" s="25" t="str">
        <f>'Source Table'!$I$9</f>
        <v>مدني</v>
      </c>
      <c r="L196" s="45">
        <v>178</v>
      </c>
      <c r="M196">
        <v>2018</v>
      </c>
    </row>
    <row r="197" spans="1:13" ht="15">
      <c r="A197" t="s">
        <v>112</v>
      </c>
      <c r="B197" t="s">
        <v>113</v>
      </c>
      <c r="C197" s="15" t="s">
        <v>30</v>
      </c>
      <c r="D197" s="23" t="s">
        <v>81</v>
      </c>
      <c r="E197" s="25" t="s">
        <v>82</v>
      </c>
      <c r="F197" s="25" t="str">
        <f>'Source Table'!$F$6</f>
        <v>Male</v>
      </c>
      <c r="G197" s="25" t="str">
        <f>'Source Table'!$F$5</f>
        <v>ذكر</v>
      </c>
      <c r="H197" t="str">
        <f>'Source Table'!$F$8</f>
        <v>Foreign</v>
      </c>
      <c r="I197" s="16" t="str">
        <f>'Source Table'!$F$7</f>
        <v>أجنبي</v>
      </c>
      <c r="J197" s="25" t="str">
        <f>'Source Table'!$B$10</f>
        <v>Architecture</v>
      </c>
      <c r="K197" s="25" t="str">
        <f>'Source Table'!$I$10</f>
        <v>عمارة</v>
      </c>
      <c r="L197" s="45">
        <v>37</v>
      </c>
      <c r="M197">
        <v>2018</v>
      </c>
    </row>
    <row r="198" spans="1:13" ht="15">
      <c r="A198" t="s">
        <v>112</v>
      </c>
      <c r="B198" t="s">
        <v>113</v>
      </c>
      <c r="C198" s="15" t="s">
        <v>30</v>
      </c>
      <c r="D198" s="23" t="s">
        <v>81</v>
      </c>
      <c r="E198" s="25" t="s">
        <v>82</v>
      </c>
      <c r="F198" s="25" t="str">
        <f>'Source Table'!$F$6</f>
        <v>Male</v>
      </c>
      <c r="G198" s="25" t="str">
        <f>'Source Table'!$F$5</f>
        <v>ذكر</v>
      </c>
      <c r="H198" t="str">
        <f>'Source Table'!$F$8</f>
        <v>Foreign</v>
      </c>
      <c r="I198" s="16" t="str">
        <f>'Source Table'!$F$7</f>
        <v>أجنبي</v>
      </c>
      <c r="J198" s="25" t="str">
        <f>'Source Table'!$B$11</f>
        <v>Mechanical</v>
      </c>
      <c r="K198" s="25" t="str">
        <f>'Source Table'!$I$11</f>
        <v>ميكانيك</v>
      </c>
      <c r="L198" s="45">
        <v>36</v>
      </c>
      <c r="M198">
        <v>2018</v>
      </c>
    </row>
    <row r="199" spans="1:13" ht="15">
      <c r="A199" t="s">
        <v>112</v>
      </c>
      <c r="B199" t="s">
        <v>113</v>
      </c>
      <c r="C199" s="15" t="s">
        <v>30</v>
      </c>
      <c r="D199" s="23" t="s">
        <v>81</v>
      </c>
      <c r="E199" s="25" t="s">
        <v>82</v>
      </c>
      <c r="F199" s="25" t="str">
        <f>'Source Table'!$F$6</f>
        <v>Male</v>
      </c>
      <c r="G199" s="25" t="str">
        <f>'Source Table'!$F$5</f>
        <v>ذكر</v>
      </c>
      <c r="H199" t="str">
        <f>'Source Table'!$F$8</f>
        <v>Foreign</v>
      </c>
      <c r="I199" s="16" t="str">
        <f>'Source Table'!$F$7</f>
        <v>أجنبي</v>
      </c>
      <c r="J199" s="25" t="str">
        <f>'Source Table'!$B$12</f>
        <v>Electricity</v>
      </c>
      <c r="K199" s="25" t="str">
        <f>'Source Table'!$I$12</f>
        <v>كهرباء</v>
      </c>
      <c r="L199" s="45">
        <v>30</v>
      </c>
      <c r="M199">
        <v>2018</v>
      </c>
    </row>
    <row r="200" spans="1:13" ht="15">
      <c r="A200" t="s">
        <v>112</v>
      </c>
      <c r="B200" t="s">
        <v>113</v>
      </c>
      <c r="C200" s="15" t="s">
        <v>30</v>
      </c>
      <c r="D200" s="23" t="s">
        <v>81</v>
      </c>
      <c r="E200" s="25" t="s">
        <v>82</v>
      </c>
      <c r="F200" s="25" t="str">
        <f>'Source Table'!$F$6</f>
        <v>Male</v>
      </c>
      <c r="G200" s="25" t="str">
        <f>'Source Table'!$F$5</f>
        <v>ذكر</v>
      </c>
      <c r="H200" t="str">
        <f>'Source Table'!$F$8</f>
        <v>Foreign</v>
      </c>
      <c r="I200" s="16" t="str">
        <f>'Source Table'!$F$7</f>
        <v>أجنبي</v>
      </c>
      <c r="J200" s="25" t="str">
        <f>'Source Table'!$B$13</f>
        <v>Mining</v>
      </c>
      <c r="K200" s="25" t="str">
        <f>'Source Table'!$I$13</f>
        <v>تعدين</v>
      </c>
      <c r="L200" s="45">
        <v>3</v>
      </c>
      <c r="M200">
        <v>2018</v>
      </c>
    </row>
    <row r="201" spans="1:13" ht="15">
      <c r="A201" t="s">
        <v>112</v>
      </c>
      <c r="B201" t="s">
        <v>113</v>
      </c>
      <c r="C201" s="15" t="s">
        <v>30</v>
      </c>
      <c r="D201" s="23" t="s">
        <v>81</v>
      </c>
      <c r="E201" s="25" t="s">
        <v>82</v>
      </c>
      <c r="F201" s="25" t="str">
        <f>'Source Table'!$F$6</f>
        <v>Male</v>
      </c>
      <c r="G201" s="25" t="str">
        <f>'Source Table'!$F$5</f>
        <v>ذكر</v>
      </c>
      <c r="H201" t="str">
        <f>'Source Table'!$F$8</f>
        <v>Foreign</v>
      </c>
      <c r="I201" s="16" t="str">
        <f>'Source Table'!$F$7</f>
        <v>أجنبي</v>
      </c>
      <c r="J201" s="25" t="str">
        <f>'Source Table'!$B$14</f>
        <v>Chemistry</v>
      </c>
      <c r="K201" s="25" t="str">
        <f>'Source Table'!$I$14</f>
        <v>كيمياء</v>
      </c>
      <c r="L201" s="45">
        <v>3</v>
      </c>
      <c r="M201">
        <v>2018</v>
      </c>
    </row>
    <row r="202" spans="1:13" ht="15">
      <c r="A202" t="s">
        <v>112</v>
      </c>
      <c r="B202" t="s">
        <v>113</v>
      </c>
      <c r="C202" s="15" t="s">
        <v>30</v>
      </c>
      <c r="D202" s="23" t="s">
        <v>81</v>
      </c>
      <c r="E202" s="25" t="s">
        <v>82</v>
      </c>
      <c r="F202" s="16" t="str">
        <f>'Source Table'!$C$6</f>
        <v>Female</v>
      </c>
      <c r="G202" s="16" t="str">
        <f>'Source Table'!$C$5</f>
        <v>أنثى</v>
      </c>
      <c r="H202" t="str">
        <f>'Source Table'!$H$8</f>
        <v>Jordanian</v>
      </c>
      <c r="I202" s="25" t="str">
        <f>'Source Table'!$H$7</f>
        <v>أردني</v>
      </c>
      <c r="J202" s="25" t="str">
        <f>'Source Table'!$B$9</f>
        <v>Civil</v>
      </c>
      <c r="K202" s="25" t="str">
        <f>'Source Table'!$I$9</f>
        <v>مدني</v>
      </c>
      <c r="L202" s="45">
        <v>10353</v>
      </c>
      <c r="M202">
        <v>2018</v>
      </c>
    </row>
    <row r="203" spans="1:13" ht="15">
      <c r="A203" t="s">
        <v>112</v>
      </c>
      <c r="B203" t="s">
        <v>113</v>
      </c>
      <c r="C203" s="15" t="s">
        <v>30</v>
      </c>
      <c r="D203" s="23" t="s">
        <v>81</v>
      </c>
      <c r="E203" s="25" t="s">
        <v>82</v>
      </c>
      <c r="F203" s="16" t="str">
        <f>'Source Table'!$C$6</f>
        <v>Female</v>
      </c>
      <c r="G203" s="16" t="str">
        <f>'Source Table'!$C$5</f>
        <v>أنثى</v>
      </c>
      <c r="H203" t="str">
        <f>'Source Table'!$H$8</f>
        <v>Jordanian</v>
      </c>
      <c r="I203" s="25" t="str">
        <f>'Source Table'!$H$7</f>
        <v>أردني</v>
      </c>
      <c r="J203" s="25" t="str">
        <f>'Source Table'!$B$10</f>
        <v>Architecture</v>
      </c>
      <c r="K203" s="25" t="str">
        <f>'Source Table'!$I$10</f>
        <v>عمارة</v>
      </c>
      <c r="L203" s="45">
        <v>7007</v>
      </c>
      <c r="M203">
        <v>2018</v>
      </c>
    </row>
    <row r="204" spans="1:13" ht="15">
      <c r="A204" t="s">
        <v>112</v>
      </c>
      <c r="B204" t="s">
        <v>113</v>
      </c>
      <c r="C204" s="15" t="s">
        <v>30</v>
      </c>
      <c r="D204" s="23" t="s">
        <v>81</v>
      </c>
      <c r="E204" s="25" t="s">
        <v>82</v>
      </c>
      <c r="F204" s="16" t="str">
        <f>'Source Table'!$C$6</f>
        <v>Female</v>
      </c>
      <c r="G204" s="16" t="str">
        <f>'Source Table'!$C$5</f>
        <v>أنثى</v>
      </c>
      <c r="H204" t="str">
        <f>'Source Table'!$H$8</f>
        <v>Jordanian</v>
      </c>
      <c r="I204" s="25" t="str">
        <f>'Source Table'!$H$7</f>
        <v>أردني</v>
      </c>
      <c r="J204" s="25" t="str">
        <f>'Source Table'!$B$11</f>
        <v>Mechanical</v>
      </c>
      <c r="K204" s="25" t="str">
        <f>'Source Table'!$I$11</f>
        <v>ميكانيك</v>
      </c>
      <c r="L204" s="45">
        <v>4104</v>
      </c>
      <c r="M204">
        <v>2018</v>
      </c>
    </row>
    <row r="205" spans="1:13" ht="15">
      <c r="A205" t="s">
        <v>112</v>
      </c>
      <c r="B205" t="s">
        <v>113</v>
      </c>
      <c r="C205" s="15" t="s">
        <v>30</v>
      </c>
      <c r="D205" s="23" t="s">
        <v>81</v>
      </c>
      <c r="E205" s="25" t="s">
        <v>82</v>
      </c>
      <c r="F205" s="16" t="str">
        <f>'Source Table'!$C$6</f>
        <v>Female</v>
      </c>
      <c r="G205" s="16" t="str">
        <f>'Source Table'!$C$5</f>
        <v>أنثى</v>
      </c>
      <c r="H205" t="str">
        <f>'Source Table'!$H$8</f>
        <v>Jordanian</v>
      </c>
      <c r="I205" s="25" t="str">
        <f>'Source Table'!$H$7</f>
        <v>أردني</v>
      </c>
      <c r="J205" s="25" t="str">
        <f>'Source Table'!$B$12</f>
        <v>Electricity</v>
      </c>
      <c r="K205" s="25" t="str">
        <f>'Source Table'!$I$12</f>
        <v>كهرباء</v>
      </c>
      <c r="L205" s="45">
        <v>14434</v>
      </c>
      <c r="M205">
        <v>2018</v>
      </c>
    </row>
    <row r="206" spans="1:13" ht="15">
      <c r="A206" t="s">
        <v>112</v>
      </c>
      <c r="B206" t="s">
        <v>113</v>
      </c>
      <c r="C206" s="15" t="s">
        <v>30</v>
      </c>
      <c r="D206" s="23" t="s">
        <v>81</v>
      </c>
      <c r="E206" s="25" t="s">
        <v>82</v>
      </c>
      <c r="F206" s="16" t="str">
        <f>'Source Table'!$C$6</f>
        <v>Female</v>
      </c>
      <c r="G206" s="16" t="str">
        <f>'Source Table'!$C$5</f>
        <v>أنثى</v>
      </c>
      <c r="H206" t="str">
        <f>'Source Table'!$H$8</f>
        <v>Jordanian</v>
      </c>
      <c r="I206" s="25" t="str">
        <f>'Source Table'!$H$7</f>
        <v>أردني</v>
      </c>
      <c r="J206" s="25" t="str">
        <f>'Source Table'!$B$13</f>
        <v>Mining</v>
      </c>
      <c r="K206" s="25" t="str">
        <f>'Source Table'!$I$13</f>
        <v>تعدين</v>
      </c>
      <c r="L206" s="45">
        <v>136</v>
      </c>
      <c r="M206">
        <v>2018</v>
      </c>
    </row>
    <row r="207" spans="1:13" ht="15">
      <c r="A207" t="s">
        <v>112</v>
      </c>
      <c r="B207" t="s">
        <v>113</v>
      </c>
      <c r="C207" s="15" t="s">
        <v>30</v>
      </c>
      <c r="D207" s="23" t="s">
        <v>81</v>
      </c>
      <c r="E207" s="25" t="s">
        <v>82</v>
      </c>
      <c r="F207" s="16" t="str">
        <f>'Source Table'!$C$6</f>
        <v>Female</v>
      </c>
      <c r="G207" s="16" t="str">
        <f>'Source Table'!$C$5</f>
        <v>أنثى</v>
      </c>
      <c r="H207" t="str">
        <f>'Source Table'!$H$8</f>
        <v>Jordanian</v>
      </c>
      <c r="I207" s="25" t="str">
        <f>'Source Table'!$H$7</f>
        <v>أردني</v>
      </c>
      <c r="J207" s="25" t="str">
        <f>'Source Table'!$B$14</f>
        <v>Chemistry</v>
      </c>
      <c r="K207" s="25" t="str">
        <f>'Source Table'!$I$14</f>
        <v>كيمياء</v>
      </c>
      <c r="L207" s="45">
        <v>4366</v>
      </c>
      <c r="M207">
        <v>2018</v>
      </c>
    </row>
    <row r="208" spans="1:13" ht="15">
      <c r="A208" t="s">
        <v>112</v>
      </c>
      <c r="B208" t="s">
        <v>113</v>
      </c>
      <c r="C208" s="15" t="s">
        <v>30</v>
      </c>
      <c r="D208" s="23" t="s">
        <v>81</v>
      </c>
      <c r="E208" s="25" t="s">
        <v>82</v>
      </c>
      <c r="F208" s="16" t="str">
        <f>'Source Table'!$C$6</f>
        <v>Female</v>
      </c>
      <c r="G208" s="16" t="str">
        <f>'Source Table'!$C$5</f>
        <v>أنثى</v>
      </c>
      <c r="H208" t="str">
        <f>'Source Table'!$G$8</f>
        <v>Arab</v>
      </c>
      <c r="I208" s="16" t="str">
        <f>'Source Table'!$G$7</f>
        <v>عربي</v>
      </c>
      <c r="J208" s="25" t="str">
        <f>'Source Table'!$B$9</f>
        <v>Civil</v>
      </c>
      <c r="K208" s="25" t="str">
        <f>'Source Table'!$I$9</f>
        <v>مدني</v>
      </c>
      <c r="L208" s="45">
        <v>181</v>
      </c>
      <c r="M208">
        <v>2018</v>
      </c>
    </row>
    <row r="209" spans="1:13" ht="15">
      <c r="A209" t="s">
        <v>112</v>
      </c>
      <c r="B209" t="s">
        <v>113</v>
      </c>
      <c r="C209" s="15" t="s">
        <v>30</v>
      </c>
      <c r="D209" s="23" t="s">
        <v>81</v>
      </c>
      <c r="E209" s="25" t="s">
        <v>82</v>
      </c>
      <c r="F209" s="16" t="str">
        <f>'Source Table'!$C$6</f>
        <v>Female</v>
      </c>
      <c r="G209" s="16" t="str">
        <f>'Source Table'!$C$5</f>
        <v>أنثى</v>
      </c>
      <c r="H209" t="str">
        <f>'Source Table'!$G$8</f>
        <v>Arab</v>
      </c>
      <c r="I209" s="16" t="str">
        <f>'Source Table'!$G$7</f>
        <v>عربي</v>
      </c>
      <c r="J209" s="25" t="str">
        <f>'Source Table'!$B$10</f>
        <v>Architecture</v>
      </c>
      <c r="K209" s="25" t="str">
        <f>'Source Table'!$I$10</f>
        <v>عمارة</v>
      </c>
      <c r="L209" s="45">
        <v>313</v>
      </c>
      <c r="M209">
        <v>2018</v>
      </c>
    </row>
    <row r="210" spans="1:13" ht="15">
      <c r="A210" t="s">
        <v>112</v>
      </c>
      <c r="B210" t="s">
        <v>113</v>
      </c>
      <c r="C210" s="15" t="s">
        <v>30</v>
      </c>
      <c r="D210" s="23" t="s">
        <v>81</v>
      </c>
      <c r="E210" s="25" t="s">
        <v>82</v>
      </c>
      <c r="F210" s="16" t="str">
        <f>'Source Table'!$C$6</f>
        <v>Female</v>
      </c>
      <c r="G210" s="16" t="str">
        <f>'Source Table'!$C$5</f>
        <v>أنثى</v>
      </c>
      <c r="H210" t="str">
        <f>'Source Table'!$G$8</f>
        <v>Arab</v>
      </c>
      <c r="I210" s="16" t="str">
        <f>'Source Table'!$G$7</f>
        <v>عربي</v>
      </c>
      <c r="J210" s="25" t="str">
        <f>'Source Table'!$B$11</f>
        <v>Mechanical</v>
      </c>
      <c r="K210" s="25" t="str">
        <f>'Source Table'!$I$11</f>
        <v>ميكانيك</v>
      </c>
      <c r="L210" s="45">
        <v>30</v>
      </c>
      <c r="M210">
        <v>2018</v>
      </c>
    </row>
    <row r="211" spans="1:13" ht="15">
      <c r="A211" t="s">
        <v>112</v>
      </c>
      <c r="B211" t="s">
        <v>113</v>
      </c>
      <c r="C211" s="15" t="s">
        <v>30</v>
      </c>
      <c r="D211" s="23" t="s">
        <v>81</v>
      </c>
      <c r="E211" s="25" t="s">
        <v>82</v>
      </c>
      <c r="F211" s="16" t="str">
        <f>'Source Table'!$C$6</f>
        <v>Female</v>
      </c>
      <c r="G211" s="16" t="str">
        <f>'Source Table'!$C$5</f>
        <v>أنثى</v>
      </c>
      <c r="H211" t="str">
        <f>'Source Table'!$G$8</f>
        <v>Arab</v>
      </c>
      <c r="I211" s="16" t="str">
        <f>'Source Table'!$G$7</f>
        <v>عربي</v>
      </c>
      <c r="J211" s="25" t="str">
        <f>'Source Table'!$B$12</f>
        <v>Electricity</v>
      </c>
      <c r="K211" s="25" t="str">
        <f>'Source Table'!$I$12</f>
        <v>كهرباء</v>
      </c>
      <c r="L211" s="45">
        <v>124</v>
      </c>
      <c r="M211">
        <v>2018</v>
      </c>
    </row>
    <row r="212" spans="1:13" ht="15">
      <c r="A212" t="s">
        <v>112</v>
      </c>
      <c r="B212" t="s">
        <v>113</v>
      </c>
      <c r="C212" s="15" t="s">
        <v>30</v>
      </c>
      <c r="D212" s="23" t="s">
        <v>81</v>
      </c>
      <c r="E212" s="25" t="s">
        <v>82</v>
      </c>
      <c r="F212" s="16" t="str">
        <f>'Source Table'!$C$6</f>
        <v>Female</v>
      </c>
      <c r="G212" s="16" t="str">
        <f>'Source Table'!$C$5</f>
        <v>أنثى</v>
      </c>
      <c r="H212" t="str">
        <f>'Source Table'!$G$8</f>
        <v>Arab</v>
      </c>
      <c r="I212" s="16" t="str">
        <f>'Source Table'!$G$7</f>
        <v>عربي</v>
      </c>
      <c r="J212" s="25" t="str">
        <f>'Source Table'!$B$13</f>
        <v>Mining</v>
      </c>
      <c r="K212" s="25" t="str">
        <f>'Source Table'!$I$13</f>
        <v>تعدين</v>
      </c>
      <c r="L212" s="45">
        <v>0</v>
      </c>
      <c r="M212">
        <v>2018</v>
      </c>
    </row>
    <row r="213" spans="1:13" ht="15">
      <c r="A213" t="s">
        <v>112</v>
      </c>
      <c r="B213" t="s">
        <v>113</v>
      </c>
      <c r="C213" s="15" t="s">
        <v>30</v>
      </c>
      <c r="D213" s="23" t="s">
        <v>81</v>
      </c>
      <c r="E213" s="25" t="s">
        <v>82</v>
      </c>
      <c r="F213" s="16" t="str">
        <f>'Source Table'!$C$6</f>
        <v>Female</v>
      </c>
      <c r="G213" s="16" t="str">
        <f>'Source Table'!$C$5</f>
        <v>أنثى</v>
      </c>
      <c r="H213" t="str">
        <f>'Source Table'!$G$8</f>
        <v>Arab</v>
      </c>
      <c r="I213" s="16" t="str">
        <f>'Source Table'!$G$7</f>
        <v>عربي</v>
      </c>
      <c r="J213" s="25" t="str">
        <f>'Source Table'!$B$14</f>
        <v>Chemistry</v>
      </c>
      <c r="K213" s="25" t="str">
        <f>'Source Table'!$I$14</f>
        <v>كيمياء</v>
      </c>
      <c r="L213" s="45">
        <v>36</v>
      </c>
      <c r="M213">
        <v>2018</v>
      </c>
    </row>
    <row r="214" spans="1:13" ht="15">
      <c r="A214" t="s">
        <v>112</v>
      </c>
      <c r="B214" t="s">
        <v>113</v>
      </c>
      <c r="C214" s="15" t="s">
        <v>30</v>
      </c>
      <c r="D214" s="23" t="s">
        <v>81</v>
      </c>
      <c r="E214" s="25" t="s">
        <v>82</v>
      </c>
      <c r="F214" s="16" t="str">
        <f>'Source Table'!$C$6</f>
        <v>Female</v>
      </c>
      <c r="G214" s="16" t="str">
        <f>'Source Table'!$C$5</f>
        <v>أنثى</v>
      </c>
      <c r="H214" t="str">
        <f>'Source Table'!$F$8</f>
        <v>Foreign</v>
      </c>
      <c r="I214" s="16" t="str">
        <f>'Source Table'!$F$7</f>
        <v>أجنبي</v>
      </c>
      <c r="J214" s="25" t="str">
        <f>'Source Table'!$B$9</f>
        <v>Civil</v>
      </c>
      <c r="K214" s="25" t="str">
        <f>'Source Table'!$I$9</f>
        <v>مدني</v>
      </c>
      <c r="L214" s="45">
        <v>18</v>
      </c>
      <c r="M214">
        <v>2018</v>
      </c>
    </row>
    <row r="215" spans="1:13" ht="15">
      <c r="A215" t="s">
        <v>112</v>
      </c>
      <c r="B215" t="s">
        <v>113</v>
      </c>
      <c r="C215" s="15" t="s">
        <v>30</v>
      </c>
      <c r="D215" s="23" t="s">
        <v>81</v>
      </c>
      <c r="E215" s="25" t="s">
        <v>82</v>
      </c>
      <c r="F215" s="16" t="str">
        <f>'Source Table'!$C$6</f>
        <v>Female</v>
      </c>
      <c r="G215" s="16" t="str">
        <f>'Source Table'!$C$5</f>
        <v>أنثى</v>
      </c>
      <c r="H215" t="str">
        <f>'Source Table'!$F$8</f>
        <v>Foreign</v>
      </c>
      <c r="I215" s="16" t="str">
        <f>'Source Table'!$F$7</f>
        <v>أجنبي</v>
      </c>
      <c r="J215" s="25" t="str">
        <f>'Source Table'!$B$10</f>
        <v>Architecture</v>
      </c>
      <c r="K215" s="25" t="str">
        <f>'Source Table'!$I$10</f>
        <v>عمارة</v>
      </c>
      <c r="L215" s="45">
        <v>19</v>
      </c>
      <c r="M215">
        <v>2018</v>
      </c>
    </row>
    <row r="216" spans="1:13" ht="15">
      <c r="A216" t="s">
        <v>112</v>
      </c>
      <c r="B216" t="s">
        <v>113</v>
      </c>
      <c r="C216" s="15" t="s">
        <v>30</v>
      </c>
      <c r="D216" s="23" t="s">
        <v>81</v>
      </c>
      <c r="E216" s="25" t="s">
        <v>82</v>
      </c>
      <c r="F216" s="16" t="str">
        <f>'Source Table'!$C$6</f>
        <v>Female</v>
      </c>
      <c r="G216" s="16" t="str">
        <f>'Source Table'!$C$5</f>
        <v>أنثى</v>
      </c>
      <c r="H216" t="str">
        <f>'Source Table'!$F$8</f>
        <v>Foreign</v>
      </c>
      <c r="I216" s="16" t="str">
        <f>'Source Table'!$F$7</f>
        <v>أجنبي</v>
      </c>
      <c r="J216" s="25" t="str">
        <f>'Source Table'!$B$11</f>
        <v>Mechanical</v>
      </c>
      <c r="K216" s="25" t="str">
        <f>'Source Table'!$I$11</f>
        <v>ميكانيك</v>
      </c>
      <c r="L216" s="45">
        <v>6</v>
      </c>
      <c r="M216">
        <v>2018</v>
      </c>
    </row>
    <row r="217" spans="1:13" ht="15">
      <c r="A217" t="s">
        <v>112</v>
      </c>
      <c r="B217" t="s">
        <v>113</v>
      </c>
      <c r="C217" s="15" t="s">
        <v>30</v>
      </c>
      <c r="D217" s="23" t="s">
        <v>81</v>
      </c>
      <c r="E217" s="25" t="s">
        <v>82</v>
      </c>
      <c r="F217" s="16" t="str">
        <f>'Source Table'!$C$6</f>
        <v>Female</v>
      </c>
      <c r="G217" s="16" t="str">
        <f>'Source Table'!$C$5</f>
        <v>أنثى</v>
      </c>
      <c r="H217" t="str">
        <f>'Source Table'!$F$8</f>
        <v>Foreign</v>
      </c>
      <c r="I217" s="16" t="str">
        <f>'Source Table'!$F$7</f>
        <v>أجنبي</v>
      </c>
      <c r="J217" s="25" t="str">
        <f>'Source Table'!$B$12</f>
        <v>Electricity</v>
      </c>
      <c r="K217" s="25" t="str">
        <f>'Source Table'!$I$12</f>
        <v>كهرباء</v>
      </c>
      <c r="L217" s="45">
        <v>3</v>
      </c>
      <c r="M217">
        <v>2018</v>
      </c>
    </row>
    <row r="218" spans="1:13" ht="15">
      <c r="A218" t="s">
        <v>112</v>
      </c>
      <c r="B218" t="s">
        <v>113</v>
      </c>
      <c r="C218" s="15" t="s">
        <v>30</v>
      </c>
      <c r="D218" s="23" t="s">
        <v>81</v>
      </c>
      <c r="E218" s="25" t="s">
        <v>82</v>
      </c>
      <c r="F218" s="16" t="str">
        <f>'Source Table'!$C$6</f>
        <v>Female</v>
      </c>
      <c r="G218" s="16" t="str">
        <f>'Source Table'!$C$5</f>
        <v>أنثى</v>
      </c>
      <c r="H218" t="str">
        <f>'Source Table'!$F$8</f>
        <v>Foreign</v>
      </c>
      <c r="I218" s="16" t="str">
        <f>'Source Table'!$F$7</f>
        <v>أجنبي</v>
      </c>
      <c r="J218" s="25" t="str">
        <f>'Source Table'!$B$13</f>
        <v>Mining</v>
      </c>
      <c r="K218" s="25" t="str">
        <f>'Source Table'!$I$13</f>
        <v>تعدين</v>
      </c>
      <c r="L218" s="45">
        <v>0</v>
      </c>
      <c r="M218">
        <v>2018</v>
      </c>
    </row>
    <row r="219" spans="1:13" ht="15">
      <c r="A219" t="s">
        <v>112</v>
      </c>
      <c r="B219" t="s">
        <v>113</v>
      </c>
      <c r="C219" s="15" t="s">
        <v>30</v>
      </c>
      <c r="D219" s="23" t="s">
        <v>81</v>
      </c>
      <c r="E219" s="25" t="s">
        <v>82</v>
      </c>
      <c r="F219" s="16" t="str">
        <f>'Source Table'!$C$6</f>
        <v>Female</v>
      </c>
      <c r="G219" s="16" t="str">
        <f>'Source Table'!$C$5</f>
        <v>أنثى</v>
      </c>
      <c r="H219" t="str">
        <f>'Source Table'!$F$8</f>
        <v>Foreign</v>
      </c>
      <c r="I219" s="16" t="str">
        <f>'Source Table'!$F$7</f>
        <v>أجنبي</v>
      </c>
      <c r="J219" s="25" t="str">
        <f>'Source Table'!$B$14</f>
        <v>Chemistry</v>
      </c>
      <c r="K219" s="25" t="str">
        <f>'Source Table'!$I$14</f>
        <v>كيمياء</v>
      </c>
      <c r="L219" s="45">
        <v>3</v>
      </c>
      <c r="M219">
        <v>2018</v>
      </c>
    </row>
    <row r="220" spans="1:13" ht="15">
      <c r="A220" t="s">
        <v>112</v>
      </c>
      <c r="B220" t="s">
        <v>113</v>
      </c>
      <c r="C220" s="15" t="s">
        <v>30</v>
      </c>
      <c r="D220" s="23" t="s">
        <v>81</v>
      </c>
      <c r="E220" s="25" t="s">
        <v>82</v>
      </c>
      <c r="F220" s="25" t="str">
        <f>'Source Table'!$F$6</f>
        <v>Male</v>
      </c>
      <c r="G220" s="25" t="str">
        <f>'Source Table'!$F$5</f>
        <v>ذكر</v>
      </c>
      <c r="H220" t="str">
        <f>'Source Table'!$H$8</f>
        <v>Jordanian</v>
      </c>
      <c r="I220" s="25" t="str">
        <f>'Source Table'!$H$7</f>
        <v>أردني</v>
      </c>
      <c r="J220" s="25" t="str">
        <f>'Source Table'!$B$9</f>
        <v>Civil</v>
      </c>
      <c r="K220" s="25" t="str">
        <f>'Source Table'!$I$9</f>
        <v>مدني</v>
      </c>
      <c r="L220" s="45">
        <v>31230</v>
      </c>
      <c r="M220">
        <v>2017</v>
      </c>
    </row>
    <row r="221" spans="1:13" ht="15">
      <c r="A221" t="s">
        <v>112</v>
      </c>
      <c r="B221" t="s">
        <v>113</v>
      </c>
      <c r="C221" s="15" t="s">
        <v>30</v>
      </c>
      <c r="D221" s="23" t="s">
        <v>81</v>
      </c>
      <c r="E221" s="25" t="s">
        <v>82</v>
      </c>
      <c r="F221" s="25" t="str">
        <f>'Source Table'!$F$6</f>
        <v>Male</v>
      </c>
      <c r="G221" s="25" t="str">
        <f>'Source Table'!$F$5</f>
        <v>ذكر</v>
      </c>
      <c r="H221" t="str">
        <f>'Source Table'!$H$8</f>
        <v>Jordanian</v>
      </c>
      <c r="I221" s="25" t="str">
        <f>'Source Table'!$H$7</f>
        <v>أردني</v>
      </c>
      <c r="J221" s="25" t="str">
        <f>'Source Table'!$B$10</f>
        <v>Architecture</v>
      </c>
      <c r="K221" s="25" t="str">
        <f>'Source Table'!$I$10</f>
        <v>عمارة</v>
      </c>
      <c r="L221" s="45">
        <v>5774</v>
      </c>
      <c r="M221">
        <v>2017</v>
      </c>
    </row>
    <row r="222" spans="1:13" ht="15">
      <c r="A222" t="s">
        <v>112</v>
      </c>
      <c r="B222" t="s">
        <v>113</v>
      </c>
      <c r="C222" s="15" t="s">
        <v>30</v>
      </c>
      <c r="D222" s="23" t="s">
        <v>81</v>
      </c>
      <c r="E222" s="25" t="s">
        <v>82</v>
      </c>
      <c r="F222" s="25" t="str">
        <f>'Source Table'!$F$6</f>
        <v>Male</v>
      </c>
      <c r="G222" s="25" t="str">
        <f>'Source Table'!$F$5</f>
        <v>ذكر</v>
      </c>
      <c r="H222" t="str">
        <f>'Source Table'!$H$8</f>
        <v>Jordanian</v>
      </c>
      <c r="I222" s="25" t="str">
        <f>'Source Table'!$H$7</f>
        <v>أردني</v>
      </c>
      <c r="J222" s="25" t="str">
        <f>'Source Table'!$B$11</f>
        <v>Mechanical</v>
      </c>
      <c r="K222" s="25" t="str">
        <f>'Source Table'!$I$11</f>
        <v>ميكانيك</v>
      </c>
      <c r="L222" s="45">
        <v>24337</v>
      </c>
      <c r="M222">
        <v>2017</v>
      </c>
    </row>
    <row r="223" spans="1:13" ht="15">
      <c r="A223" t="s">
        <v>112</v>
      </c>
      <c r="B223" t="s">
        <v>113</v>
      </c>
      <c r="C223" s="15" t="s">
        <v>30</v>
      </c>
      <c r="D223" s="23" t="s">
        <v>81</v>
      </c>
      <c r="E223" s="25" t="s">
        <v>82</v>
      </c>
      <c r="F223" s="25" t="str">
        <f>'Source Table'!$F$6</f>
        <v>Male</v>
      </c>
      <c r="G223" s="25" t="str">
        <f>'Source Table'!$F$5</f>
        <v>ذكر</v>
      </c>
      <c r="H223" t="str">
        <f>'Source Table'!$H$8</f>
        <v>Jordanian</v>
      </c>
      <c r="I223" s="25" t="str">
        <f>'Source Table'!$H$7</f>
        <v>أردني</v>
      </c>
      <c r="J223" s="25" t="str">
        <f>'Source Table'!$B$12</f>
        <v>Electricity</v>
      </c>
      <c r="K223" s="25" t="str">
        <f>'Source Table'!$I$12</f>
        <v>كهرباء</v>
      </c>
      <c r="L223" s="45">
        <v>39093</v>
      </c>
      <c r="M223">
        <v>2017</v>
      </c>
    </row>
    <row r="224" spans="1:13" ht="15">
      <c r="A224" t="s">
        <v>112</v>
      </c>
      <c r="B224" t="s">
        <v>113</v>
      </c>
      <c r="C224" s="15" t="s">
        <v>30</v>
      </c>
      <c r="D224" s="23" t="s">
        <v>81</v>
      </c>
      <c r="E224" s="25" t="s">
        <v>82</v>
      </c>
      <c r="F224" s="25" t="str">
        <f>'Source Table'!$F$6</f>
        <v>Male</v>
      </c>
      <c r="G224" s="25" t="str">
        <f>'Source Table'!$F$5</f>
        <v>ذكر</v>
      </c>
      <c r="H224" t="str">
        <f>'Source Table'!$H$8</f>
        <v>Jordanian</v>
      </c>
      <c r="I224" s="25" t="str">
        <f>'Source Table'!$H$7</f>
        <v>أردني</v>
      </c>
      <c r="J224" s="25" t="str">
        <f>'Source Table'!$B$13</f>
        <v>Mining</v>
      </c>
      <c r="K224" s="25" t="str">
        <f>'Source Table'!$I$13</f>
        <v>تعدين</v>
      </c>
      <c r="L224" s="45">
        <v>1239</v>
      </c>
      <c r="M224">
        <v>2017</v>
      </c>
    </row>
    <row r="225" spans="1:13" ht="15">
      <c r="A225" t="s">
        <v>112</v>
      </c>
      <c r="B225" t="s">
        <v>113</v>
      </c>
      <c r="C225" s="15" t="s">
        <v>30</v>
      </c>
      <c r="D225" s="23" t="s">
        <v>81</v>
      </c>
      <c r="E225" s="25" t="s">
        <v>82</v>
      </c>
      <c r="F225" s="25" t="str">
        <f>'Source Table'!$F$6</f>
        <v>Male</v>
      </c>
      <c r="G225" s="25" t="str">
        <f>'Source Table'!$F$5</f>
        <v>ذكر</v>
      </c>
      <c r="H225" t="str">
        <f>'Source Table'!$H$8</f>
        <v>Jordanian</v>
      </c>
      <c r="I225" s="25" t="str">
        <f>'Source Table'!$H$7</f>
        <v>أردني</v>
      </c>
      <c r="J225" s="25" t="str">
        <f>'Source Table'!$B$14</f>
        <v>Chemistry</v>
      </c>
      <c r="K225" s="25" t="str">
        <f>'Source Table'!$I$14</f>
        <v>كيمياء</v>
      </c>
      <c r="L225" s="45">
        <v>3804</v>
      </c>
      <c r="M225">
        <v>2017</v>
      </c>
    </row>
    <row r="226" spans="1:13" ht="15">
      <c r="A226" t="s">
        <v>112</v>
      </c>
      <c r="B226" t="s">
        <v>113</v>
      </c>
      <c r="C226" s="15" t="s">
        <v>30</v>
      </c>
      <c r="D226" s="23" t="s">
        <v>81</v>
      </c>
      <c r="E226" s="25" t="s">
        <v>82</v>
      </c>
      <c r="F226" s="25" t="str">
        <f>'Source Table'!$F$6</f>
        <v>Male</v>
      </c>
      <c r="G226" s="25" t="str">
        <f>'Source Table'!$F$5</f>
        <v>ذكر</v>
      </c>
      <c r="H226" t="str">
        <f>'Source Table'!$G$8</f>
        <v>Arab</v>
      </c>
      <c r="I226" s="16" t="str">
        <f>'Source Table'!$G$7</f>
        <v>عربي</v>
      </c>
      <c r="J226" s="25" t="str">
        <f>'Source Table'!$B$9</f>
        <v>Civil</v>
      </c>
      <c r="K226" s="25" t="str">
        <f>'Source Table'!$I$9</f>
        <v>مدني</v>
      </c>
      <c r="L226" s="45">
        <v>1362</v>
      </c>
      <c r="M226">
        <v>2017</v>
      </c>
    </row>
    <row r="227" spans="1:13" ht="15">
      <c r="A227" t="s">
        <v>112</v>
      </c>
      <c r="B227" t="s">
        <v>113</v>
      </c>
      <c r="C227" s="15" t="s">
        <v>30</v>
      </c>
      <c r="D227" s="23" t="s">
        <v>81</v>
      </c>
      <c r="E227" s="25" t="s">
        <v>82</v>
      </c>
      <c r="F227" s="25" t="str">
        <f>'Source Table'!$F$6</f>
        <v>Male</v>
      </c>
      <c r="G227" s="25" t="str">
        <f>'Source Table'!$F$5</f>
        <v>ذكر</v>
      </c>
      <c r="H227" t="str">
        <f>'Source Table'!$G$8</f>
        <v>Arab</v>
      </c>
      <c r="I227" s="16" t="str">
        <f>'Source Table'!$G$7</f>
        <v>عربي</v>
      </c>
      <c r="J227" s="25" t="str">
        <f>'Source Table'!$B$10</f>
        <v>Architecture</v>
      </c>
      <c r="K227" s="25" t="str">
        <f>'Source Table'!$I$10</f>
        <v>عمارة</v>
      </c>
      <c r="L227" s="45">
        <v>446</v>
      </c>
      <c r="M227">
        <v>2017</v>
      </c>
    </row>
    <row r="228" spans="1:13" ht="15">
      <c r="A228" t="s">
        <v>112</v>
      </c>
      <c r="B228" t="s">
        <v>113</v>
      </c>
      <c r="C228" s="15" t="s">
        <v>30</v>
      </c>
      <c r="D228" s="23" t="s">
        <v>81</v>
      </c>
      <c r="E228" s="25" t="s">
        <v>82</v>
      </c>
      <c r="F228" s="25" t="str">
        <f>'Source Table'!$F$6</f>
        <v>Male</v>
      </c>
      <c r="G228" s="25" t="str">
        <f>'Source Table'!$F$5</f>
        <v>ذكر</v>
      </c>
      <c r="H228" t="str">
        <f>'Source Table'!$G$8</f>
        <v>Arab</v>
      </c>
      <c r="I228" s="16" t="str">
        <f>'Source Table'!$G$7</f>
        <v>عربي</v>
      </c>
      <c r="J228" s="25" t="str">
        <f>'Source Table'!$B$11</f>
        <v>Mechanical</v>
      </c>
      <c r="K228" s="25" t="str">
        <f>'Source Table'!$I$11</f>
        <v>ميكانيك</v>
      </c>
      <c r="L228" s="45">
        <v>462</v>
      </c>
      <c r="M228">
        <v>2017</v>
      </c>
    </row>
    <row r="229" spans="1:13" ht="15">
      <c r="A229" t="s">
        <v>112</v>
      </c>
      <c r="B229" t="s">
        <v>113</v>
      </c>
      <c r="C229" s="15" t="s">
        <v>30</v>
      </c>
      <c r="D229" s="23" t="s">
        <v>81</v>
      </c>
      <c r="E229" s="25" t="s">
        <v>82</v>
      </c>
      <c r="F229" s="25" t="str">
        <f>'Source Table'!$F$6</f>
        <v>Male</v>
      </c>
      <c r="G229" s="25" t="str">
        <f>'Source Table'!$F$5</f>
        <v>ذكر</v>
      </c>
      <c r="H229" t="str">
        <f>'Source Table'!$G$8</f>
        <v>Arab</v>
      </c>
      <c r="I229" s="16" t="str">
        <f>'Source Table'!$G$7</f>
        <v>عربي</v>
      </c>
      <c r="J229" s="25" t="str">
        <f>'Source Table'!$B$12</f>
        <v>Electricity</v>
      </c>
      <c r="K229" s="25" t="str">
        <f>'Source Table'!$I$12</f>
        <v>كهرباء</v>
      </c>
      <c r="L229" s="45">
        <v>794</v>
      </c>
      <c r="M229">
        <v>2017</v>
      </c>
    </row>
    <row r="230" spans="1:13" ht="15">
      <c r="A230" t="s">
        <v>112</v>
      </c>
      <c r="B230" t="s">
        <v>113</v>
      </c>
      <c r="C230" s="15" t="s">
        <v>30</v>
      </c>
      <c r="D230" s="23" t="s">
        <v>81</v>
      </c>
      <c r="E230" s="25" t="s">
        <v>82</v>
      </c>
      <c r="F230" s="25" t="str">
        <f>'Source Table'!$F$6</f>
        <v>Male</v>
      </c>
      <c r="G230" s="25" t="str">
        <f>'Source Table'!$F$5</f>
        <v>ذكر</v>
      </c>
      <c r="H230" t="str">
        <f>'Source Table'!$G$8</f>
        <v>Arab</v>
      </c>
      <c r="I230" s="16" t="str">
        <f>'Source Table'!$G$7</f>
        <v>عربي</v>
      </c>
      <c r="J230" s="25" t="str">
        <f>'Source Table'!$B$13</f>
        <v>Mining</v>
      </c>
      <c r="K230" s="25" t="str">
        <f>'Source Table'!$I$13</f>
        <v>تعدين</v>
      </c>
      <c r="L230" s="45">
        <v>17</v>
      </c>
      <c r="M230">
        <v>2017</v>
      </c>
    </row>
    <row r="231" spans="1:13" ht="15">
      <c r="A231" t="s">
        <v>112</v>
      </c>
      <c r="B231" t="s">
        <v>113</v>
      </c>
      <c r="C231" s="15" t="s">
        <v>30</v>
      </c>
      <c r="D231" s="23" t="s">
        <v>81</v>
      </c>
      <c r="E231" s="25" t="s">
        <v>82</v>
      </c>
      <c r="F231" s="25" t="str">
        <f>'Source Table'!$F$6</f>
        <v>Male</v>
      </c>
      <c r="G231" s="25" t="str">
        <f>'Source Table'!$F$5</f>
        <v>ذكر</v>
      </c>
      <c r="H231" t="str">
        <f>'Source Table'!$G$8</f>
        <v>Arab</v>
      </c>
      <c r="I231" s="16" t="str">
        <f>'Source Table'!$G$7</f>
        <v>عربي</v>
      </c>
      <c r="J231" s="25" t="str">
        <f>'Source Table'!$B$14</f>
        <v>Chemistry</v>
      </c>
      <c r="K231" s="25" t="str">
        <f>'Source Table'!$I$14</f>
        <v>كيمياء</v>
      </c>
      <c r="L231" s="45">
        <v>53</v>
      </c>
      <c r="M231">
        <v>2017</v>
      </c>
    </row>
    <row r="232" spans="1:13" ht="15">
      <c r="A232" t="s">
        <v>112</v>
      </c>
      <c r="B232" t="s">
        <v>113</v>
      </c>
      <c r="C232" s="15" t="s">
        <v>30</v>
      </c>
      <c r="D232" s="23" t="s">
        <v>81</v>
      </c>
      <c r="E232" s="25" t="s">
        <v>82</v>
      </c>
      <c r="F232" s="25" t="str">
        <f>'Source Table'!$F$6</f>
        <v>Male</v>
      </c>
      <c r="G232" s="25" t="str">
        <f>'Source Table'!$F$5</f>
        <v>ذكر</v>
      </c>
      <c r="H232" t="str">
        <f>'Source Table'!$F$8</f>
        <v>Foreign</v>
      </c>
      <c r="I232" s="16" t="str">
        <f>'Source Table'!$F$7</f>
        <v>أجنبي</v>
      </c>
      <c r="J232" s="25" t="str">
        <f>'Source Table'!$B$9</f>
        <v>Civil</v>
      </c>
      <c r="K232" s="25" t="str">
        <f>'Source Table'!$I$9</f>
        <v>مدني</v>
      </c>
      <c r="L232" s="45">
        <v>178</v>
      </c>
      <c r="M232">
        <v>2017</v>
      </c>
    </row>
    <row r="233" spans="1:13" ht="15">
      <c r="A233" t="s">
        <v>112</v>
      </c>
      <c r="B233" t="s">
        <v>113</v>
      </c>
      <c r="C233" s="15" t="s">
        <v>30</v>
      </c>
      <c r="D233" s="23" t="s">
        <v>81</v>
      </c>
      <c r="E233" s="25" t="s">
        <v>82</v>
      </c>
      <c r="F233" s="25" t="str">
        <f>'Source Table'!$F$6</f>
        <v>Male</v>
      </c>
      <c r="G233" s="25" t="str">
        <f>'Source Table'!$F$5</f>
        <v>ذكر</v>
      </c>
      <c r="H233" t="str">
        <f>'Source Table'!$F$8</f>
        <v>Foreign</v>
      </c>
      <c r="I233" s="16" t="str">
        <f>'Source Table'!$F$7</f>
        <v>أجنبي</v>
      </c>
      <c r="J233" s="25" t="str">
        <f>'Source Table'!$B$10</f>
        <v>Architecture</v>
      </c>
      <c r="K233" s="25" t="str">
        <f>'Source Table'!$I$10</f>
        <v>عمارة</v>
      </c>
      <c r="L233" s="45">
        <v>37</v>
      </c>
      <c r="M233">
        <v>2017</v>
      </c>
    </row>
    <row r="234" spans="1:13" ht="15">
      <c r="A234" t="s">
        <v>112</v>
      </c>
      <c r="B234" t="s">
        <v>113</v>
      </c>
      <c r="C234" s="15" t="s">
        <v>30</v>
      </c>
      <c r="D234" s="23" t="s">
        <v>81</v>
      </c>
      <c r="E234" s="25" t="s">
        <v>82</v>
      </c>
      <c r="F234" s="25" t="str">
        <f>'Source Table'!$F$6</f>
        <v>Male</v>
      </c>
      <c r="G234" s="25" t="str">
        <f>'Source Table'!$F$5</f>
        <v>ذكر</v>
      </c>
      <c r="H234" t="str">
        <f>'Source Table'!$F$8</f>
        <v>Foreign</v>
      </c>
      <c r="I234" s="16" t="str">
        <f>'Source Table'!$F$7</f>
        <v>أجنبي</v>
      </c>
      <c r="J234" s="25" t="str">
        <f>'Source Table'!$B$11</f>
        <v>Mechanical</v>
      </c>
      <c r="K234" s="25" t="str">
        <f>'Source Table'!$I$11</f>
        <v>ميكانيك</v>
      </c>
      <c r="L234" s="45">
        <v>36</v>
      </c>
      <c r="M234">
        <v>2017</v>
      </c>
    </row>
    <row r="235" spans="1:13" ht="15">
      <c r="A235" t="s">
        <v>112</v>
      </c>
      <c r="B235" t="s">
        <v>113</v>
      </c>
      <c r="C235" s="15" t="s">
        <v>30</v>
      </c>
      <c r="D235" s="23" t="s">
        <v>81</v>
      </c>
      <c r="E235" s="25" t="s">
        <v>82</v>
      </c>
      <c r="F235" s="25" t="str">
        <f>'Source Table'!$F$6</f>
        <v>Male</v>
      </c>
      <c r="G235" s="25" t="str">
        <f>'Source Table'!$F$5</f>
        <v>ذكر</v>
      </c>
      <c r="H235" t="str">
        <f>'Source Table'!$F$8</f>
        <v>Foreign</v>
      </c>
      <c r="I235" s="16" t="str">
        <f>'Source Table'!$F$7</f>
        <v>أجنبي</v>
      </c>
      <c r="J235" s="25" t="str">
        <f>'Source Table'!$B$12</f>
        <v>Electricity</v>
      </c>
      <c r="K235" s="25" t="str">
        <f>'Source Table'!$I$12</f>
        <v>كهرباء</v>
      </c>
      <c r="L235" s="45">
        <v>28</v>
      </c>
      <c r="M235">
        <v>2017</v>
      </c>
    </row>
    <row r="236" spans="1:13" ht="15">
      <c r="A236" t="s">
        <v>112</v>
      </c>
      <c r="B236" t="s">
        <v>113</v>
      </c>
      <c r="C236" s="15" t="s">
        <v>30</v>
      </c>
      <c r="D236" s="23" t="s">
        <v>81</v>
      </c>
      <c r="E236" s="25" t="s">
        <v>82</v>
      </c>
      <c r="F236" s="25" t="str">
        <f>'Source Table'!$F$6</f>
        <v>Male</v>
      </c>
      <c r="G236" s="25" t="str">
        <f>'Source Table'!$F$5</f>
        <v>ذكر</v>
      </c>
      <c r="H236" t="str">
        <f>'Source Table'!$F$8</f>
        <v>Foreign</v>
      </c>
      <c r="I236" s="16" t="str">
        <f>'Source Table'!$F$7</f>
        <v>أجنبي</v>
      </c>
      <c r="J236" s="25" t="str">
        <f>'Source Table'!$B$13</f>
        <v>Mining</v>
      </c>
      <c r="K236" s="25" t="str">
        <f>'Source Table'!$I$13</f>
        <v>تعدين</v>
      </c>
      <c r="L236" s="45">
        <v>3</v>
      </c>
      <c r="M236">
        <v>2017</v>
      </c>
    </row>
    <row r="237" spans="1:13" ht="15">
      <c r="A237" t="s">
        <v>112</v>
      </c>
      <c r="B237" t="s">
        <v>113</v>
      </c>
      <c r="C237" s="15" t="s">
        <v>30</v>
      </c>
      <c r="D237" s="23" t="s">
        <v>81</v>
      </c>
      <c r="E237" s="25" t="s">
        <v>82</v>
      </c>
      <c r="F237" s="25" t="str">
        <f>'Source Table'!$F$6</f>
        <v>Male</v>
      </c>
      <c r="G237" s="25" t="str">
        <f>'Source Table'!$F$5</f>
        <v>ذكر</v>
      </c>
      <c r="H237" t="str">
        <f>'Source Table'!$F$8</f>
        <v>Foreign</v>
      </c>
      <c r="I237" s="16" t="str">
        <f>'Source Table'!$F$7</f>
        <v>أجنبي</v>
      </c>
      <c r="J237" s="25" t="str">
        <f>'Source Table'!$B$14</f>
        <v>Chemistry</v>
      </c>
      <c r="K237" s="25" t="str">
        <f>'Source Table'!$I$14</f>
        <v>كيمياء</v>
      </c>
      <c r="L237" s="45">
        <v>3</v>
      </c>
      <c r="M237">
        <v>2017</v>
      </c>
    </row>
    <row r="238" spans="1:13" ht="15">
      <c r="A238" t="s">
        <v>112</v>
      </c>
      <c r="B238" t="s">
        <v>113</v>
      </c>
      <c r="C238" s="15" t="s">
        <v>30</v>
      </c>
      <c r="D238" s="23" t="s">
        <v>81</v>
      </c>
      <c r="E238" s="25" t="s">
        <v>82</v>
      </c>
      <c r="F238" s="16" t="str">
        <f>'Source Table'!$C$6</f>
        <v>Female</v>
      </c>
      <c r="G238" s="16" t="str">
        <f>'Source Table'!$C$5</f>
        <v>أنثى</v>
      </c>
      <c r="H238" t="str">
        <f>'Source Table'!$H$8</f>
        <v>Jordanian</v>
      </c>
      <c r="I238" s="25" t="str">
        <f>'Source Table'!$H$7</f>
        <v>أردني</v>
      </c>
      <c r="J238" s="25" t="str">
        <f>'Source Table'!$B$9</f>
        <v>Civil</v>
      </c>
      <c r="K238" s="25" t="str">
        <f>'Source Table'!$I$9</f>
        <v>مدني</v>
      </c>
      <c r="L238" s="45">
        <v>9328</v>
      </c>
      <c r="M238">
        <v>2017</v>
      </c>
    </row>
    <row r="239" spans="1:13" ht="15">
      <c r="A239" t="s">
        <v>112</v>
      </c>
      <c r="B239" t="s">
        <v>113</v>
      </c>
      <c r="C239" s="15" t="s">
        <v>30</v>
      </c>
      <c r="D239" s="23" t="s">
        <v>81</v>
      </c>
      <c r="E239" s="25" t="s">
        <v>82</v>
      </c>
      <c r="F239" s="16" t="str">
        <f>'Source Table'!$C$6</f>
        <v>Female</v>
      </c>
      <c r="G239" s="16" t="str">
        <f>'Source Table'!$C$5</f>
        <v>أنثى</v>
      </c>
      <c r="H239" t="str">
        <f>'Source Table'!$H$8</f>
        <v>Jordanian</v>
      </c>
      <c r="I239" s="25" t="str">
        <f>'Source Table'!$H$7</f>
        <v>أردني</v>
      </c>
      <c r="J239" s="25" t="str">
        <f>'Source Table'!$B$10</f>
        <v>Architecture</v>
      </c>
      <c r="K239" s="25" t="str">
        <f>'Source Table'!$I$10</f>
        <v>عمارة</v>
      </c>
      <c r="L239" s="45">
        <v>6236</v>
      </c>
      <c r="M239">
        <v>2017</v>
      </c>
    </row>
    <row r="240" spans="1:13" ht="15">
      <c r="A240" t="s">
        <v>112</v>
      </c>
      <c r="B240" t="s">
        <v>113</v>
      </c>
      <c r="C240" s="15" t="s">
        <v>30</v>
      </c>
      <c r="D240" s="23" t="s">
        <v>81</v>
      </c>
      <c r="E240" s="25" t="s">
        <v>82</v>
      </c>
      <c r="F240" s="16" t="str">
        <f>'Source Table'!$C$6</f>
        <v>Female</v>
      </c>
      <c r="G240" s="16" t="str">
        <f>'Source Table'!$C$5</f>
        <v>أنثى</v>
      </c>
      <c r="H240" t="str">
        <f>'Source Table'!$H$8</f>
        <v>Jordanian</v>
      </c>
      <c r="I240" s="25" t="str">
        <f>'Source Table'!$H$7</f>
        <v>أردني</v>
      </c>
      <c r="J240" s="25" t="str">
        <f>'Source Table'!$B$11</f>
        <v>Mechanical</v>
      </c>
      <c r="K240" s="25" t="str">
        <f>'Source Table'!$I$11</f>
        <v>ميكانيك</v>
      </c>
      <c r="L240" s="45">
        <v>3718</v>
      </c>
      <c r="M240">
        <v>2017</v>
      </c>
    </row>
    <row r="241" spans="1:13" ht="15">
      <c r="A241" t="s">
        <v>112</v>
      </c>
      <c r="B241" t="s">
        <v>113</v>
      </c>
      <c r="C241" s="15" t="s">
        <v>30</v>
      </c>
      <c r="D241" s="23" t="s">
        <v>81</v>
      </c>
      <c r="E241" s="25" t="s">
        <v>82</v>
      </c>
      <c r="F241" s="16" t="str">
        <f>'Source Table'!$C$6</f>
        <v>Female</v>
      </c>
      <c r="G241" s="16" t="str">
        <f>'Source Table'!$C$5</f>
        <v>أنثى</v>
      </c>
      <c r="H241" t="str">
        <f>'Source Table'!$H$8</f>
        <v>Jordanian</v>
      </c>
      <c r="I241" s="25" t="str">
        <f>'Source Table'!$H$7</f>
        <v>أردني</v>
      </c>
      <c r="J241" s="25" t="str">
        <f>'Source Table'!$B$12</f>
        <v>Electricity</v>
      </c>
      <c r="K241" s="25" t="str">
        <f>'Source Table'!$I$12</f>
        <v>كهرباء</v>
      </c>
      <c r="L241" s="45">
        <v>13323</v>
      </c>
      <c r="M241">
        <v>2017</v>
      </c>
    </row>
    <row r="242" spans="1:13" ht="15">
      <c r="A242" t="s">
        <v>112</v>
      </c>
      <c r="B242" t="s">
        <v>113</v>
      </c>
      <c r="C242" s="15" t="s">
        <v>30</v>
      </c>
      <c r="D242" s="23" t="s">
        <v>81</v>
      </c>
      <c r="E242" s="25" t="s">
        <v>82</v>
      </c>
      <c r="F242" s="16" t="str">
        <f>'Source Table'!$C$6</f>
        <v>Female</v>
      </c>
      <c r="G242" s="16" t="str">
        <f>'Source Table'!$C$5</f>
        <v>أنثى</v>
      </c>
      <c r="H242" t="str">
        <f>'Source Table'!$H$8</f>
        <v>Jordanian</v>
      </c>
      <c r="I242" s="25" t="str">
        <f>'Source Table'!$H$7</f>
        <v>أردني</v>
      </c>
      <c r="J242" s="25" t="str">
        <f>'Source Table'!$B$13</f>
        <v>Mining</v>
      </c>
      <c r="K242" s="25" t="str">
        <f>'Source Table'!$I$13</f>
        <v>تعدين</v>
      </c>
      <c r="L242" s="45">
        <v>124</v>
      </c>
      <c r="M242">
        <v>2017</v>
      </c>
    </row>
    <row r="243" spans="1:13" ht="15">
      <c r="A243" t="s">
        <v>112</v>
      </c>
      <c r="B243" t="s">
        <v>113</v>
      </c>
      <c r="C243" s="15" t="s">
        <v>30</v>
      </c>
      <c r="D243" s="23" t="s">
        <v>81</v>
      </c>
      <c r="E243" s="25" t="s">
        <v>82</v>
      </c>
      <c r="F243" s="16" t="str">
        <f>'Source Table'!$C$6</f>
        <v>Female</v>
      </c>
      <c r="G243" s="16" t="str">
        <f>'Source Table'!$C$5</f>
        <v>أنثى</v>
      </c>
      <c r="H243" t="str">
        <f>'Source Table'!$H$8</f>
        <v>Jordanian</v>
      </c>
      <c r="I243" s="25" t="str">
        <f>'Source Table'!$H$7</f>
        <v>أردني</v>
      </c>
      <c r="J243" s="25" t="str">
        <f>'Source Table'!$B$14</f>
        <v>Chemistry</v>
      </c>
      <c r="K243" s="25" t="str">
        <f>'Source Table'!$I$14</f>
        <v>كيمياء</v>
      </c>
      <c r="L243" s="45">
        <v>4151</v>
      </c>
      <c r="M243">
        <v>2017</v>
      </c>
    </row>
    <row r="244" spans="1:13" ht="15">
      <c r="A244" t="s">
        <v>112</v>
      </c>
      <c r="B244" t="s">
        <v>113</v>
      </c>
      <c r="C244" s="15" t="s">
        <v>30</v>
      </c>
      <c r="D244" s="23" t="s">
        <v>81</v>
      </c>
      <c r="E244" s="25" t="s">
        <v>82</v>
      </c>
      <c r="F244" s="16" t="str">
        <f>'Source Table'!$C$6</f>
        <v>Female</v>
      </c>
      <c r="G244" s="16" t="str">
        <f>'Source Table'!$C$5</f>
        <v>أنثى</v>
      </c>
      <c r="H244" t="str">
        <f>'Source Table'!$G$8</f>
        <v>Arab</v>
      </c>
      <c r="I244" s="16" t="str">
        <f>'Source Table'!$G$7</f>
        <v>عربي</v>
      </c>
      <c r="J244" s="25" t="str">
        <f>'Source Table'!$B$9</f>
        <v>Civil</v>
      </c>
      <c r="K244" s="25" t="str">
        <f>'Source Table'!$I$9</f>
        <v>مدني</v>
      </c>
      <c r="L244" s="45">
        <v>168</v>
      </c>
      <c r="M244">
        <v>2017</v>
      </c>
    </row>
    <row r="245" spans="1:13" ht="15">
      <c r="A245" t="s">
        <v>112</v>
      </c>
      <c r="B245" t="s">
        <v>113</v>
      </c>
      <c r="C245" s="15" t="s">
        <v>30</v>
      </c>
      <c r="D245" s="23" t="s">
        <v>81</v>
      </c>
      <c r="E245" s="25" t="s">
        <v>82</v>
      </c>
      <c r="F245" s="16" t="str">
        <f>'Source Table'!$C$6</f>
        <v>Female</v>
      </c>
      <c r="G245" s="16" t="str">
        <f>'Source Table'!$C$5</f>
        <v>أنثى</v>
      </c>
      <c r="H245" t="str">
        <f>'Source Table'!$G$8</f>
        <v>Arab</v>
      </c>
      <c r="I245" s="16" t="str">
        <f>'Source Table'!$G$7</f>
        <v>عربي</v>
      </c>
      <c r="J245" s="25" t="str">
        <f>'Source Table'!$B$10</f>
        <v>Architecture</v>
      </c>
      <c r="K245" s="25" t="str">
        <f>'Source Table'!$I$10</f>
        <v>عمارة</v>
      </c>
      <c r="L245" s="45">
        <v>291</v>
      </c>
      <c r="M245">
        <v>2017</v>
      </c>
    </row>
    <row r="246" spans="1:13" ht="15">
      <c r="A246" t="s">
        <v>112</v>
      </c>
      <c r="B246" t="s">
        <v>113</v>
      </c>
      <c r="C246" s="15" t="s">
        <v>30</v>
      </c>
      <c r="D246" s="23" t="s">
        <v>81</v>
      </c>
      <c r="E246" s="25" t="s">
        <v>82</v>
      </c>
      <c r="F246" s="16" t="str">
        <f>'Source Table'!$C$6</f>
        <v>Female</v>
      </c>
      <c r="G246" s="16" t="str">
        <f>'Source Table'!$C$5</f>
        <v>أنثى</v>
      </c>
      <c r="H246" t="str">
        <f>'Source Table'!$G$8</f>
        <v>Arab</v>
      </c>
      <c r="I246" s="16" t="str">
        <f>'Source Table'!$G$7</f>
        <v>عربي</v>
      </c>
      <c r="J246" s="25" t="str">
        <f>'Source Table'!$B$11</f>
        <v>Mechanical</v>
      </c>
      <c r="K246" s="25" t="str">
        <f>'Source Table'!$I$11</f>
        <v>ميكانيك</v>
      </c>
      <c r="L246" s="45">
        <v>28</v>
      </c>
      <c r="M246">
        <v>2017</v>
      </c>
    </row>
    <row r="247" spans="1:13" ht="15">
      <c r="A247" t="s">
        <v>112</v>
      </c>
      <c r="B247" t="s">
        <v>113</v>
      </c>
      <c r="C247" s="15" t="s">
        <v>30</v>
      </c>
      <c r="D247" s="23" t="s">
        <v>81</v>
      </c>
      <c r="E247" s="25" t="s">
        <v>82</v>
      </c>
      <c r="F247" s="16" t="str">
        <f>'Source Table'!$C$6</f>
        <v>Female</v>
      </c>
      <c r="G247" s="16" t="str">
        <f>'Source Table'!$C$5</f>
        <v>أنثى</v>
      </c>
      <c r="H247" t="str">
        <f>'Source Table'!$G$8</f>
        <v>Arab</v>
      </c>
      <c r="I247" s="16" t="str">
        <f>'Source Table'!$G$7</f>
        <v>عربي</v>
      </c>
      <c r="J247" s="25" t="str">
        <f>'Source Table'!$B$12</f>
        <v>Electricity</v>
      </c>
      <c r="K247" s="25" t="str">
        <f>'Source Table'!$I$12</f>
        <v>كهرباء</v>
      </c>
      <c r="L247" s="45">
        <v>118</v>
      </c>
      <c r="M247">
        <v>2017</v>
      </c>
    </row>
    <row r="248" spans="1:13" ht="15">
      <c r="A248" t="s">
        <v>112</v>
      </c>
      <c r="B248" t="s">
        <v>113</v>
      </c>
      <c r="C248" s="15" t="s">
        <v>30</v>
      </c>
      <c r="D248" s="23" t="s">
        <v>81</v>
      </c>
      <c r="E248" s="25" t="s">
        <v>82</v>
      </c>
      <c r="F248" s="16" t="str">
        <f>'Source Table'!$C$6</f>
        <v>Female</v>
      </c>
      <c r="G248" s="16" t="str">
        <f>'Source Table'!$C$5</f>
        <v>أنثى</v>
      </c>
      <c r="H248" t="str">
        <f>'Source Table'!$G$8</f>
        <v>Arab</v>
      </c>
      <c r="I248" s="16" t="str">
        <f>'Source Table'!$G$7</f>
        <v>عربي</v>
      </c>
      <c r="J248" s="25" t="str">
        <f>'Source Table'!$B$13</f>
        <v>Mining</v>
      </c>
      <c r="K248" s="25" t="str">
        <f>'Source Table'!$I$13</f>
        <v>تعدين</v>
      </c>
      <c r="L248" s="45">
        <v>0</v>
      </c>
      <c r="M248">
        <v>2017</v>
      </c>
    </row>
    <row r="249" spans="1:13" ht="15">
      <c r="A249" t="s">
        <v>112</v>
      </c>
      <c r="B249" t="s">
        <v>113</v>
      </c>
      <c r="C249" s="15" t="s">
        <v>30</v>
      </c>
      <c r="D249" s="23" t="s">
        <v>81</v>
      </c>
      <c r="E249" s="25" t="s">
        <v>82</v>
      </c>
      <c r="F249" s="16" t="str">
        <f>'Source Table'!$C$6</f>
        <v>Female</v>
      </c>
      <c r="G249" s="16" t="str">
        <f>'Source Table'!$C$5</f>
        <v>أنثى</v>
      </c>
      <c r="H249" t="str">
        <f>'Source Table'!$G$8</f>
        <v>Arab</v>
      </c>
      <c r="I249" s="16" t="str">
        <f>'Source Table'!$G$7</f>
        <v>عربي</v>
      </c>
      <c r="J249" s="25" t="str">
        <f>'Source Table'!$B$14</f>
        <v>Chemistry</v>
      </c>
      <c r="K249" s="25" t="str">
        <f>'Source Table'!$I$14</f>
        <v>كيمياء</v>
      </c>
      <c r="L249" s="45">
        <v>33</v>
      </c>
      <c r="M249">
        <v>2017</v>
      </c>
    </row>
    <row r="250" spans="1:13" ht="15">
      <c r="A250" t="s">
        <v>112</v>
      </c>
      <c r="B250" t="s">
        <v>113</v>
      </c>
      <c r="C250" s="15" t="s">
        <v>30</v>
      </c>
      <c r="D250" s="23" t="s">
        <v>81</v>
      </c>
      <c r="E250" s="25" t="s">
        <v>82</v>
      </c>
      <c r="F250" s="16" t="str">
        <f>'Source Table'!$C$6</f>
        <v>Female</v>
      </c>
      <c r="G250" s="16" t="str">
        <f>'Source Table'!$C$5</f>
        <v>أنثى</v>
      </c>
      <c r="H250" t="str">
        <f>'Source Table'!$F$8</f>
        <v>Foreign</v>
      </c>
      <c r="I250" s="16" t="str">
        <f>'Source Table'!$F$7</f>
        <v>أجنبي</v>
      </c>
      <c r="J250" s="25" t="str">
        <f>'Source Table'!$B$9</f>
        <v>Civil</v>
      </c>
      <c r="K250" s="25" t="str">
        <f>'Source Table'!$I$9</f>
        <v>مدني</v>
      </c>
      <c r="L250" s="45">
        <v>18</v>
      </c>
      <c r="M250">
        <v>2017</v>
      </c>
    </row>
    <row r="251" spans="1:13" ht="15">
      <c r="A251" t="s">
        <v>112</v>
      </c>
      <c r="B251" t="s">
        <v>113</v>
      </c>
      <c r="C251" s="15" t="s">
        <v>30</v>
      </c>
      <c r="D251" s="23" t="s">
        <v>81</v>
      </c>
      <c r="E251" s="25" t="s">
        <v>82</v>
      </c>
      <c r="F251" s="16" t="str">
        <f>'Source Table'!$C$6</f>
        <v>Female</v>
      </c>
      <c r="G251" s="16" t="str">
        <f>'Source Table'!$C$5</f>
        <v>أنثى</v>
      </c>
      <c r="H251" t="str">
        <f>'Source Table'!$F$8</f>
        <v>Foreign</v>
      </c>
      <c r="I251" s="16" t="str">
        <f>'Source Table'!$F$7</f>
        <v>أجنبي</v>
      </c>
      <c r="J251" s="25" t="str">
        <f>'Source Table'!$B$10</f>
        <v>Architecture</v>
      </c>
      <c r="K251" s="25" t="str">
        <f>'Source Table'!$I$10</f>
        <v>عمارة</v>
      </c>
      <c r="L251" s="45">
        <v>17</v>
      </c>
      <c r="M251">
        <v>2017</v>
      </c>
    </row>
    <row r="252" spans="1:13" ht="15">
      <c r="A252" t="s">
        <v>112</v>
      </c>
      <c r="B252" t="s">
        <v>113</v>
      </c>
      <c r="C252" s="15" t="s">
        <v>30</v>
      </c>
      <c r="D252" s="23" t="s">
        <v>81</v>
      </c>
      <c r="E252" s="25" t="s">
        <v>82</v>
      </c>
      <c r="F252" s="16" t="str">
        <f>'Source Table'!$C$6</f>
        <v>Female</v>
      </c>
      <c r="G252" s="16" t="str">
        <f>'Source Table'!$C$5</f>
        <v>أنثى</v>
      </c>
      <c r="H252" t="str">
        <f>'Source Table'!$F$8</f>
        <v>Foreign</v>
      </c>
      <c r="I252" s="16" t="str">
        <f>'Source Table'!$F$7</f>
        <v>أجنبي</v>
      </c>
      <c r="J252" s="25" t="str">
        <f>'Source Table'!$B$11</f>
        <v>Mechanical</v>
      </c>
      <c r="K252" s="25" t="str">
        <f>'Source Table'!$I$11</f>
        <v>ميكانيك</v>
      </c>
      <c r="L252" s="45">
        <v>6</v>
      </c>
      <c r="M252">
        <v>2017</v>
      </c>
    </row>
    <row r="253" spans="1:13" ht="15">
      <c r="A253" t="s">
        <v>112</v>
      </c>
      <c r="B253" t="s">
        <v>113</v>
      </c>
      <c r="C253" s="15" t="s">
        <v>30</v>
      </c>
      <c r="D253" s="23" t="s">
        <v>81</v>
      </c>
      <c r="E253" s="25" t="s">
        <v>82</v>
      </c>
      <c r="F253" s="16" t="str">
        <f>'Source Table'!$C$6</f>
        <v>Female</v>
      </c>
      <c r="G253" s="16" t="str">
        <f>'Source Table'!$C$5</f>
        <v>أنثى</v>
      </c>
      <c r="H253" t="str">
        <f>'Source Table'!$F$8</f>
        <v>Foreign</v>
      </c>
      <c r="I253" s="16" t="str">
        <f>'Source Table'!$F$7</f>
        <v>أجنبي</v>
      </c>
      <c r="J253" s="25" t="str">
        <f>'Source Table'!$B$12</f>
        <v>Electricity</v>
      </c>
      <c r="K253" s="25" t="str">
        <f>'Source Table'!$I$12</f>
        <v>كهرباء</v>
      </c>
      <c r="L253" s="45">
        <v>3</v>
      </c>
      <c r="M253">
        <v>2017</v>
      </c>
    </row>
    <row r="254" spans="1:13" ht="15">
      <c r="A254" t="s">
        <v>112</v>
      </c>
      <c r="B254" t="s">
        <v>113</v>
      </c>
      <c r="C254" s="15" t="s">
        <v>30</v>
      </c>
      <c r="D254" s="23" t="s">
        <v>81</v>
      </c>
      <c r="E254" s="25" t="s">
        <v>82</v>
      </c>
      <c r="F254" s="16" t="str">
        <f>'Source Table'!$C$6</f>
        <v>Female</v>
      </c>
      <c r="G254" s="16" t="str">
        <f>'Source Table'!$C$5</f>
        <v>أنثى</v>
      </c>
      <c r="H254" t="str">
        <f>'Source Table'!$F$8</f>
        <v>Foreign</v>
      </c>
      <c r="I254" s="16" t="str">
        <f>'Source Table'!$F$7</f>
        <v>أجنبي</v>
      </c>
      <c r="J254" s="25" t="str">
        <f>'Source Table'!$B$13</f>
        <v>Mining</v>
      </c>
      <c r="K254" s="25" t="str">
        <f>'Source Table'!$I$13</f>
        <v>تعدين</v>
      </c>
      <c r="L254" s="45">
        <v>0</v>
      </c>
      <c r="M254">
        <v>2017</v>
      </c>
    </row>
    <row r="255" spans="1:13" ht="15">
      <c r="A255" t="s">
        <v>112</v>
      </c>
      <c r="B255" t="s">
        <v>113</v>
      </c>
      <c r="C255" s="15" t="s">
        <v>30</v>
      </c>
      <c r="D255" s="23" t="s">
        <v>81</v>
      </c>
      <c r="E255" s="25" t="s">
        <v>82</v>
      </c>
      <c r="F255" s="16" t="str">
        <f>'Source Table'!$C$6</f>
        <v>Female</v>
      </c>
      <c r="G255" s="16" t="str">
        <f>'Source Table'!$C$5</f>
        <v>أنثى</v>
      </c>
      <c r="H255" t="str">
        <f>'Source Table'!$F$8</f>
        <v>Foreign</v>
      </c>
      <c r="I255" s="16" t="str">
        <f>'Source Table'!$F$7</f>
        <v>أجنبي</v>
      </c>
      <c r="J255" s="25" t="str">
        <f>'Source Table'!$B$14</f>
        <v>Chemistry</v>
      </c>
      <c r="K255" s="25" t="str">
        <f>'Source Table'!$I$14</f>
        <v>كيمياء</v>
      </c>
      <c r="L255" s="45">
        <v>3</v>
      </c>
      <c r="M255">
        <v>2017</v>
      </c>
    </row>
    <row r="256" spans="1:13" ht="15">
      <c r="A256" t="s">
        <v>112</v>
      </c>
      <c r="B256" t="s">
        <v>113</v>
      </c>
      <c r="C256" s="15" t="s">
        <v>30</v>
      </c>
      <c r="D256" s="23" t="s">
        <v>81</v>
      </c>
      <c r="E256" s="25" t="s">
        <v>82</v>
      </c>
      <c r="F256" s="25" t="str">
        <f>'Source Table'!$F$6</f>
        <v>Male</v>
      </c>
      <c r="G256" s="25" t="str">
        <f>'Source Table'!$F$5</f>
        <v>ذكر</v>
      </c>
      <c r="H256" t="str">
        <f>'Source Table'!$H$8</f>
        <v>Jordanian</v>
      </c>
      <c r="I256" s="25" t="str">
        <f>'Source Table'!$H$7</f>
        <v>أردني</v>
      </c>
      <c r="J256" s="25" t="str">
        <f>'Source Table'!$B$9</f>
        <v>Civil</v>
      </c>
      <c r="K256" s="25" t="str">
        <f>'Source Table'!$I$9</f>
        <v>مدني</v>
      </c>
      <c r="L256" s="46">
        <v>28793</v>
      </c>
      <c r="M256">
        <v>2016</v>
      </c>
    </row>
    <row r="257" spans="1:13" ht="15">
      <c r="A257" t="s">
        <v>112</v>
      </c>
      <c r="B257" t="s">
        <v>113</v>
      </c>
      <c r="C257" s="15" t="s">
        <v>30</v>
      </c>
      <c r="D257" s="23" t="s">
        <v>81</v>
      </c>
      <c r="E257" s="25" t="s">
        <v>82</v>
      </c>
      <c r="F257" s="25" t="str">
        <f>'Source Table'!$F$6</f>
        <v>Male</v>
      </c>
      <c r="G257" s="25" t="str">
        <f>'Source Table'!$F$5</f>
        <v>ذكر</v>
      </c>
      <c r="H257" t="str">
        <f>'Source Table'!$H$8</f>
        <v>Jordanian</v>
      </c>
      <c r="I257" s="25" t="str">
        <f>'Source Table'!$H$7</f>
        <v>أردني</v>
      </c>
      <c r="J257" s="25" t="str">
        <f>'Source Table'!$B$10</f>
        <v>Architecture</v>
      </c>
      <c r="K257" s="25" t="str">
        <f>'Source Table'!$I$10</f>
        <v>عمارة</v>
      </c>
      <c r="L257" s="46">
        <v>5441</v>
      </c>
      <c r="M257">
        <v>2016</v>
      </c>
    </row>
    <row r="258" spans="1:13" ht="15">
      <c r="A258" t="s">
        <v>112</v>
      </c>
      <c r="B258" t="s">
        <v>113</v>
      </c>
      <c r="C258" s="15" t="s">
        <v>30</v>
      </c>
      <c r="D258" s="23" t="s">
        <v>81</v>
      </c>
      <c r="E258" s="25" t="s">
        <v>82</v>
      </c>
      <c r="F258" s="25" t="str">
        <f>'Source Table'!$F$6</f>
        <v>Male</v>
      </c>
      <c r="G258" s="25" t="str">
        <f>'Source Table'!$F$5</f>
        <v>ذكر</v>
      </c>
      <c r="H258" t="str">
        <f>'Source Table'!$H$8</f>
        <v>Jordanian</v>
      </c>
      <c r="I258" s="25" t="str">
        <f>'Source Table'!$H$7</f>
        <v>أردني</v>
      </c>
      <c r="J258" s="25" t="str">
        <f>'Source Table'!$B$11</f>
        <v>Mechanical</v>
      </c>
      <c r="K258" s="25" t="str">
        <f>'Source Table'!$I$11</f>
        <v>ميكانيك</v>
      </c>
      <c r="L258" s="46">
        <v>22741</v>
      </c>
      <c r="M258">
        <v>2016</v>
      </c>
    </row>
    <row r="259" spans="1:13" ht="15">
      <c r="A259" t="s">
        <v>112</v>
      </c>
      <c r="B259" t="s">
        <v>113</v>
      </c>
      <c r="C259" s="15" t="s">
        <v>30</v>
      </c>
      <c r="D259" s="23" t="s">
        <v>81</v>
      </c>
      <c r="E259" s="25" t="s">
        <v>82</v>
      </c>
      <c r="F259" s="25" t="str">
        <f>'Source Table'!$F$6</f>
        <v>Male</v>
      </c>
      <c r="G259" s="25" t="str">
        <f>'Source Table'!$F$5</f>
        <v>ذكر</v>
      </c>
      <c r="H259" t="str">
        <f>'Source Table'!$H$8</f>
        <v>Jordanian</v>
      </c>
      <c r="I259" s="25" t="str">
        <f>'Source Table'!$H$7</f>
        <v>أردني</v>
      </c>
      <c r="J259" s="25" t="str">
        <f>'Source Table'!$B$12</f>
        <v>Electricity</v>
      </c>
      <c r="K259" s="25" t="str">
        <f>'Source Table'!$I$12</f>
        <v>كهرباء</v>
      </c>
      <c r="L259" s="46">
        <v>37521</v>
      </c>
      <c r="M259">
        <v>2016</v>
      </c>
    </row>
    <row r="260" spans="1:13" ht="15">
      <c r="A260" t="s">
        <v>112</v>
      </c>
      <c r="B260" t="s">
        <v>113</v>
      </c>
      <c r="C260" s="15" t="s">
        <v>30</v>
      </c>
      <c r="D260" s="23" t="s">
        <v>81</v>
      </c>
      <c r="E260" s="25" t="s">
        <v>82</v>
      </c>
      <c r="F260" s="25" t="str">
        <f>'Source Table'!$F$6</f>
        <v>Male</v>
      </c>
      <c r="G260" s="25" t="str">
        <f>'Source Table'!$F$5</f>
        <v>ذكر</v>
      </c>
      <c r="H260" t="str">
        <f>'Source Table'!$H$8</f>
        <v>Jordanian</v>
      </c>
      <c r="I260" s="25" t="str">
        <f>'Source Table'!$H$7</f>
        <v>أردني</v>
      </c>
      <c r="J260" s="25" t="str">
        <f>'Source Table'!$B$13</f>
        <v>Mining</v>
      </c>
      <c r="K260" s="25" t="str">
        <f>'Source Table'!$I$13</f>
        <v>تعدين</v>
      </c>
      <c r="L260" s="46">
        <v>1145</v>
      </c>
      <c r="M260">
        <v>2016</v>
      </c>
    </row>
    <row r="261" spans="1:13" ht="15">
      <c r="A261" t="s">
        <v>112</v>
      </c>
      <c r="B261" t="s">
        <v>113</v>
      </c>
      <c r="C261" s="15" t="s">
        <v>30</v>
      </c>
      <c r="D261" s="23" t="s">
        <v>81</v>
      </c>
      <c r="E261" s="25" t="s">
        <v>82</v>
      </c>
      <c r="F261" s="25" t="str">
        <f>'Source Table'!$F$6</f>
        <v>Male</v>
      </c>
      <c r="G261" s="25" t="str">
        <f>'Source Table'!$F$5</f>
        <v>ذكر</v>
      </c>
      <c r="H261" t="str">
        <f>'Source Table'!$H$8</f>
        <v>Jordanian</v>
      </c>
      <c r="I261" s="25" t="str">
        <f>'Source Table'!$H$7</f>
        <v>أردني</v>
      </c>
      <c r="J261" s="25" t="str">
        <f>'Source Table'!$B$14</f>
        <v>Chemistry</v>
      </c>
      <c r="K261" s="25" t="str">
        <f>'Source Table'!$I$14</f>
        <v>كيمياء</v>
      </c>
      <c r="L261" s="46">
        <v>3651</v>
      </c>
      <c r="M261">
        <v>2016</v>
      </c>
    </row>
    <row r="262" spans="1:13" ht="15">
      <c r="A262" t="s">
        <v>112</v>
      </c>
      <c r="B262" t="s">
        <v>113</v>
      </c>
      <c r="C262" s="15" t="s">
        <v>30</v>
      </c>
      <c r="D262" s="23" t="s">
        <v>81</v>
      </c>
      <c r="E262" s="25" t="s">
        <v>82</v>
      </c>
      <c r="F262" s="25" t="str">
        <f>'Source Table'!$F$6</f>
        <v>Male</v>
      </c>
      <c r="G262" s="25" t="str">
        <f>'Source Table'!$F$5</f>
        <v>ذكر</v>
      </c>
      <c r="H262" t="str">
        <f>'Source Table'!$G$8</f>
        <v>Arab</v>
      </c>
      <c r="I262" s="16" t="str">
        <f>'Source Table'!$G$7</f>
        <v>عربي</v>
      </c>
      <c r="J262" s="25" t="str">
        <f>'Source Table'!$B$9</f>
        <v>Civil</v>
      </c>
      <c r="K262" s="25" t="str">
        <f>'Source Table'!$I$9</f>
        <v>مدني</v>
      </c>
      <c r="L262" s="46">
        <v>1257</v>
      </c>
      <c r="M262">
        <v>2016</v>
      </c>
    </row>
    <row r="263" spans="1:13" ht="15">
      <c r="A263" t="s">
        <v>112</v>
      </c>
      <c r="B263" t="s">
        <v>113</v>
      </c>
      <c r="C263" s="15" t="s">
        <v>30</v>
      </c>
      <c r="D263" s="23" t="s">
        <v>81</v>
      </c>
      <c r="E263" s="25" t="s">
        <v>82</v>
      </c>
      <c r="F263" s="25" t="str">
        <f>'Source Table'!$F$6</f>
        <v>Male</v>
      </c>
      <c r="G263" s="25" t="str">
        <f>'Source Table'!$F$5</f>
        <v>ذكر</v>
      </c>
      <c r="H263" t="str">
        <f>'Source Table'!$G$8</f>
        <v>Arab</v>
      </c>
      <c r="I263" s="16" t="str">
        <f>'Source Table'!$G$7</f>
        <v>عربي</v>
      </c>
      <c r="J263" s="25" t="str">
        <f>'Source Table'!$B$10</f>
        <v>Architecture</v>
      </c>
      <c r="K263" s="25" t="str">
        <f>'Source Table'!$I$10</f>
        <v>عمارة</v>
      </c>
      <c r="L263" s="46">
        <v>429</v>
      </c>
      <c r="M263">
        <v>2016</v>
      </c>
    </row>
    <row r="264" spans="1:13" ht="15">
      <c r="A264" t="s">
        <v>112</v>
      </c>
      <c r="B264" t="s">
        <v>113</v>
      </c>
      <c r="C264" s="15" t="s">
        <v>30</v>
      </c>
      <c r="D264" s="23" t="s">
        <v>81</v>
      </c>
      <c r="E264" s="25" t="s">
        <v>82</v>
      </c>
      <c r="F264" s="25" t="str">
        <f>'Source Table'!$F$6</f>
        <v>Male</v>
      </c>
      <c r="G264" s="25" t="str">
        <f>'Source Table'!$F$5</f>
        <v>ذكر</v>
      </c>
      <c r="H264" t="str">
        <f>'Source Table'!$G$8</f>
        <v>Arab</v>
      </c>
      <c r="I264" s="16" t="str">
        <f>'Source Table'!$G$7</f>
        <v>عربي</v>
      </c>
      <c r="J264" s="25" t="str">
        <f>'Source Table'!$B$11</f>
        <v>Mechanical</v>
      </c>
      <c r="K264" s="25" t="str">
        <f>'Source Table'!$I$11</f>
        <v>ميكانيك</v>
      </c>
      <c r="L264" s="46">
        <v>442</v>
      </c>
      <c r="M264">
        <v>2016</v>
      </c>
    </row>
    <row r="265" spans="1:13" ht="15">
      <c r="A265" t="s">
        <v>112</v>
      </c>
      <c r="B265" t="s">
        <v>113</v>
      </c>
      <c r="C265" s="15" t="s">
        <v>30</v>
      </c>
      <c r="D265" s="23" t="s">
        <v>81</v>
      </c>
      <c r="E265" s="25" t="s">
        <v>82</v>
      </c>
      <c r="F265" s="25" t="str">
        <f>'Source Table'!$F$6</f>
        <v>Male</v>
      </c>
      <c r="G265" s="25" t="str">
        <f>'Source Table'!$F$5</f>
        <v>ذكر</v>
      </c>
      <c r="H265" t="str">
        <f>'Source Table'!$G$8</f>
        <v>Arab</v>
      </c>
      <c r="I265" s="16" t="str">
        <f>'Source Table'!$G$7</f>
        <v>عربي</v>
      </c>
      <c r="J265" s="25" t="str">
        <f>'Source Table'!$B$12</f>
        <v>Electricity</v>
      </c>
      <c r="K265" s="25" t="str">
        <f>'Source Table'!$I$12</f>
        <v>كهرباء</v>
      </c>
      <c r="L265" s="46">
        <v>772</v>
      </c>
      <c r="M265">
        <v>2016</v>
      </c>
    </row>
    <row r="266" spans="1:13" ht="15">
      <c r="A266" t="s">
        <v>112</v>
      </c>
      <c r="B266" t="s">
        <v>113</v>
      </c>
      <c r="C266" s="15" t="s">
        <v>30</v>
      </c>
      <c r="D266" s="23" t="s">
        <v>81</v>
      </c>
      <c r="E266" s="25" t="s">
        <v>82</v>
      </c>
      <c r="F266" s="25" t="str">
        <f>'Source Table'!$F$6</f>
        <v>Male</v>
      </c>
      <c r="G266" s="25" t="str">
        <f>'Source Table'!$F$5</f>
        <v>ذكر</v>
      </c>
      <c r="H266" t="str">
        <f>'Source Table'!$G$8</f>
        <v>Arab</v>
      </c>
      <c r="I266" s="16" t="str">
        <f>'Source Table'!$G$7</f>
        <v>عربي</v>
      </c>
      <c r="J266" s="25" t="str">
        <f>'Source Table'!$B$13</f>
        <v>Mining</v>
      </c>
      <c r="K266" s="25" t="str">
        <f>'Source Table'!$I$13</f>
        <v>تعدين</v>
      </c>
      <c r="L266" s="46">
        <v>17</v>
      </c>
      <c r="M266">
        <v>2016</v>
      </c>
    </row>
    <row r="267" spans="1:13" ht="15">
      <c r="A267" t="s">
        <v>112</v>
      </c>
      <c r="B267" t="s">
        <v>113</v>
      </c>
      <c r="C267" s="15" t="s">
        <v>30</v>
      </c>
      <c r="D267" s="23" t="s">
        <v>81</v>
      </c>
      <c r="E267" s="25" t="s">
        <v>82</v>
      </c>
      <c r="F267" s="25" t="str">
        <f>'Source Table'!$F$6</f>
        <v>Male</v>
      </c>
      <c r="G267" s="25" t="str">
        <f>'Source Table'!$F$5</f>
        <v>ذكر</v>
      </c>
      <c r="H267" t="str">
        <f>'Source Table'!$G$8</f>
        <v>Arab</v>
      </c>
      <c r="I267" s="16" t="str">
        <f>'Source Table'!$G$7</f>
        <v>عربي</v>
      </c>
      <c r="J267" s="25" t="str">
        <f>'Source Table'!$B$14</f>
        <v>Chemistry</v>
      </c>
      <c r="K267" s="25" t="str">
        <f>'Source Table'!$I$14</f>
        <v>كيمياء</v>
      </c>
      <c r="L267" s="46">
        <v>51</v>
      </c>
      <c r="M267">
        <v>2016</v>
      </c>
    </row>
    <row r="268" spans="1:13" ht="15">
      <c r="A268" t="s">
        <v>112</v>
      </c>
      <c r="B268" t="s">
        <v>113</v>
      </c>
      <c r="C268" s="15" t="s">
        <v>30</v>
      </c>
      <c r="D268" s="23" t="s">
        <v>81</v>
      </c>
      <c r="E268" s="25" t="s">
        <v>82</v>
      </c>
      <c r="F268" s="25" t="str">
        <f>'Source Table'!$F$6</f>
        <v>Male</v>
      </c>
      <c r="G268" s="25" t="str">
        <f>'Source Table'!$F$5</f>
        <v>ذكر</v>
      </c>
      <c r="H268" t="str">
        <f>'Source Table'!$F$8</f>
        <v>Foreign</v>
      </c>
      <c r="I268" s="16" t="str">
        <f>'Source Table'!$F$7</f>
        <v>أجنبي</v>
      </c>
      <c r="J268" s="25" t="str">
        <f>'Source Table'!$B$9</f>
        <v>Civil</v>
      </c>
      <c r="K268" s="25" t="str">
        <f>'Source Table'!$I$9</f>
        <v>مدني</v>
      </c>
      <c r="L268" s="46">
        <v>177</v>
      </c>
      <c r="M268">
        <v>2016</v>
      </c>
    </row>
    <row r="269" spans="1:13" ht="15">
      <c r="A269" t="s">
        <v>112</v>
      </c>
      <c r="B269" t="s">
        <v>113</v>
      </c>
      <c r="C269" s="15" t="s">
        <v>30</v>
      </c>
      <c r="D269" s="23" t="s">
        <v>81</v>
      </c>
      <c r="E269" s="25" t="s">
        <v>82</v>
      </c>
      <c r="F269" s="25" t="str">
        <f>'Source Table'!$F$6</f>
        <v>Male</v>
      </c>
      <c r="G269" s="25" t="str">
        <f>'Source Table'!$F$5</f>
        <v>ذكر</v>
      </c>
      <c r="H269" t="str">
        <f>'Source Table'!$F$8</f>
        <v>Foreign</v>
      </c>
      <c r="I269" s="16" t="str">
        <f>'Source Table'!$F$7</f>
        <v>أجنبي</v>
      </c>
      <c r="J269" s="25" t="str">
        <f>'Source Table'!$B$10</f>
        <v>Architecture</v>
      </c>
      <c r="K269" s="25" t="str">
        <f>'Source Table'!$I$10</f>
        <v>عمارة</v>
      </c>
      <c r="L269" s="46">
        <v>37</v>
      </c>
      <c r="M269">
        <v>2016</v>
      </c>
    </row>
    <row r="270" spans="1:13" ht="15">
      <c r="A270" t="s">
        <v>112</v>
      </c>
      <c r="B270" t="s">
        <v>113</v>
      </c>
      <c r="C270" s="15" t="s">
        <v>30</v>
      </c>
      <c r="D270" s="23" t="s">
        <v>81</v>
      </c>
      <c r="E270" s="25" t="s">
        <v>82</v>
      </c>
      <c r="F270" s="25" t="str">
        <f>'Source Table'!$F$6</f>
        <v>Male</v>
      </c>
      <c r="G270" s="25" t="str">
        <f>'Source Table'!$F$5</f>
        <v>ذكر</v>
      </c>
      <c r="H270" t="str">
        <f>'Source Table'!$F$8</f>
        <v>Foreign</v>
      </c>
      <c r="I270" s="16" t="str">
        <f>'Source Table'!$F$7</f>
        <v>أجنبي</v>
      </c>
      <c r="J270" s="25" t="str">
        <f>'Source Table'!$B$11</f>
        <v>Mechanical</v>
      </c>
      <c r="K270" s="25" t="str">
        <f>'Source Table'!$I$11</f>
        <v>ميكانيك</v>
      </c>
      <c r="L270" s="46">
        <v>36</v>
      </c>
      <c r="M270">
        <v>2016</v>
      </c>
    </row>
    <row r="271" spans="1:13" ht="15">
      <c r="A271" t="s">
        <v>112</v>
      </c>
      <c r="B271" t="s">
        <v>113</v>
      </c>
      <c r="C271" s="15" t="s">
        <v>30</v>
      </c>
      <c r="D271" s="23" t="s">
        <v>81</v>
      </c>
      <c r="E271" s="25" t="s">
        <v>82</v>
      </c>
      <c r="F271" s="25" t="str">
        <f>'Source Table'!$F$6</f>
        <v>Male</v>
      </c>
      <c r="G271" s="25" t="str">
        <f>'Source Table'!$F$5</f>
        <v>ذكر</v>
      </c>
      <c r="H271" t="str">
        <f>'Source Table'!$F$8</f>
        <v>Foreign</v>
      </c>
      <c r="I271" s="16" t="str">
        <f>'Source Table'!$F$7</f>
        <v>أجنبي</v>
      </c>
      <c r="J271" s="25" t="str">
        <f>'Source Table'!$B$12</f>
        <v>Electricity</v>
      </c>
      <c r="K271" s="25" t="str">
        <f>'Source Table'!$I$12</f>
        <v>كهرباء</v>
      </c>
      <c r="L271" s="46">
        <v>28</v>
      </c>
      <c r="M271">
        <v>2016</v>
      </c>
    </row>
    <row r="272" spans="1:13" ht="15">
      <c r="A272" t="s">
        <v>112</v>
      </c>
      <c r="B272" t="s">
        <v>113</v>
      </c>
      <c r="C272" s="15" t="s">
        <v>30</v>
      </c>
      <c r="D272" s="23" t="s">
        <v>81</v>
      </c>
      <c r="E272" s="25" t="s">
        <v>82</v>
      </c>
      <c r="F272" s="25" t="str">
        <f>'Source Table'!$F$6</f>
        <v>Male</v>
      </c>
      <c r="G272" s="25" t="str">
        <f>'Source Table'!$F$5</f>
        <v>ذكر</v>
      </c>
      <c r="H272" t="str">
        <f>'Source Table'!$F$8</f>
        <v>Foreign</v>
      </c>
      <c r="I272" s="16" t="str">
        <f>'Source Table'!$F$7</f>
        <v>أجنبي</v>
      </c>
      <c r="J272" s="25" t="str">
        <f>'Source Table'!$B$13</f>
        <v>Mining</v>
      </c>
      <c r="K272" s="25" t="str">
        <f>'Source Table'!$I$13</f>
        <v>تعدين</v>
      </c>
      <c r="L272" s="46">
        <v>3</v>
      </c>
      <c r="M272">
        <v>2016</v>
      </c>
    </row>
    <row r="273" spans="1:13" ht="15">
      <c r="A273" t="s">
        <v>112</v>
      </c>
      <c r="B273" t="s">
        <v>113</v>
      </c>
      <c r="C273" s="15" t="s">
        <v>30</v>
      </c>
      <c r="D273" s="23" t="s">
        <v>81</v>
      </c>
      <c r="E273" s="25" t="s">
        <v>82</v>
      </c>
      <c r="F273" s="25" t="str">
        <f>'Source Table'!$F$6</f>
        <v>Male</v>
      </c>
      <c r="G273" s="25" t="str">
        <f>'Source Table'!$F$5</f>
        <v>ذكر</v>
      </c>
      <c r="H273" t="str">
        <f>'Source Table'!$F$8</f>
        <v>Foreign</v>
      </c>
      <c r="I273" s="16" t="str">
        <f>'Source Table'!$F$7</f>
        <v>أجنبي</v>
      </c>
      <c r="J273" s="25" t="str">
        <f>'Source Table'!$B$14</f>
        <v>Chemistry</v>
      </c>
      <c r="K273" s="25" t="str">
        <f>'Source Table'!$I$14</f>
        <v>كيمياء</v>
      </c>
      <c r="L273" s="46">
        <v>3</v>
      </c>
      <c r="M273">
        <v>2016</v>
      </c>
    </row>
    <row r="274" spans="1:13" ht="15">
      <c r="A274" t="s">
        <v>112</v>
      </c>
      <c r="B274" t="s">
        <v>113</v>
      </c>
      <c r="C274" s="15" t="s">
        <v>30</v>
      </c>
      <c r="D274" s="23" t="s">
        <v>81</v>
      </c>
      <c r="E274" s="25" t="s">
        <v>82</v>
      </c>
      <c r="F274" s="16" t="str">
        <f>'Source Table'!$C$6</f>
        <v>Female</v>
      </c>
      <c r="G274" s="16" t="str">
        <f>'Source Table'!$C$5</f>
        <v>أنثى</v>
      </c>
      <c r="H274" t="str">
        <f>'Source Table'!$H$8</f>
        <v>Jordanian</v>
      </c>
      <c r="I274" s="25" t="str">
        <f>'Source Table'!$H$7</f>
        <v>أردني</v>
      </c>
      <c r="J274" s="25" t="str">
        <f>'Source Table'!$B$9</f>
        <v>Civil</v>
      </c>
      <c r="K274" s="25" t="str">
        <f>'Source Table'!$I$9</f>
        <v>مدني</v>
      </c>
      <c r="L274" s="46">
        <v>8429</v>
      </c>
      <c r="M274">
        <v>2016</v>
      </c>
    </row>
    <row r="275" spans="1:13" ht="15">
      <c r="A275" t="s">
        <v>112</v>
      </c>
      <c r="B275" t="s">
        <v>113</v>
      </c>
      <c r="C275" s="15" t="s">
        <v>30</v>
      </c>
      <c r="D275" s="23" t="s">
        <v>81</v>
      </c>
      <c r="E275" s="25" t="s">
        <v>82</v>
      </c>
      <c r="F275" s="16" t="str">
        <f>'Source Table'!$C$6</f>
        <v>Female</v>
      </c>
      <c r="G275" s="16" t="str">
        <f>'Source Table'!$C$5</f>
        <v>أنثى</v>
      </c>
      <c r="H275" t="str">
        <f>'Source Table'!$H$8</f>
        <v>Jordanian</v>
      </c>
      <c r="I275" s="25" t="str">
        <f>'Source Table'!$H$7</f>
        <v>أردني</v>
      </c>
      <c r="J275" s="25" t="str">
        <f>'Source Table'!$B$10</f>
        <v>Architecture</v>
      </c>
      <c r="K275" s="25" t="str">
        <f>'Source Table'!$I$10</f>
        <v>عمارة</v>
      </c>
      <c r="L275" s="46">
        <v>5645</v>
      </c>
      <c r="M275">
        <v>2016</v>
      </c>
    </row>
    <row r="276" spans="1:13" ht="15">
      <c r="A276" t="s">
        <v>112</v>
      </c>
      <c r="B276" t="s">
        <v>113</v>
      </c>
      <c r="C276" s="15" t="s">
        <v>30</v>
      </c>
      <c r="D276" s="23" t="s">
        <v>81</v>
      </c>
      <c r="E276" s="25" t="s">
        <v>82</v>
      </c>
      <c r="F276" s="16" t="str">
        <f>'Source Table'!$C$6</f>
        <v>Female</v>
      </c>
      <c r="G276" s="16" t="str">
        <f>'Source Table'!$C$5</f>
        <v>أنثى</v>
      </c>
      <c r="H276" t="str">
        <f>'Source Table'!$H$8</f>
        <v>Jordanian</v>
      </c>
      <c r="I276" s="25" t="str">
        <f>'Source Table'!$H$7</f>
        <v>أردني</v>
      </c>
      <c r="J276" s="25" t="str">
        <f>'Source Table'!$B$11</f>
        <v>Mechanical</v>
      </c>
      <c r="K276" s="25" t="str">
        <f>'Source Table'!$I$11</f>
        <v>ميكانيك</v>
      </c>
      <c r="L276" s="46">
        <v>3332</v>
      </c>
      <c r="M276">
        <v>2016</v>
      </c>
    </row>
    <row r="277" spans="1:13" ht="15">
      <c r="A277" t="s">
        <v>112</v>
      </c>
      <c r="B277" t="s">
        <v>113</v>
      </c>
      <c r="C277" s="15" t="s">
        <v>30</v>
      </c>
      <c r="D277" s="23" t="s">
        <v>81</v>
      </c>
      <c r="E277" s="25" t="s">
        <v>82</v>
      </c>
      <c r="F277" s="16" t="str">
        <f>'Source Table'!$C$6</f>
        <v>Female</v>
      </c>
      <c r="G277" s="16" t="str">
        <f>'Source Table'!$C$5</f>
        <v>أنثى</v>
      </c>
      <c r="H277" t="str">
        <f>'Source Table'!$H$8</f>
        <v>Jordanian</v>
      </c>
      <c r="I277" s="25" t="str">
        <f>'Source Table'!$H$7</f>
        <v>أردني</v>
      </c>
      <c r="J277" s="25" t="str">
        <f>'Source Table'!$B$12</f>
        <v>Electricity</v>
      </c>
      <c r="K277" s="25" t="str">
        <f>'Source Table'!$I$12</f>
        <v>كهرباء</v>
      </c>
      <c r="L277" s="46">
        <v>12066</v>
      </c>
      <c r="M277">
        <v>2016</v>
      </c>
    </row>
    <row r="278" spans="1:13" ht="15">
      <c r="A278" t="s">
        <v>112</v>
      </c>
      <c r="B278" t="s">
        <v>113</v>
      </c>
      <c r="C278" s="15" t="s">
        <v>30</v>
      </c>
      <c r="D278" s="23" t="s">
        <v>81</v>
      </c>
      <c r="E278" s="25" t="s">
        <v>82</v>
      </c>
      <c r="F278" s="16" t="str">
        <f>'Source Table'!$C$6</f>
        <v>Female</v>
      </c>
      <c r="G278" s="16" t="str">
        <f>'Source Table'!$C$5</f>
        <v>أنثى</v>
      </c>
      <c r="H278" t="str">
        <f>'Source Table'!$H$8</f>
        <v>Jordanian</v>
      </c>
      <c r="I278" s="25" t="str">
        <f>'Source Table'!$H$7</f>
        <v>أردني</v>
      </c>
      <c r="J278" s="25" t="str">
        <f>'Source Table'!$B$13</f>
        <v>Mining</v>
      </c>
      <c r="K278" s="25" t="str">
        <f>'Source Table'!$I$13</f>
        <v>تعدين</v>
      </c>
      <c r="L278" s="46">
        <v>100</v>
      </c>
      <c r="M278">
        <v>2016</v>
      </c>
    </row>
    <row r="279" spans="1:13" ht="15">
      <c r="A279" t="s">
        <v>112</v>
      </c>
      <c r="B279" t="s">
        <v>113</v>
      </c>
      <c r="C279" s="15" t="s">
        <v>30</v>
      </c>
      <c r="D279" s="23" t="s">
        <v>81</v>
      </c>
      <c r="E279" s="25" t="s">
        <v>82</v>
      </c>
      <c r="F279" s="16" t="str">
        <f>'Source Table'!$C$6</f>
        <v>Female</v>
      </c>
      <c r="G279" s="16" t="str">
        <f>'Source Table'!$C$5</f>
        <v>أنثى</v>
      </c>
      <c r="H279" t="str">
        <f>'Source Table'!$H$8</f>
        <v>Jordanian</v>
      </c>
      <c r="I279" s="25" t="str">
        <f>'Source Table'!$H$7</f>
        <v>أردني</v>
      </c>
      <c r="J279" s="25" t="str">
        <f>'Source Table'!$B$14</f>
        <v>Chemistry</v>
      </c>
      <c r="K279" s="25" t="str">
        <f>'Source Table'!$I$14</f>
        <v>كيمياء</v>
      </c>
      <c r="L279" s="46">
        <v>3940</v>
      </c>
      <c r="M279">
        <v>2016</v>
      </c>
    </row>
    <row r="280" spans="1:13" ht="15">
      <c r="A280" t="s">
        <v>112</v>
      </c>
      <c r="B280" t="s">
        <v>113</v>
      </c>
      <c r="C280" s="15" t="s">
        <v>30</v>
      </c>
      <c r="D280" s="23" t="s">
        <v>81</v>
      </c>
      <c r="E280" s="25" t="s">
        <v>82</v>
      </c>
      <c r="F280" s="16" t="str">
        <f>'Source Table'!$C$6</f>
        <v>Female</v>
      </c>
      <c r="G280" s="16" t="str">
        <f>'Source Table'!$C$5</f>
        <v>أنثى</v>
      </c>
      <c r="H280" t="str">
        <f>'Source Table'!$G$8</f>
        <v>Arab</v>
      </c>
      <c r="I280" s="16" t="str">
        <f>'Source Table'!$G$7</f>
        <v>عربي</v>
      </c>
      <c r="J280" s="25" t="str">
        <f>'Source Table'!$B$9</f>
        <v>Civil</v>
      </c>
      <c r="K280" s="25" t="str">
        <f>'Source Table'!$I$9</f>
        <v>مدني</v>
      </c>
      <c r="L280" s="46">
        <v>155</v>
      </c>
      <c r="M280">
        <v>2016</v>
      </c>
    </row>
    <row r="281" spans="1:13" ht="15">
      <c r="A281" t="s">
        <v>112</v>
      </c>
      <c r="B281" t="s">
        <v>113</v>
      </c>
      <c r="C281" s="15" t="s">
        <v>30</v>
      </c>
      <c r="D281" s="23" t="s">
        <v>81</v>
      </c>
      <c r="E281" s="25" t="s">
        <v>82</v>
      </c>
      <c r="F281" s="16" t="str">
        <f>'Source Table'!$C$6</f>
        <v>Female</v>
      </c>
      <c r="G281" s="16" t="str">
        <f>'Source Table'!$C$5</f>
        <v>أنثى</v>
      </c>
      <c r="H281" t="str">
        <f>'Source Table'!$G$8</f>
        <v>Arab</v>
      </c>
      <c r="I281" s="16" t="str">
        <f>'Source Table'!$G$7</f>
        <v>عربي</v>
      </c>
      <c r="J281" s="25" t="str">
        <f>'Source Table'!$B$10</f>
        <v>Architecture</v>
      </c>
      <c r="K281" s="25" t="str">
        <f>'Source Table'!$I$10</f>
        <v>عمارة</v>
      </c>
      <c r="L281" s="46">
        <v>273</v>
      </c>
      <c r="M281">
        <v>2016</v>
      </c>
    </row>
    <row r="282" spans="1:13" ht="15">
      <c r="A282" t="s">
        <v>112</v>
      </c>
      <c r="B282" t="s">
        <v>113</v>
      </c>
      <c r="C282" s="15" t="s">
        <v>30</v>
      </c>
      <c r="D282" s="23" t="s">
        <v>81</v>
      </c>
      <c r="E282" s="25" t="s">
        <v>82</v>
      </c>
      <c r="F282" s="16" t="str">
        <f>'Source Table'!$C$6</f>
        <v>Female</v>
      </c>
      <c r="G282" s="16" t="str">
        <f>'Source Table'!$C$5</f>
        <v>أنثى</v>
      </c>
      <c r="H282" t="str">
        <f>'Source Table'!$G$8</f>
        <v>Arab</v>
      </c>
      <c r="I282" s="16" t="str">
        <f>'Source Table'!$G$7</f>
        <v>عربي</v>
      </c>
      <c r="J282" s="25" t="str">
        <f>'Source Table'!$B$11</f>
        <v>Mechanical</v>
      </c>
      <c r="K282" s="25" t="str">
        <f>'Source Table'!$I$11</f>
        <v>ميكانيك</v>
      </c>
      <c r="L282" s="46">
        <v>25</v>
      </c>
      <c r="M282">
        <v>2016</v>
      </c>
    </row>
    <row r="283" spans="1:13" ht="15">
      <c r="A283" t="s">
        <v>112</v>
      </c>
      <c r="B283" t="s">
        <v>113</v>
      </c>
      <c r="C283" s="15" t="s">
        <v>30</v>
      </c>
      <c r="D283" s="23" t="s">
        <v>81</v>
      </c>
      <c r="E283" s="25" t="s">
        <v>82</v>
      </c>
      <c r="F283" s="16" t="str">
        <f>'Source Table'!$C$6</f>
        <v>Female</v>
      </c>
      <c r="G283" s="16" t="str">
        <f>'Source Table'!$C$5</f>
        <v>أنثى</v>
      </c>
      <c r="H283" t="str">
        <f>'Source Table'!$G$8</f>
        <v>Arab</v>
      </c>
      <c r="I283" s="16" t="str">
        <f>'Source Table'!$G$7</f>
        <v>عربي</v>
      </c>
      <c r="J283" s="25" t="str">
        <f>'Source Table'!$B$12</f>
        <v>Electricity</v>
      </c>
      <c r="K283" s="25" t="str">
        <f>'Source Table'!$I$12</f>
        <v>كهرباء</v>
      </c>
      <c r="L283" s="46">
        <v>115</v>
      </c>
      <c r="M283">
        <v>2016</v>
      </c>
    </row>
    <row r="284" spans="1:13" ht="15">
      <c r="A284" t="s">
        <v>112</v>
      </c>
      <c r="B284" t="s">
        <v>113</v>
      </c>
      <c r="C284" s="15" t="s">
        <v>30</v>
      </c>
      <c r="D284" s="23" t="s">
        <v>81</v>
      </c>
      <c r="E284" s="25" t="s">
        <v>82</v>
      </c>
      <c r="F284" s="16" t="str">
        <f>'Source Table'!$C$6</f>
        <v>Female</v>
      </c>
      <c r="G284" s="16" t="str">
        <f>'Source Table'!$C$5</f>
        <v>أنثى</v>
      </c>
      <c r="H284" t="str">
        <f>'Source Table'!$G$8</f>
        <v>Arab</v>
      </c>
      <c r="I284" s="16" t="str">
        <f>'Source Table'!$G$7</f>
        <v>عربي</v>
      </c>
      <c r="J284" s="25" t="str">
        <f>'Source Table'!$B$13</f>
        <v>Mining</v>
      </c>
      <c r="K284" s="25" t="str">
        <f>'Source Table'!$I$13</f>
        <v>تعدين</v>
      </c>
      <c r="L284" s="46">
        <v>0</v>
      </c>
      <c r="M284">
        <v>2016</v>
      </c>
    </row>
    <row r="285" spans="1:13" ht="15">
      <c r="A285" t="s">
        <v>112</v>
      </c>
      <c r="B285" t="s">
        <v>113</v>
      </c>
      <c r="C285" s="15" t="s">
        <v>30</v>
      </c>
      <c r="D285" s="23" t="s">
        <v>81</v>
      </c>
      <c r="E285" s="25" t="s">
        <v>82</v>
      </c>
      <c r="F285" s="16" t="str">
        <f>'Source Table'!$C$6</f>
        <v>Female</v>
      </c>
      <c r="G285" s="16" t="str">
        <f>'Source Table'!$C$5</f>
        <v>أنثى</v>
      </c>
      <c r="H285" t="str">
        <f>'Source Table'!$G$8</f>
        <v>Arab</v>
      </c>
      <c r="I285" s="16" t="str">
        <f>'Source Table'!$G$7</f>
        <v>عربي</v>
      </c>
      <c r="J285" s="25" t="str">
        <f>'Source Table'!$B$14</f>
        <v>Chemistry</v>
      </c>
      <c r="K285" s="25" t="str">
        <f>'Source Table'!$I$14</f>
        <v>كيمياء</v>
      </c>
      <c r="L285" s="46">
        <v>33</v>
      </c>
      <c r="M285">
        <v>2016</v>
      </c>
    </row>
    <row r="286" spans="1:13" ht="15">
      <c r="A286" t="s">
        <v>112</v>
      </c>
      <c r="B286" t="s">
        <v>113</v>
      </c>
      <c r="C286" s="15" t="s">
        <v>30</v>
      </c>
      <c r="D286" s="23" t="s">
        <v>81</v>
      </c>
      <c r="E286" s="25" t="s">
        <v>82</v>
      </c>
      <c r="F286" s="16" t="str">
        <f>'Source Table'!$C$6</f>
        <v>Female</v>
      </c>
      <c r="G286" s="16" t="str">
        <f>'Source Table'!$C$5</f>
        <v>أنثى</v>
      </c>
      <c r="H286" t="str">
        <f>'Source Table'!$F$8</f>
        <v>Foreign</v>
      </c>
      <c r="I286" s="16" t="str">
        <f>'Source Table'!$F$7</f>
        <v>أجنبي</v>
      </c>
      <c r="J286" s="25" t="str">
        <f>'Source Table'!$B$9</f>
        <v>Civil</v>
      </c>
      <c r="K286" s="25" t="str">
        <f>'Source Table'!$I$9</f>
        <v>مدني</v>
      </c>
      <c r="L286" s="46">
        <v>17</v>
      </c>
      <c r="M286">
        <v>2016</v>
      </c>
    </row>
    <row r="287" spans="1:13" ht="15">
      <c r="A287" t="s">
        <v>112</v>
      </c>
      <c r="B287" t="s">
        <v>113</v>
      </c>
      <c r="C287" s="15" t="s">
        <v>30</v>
      </c>
      <c r="D287" s="23" t="s">
        <v>81</v>
      </c>
      <c r="E287" s="25" t="s">
        <v>82</v>
      </c>
      <c r="F287" s="16" t="str">
        <f>'Source Table'!$C$6</f>
        <v>Female</v>
      </c>
      <c r="G287" s="16" t="str">
        <f>'Source Table'!$C$5</f>
        <v>أنثى</v>
      </c>
      <c r="H287" t="str">
        <f>'Source Table'!$F$8</f>
        <v>Foreign</v>
      </c>
      <c r="I287" s="16" t="str">
        <f>'Source Table'!$F$7</f>
        <v>أجنبي</v>
      </c>
      <c r="J287" s="25" t="str">
        <f>'Source Table'!$B$10</f>
        <v>Architecture</v>
      </c>
      <c r="K287" s="25" t="str">
        <f>'Source Table'!$I$10</f>
        <v>عمارة</v>
      </c>
      <c r="L287" s="46">
        <v>17</v>
      </c>
      <c r="M287">
        <v>2016</v>
      </c>
    </row>
    <row r="288" spans="1:13" ht="15">
      <c r="A288" t="s">
        <v>112</v>
      </c>
      <c r="B288" t="s">
        <v>113</v>
      </c>
      <c r="C288" s="15" t="s">
        <v>30</v>
      </c>
      <c r="D288" s="23" t="s">
        <v>81</v>
      </c>
      <c r="E288" s="25" t="s">
        <v>82</v>
      </c>
      <c r="F288" s="16" t="str">
        <f>'Source Table'!$C$6</f>
        <v>Female</v>
      </c>
      <c r="G288" s="16" t="str">
        <f>'Source Table'!$C$5</f>
        <v>أنثى</v>
      </c>
      <c r="H288" t="str">
        <f>'Source Table'!$F$8</f>
        <v>Foreign</v>
      </c>
      <c r="I288" s="16" t="str">
        <f>'Source Table'!$F$7</f>
        <v>أجنبي</v>
      </c>
      <c r="J288" s="25" t="str">
        <f>'Source Table'!$B$11</f>
        <v>Mechanical</v>
      </c>
      <c r="K288" s="25" t="str">
        <f>'Source Table'!$I$11</f>
        <v>ميكانيك</v>
      </c>
      <c r="L288" s="46">
        <v>6</v>
      </c>
      <c r="M288">
        <v>2016</v>
      </c>
    </row>
    <row r="289" spans="1:13" ht="15">
      <c r="A289" t="s">
        <v>112</v>
      </c>
      <c r="B289" t="s">
        <v>113</v>
      </c>
      <c r="C289" s="15" t="s">
        <v>30</v>
      </c>
      <c r="D289" s="23" t="s">
        <v>81</v>
      </c>
      <c r="E289" s="25" t="s">
        <v>82</v>
      </c>
      <c r="F289" s="16" t="str">
        <f>'Source Table'!$C$6</f>
        <v>Female</v>
      </c>
      <c r="G289" s="16" t="str">
        <f>'Source Table'!$C$5</f>
        <v>أنثى</v>
      </c>
      <c r="H289" t="str">
        <f>'Source Table'!$F$8</f>
        <v>Foreign</v>
      </c>
      <c r="I289" s="16" t="str">
        <f>'Source Table'!$F$7</f>
        <v>أجنبي</v>
      </c>
      <c r="J289" s="25" t="str">
        <f>'Source Table'!$B$12</f>
        <v>Electricity</v>
      </c>
      <c r="K289" s="25" t="str">
        <f>'Source Table'!$I$12</f>
        <v>كهرباء</v>
      </c>
      <c r="L289" s="46">
        <v>3</v>
      </c>
      <c r="M289">
        <v>2016</v>
      </c>
    </row>
    <row r="290" spans="1:13" ht="15">
      <c r="A290" t="s">
        <v>112</v>
      </c>
      <c r="B290" t="s">
        <v>113</v>
      </c>
      <c r="C290" s="15" t="s">
        <v>30</v>
      </c>
      <c r="D290" s="23" t="s">
        <v>81</v>
      </c>
      <c r="E290" s="25" t="s">
        <v>82</v>
      </c>
      <c r="F290" s="16" t="str">
        <f>'Source Table'!$C$6</f>
        <v>Female</v>
      </c>
      <c r="G290" s="16" t="str">
        <f>'Source Table'!$C$5</f>
        <v>أنثى</v>
      </c>
      <c r="H290" t="str">
        <f>'Source Table'!$F$8</f>
        <v>Foreign</v>
      </c>
      <c r="I290" s="16" t="str">
        <f>'Source Table'!$F$7</f>
        <v>أجنبي</v>
      </c>
      <c r="J290" s="25" t="str">
        <f>'Source Table'!$B$13</f>
        <v>Mining</v>
      </c>
      <c r="K290" s="25" t="str">
        <f>'Source Table'!$I$13</f>
        <v>تعدين</v>
      </c>
      <c r="L290" s="46">
        <v>0</v>
      </c>
      <c r="M290">
        <v>2016</v>
      </c>
    </row>
    <row r="291" spans="1:13" ht="15">
      <c r="A291" t="s">
        <v>112</v>
      </c>
      <c r="B291" t="s">
        <v>113</v>
      </c>
      <c r="C291" s="15" t="s">
        <v>30</v>
      </c>
      <c r="D291" s="23" t="s">
        <v>81</v>
      </c>
      <c r="E291" s="25" t="s">
        <v>82</v>
      </c>
      <c r="F291" s="16" t="str">
        <f>'Source Table'!$C$6</f>
        <v>Female</v>
      </c>
      <c r="G291" s="16" t="str">
        <f>'Source Table'!$C$5</f>
        <v>أنثى</v>
      </c>
      <c r="H291" t="str">
        <f>'Source Table'!$F$8</f>
        <v>Foreign</v>
      </c>
      <c r="I291" s="16" t="str">
        <f>'Source Table'!$F$7</f>
        <v>أجنبي</v>
      </c>
      <c r="J291" s="25" t="str">
        <f>'Source Table'!$B$14</f>
        <v>Chemistry</v>
      </c>
      <c r="K291" s="25" t="str">
        <f>'Source Table'!$I$14</f>
        <v>كيمياء</v>
      </c>
      <c r="L291" s="46">
        <v>3</v>
      </c>
      <c r="M291">
        <v>2016</v>
      </c>
    </row>
    <row r="292" spans="1:13" ht="15">
      <c r="A292" t="s">
        <v>112</v>
      </c>
      <c r="B292" t="s">
        <v>113</v>
      </c>
      <c r="C292" s="15" t="s">
        <v>30</v>
      </c>
      <c r="D292" s="23" t="s">
        <v>81</v>
      </c>
      <c r="E292" s="25" t="s">
        <v>82</v>
      </c>
      <c r="F292" s="25" t="str">
        <f>'Source Table'!$F$6</f>
        <v>Male</v>
      </c>
      <c r="G292" s="25" t="str">
        <f>'Source Table'!$F$5</f>
        <v>ذكر</v>
      </c>
      <c r="H292" t="str">
        <f>'Source Table'!$H$8</f>
        <v>Jordanian</v>
      </c>
      <c r="I292" s="25" t="str">
        <f>'Source Table'!$H$7</f>
        <v>أردني</v>
      </c>
      <c r="J292" s="25" t="str">
        <f>'Source Table'!$B$9</f>
        <v>Civil</v>
      </c>
      <c r="K292" s="25" t="str">
        <f>'Source Table'!$I$9</f>
        <v>مدني</v>
      </c>
      <c r="L292" s="46">
        <v>26568</v>
      </c>
      <c r="M292">
        <v>2015</v>
      </c>
    </row>
    <row r="293" spans="1:13" ht="15">
      <c r="A293" t="s">
        <v>112</v>
      </c>
      <c r="B293" t="s">
        <v>113</v>
      </c>
      <c r="C293" s="15" t="s">
        <v>30</v>
      </c>
      <c r="D293" s="23" t="s">
        <v>81</v>
      </c>
      <c r="E293" s="25" t="s">
        <v>82</v>
      </c>
      <c r="F293" s="25" t="str">
        <f>'Source Table'!$F$6</f>
        <v>Male</v>
      </c>
      <c r="G293" s="25" t="str">
        <f>'Source Table'!$F$5</f>
        <v>ذكر</v>
      </c>
      <c r="H293" t="str">
        <f>'Source Table'!$H$8</f>
        <v>Jordanian</v>
      </c>
      <c r="I293" s="25" t="str">
        <f>'Source Table'!$H$7</f>
        <v>أردني</v>
      </c>
      <c r="J293" s="25" t="str">
        <f>'Source Table'!$B$10</f>
        <v>Architecture</v>
      </c>
      <c r="K293" s="25" t="str">
        <f>'Source Table'!$I$10</f>
        <v>عمارة</v>
      </c>
      <c r="L293" s="46">
        <v>5160</v>
      </c>
      <c r="M293">
        <v>2015</v>
      </c>
    </row>
    <row r="294" spans="1:13" ht="15">
      <c r="A294" t="s">
        <v>112</v>
      </c>
      <c r="B294" t="s">
        <v>113</v>
      </c>
      <c r="C294" s="15" t="s">
        <v>30</v>
      </c>
      <c r="D294" s="23" t="s">
        <v>81</v>
      </c>
      <c r="E294" s="25" t="s">
        <v>82</v>
      </c>
      <c r="F294" s="25" t="str">
        <f>'Source Table'!$F$6</f>
        <v>Male</v>
      </c>
      <c r="G294" s="25" t="str">
        <f>'Source Table'!$F$5</f>
        <v>ذكر</v>
      </c>
      <c r="H294" t="str">
        <f>'Source Table'!$H$8</f>
        <v>Jordanian</v>
      </c>
      <c r="I294" s="25" t="str">
        <f>'Source Table'!$H$7</f>
        <v>أردني</v>
      </c>
      <c r="J294" s="25" t="str">
        <f>'Source Table'!$B$11</f>
        <v>Mechanical</v>
      </c>
      <c r="K294" s="25" t="str">
        <f>'Source Table'!$I$11</f>
        <v>ميكانيك</v>
      </c>
      <c r="L294" s="46">
        <v>21253</v>
      </c>
      <c r="M294">
        <v>2015</v>
      </c>
    </row>
    <row r="295" spans="1:13" ht="15">
      <c r="A295" t="s">
        <v>112</v>
      </c>
      <c r="B295" t="s">
        <v>113</v>
      </c>
      <c r="C295" s="15" t="s">
        <v>30</v>
      </c>
      <c r="D295" s="23" t="s">
        <v>81</v>
      </c>
      <c r="E295" s="25" t="s">
        <v>82</v>
      </c>
      <c r="F295" s="25" t="str">
        <f>'Source Table'!$F$6</f>
        <v>Male</v>
      </c>
      <c r="G295" s="25" t="str">
        <f>'Source Table'!$F$5</f>
        <v>ذكر</v>
      </c>
      <c r="H295" t="str">
        <f>'Source Table'!$H$8</f>
        <v>Jordanian</v>
      </c>
      <c r="I295" s="25" t="str">
        <f>'Source Table'!$H$7</f>
        <v>أردني</v>
      </c>
      <c r="J295" s="25" t="str">
        <f>'Source Table'!$B$12</f>
        <v>Electricity</v>
      </c>
      <c r="K295" s="25" t="str">
        <f>'Source Table'!$I$12</f>
        <v>كهرباء</v>
      </c>
      <c r="L295" s="46">
        <v>35810</v>
      </c>
      <c r="M295">
        <v>2015</v>
      </c>
    </row>
    <row r="296" spans="1:13" ht="15">
      <c r="A296" t="s">
        <v>112</v>
      </c>
      <c r="B296" t="s">
        <v>113</v>
      </c>
      <c r="C296" s="15" t="s">
        <v>30</v>
      </c>
      <c r="D296" s="23" t="s">
        <v>81</v>
      </c>
      <c r="E296" s="25" t="s">
        <v>82</v>
      </c>
      <c r="F296" s="25" t="str">
        <f>'Source Table'!$F$6</f>
        <v>Male</v>
      </c>
      <c r="G296" s="25" t="str">
        <f>'Source Table'!$F$5</f>
        <v>ذكر</v>
      </c>
      <c r="H296" t="str">
        <f>'Source Table'!$H$8</f>
        <v>Jordanian</v>
      </c>
      <c r="I296" s="25" t="str">
        <f>'Source Table'!$H$7</f>
        <v>أردني</v>
      </c>
      <c r="J296" s="25" t="str">
        <f>'Source Table'!$B$13</f>
        <v>Mining</v>
      </c>
      <c r="K296" s="25" t="str">
        <f>'Source Table'!$I$13</f>
        <v>تعدين</v>
      </c>
      <c r="L296" s="46">
        <v>1042</v>
      </c>
      <c r="M296">
        <v>2015</v>
      </c>
    </row>
    <row r="297" spans="1:13" ht="15">
      <c r="A297" t="s">
        <v>112</v>
      </c>
      <c r="B297" t="s">
        <v>113</v>
      </c>
      <c r="C297" s="15" t="s">
        <v>30</v>
      </c>
      <c r="D297" s="23" t="s">
        <v>81</v>
      </c>
      <c r="E297" s="25" t="s">
        <v>82</v>
      </c>
      <c r="F297" s="25" t="str">
        <f>'Source Table'!$F$6</f>
        <v>Male</v>
      </c>
      <c r="G297" s="25" t="str">
        <f>'Source Table'!$F$5</f>
        <v>ذكر</v>
      </c>
      <c r="H297" t="str">
        <f>'Source Table'!$H$8</f>
        <v>Jordanian</v>
      </c>
      <c r="I297" s="25" t="str">
        <f>'Source Table'!$H$7</f>
        <v>أردني</v>
      </c>
      <c r="J297" s="25" t="str">
        <f>'Source Table'!$B$14</f>
        <v>Chemistry</v>
      </c>
      <c r="K297" s="25" t="str">
        <f>'Source Table'!$I$14</f>
        <v>كيمياء</v>
      </c>
      <c r="L297" s="46">
        <v>3538</v>
      </c>
      <c r="M297">
        <v>2015</v>
      </c>
    </row>
    <row r="298" spans="1:13" ht="15">
      <c r="A298" t="s">
        <v>112</v>
      </c>
      <c r="B298" t="s">
        <v>113</v>
      </c>
      <c r="C298" s="15" t="s">
        <v>30</v>
      </c>
      <c r="D298" s="23" t="s">
        <v>81</v>
      </c>
      <c r="E298" s="25" t="s">
        <v>82</v>
      </c>
      <c r="F298" s="25" t="str">
        <f>'Source Table'!$F$6</f>
        <v>Male</v>
      </c>
      <c r="G298" s="25" t="str">
        <f>'Source Table'!$F$5</f>
        <v>ذكر</v>
      </c>
      <c r="H298" t="str">
        <f>'Source Table'!$G$8</f>
        <v>Arab</v>
      </c>
      <c r="I298" s="16" t="str">
        <f>'Source Table'!$G$7</f>
        <v>عربي</v>
      </c>
      <c r="J298" s="25" t="str">
        <f>'Source Table'!$B$9</f>
        <v>Civil</v>
      </c>
      <c r="K298" s="25" t="str">
        <f>'Source Table'!$I$9</f>
        <v>مدني</v>
      </c>
      <c r="L298" s="46">
        <v>1171</v>
      </c>
      <c r="M298">
        <v>2015</v>
      </c>
    </row>
    <row r="299" spans="1:13" ht="15">
      <c r="A299" t="s">
        <v>112</v>
      </c>
      <c r="B299" t="s">
        <v>113</v>
      </c>
      <c r="C299" s="15" t="s">
        <v>30</v>
      </c>
      <c r="D299" s="23" t="s">
        <v>81</v>
      </c>
      <c r="E299" s="25" t="s">
        <v>82</v>
      </c>
      <c r="F299" s="25" t="str">
        <f>'Source Table'!$F$6</f>
        <v>Male</v>
      </c>
      <c r="G299" s="25" t="str">
        <f>'Source Table'!$F$5</f>
        <v>ذكر</v>
      </c>
      <c r="H299" t="str">
        <f>'Source Table'!$G$8</f>
        <v>Arab</v>
      </c>
      <c r="I299" s="16" t="str">
        <f>'Source Table'!$G$7</f>
        <v>عربي</v>
      </c>
      <c r="J299" s="25" t="str">
        <f>'Source Table'!$B$10</f>
        <v>Architecture</v>
      </c>
      <c r="K299" s="25" t="str">
        <f>'Source Table'!$I$10</f>
        <v>عمارة</v>
      </c>
      <c r="L299" s="46">
        <v>410</v>
      </c>
      <c r="M299">
        <v>2015</v>
      </c>
    </row>
    <row r="300" spans="1:13" ht="15">
      <c r="A300" t="s">
        <v>112</v>
      </c>
      <c r="B300" t="s">
        <v>113</v>
      </c>
      <c r="C300" s="15" t="s">
        <v>30</v>
      </c>
      <c r="D300" s="23" t="s">
        <v>81</v>
      </c>
      <c r="E300" s="25" t="s">
        <v>82</v>
      </c>
      <c r="F300" s="25" t="str">
        <f>'Source Table'!$F$6</f>
        <v>Male</v>
      </c>
      <c r="G300" s="25" t="str">
        <f>'Source Table'!$F$5</f>
        <v>ذكر</v>
      </c>
      <c r="H300" t="str">
        <f>'Source Table'!$G$8</f>
        <v>Arab</v>
      </c>
      <c r="I300" s="16" t="str">
        <f>'Source Table'!$G$7</f>
        <v>عربي</v>
      </c>
      <c r="J300" s="25" t="str">
        <f>'Source Table'!$B$11</f>
        <v>Mechanical</v>
      </c>
      <c r="K300" s="25" t="str">
        <f>'Source Table'!$I$11</f>
        <v>ميكانيك</v>
      </c>
      <c r="L300" s="46">
        <v>422</v>
      </c>
      <c r="M300">
        <v>2015</v>
      </c>
    </row>
    <row r="301" spans="1:13" ht="15">
      <c r="A301" t="s">
        <v>112</v>
      </c>
      <c r="B301" t="s">
        <v>113</v>
      </c>
      <c r="C301" s="15" t="s">
        <v>30</v>
      </c>
      <c r="D301" s="23" t="s">
        <v>81</v>
      </c>
      <c r="E301" s="25" t="s">
        <v>82</v>
      </c>
      <c r="F301" s="25" t="str">
        <f>'Source Table'!$F$6</f>
        <v>Male</v>
      </c>
      <c r="G301" s="25" t="str">
        <f>'Source Table'!$F$5</f>
        <v>ذكر</v>
      </c>
      <c r="H301" t="str">
        <f>'Source Table'!$G$8</f>
        <v>Arab</v>
      </c>
      <c r="I301" s="16" t="str">
        <f>'Source Table'!$G$7</f>
        <v>عربي</v>
      </c>
      <c r="J301" s="25" t="str">
        <f>'Source Table'!$B$12</f>
        <v>Electricity</v>
      </c>
      <c r="K301" s="25" t="str">
        <f>'Source Table'!$I$12</f>
        <v>كهرباء</v>
      </c>
      <c r="L301" s="46">
        <v>740</v>
      </c>
      <c r="M301">
        <v>2015</v>
      </c>
    </row>
    <row r="302" spans="1:13" ht="15">
      <c r="A302" t="s">
        <v>112</v>
      </c>
      <c r="B302" t="s">
        <v>113</v>
      </c>
      <c r="C302" s="15" t="s">
        <v>30</v>
      </c>
      <c r="D302" s="23" t="s">
        <v>81</v>
      </c>
      <c r="E302" s="25" t="s">
        <v>82</v>
      </c>
      <c r="F302" s="25" t="str">
        <f>'Source Table'!$F$6</f>
        <v>Male</v>
      </c>
      <c r="G302" s="25" t="str">
        <f>'Source Table'!$F$5</f>
        <v>ذكر</v>
      </c>
      <c r="H302" t="str">
        <f>'Source Table'!$G$8</f>
        <v>Arab</v>
      </c>
      <c r="I302" s="16" t="str">
        <f>'Source Table'!$G$7</f>
        <v>عربي</v>
      </c>
      <c r="J302" s="25" t="str">
        <f>'Source Table'!$B$13</f>
        <v>Mining</v>
      </c>
      <c r="K302" s="25" t="str">
        <f>'Source Table'!$I$13</f>
        <v>تعدين</v>
      </c>
      <c r="L302" s="46">
        <v>17</v>
      </c>
      <c r="M302">
        <v>2015</v>
      </c>
    </row>
    <row r="303" spans="1:13" ht="15">
      <c r="A303" t="s">
        <v>112</v>
      </c>
      <c r="B303" t="s">
        <v>113</v>
      </c>
      <c r="C303" s="15" t="s">
        <v>30</v>
      </c>
      <c r="D303" s="23" t="s">
        <v>81</v>
      </c>
      <c r="E303" s="25" t="s">
        <v>82</v>
      </c>
      <c r="F303" s="25" t="str">
        <f>'Source Table'!$F$6</f>
        <v>Male</v>
      </c>
      <c r="G303" s="25" t="str">
        <f>'Source Table'!$F$5</f>
        <v>ذكر</v>
      </c>
      <c r="H303" t="str">
        <f>'Source Table'!$G$8</f>
        <v>Arab</v>
      </c>
      <c r="I303" s="16" t="str">
        <f>'Source Table'!$G$7</f>
        <v>عربي</v>
      </c>
      <c r="J303" s="25" t="str">
        <f>'Source Table'!$B$14</f>
        <v>Chemistry</v>
      </c>
      <c r="K303" s="25" t="str">
        <f>'Source Table'!$I$14</f>
        <v>كيمياء</v>
      </c>
      <c r="L303" s="46">
        <v>50</v>
      </c>
      <c r="M303">
        <v>2015</v>
      </c>
    </row>
    <row r="304" spans="1:13" ht="15">
      <c r="A304" t="s">
        <v>112</v>
      </c>
      <c r="B304" t="s">
        <v>113</v>
      </c>
      <c r="C304" s="15" t="s">
        <v>30</v>
      </c>
      <c r="D304" s="23" t="s">
        <v>81</v>
      </c>
      <c r="E304" s="25" t="s">
        <v>82</v>
      </c>
      <c r="F304" s="25" t="str">
        <f>'Source Table'!$F$6</f>
        <v>Male</v>
      </c>
      <c r="G304" s="25" t="str">
        <f>'Source Table'!$F$5</f>
        <v>ذكر</v>
      </c>
      <c r="H304" t="str">
        <f>'Source Table'!$F$8</f>
        <v>Foreign</v>
      </c>
      <c r="I304" s="16" t="str">
        <f>'Source Table'!$F$7</f>
        <v>أجنبي</v>
      </c>
      <c r="J304" s="25" t="str">
        <f>'Source Table'!$B$9</f>
        <v>Civil</v>
      </c>
      <c r="K304" s="25" t="str">
        <f>'Source Table'!$I$9</f>
        <v>مدني</v>
      </c>
      <c r="L304" s="46">
        <v>176</v>
      </c>
      <c r="M304">
        <v>2015</v>
      </c>
    </row>
    <row r="305" spans="1:13" ht="15">
      <c r="A305" t="s">
        <v>112</v>
      </c>
      <c r="B305" t="s">
        <v>113</v>
      </c>
      <c r="C305" s="15" t="s">
        <v>30</v>
      </c>
      <c r="D305" s="23" t="s">
        <v>81</v>
      </c>
      <c r="E305" s="25" t="s">
        <v>82</v>
      </c>
      <c r="F305" s="25" t="str">
        <f>'Source Table'!$F$6</f>
        <v>Male</v>
      </c>
      <c r="G305" s="25" t="str">
        <f>'Source Table'!$F$5</f>
        <v>ذكر</v>
      </c>
      <c r="H305" t="str">
        <f>'Source Table'!$F$8</f>
        <v>Foreign</v>
      </c>
      <c r="I305" s="16" t="str">
        <f>'Source Table'!$F$7</f>
        <v>أجنبي</v>
      </c>
      <c r="J305" s="25" t="str">
        <f>'Source Table'!$B$10</f>
        <v>Architecture</v>
      </c>
      <c r="K305" s="25" t="str">
        <f>'Source Table'!$I$10</f>
        <v>عمارة</v>
      </c>
      <c r="L305" s="46">
        <v>37</v>
      </c>
      <c r="M305">
        <v>2015</v>
      </c>
    </row>
    <row r="306" spans="1:13" ht="15">
      <c r="A306" t="s">
        <v>112</v>
      </c>
      <c r="B306" t="s">
        <v>113</v>
      </c>
      <c r="C306" s="15" t="s">
        <v>30</v>
      </c>
      <c r="D306" s="23" t="s">
        <v>81</v>
      </c>
      <c r="E306" s="25" t="s">
        <v>82</v>
      </c>
      <c r="F306" s="25" t="str">
        <f>'Source Table'!$F$6</f>
        <v>Male</v>
      </c>
      <c r="G306" s="25" t="str">
        <f>'Source Table'!$F$5</f>
        <v>ذكر</v>
      </c>
      <c r="H306" t="str">
        <f>'Source Table'!$F$8</f>
        <v>Foreign</v>
      </c>
      <c r="I306" s="16" t="str">
        <f>'Source Table'!$F$7</f>
        <v>أجنبي</v>
      </c>
      <c r="J306" s="25" t="str">
        <f>'Source Table'!$B$11</f>
        <v>Mechanical</v>
      </c>
      <c r="K306" s="25" t="str">
        <f>'Source Table'!$I$11</f>
        <v>ميكانيك</v>
      </c>
      <c r="L306" s="46">
        <v>36</v>
      </c>
      <c r="M306">
        <v>2015</v>
      </c>
    </row>
    <row r="307" spans="1:13" ht="15">
      <c r="A307" t="s">
        <v>112</v>
      </c>
      <c r="B307" t="s">
        <v>113</v>
      </c>
      <c r="C307" s="15" t="s">
        <v>30</v>
      </c>
      <c r="D307" s="23" t="s">
        <v>81</v>
      </c>
      <c r="E307" s="25" t="s">
        <v>82</v>
      </c>
      <c r="F307" s="25" t="str">
        <f>'Source Table'!$F$6</f>
        <v>Male</v>
      </c>
      <c r="G307" s="25" t="str">
        <f>'Source Table'!$F$5</f>
        <v>ذكر</v>
      </c>
      <c r="H307" t="str">
        <f>'Source Table'!$F$8</f>
        <v>Foreign</v>
      </c>
      <c r="I307" s="16" t="str">
        <f>'Source Table'!$F$7</f>
        <v>أجنبي</v>
      </c>
      <c r="J307" s="25" t="str">
        <f>'Source Table'!$B$12</f>
        <v>Electricity</v>
      </c>
      <c r="K307" s="25" t="str">
        <f>'Source Table'!$I$12</f>
        <v>كهرباء</v>
      </c>
      <c r="L307" s="46">
        <v>28</v>
      </c>
      <c r="M307">
        <v>2015</v>
      </c>
    </row>
    <row r="308" spans="1:13" ht="15">
      <c r="A308" t="s">
        <v>112</v>
      </c>
      <c r="B308" t="s">
        <v>113</v>
      </c>
      <c r="C308" s="15" t="s">
        <v>30</v>
      </c>
      <c r="D308" s="23" t="s">
        <v>81</v>
      </c>
      <c r="E308" s="25" t="s">
        <v>82</v>
      </c>
      <c r="F308" s="25" t="str">
        <f>'Source Table'!$F$6</f>
        <v>Male</v>
      </c>
      <c r="G308" s="25" t="str">
        <f>'Source Table'!$F$5</f>
        <v>ذكر</v>
      </c>
      <c r="H308" t="str">
        <f>'Source Table'!$F$8</f>
        <v>Foreign</v>
      </c>
      <c r="I308" s="16" t="str">
        <f>'Source Table'!$F$7</f>
        <v>أجنبي</v>
      </c>
      <c r="J308" s="25" t="str">
        <f>'Source Table'!$B$13</f>
        <v>Mining</v>
      </c>
      <c r="K308" s="25" t="str">
        <f>'Source Table'!$I$13</f>
        <v>تعدين</v>
      </c>
      <c r="L308" s="46">
        <v>3</v>
      </c>
      <c r="M308">
        <v>2015</v>
      </c>
    </row>
    <row r="309" spans="1:13" ht="15">
      <c r="A309" t="s">
        <v>112</v>
      </c>
      <c r="B309" t="s">
        <v>113</v>
      </c>
      <c r="C309" s="15" t="s">
        <v>30</v>
      </c>
      <c r="D309" s="23" t="s">
        <v>81</v>
      </c>
      <c r="E309" s="25" t="s">
        <v>82</v>
      </c>
      <c r="F309" s="25" t="str">
        <f>'Source Table'!$F$6</f>
        <v>Male</v>
      </c>
      <c r="G309" s="25" t="str">
        <f>'Source Table'!$F$5</f>
        <v>ذكر</v>
      </c>
      <c r="H309" t="str">
        <f>'Source Table'!$F$8</f>
        <v>Foreign</v>
      </c>
      <c r="I309" s="16" t="str">
        <f>'Source Table'!$F$7</f>
        <v>أجنبي</v>
      </c>
      <c r="J309" s="25" t="str">
        <f>'Source Table'!$B$14</f>
        <v>Chemistry</v>
      </c>
      <c r="K309" s="25" t="str">
        <f>'Source Table'!$I$14</f>
        <v>كيمياء</v>
      </c>
      <c r="L309" s="46">
        <v>3</v>
      </c>
      <c r="M309">
        <v>2015</v>
      </c>
    </row>
    <row r="310" spans="1:13" ht="15">
      <c r="A310" t="s">
        <v>112</v>
      </c>
      <c r="B310" t="s">
        <v>113</v>
      </c>
      <c r="C310" s="15" t="s">
        <v>30</v>
      </c>
      <c r="D310" s="23" t="s">
        <v>81</v>
      </c>
      <c r="E310" s="25" t="s">
        <v>82</v>
      </c>
      <c r="F310" s="16" t="str">
        <f>'Source Table'!$C$6</f>
        <v>Female</v>
      </c>
      <c r="G310" s="16" t="str">
        <f>'Source Table'!$C$5</f>
        <v>أنثى</v>
      </c>
      <c r="H310" t="str">
        <f>'Source Table'!$H$8</f>
        <v>Jordanian</v>
      </c>
      <c r="I310" s="25" t="str">
        <f>'Source Table'!$H$7</f>
        <v>أردني</v>
      </c>
      <c r="J310" s="25" t="str">
        <f>'Source Table'!$B$9</f>
        <v>Civil</v>
      </c>
      <c r="K310" s="25" t="str">
        <f>'Source Table'!$I$9</f>
        <v>مدني</v>
      </c>
      <c r="L310" s="46">
        <v>7575</v>
      </c>
      <c r="M310">
        <v>2015</v>
      </c>
    </row>
    <row r="311" spans="1:13" ht="15">
      <c r="A311" t="s">
        <v>112</v>
      </c>
      <c r="B311" t="s">
        <v>113</v>
      </c>
      <c r="C311" s="15" t="s">
        <v>30</v>
      </c>
      <c r="D311" s="23" t="s">
        <v>81</v>
      </c>
      <c r="E311" s="25" t="s">
        <v>82</v>
      </c>
      <c r="F311" s="16" t="str">
        <f>'Source Table'!$C$6</f>
        <v>Female</v>
      </c>
      <c r="G311" s="16" t="str">
        <f>'Source Table'!$C$5</f>
        <v>أنثى</v>
      </c>
      <c r="H311" t="str">
        <f>'Source Table'!$H$8</f>
        <v>Jordanian</v>
      </c>
      <c r="I311" s="25" t="str">
        <f>'Source Table'!$H$7</f>
        <v>أردني</v>
      </c>
      <c r="J311" s="25" t="str">
        <f>'Source Table'!$B$10</f>
        <v>Architecture</v>
      </c>
      <c r="K311" s="25" t="str">
        <f>'Source Table'!$I$10</f>
        <v>عمارة</v>
      </c>
      <c r="L311" s="46">
        <v>5071</v>
      </c>
      <c r="M311">
        <v>2015</v>
      </c>
    </row>
    <row r="312" spans="1:13" ht="15">
      <c r="A312" t="s">
        <v>112</v>
      </c>
      <c r="B312" t="s">
        <v>113</v>
      </c>
      <c r="C312" s="15" t="s">
        <v>30</v>
      </c>
      <c r="D312" s="23" t="s">
        <v>81</v>
      </c>
      <c r="E312" s="25" t="s">
        <v>82</v>
      </c>
      <c r="F312" s="16" t="str">
        <f>'Source Table'!$C$6</f>
        <v>Female</v>
      </c>
      <c r="G312" s="16" t="str">
        <f>'Source Table'!$C$5</f>
        <v>أنثى</v>
      </c>
      <c r="H312" t="str">
        <f>'Source Table'!$H$8</f>
        <v>Jordanian</v>
      </c>
      <c r="I312" s="25" t="str">
        <f>'Source Table'!$H$7</f>
        <v>أردني</v>
      </c>
      <c r="J312" s="25" t="str">
        <f>'Source Table'!$B$11</f>
        <v>Mechanical</v>
      </c>
      <c r="K312" s="25" t="str">
        <f>'Source Table'!$I$11</f>
        <v>ميكانيك</v>
      </c>
      <c r="L312" s="46">
        <v>2975</v>
      </c>
      <c r="M312">
        <v>2015</v>
      </c>
    </row>
    <row r="313" spans="1:13" ht="15">
      <c r="A313" t="s">
        <v>112</v>
      </c>
      <c r="B313" t="s">
        <v>113</v>
      </c>
      <c r="C313" s="15" t="s">
        <v>30</v>
      </c>
      <c r="D313" s="23" t="s">
        <v>81</v>
      </c>
      <c r="E313" s="25" t="s">
        <v>82</v>
      </c>
      <c r="F313" s="16" t="str">
        <f>'Source Table'!$C$6</f>
        <v>Female</v>
      </c>
      <c r="G313" s="16" t="str">
        <f>'Source Table'!$C$5</f>
        <v>أنثى</v>
      </c>
      <c r="H313" t="str">
        <f>'Source Table'!$H$8</f>
        <v>Jordanian</v>
      </c>
      <c r="I313" s="25" t="str">
        <f>'Source Table'!$H$7</f>
        <v>أردني</v>
      </c>
      <c r="J313" s="25" t="str">
        <f>'Source Table'!$B$12</f>
        <v>Electricity</v>
      </c>
      <c r="K313" s="25" t="str">
        <f>'Source Table'!$I$12</f>
        <v>كهرباء</v>
      </c>
      <c r="L313" s="46">
        <v>10778</v>
      </c>
      <c r="M313">
        <v>2015</v>
      </c>
    </row>
    <row r="314" spans="1:13" ht="15">
      <c r="A314" t="s">
        <v>112</v>
      </c>
      <c r="B314" t="s">
        <v>113</v>
      </c>
      <c r="C314" s="15" t="s">
        <v>30</v>
      </c>
      <c r="D314" s="23" t="s">
        <v>81</v>
      </c>
      <c r="E314" s="25" t="s">
        <v>82</v>
      </c>
      <c r="F314" s="16" t="str">
        <f>'Source Table'!$C$6</f>
        <v>Female</v>
      </c>
      <c r="G314" s="16" t="str">
        <f>'Source Table'!$C$5</f>
        <v>أنثى</v>
      </c>
      <c r="H314" t="str">
        <f>'Source Table'!$H$8</f>
        <v>Jordanian</v>
      </c>
      <c r="I314" s="25" t="str">
        <f>'Source Table'!$H$7</f>
        <v>أردني</v>
      </c>
      <c r="J314" s="25" t="str">
        <f>'Source Table'!$B$13</f>
        <v>Mining</v>
      </c>
      <c r="K314" s="25" t="str">
        <f>'Source Table'!$I$13</f>
        <v>تعدين</v>
      </c>
      <c r="L314" s="46">
        <v>80</v>
      </c>
      <c r="M314">
        <v>2015</v>
      </c>
    </row>
    <row r="315" spans="1:13" ht="15">
      <c r="A315" t="s">
        <v>112</v>
      </c>
      <c r="B315" t="s">
        <v>113</v>
      </c>
      <c r="C315" s="15" t="s">
        <v>30</v>
      </c>
      <c r="D315" s="23" t="s">
        <v>81</v>
      </c>
      <c r="E315" s="25" t="s">
        <v>82</v>
      </c>
      <c r="F315" s="16" t="str">
        <f>'Source Table'!$C$6</f>
        <v>Female</v>
      </c>
      <c r="G315" s="16" t="str">
        <f>'Source Table'!$C$5</f>
        <v>أنثى</v>
      </c>
      <c r="H315" t="str">
        <f>'Source Table'!$H$8</f>
        <v>Jordanian</v>
      </c>
      <c r="I315" s="25" t="str">
        <f>'Source Table'!$H$7</f>
        <v>أردني</v>
      </c>
      <c r="J315" s="25" t="str">
        <f>'Source Table'!$B$14</f>
        <v>Chemistry</v>
      </c>
      <c r="K315" s="25" t="str">
        <f>'Source Table'!$I$14</f>
        <v>كيمياء</v>
      </c>
      <c r="L315" s="46">
        <v>3706</v>
      </c>
      <c r="M315">
        <v>2015</v>
      </c>
    </row>
    <row r="316" spans="1:13" ht="15">
      <c r="A316" t="s">
        <v>112</v>
      </c>
      <c r="B316" t="s">
        <v>113</v>
      </c>
      <c r="C316" s="15" t="s">
        <v>30</v>
      </c>
      <c r="D316" s="23" t="s">
        <v>81</v>
      </c>
      <c r="E316" s="25" t="s">
        <v>82</v>
      </c>
      <c r="F316" s="16" t="str">
        <f>'Source Table'!$C$6</f>
        <v>Female</v>
      </c>
      <c r="G316" s="16" t="str">
        <f>'Source Table'!$C$5</f>
        <v>أنثى</v>
      </c>
      <c r="H316" t="str">
        <f>'Source Table'!$G$8</f>
        <v>Arab</v>
      </c>
      <c r="I316" s="16" t="str">
        <f>'Source Table'!$G$7</f>
        <v>عربي</v>
      </c>
      <c r="J316" s="25" t="str">
        <f>'Source Table'!$B$9</f>
        <v>Civil</v>
      </c>
      <c r="K316" s="25" t="str">
        <f>'Source Table'!$I$9</f>
        <v>مدني</v>
      </c>
      <c r="L316" s="46">
        <v>143</v>
      </c>
      <c r="M316">
        <v>2015</v>
      </c>
    </row>
    <row r="317" spans="1:13" ht="15">
      <c r="A317" t="s">
        <v>112</v>
      </c>
      <c r="B317" t="s">
        <v>113</v>
      </c>
      <c r="C317" s="15" t="s">
        <v>30</v>
      </c>
      <c r="D317" s="23" t="s">
        <v>81</v>
      </c>
      <c r="E317" s="25" t="s">
        <v>82</v>
      </c>
      <c r="F317" s="16" t="str">
        <f>'Source Table'!$C$6</f>
        <v>Female</v>
      </c>
      <c r="G317" s="16" t="str">
        <f>'Source Table'!$C$5</f>
        <v>أنثى</v>
      </c>
      <c r="H317" t="str">
        <f>'Source Table'!$G$8</f>
        <v>Arab</v>
      </c>
      <c r="I317" s="16" t="str">
        <f>'Source Table'!$G$7</f>
        <v>عربي</v>
      </c>
      <c r="J317" s="25" t="str">
        <f>'Source Table'!$B$10</f>
        <v>Architecture</v>
      </c>
      <c r="K317" s="25" t="str">
        <f>'Source Table'!$I$10</f>
        <v>عمارة</v>
      </c>
      <c r="L317" s="46">
        <v>256</v>
      </c>
      <c r="M317">
        <v>2015</v>
      </c>
    </row>
    <row r="318" spans="1:13" ht="15">
      <c r="A318" t="s">
        <v>112</v>
      </c>
      <c r="B318" t="s">
        <v>113</v>
      </c>
      <c r="C318" s="15" t="s">
        <v>30</v>
      </c>
      <c r="D318" s="23" t="s">
        <v>81</v>
      </c>
      <c r="E318" s="25" t="s">
        <v>82</v>
      </c>
      <c r="F318" s="16" t="str">
        <f>'Source Table'!$C$6</f>
        <v>Female</v>
      </c>
      <c r="G318" s="16" t="str">
        <f>'Source Table'!$C$5</f>
        <v>أنثى</v>
      </c>
      <c r="H318" t="str">
        <f>'Source Table'!$G$8</f>
        <v>Arab</v>
      </c>
      <c r="I318" s="16" t="str">
        <f>'Source Table'!$G$7</f>
        <v>عربي</v>
      </c>
      <c r="J318" s="25" t="str">
        <f>'Source Table'!$B$11</f>
        <v>Mechanical</v>
      </c>
      <c r="K318" s="25" t="str">
        <f>'Source Table'!$I$11</f>
        <v>ميكانيك</v>
      </c>
      <c r="L318" s="46">
        <v>22</v>
      </c>
      <c r="M318">
        <v>2015</v>
      </c>
    </row>
    <row r="319" spans="1:13" ht="15">
      <c r="A319" t="s">
        <v>112</v>
      </c>
      <c r="B319" t="s">
        <v>113</v>
      </c>
      <c r="C319" s="15" t="s">
        <v>30</v>
      </c>
      <c r="D319" s="23" t="s">
        <v>81</v>
      </c>
      <c r="E319" s="25" t="s">
        <v>82</v>
      </c>
      <c r="F319" s="16" t="str">
        <f>'Source Table'!$C$6</f>
        <v>Female</v>
      </c>
      <c r="G319" s="16" t="str">
        <f>'Source Table'!$C$5</f>
        <v>أنثى</v>
      </c>
      <c r="H319" t="str">
        <f>'Source Table'!$G$8</f>
        <v>Arab</v>
      </c>
      <c r="I319" s="16" t="str">
        <f>'Source Table'!$G$7</f>
        <v>عربي</v>
      </c>
      <c r="J319" s="25" t="str">
        <f>'Source Table'!$B$12</f>
        <v>Electricity</v>
      </c>
      <c r="K319" s="25" t="str">
        <f>'Source Table'!$I$12</f>
        <v>كهرباء</v>
      </c>
      <c r="L319" s="46">
        <v>107</v>
      </c>
      <c r="M319">
        <v>2015</v>
      </c>
    </row>
    <row r="320" spans="1:13" ht="15">
      <c r="A320" t="s">
        <v>112</v>
      </c>
      <c r="B320" t="s">
        <v>113</v>
      </c>
      <c r="C320" s="15" t="s">
        <v>30</v>
      </c>
      <c r="D320" s="23" t="s">
        <v>81</v>
      </c>
      <c r="E320" s="25" t="s">
        <v>82</v>
      </c>
      <c r="F320" s="16" t="str">
        <f>'Source Table'!$C$6</f>
        <v>Female</v>
      </c>
      <c r="G320" s="16" t="str">
        <f>'Source Table'!$C$5</f>
        <v>أنثى</v>
      </c>
      <c r="H320" t="str">
        <f>'Source Table'!$G$8</f>
        <v>Arab</v>
      </c>
      <c r="I320" s="16" t="str">
        <f>'Source Table'!$G$7</f>
        <v>عربي</v>
      </c>
      <c r="J320" s="25" t="str">
        <f>'Source Table'!$B$13</f>
        <v>Mining</v>
      </c>
      <c r="K320" s="25" t="str">
        <f>'Source Table'!$I$13</f>
        <v>تعدين</v>
      </c>
      <c r="L320" s="46">
        <v>0</v>
      </c>
      <c r="M320">
        <v>2015</v>
      </c>
    </row>
    <row r="321" spans="1:13" ht="15">
      <c r="A321" t="s">
        <v>112</v>
      </c>
      <c r="B321" t="s">
        <v>113</v>
      </c>
      <c r="C321" s="15" t="s">
        <v>30</v>
      </c>
      <c r="D321" s="23" t="s">
        <v>81</v>
      </c>
      <c r="E321" s="25" t="s">
        <v>82</v>
      </c>
      <c r="F321" s="16" t="str">
        <f>'Source Table'!$C$6</f>
        <v>Female</v>
      </c>
      <c r="G321" s="16" t="str">
        <f>'Source Table'!$C$5</f>
        <v>أنثى</v>
      </c>
      <c r="H321" t="str">
        <f>'Source Table'!$G$8</f>
        <v>Arab</v>
      </c>
      <c r="I321" s="16" t="str">
        <f>'Source Table'!$G$7</f>
        <v>عربي</v>
      </c>
      <c r="J321" s="25" t="str">
        <f>'Source Table'!$B$14</f>
        <v>Chemistry</v>
      </c>
      <c r="K321" s="25" t="str">
        <f>'Source Table'!$I$14</f>
        <v>كيمياء</v>
      </c>
      <c r="L321" s="46">
        <v>33</v>
      </c>
      <c r="M321">
        <v>2015</v>
      </c>
    </row>
    <row r="322" spans="1:13" ht="15">
      <c r="A322" t="s">
        <v>112</v>
      </c>
      <c r="B322" t="s">
        <v>113</v>
      </c>
      <c r="C322" s="15" t="s">
        <v>30</v>
      </c>
      <c r="D322" s="23" t="s">
        <v>81</v>
      </c>
      <c r="E322" s="25" t="s">
        <v>82</v>
      </c>
      <c r="F322" s="16" t="str">
        <f>'Source Table'!$C$6</f>
        <v>Female</v>
      </c>
      <c r="G322" s="16" t="str">
        <f>'Source Table'!$C$5</f>
        <v>أنثى</v>
      </c>
      <c r="H322" t="str">
        <f>'Source Table'!$F$8</f>
        <v>Foreign</v>
      </c>
      <c r="I322" s="16" t="str">
        <f>'Source Table'!$F$7</f>
        <v>أجنبي</v>
      </c>
      <c r="J322" s="25" t="str">
        <f>'Source Table'!$B$9</f>
        <v>Civil</v>
      </c>
      <c r="K322" s="25" t="str">
        <f>'Source Table'!$I$9</f>
        <v>مدني</v>
      </c>
      <c r="L322" s="46">
        <v>17</v>
      </c>
      <c r="M322">
        <v>2015</v>
      </c>
    </row>
    <row r="323" spans="1:13" ht="15">
      <c r="A323" t="s">
        <v>112</v>
      </c>
      <c r="B323" t="s">
        <v>113</v>
      </c>
      <c r="C323" s="15" t="s">
        <v>30</v>
      </c>
      <c r="D323" s="23" t="s">
        <v>81</v>
      </c>
      <c r="E323" s="25" t="s">
        <v>82</v>
      </c>
      <c r="F323" s="16" t="str">
        <f>'Source Table'!$C$6</f>
        <v>Female</v>
      </c>
      <c r="G323" s="16" t="str">
        <f>'Source Table'!$C$5</f>
        <v>أنثى</v>
      </c>
      <c r="H323" t="str">
        <f>'Source Table'!$F$8</f>
        <v>Foreign</v>
      </c>
      <c r="I323" s="16" t="str">
        <f>'Source Table'!$F$7</f>
        <v>أجنبي</v>
      </c>
      <c r="J323" s="25" t="str">
        <f>'Source Table'!$B$10</f>
        <v>Architecture</v>
      </c>
      <c r="K323" s="25" t="str">
        <f>'Source Table'!$I$10</f>
        <v>عمارة</v>
      </c>
      <c r="L323" s="46">
        <v>16</v>
      </c>
      <c r="M323">
        <v>2015</v>
      </c>
    </row>
    <row r="324" spans="1:13" ht="15">
      <c r="A324" t="s">
        <v>112</v>
      </c>
      <c r="B324" t="s">
        <v>113</v>
      </c>
      <c r="C324" s="15" t="s">
        <v>30</v>
      </c>
      <c r="D324" s="23" t="s">
        <v>81</v>
      </c>
      <c r="E324" s="25" t="s">
        <v>82</v>
      </c>
      <c r="F324" s="16" t="str">
        <f>'Source Table'!$C$6</f>
        <v>Female</v>
      </c>
      <c r="G324" s="16" t="str">
        <f>'Source Table'!$C$5</f>
        <v>أنثى</v>
      </c>
      <c r="H324" t="str">
        <f>'Source Table'!$F$8</f>
        <v>Foreign</v>
      </c>
      <c r="I324" s="16" t="str">
        <f>'Source Table'!$F$7</f>
        <v>أجنبي</v>
      </c>
      <c r="J324" s="25" t="str">
        <f>'Source Table'!$B$11</f>
        <v>Mechanical</v>
      </c>
      <c r="K324" s="25" t="str">
        <f>'Source Table'!$I$11</f>
        <v>ميكانيك</v>
      </c>
      <c r="L324" s="46">
        <v>6</v>
      </c>
      <c r="M324">
        <v>2015</v>
      </c>
    </row>
    <row r="325" spans="1:13" ht="15">
      <c r="A325" t="s">
        <v>112</v>
      </c>
      <c r="B325" t="s">
        <v>113</v>
      </c>
      <c r="C325" s="15" t="s">
        <v>30</v>
      </c>
      <c r="D325" s="23" t="s">
        <v>81</v>
      </c>
      <c r="E325" s="25" t="s">
        <v>82</v>
      </c>
      <c r="F325" s="16" t="str">
        <f>'Source Table'!$C$6</f>
        <v>Female</v>
      </c>
      <c r="G325" s="16" t="str">
        <f>'Source Table'!$C$5</f>
        <v>أنثى</v>
      </c>
      <c r="H325" t="str">
        <f>'Source Table'!$F$8</f>
        <v>Foreign</v>
      </c>
      <c r="I325" s="16" t="str">
        <f>'Source Table'!$F$7</f>
        <v>أجنبي</v>
      </c>
      <c r="J325" s="25" t="str">
        <f>'Source Table'!$B$12</f>
        <v>Electricity</v>
      </c>
      <c r="K325" s="25" t="str">
        <f>'Source Table'!$I$12</f>
        <v>كهرباء</v>
      </c>
      <c r="L325" s="46">
        <v>3</v>
      </c>
      <c r="M325">
        <v>2015</v>
      </c>
    </row>
    <row r="326" spans="1:13" ht="15">
      <c r="A326" t="s">
        <v>112</v>
      </c>
      <c r="B326" t="s">
        <v>113</v>
      </c>
      <c r="C326" s="15" t="s">
        <v>30</v>
      </c>
      <c r="D326" s="23" t="s">
        <v>81</v>
      </c>
      <c r="E326" s="25" t="s">
        <v>82</v>
      </c>
      <c r="F326" s="16" t="str">
        <f>'Source Table'!$C$6</f>
        <v>Female</v>
      </c>
      <c r="G326" s="16" t="str">
        <f>'Source Table'!$C$5</f>
        <v>أنثى</v>
      </c>
      <c r="H326" t="str">
        <f>'Source Table'!$F$8</f>
        <v>Foreign</v>
      </c>
      <c r="I326" s="16" t="str">
        <f>'Source Table'!$F$7</f>
        <v>أجنبي</v>
      </c>
      <c r="J326" s="25" t="str">
        <f>'Source Table'!$B$13</f>
        <v>Mining</v>
      </c>
      <c r="K326" s="25" t="str">
        <f>'Source Table'!$I$13</f>
        <v>تعدين</v>
      </c>
      <c r="L326" s="46">
        <v>0</v>
      </c>
      <c r="M326">
        <v>2015</v>
      </c>
    </row>
    <row r="327" spans="1:13" ht="15">
      <c r="A327" t="s">
        <v>112</v>
      </c>
      <c r="B327" t="s">
        <v>113</v>
      </c>
      <c r="C327" s="15" t="s">
        <v>30</v>
      </c>
      <c r="D327" s="23" t="s">
        <v>81</v>
      </c>
      <c r="E327" s="25" t="s">
        <v>82</v>
      </c>
      <c r="F327" s="16" t="str">
        <f>'Source Table'!$C$6</f>
        <v>Female</v>
      </c>
      <c r="G327" s="16" t="str">
        <f>'Source Table'!$C$5</f>
        <v>أنثى</v>
      </c>
      <c r="H327" t="str">
        <f>'Source Table'!$F$8</f>
        <v>Foreign</v>
      </c>
      <c r="I327" s="16" t="str">
        <f>'Source Table'!$F$7</f>
        <v>أجنبي</v>
      </c>
      <c r="J327" s="25" t="str">
        <f>'Source Table'!$B$14</f>
        <v>Chemistry</v>
      </c>
      <c r="K327" s="25" t="str">
        <f>'Source Table'!$I$14</f>
        <v>كيمياء</v>
      </c>
      <c r="L327" s="46">
        <v>3</v>
      </c>
      <c r="M327">
        <v>2015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zoomScale="70" zoomScaleNormal="70" workbookViewId="0">
      <selection activeCell="A4" sqref="A4:N5"/>
    </sheetView>
  </sheetViews>
  <sheetFormatPr defaultColWidth="9" defaultRowHeight="13.5"/>
  <cols>
    <col min="1" max="8" width="24.375" customWidth="1"/>
    <col min="9" max="9" width="8.75" customWidth="1"/>
    <col min="10" max="10" width="11.375" customWidth="1"/>
    <col min="11" max="11" width="12" customWidth="1"/>
    <col min="12" max="12" width="9.875" customWidth="1"/>
    <col min="13" max="13" width="7.375" customWidth="1"/>
  </cols>
  <sheetData>
    <row r="1" spans="1:14">
      <c r="A1" s="11" t="s">
        <v>31</v>
      </c>
      <c r="B1" s="12">
        <f>DATE(B2,B3,1)</f>
        <v>45292</v>
      </c>
    </row>
    <row r="2" spans="1:14">
      <c r="A2" s="11" t="s">
        <v>11</v>
      </c>
      <c r="B2">
        <v>2024</v>
      </c>
      <c r="D2" s="12"/>
    </row>
    <row r="3" spans="1:14">
      <c r="A3" s="11" t="s">
        <v>32</v>
      </c>
      <c r="B3">
        <v>1</v>
      </c>
    </row>
    <row r="4" spans="1:14" s="10" customFormat="1" ht="18" customHeight="1">
      <c r="A4" s="13" t="s">
        <v>14</v>
      </c>
      <c r="B4" s="13" t="s">
        <v>15</v>
      </c>
      <c r="C4" s="13" t="s">
        <v>16</v>
      </c>
      <c r="D4" s="13" t="s">
        <v>17</v>
      </c>
      <c r="E4" s="13" t="s">
        <v>18</v>
      </c>
      <c r="F4" s="26" t="s">
        <v>114</v>
      </c>
      <c r="G4" s="26" t="s">
        <v>119</v>
      </c>
      <c r="H4" s="26" t="s">
        <v>118</v>
      </c>
      <c r="I4" s="26" t="s">
        <v>120</v>
      </c>
      <c r="J4" s="26" t="s">
        <v>124</v>
      </c>
      <c r="K4" s="26" t="s">
        <v>125</v>
      </c>
      <c r="L4" s="13" t="s">
        <v>19</v>
      </c>
      <c r="M4" s="13" t="s">
        <v>20</v>
      </c>
      <c r="N4" s="13" t="s">
        <v>21</v>
      </c>
    </row>
    <row r="5" spans="1:14" s="10" customFormat="1" ht="18" customHeight="1">
      <c r="A5" s="13" t="s">
        <v>22</v>
      </c>
      <c r="B5" s="13" t="s">
        <v>23</v>
      </c>
      <c r="C5" s="13" t="s">
        <v>24</v>
      </c>
      <c r="D5" s="13" t="s">
        <v>25</v>
      </c>
      <c r="E5" s="13" t="s">
        <v>26</v>
      </c>
      <c r="F5" s="26" t="s">
        <v>115</v>
      </c>
      <c r="G5" s="26" t="s">
        <v>116</v>
      </c>
      <c r="H5" s="26" t="s">
        <v>117</v>
      </c>
      <c r="I5" s="26" t="s">
        <v>121</v>
      </c>
      <c r="J5" s="26" t="s">
        <v>122</v>
      </c>
      <c r="K5" s="26" t="s">
        <v>123</v>
      </c>
      <c r="L5" s="13" t="s">
        <v>27</v>
      </c>
      <c r="M5" s="13" t="s">
        <v>28</v>
      </c>
      <c r="N5" s="13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8"/>
  <sheetViews>
    <sheetView topLeftCell="A17" workbookViewId="0">
      <selection activeCell="A20" sqref="A20"/>
    </sheetView>
  </sheetViews>
  <sheetFormatPr defaultColWidth="8.875" defaultRowHeight="13.5"/>
  <cols>
    <col min="1" max="1" width="90" style="1" customWidth="1"/>
    <col min="2" max="2" width="2.625" style="2" customWidth="1"/>
    <col min="3" max="3" width="87.25" style="3" customWidth="1"/>
    <col min="4" max="16384" width="8.875" style="4"/>
  </cols>
  <sheetData>
    <row r="2" spans="1:3" ht="18">
      <c r="A2" s="5" t="s">
        <v>33</v>
      </c>
      <c r="C2" s="6" t="s">
        <v>34</v>
      </c>
    </row>
    <row r="3" spans="1:3">
      <c r="A3" s="7"/>
    </row>
    <row r="4" spans="1:3" ht="27">
      <c r="A4" s="7" t="s">
        <v>35</v>
      </c>
      <c r="C4" s="3" t="s">
        <v>36</v>
      </c>
    </row>
    <row r="6" spans="1:3" ht="18">
      <c r="A6" s="5" t="s">
        <v>37</v>
      </c>
      <c r="C6" s="6" t="s">
        <v>38</v>
      </c>
    </row>
    <row r="7" spans="1:3">
      <c r="A7" s="7"/>
    </row>
    <row r="8" spans="1:3" ht="27">
      <c r="A8" s="8" t="s">
        <v>39</v>
      </c>
      <c r="C8" s="3" t="s">
        <v>40</v>
      </c>
    </row>
    <row r="10" spans="1:3" ht="18">
      <c r="A10" s="5" t="s">
        <v>41</v>
      </c>
      <c r="C10" s="6" t="s">
        <v>42</v>
      </c>
    </row>
    <row r="11" spans="1:3">
      <c r="A11" s="7"/>
    </row>
    <row r="12" spans="1:3">
      <c r="A12" s="7" t="s">
        <v>43</v>
      </c>
      <c r="C12" s="3" t="s">
        <v>44</v>
      </c>
    </row>
    <row r="13" spans="1:3" ht="27">
      <c r="A13" s="8" t="s">
        <v>45</v>
      </c>
      <c r="C13" s="9" t="s">
        <v>46</v>
      </c>
    </row>
    <row r="14" spans="1:3" ht="40.5">
      <c r="A14" s="8" t="s">
        <v>47</v>
      </c>
      <c r="C14" s="9" t="s">
        <v>48</v>
      </c>
    </row>
    <row r="15" spans="1:3" ht="27">
      <c r="A15" s="8" t="s">
        <v>49</v>
      </c>
      <c r="C15" s="9" t="s">
        <v>50</v>
      </c>
    </row>
    <row r="16" spans="1:3">
      <c r="A16" s="8" t="s">
        <v>51</v>
      </c>
      <c r="C16" s="9" t="s">
        <v>52</v>
      </c>
    </row>
    <row r="17" spans="1:3">
      <c r="A17" s="8" t="s">
        <v>53</v>
      </c>
      <c r="C17" s="9" t="s">
        <v>54</v>
      </c>
    </row>
    <row r="18" spans="1:3">
      <c r="A18" s="7" t="s">
        <v>55</v>
      </c>
      <c r="C18" s="3" t="s">
        <v>56</v>
      </c>
    </row>
    <row r="19" spans="1:3">
      <c r="A19" s="7" t="s">
        <v>57</v>
      </c>
      <c r="C19" s="3" t="s">
        <v>58</v>
      </c>
    </row>
    <row r="20" spans="1:3" ht="27">
      <c r="A20" s="8" t="s">
        <v>59</v>
      </c>
      <c r="C20" s="9" t="s">
        <v>60</v>
      </c>
    </row>
    <row r="22" spans="1:3" ht="18">
      <c r="A22" s="5" t="s">
        <v>61</v>
      </c>
      <c r="C22" s="6" t="s">
        <v>62</v>
      </c>
    </row>
    <row r="23" spans="1:3">
      <c r="A23" s="7"/>
    </row>
    <row r="24" spans="1:3" ht="27">
      <c r="A24" s="7" t="s">
        <v>63</v>
      </c>
      <c r="C24" s="3" t="s">
        <v>64</v>
      </c>
    </row>
    <row r="25" spans="1:3" ht="27">
      <c r="A25" s="7" t="s">
        <v>65</v>
      </c>
      <c r="C25" s="3" t="s">
        <v>66</v>
      </c>
    </row>
    <row r="27" spans="1:3" ht="18">
      <c r="A27" s="5" t="s">
        <v>67</v>
      </c>
      <c r="C27" s="6" t="s">
        <v>68</v>
      </c>
    </row>
    <row r="28" spans="1:3">
      <c r="A28" s="7"/>
    </row>
    <row r="29" spans="1:3" ht="27">
      <c r="A29" s="7" t="s">
        <v>69</v>
      </c>
      <c r="C29" s="3" t="s">
        <v>70</v>
      </c>
    </row>
    <row r="30" spans="1:3">
      <c r="A30" s="7" t="s">
        <v>71</v>
      </c>
      <c r="C30" s="3" t="s">
        <v>72</v>
      </c>
    </row>
    <row r="32" spans="1:3" ht="18">
      <c r="A32" s="5" t="s">
        <v>73</v>
      </c>
      <c r="C32" s="6" t="s">
        <v>74</v>
      </c>
    </row>
    <row r="33" spans="1:3">
      <c r="A33" s="7"/>
    </row>
    <row r="34" spans="1:3">
      <c r="A34" s="8" t="s">
        <v>75</v>
      </c>
      <c r="C34" s="3" t="s">
        <v>76</v>
      </c>
    </row>
    <row r="36" spans="1:3" ht="18">
      <c r="A36" s="5" t="s">
        <v>77</v>
      </c>
      <c r="C36" s="6" t="s">
        <v>78</v>
      </c>
    </row>
    <row r="37" spans="1:3">
      <c r="A37" s="7"/>
    </row>
    <row r="38" spans="1:3" ht="27">
      <c r="A38" s="7" t="s">
        <v>79</v>
      </c>
      <c r="C38" s="3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9D8868F97254F9E5095DCA93C6B5E" ma:contentTypeVersion="4" ma:contentTypeDescription="Create a new document." ma:contentTypeScope="" ma:versionID="c382a7e8560abba42d9175972971dca4">
  <xsd:schema xmlns:xsd="http://www.w3.org/2001/XMLSchema" xmlns:xs="http://www.w3.org/2001/XMLSchema" xmlns:p="http://schemas.microsoft.com/office/2006/metadata/properties" xmlns:ns2="5f3aa2a1-f742-4cb3-874a-b3631849deb5" targetNamespace="http://schemas.microsoft.com/office/2006/metadata/properties" ma:root="true" ma:fieldsID="dff2fb13bd7f76f9795f131d17ef348c" ns2:_="">
    <xsd:import namespace="5f3aa2a1-f742-4cb3-874a-b3631849d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aa2a1-f742-4cb3-874a-b3631849d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1" rangeCreator="" othersAccessPermission="edit"/>
  </rangeList>
  <rangeList sheetStid="3" master="" otherUserPermission="visible"/>
  <rangeList sheetStid="4" master="" otherUserPermission="visible"/>
  <rangeList sheetStid="6" master="" otherUserPermission="visible"/>
</allowEditUser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FB3727-0098-41DB-9DEB-08A099D40A76}">
  <ds:schemaRefs/>
</ds:datastoreItem>
</file>

<file path=customXml/itemProps2.xml><?xml version="1.0" encoding="utf-8"?>
<ds:datastoreItem xmlns:ds="http://schemas.openxmlformats.org/officeDocument/2006/customXml" ds:itemID="{3517F994-C603-46B5-AEAB-E4EEDEDA8C7D}">
  <ds:schemaRefs/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376B0781-3F54-40BC-A068-7F5A2310ECAB}">
  <ds:schemaRefs>
    <ds:schemaRef ds:uri="5f3aa2a1-f742-4cb3-874a-b3631849deb5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37</vt:i4>
      </vt:variant>
    </vt:vector>
  </HeadingPairs>
  <TitlesOfParts>
    <vt:vector size="42" baseType="lpstr">
      <vt:lpstr>Cover Page</vt:lpstr>
      <vt:lpstr>Source Table</vt:lpstr>
      <vt:lpstr>Relational DB</vt:lpstr>
      <vt:lpstr>Template Data</vt:lpstr>
      <vt:lpstr>Help</vt:lpstr>
      <vt:lpstr>'Relational DB'!_Toc175817829</vt:lpstr>
      <vt:lpstr>'Relational DB'!_Toc175817830</vt:lpstr>
      <vt:lpstr>'Relational DB'!_Toc175817831</vt:lpstr>
      <vt:lpstr>'Relational DB'!_Toc175817832</vt:lpstr>
      <vt:lpstr>'Relational DB'!_Toc175817833</vt:lpstr>
      <vt:lpstr>'Relational DB'!_Toc175817834</vt:lpstr>
      <vt:lpstr>'Relational DB'!_Toc175817840</vt:lpstr>
      <vt:lpstr>'Relational DB'!_Toc175817841</vt:lpstr>
      <vt:lpstr>'Relational DB'!_Toc175817842</vt:lpstr>
      <vt:lpstr>'Relational DB'!_Toc175817843</vt:lpstr>
      <vt:lpstr>'Relational DB'!_Toc175817844</vt:lpstr>
      <vt:lpstr>'Relational DB'!_Toc175817845</vt:lpstr>
      <vt:lpstr>'Relational DB'!_Toc175817851</vt:lpstr>
      <vt:lpstr>'Relational DB'!_Toc175817852</vt:lpstr>
      <vt:lpstr>'Relational DB'!_Toc175817853</vt:lpstr>
      <vt:lpstr>'Relational DB'!_Toc175817854</vt:lpstr>
      <vt:lpstr>'Relational DB'!_Toc175817855</vt:lpstr>
      <vt:lpstr>'Relational DB'!_Toc175817856</vt:lpstr>
      <vt:lpstr>'Relational DB'!_Toc175817862</vt:lpstr>
      <vt:lpstr>'Relational DB'!_Toc175817863</vt:lpstr>
      <vt:lpstr>'Relational DB'!_Toc175817864</vt:lpstr>
      <vt:lpstr>'Relational DB'!_Toc175817865</vt:lpstr>
      <vt:lpstr>'Relational DB'!_Toc175817866</vt:lpstr>
      <vt:lpstr>'Relational DB'!_Toc175817867</vt:lpstr>
      <vt:lpstr>'Relational DB'!_Toc175817873</vt:lpstr>
      <vt:lpstr>'Relational DB'!_Toc175817874</vt:lpstr>
      <vt:lpstr>'Relational DB'!_Toc175817875</vt:lpstr>
      <vt:lpstr>'Relational DB'!_Toc175817876</vt:lpstr>
      <vt:lpstr>'Relational DB'!_Toc175817877</vt:lpstr>
      <vt:lpstr>'Relational DB'!_Toc175817878</vt:lpstr>
      <vt:lpstr>'Relational DB'!_Toc175817884</vt:lpstr>
      <vt:lpstr>'Relational DB'!_Toc175817885</vt:lpstr>
      <vt:lpstr>'Relational DB'!_Toc175817886</vt:lpstr>
      <vt:lpstr>'Relational DB'!_Toc175817887</vt:lpstr>
      <vt:lpstr>'Relational DB'!_Toc175817888</vt:lpstr>
      <vt:lpstr>'Relational DB'!_Toc175817889</vt:lpstr>
      <vt:lpstr>'Source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2025-05-07T09:03:47Z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156DA827928A4ABFAF3DDE15037F87AA_13</vt:lpwstr>
  </property>
  <property fmtid="{D5CDD505-2E9C-101B-9397-08002B2CF9AE}" pid="5" name="KSOProductBuildVer">
    <vt:lpwstr>1033-12.2.0.20795</vt:lpwstr>
  </property>
</Properties>
</file>