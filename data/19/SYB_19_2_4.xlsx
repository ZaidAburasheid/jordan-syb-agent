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Tabels\His\19\"/>
    </mc:Choice>
  </mc:AlternateContent>
  <bookViews>
    <workbookView xWindow="0" yWindow="0" windowWidth="19635" windowHeight="8715" activeTab="2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definedNames>
    <definedName name="_Toc175817975" localSheetId="2">'Relational DB'!$J$4</definedName>
    <definedName name="_Toc175817976" localSheetId="2">'Relational DB'!$J$10</definedName>
    <definedName name="_Toc175817980" localSheetId="2">'Relational DB'!$J$5</definedName>
    <definedName name="_Toc175817981" localSheetId="2">'Relational DB'!$J$11</definedName>
    <definedName name="_Toc175817985" localSheetId="2">'Relational DB'!$J$6</definedName>
    <definedName name="_Toc175817986" localSheetId="2">'Relational DB'!$J$12</definedName>
    <definedName name="_Toc175817990" localSheetId="2">'Relational DB'!$J$7</definedName>
    <definedName name="_Toc175817991" localSheetId="2">'Relational DB'!$J$13</definedName>
    <definedName name="_Toc175817995" localSheetId="2">'Relational DB'!$J$8</definedName>
    <definedName name="_Toc175817996" localSheetId="2">'Relational DB'!$J$14</definedName>
    <definedName name="_Toc175818000" localSheetId="2">'Relational DB'!$J$9</definedName>
    <definedName name="_Toc175818001" localSheetId="2">'Relational DB'!$J$15</definedName>
    <definedName name="_xlnm.Print_Area" localSheetId="1">'Source Table'!$B$2:$E$12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1" i="3" l="1"/>
  <c r="H111" i="3"/>
  <c r="G111" i="3"/>
  <c r="F111" i="3"/>
  <c r="I110" i="3"/>
  <c r="H110" i="3"/>
  <c r="G110" i="3"/>
  <c r="F110" i="3"/>
  <c r="I109" i="3"/>
  <c r="H109" i="3"/>
  <c r="G109" i="3"/>
  <c r="F109" i="3"/>
  <c r="I108" i="3"/>
  <c r="H108" i="3"/>
  <c r="G108" i="3"/>
  <c r="F108" i="3"/>
  <c r="I107" i="3"/>
  <c r="H107" i="3"/>
  <c r="G107" i="3"/>
  <c r="F107" i="3"/>
  <c r="I106" i="3"/>
  <c r="H106" i="3"/>
  <c r="G106" i="3"/>
  <c r="F106" i="3"/>
  <c r="I105" i="3"/>
  <c r="H105" i="3"/>
  <c r="G105" i="3"/>
  <c r="F105" i="3"/>
  <c r="I104" i="3"/>
  <c r="H104" i="3"/>
  <c r="G104" i="3"/>
  <c r="F104" i="3"/>
  <c r="I103" i="3"/>
  <c r="H103" i="3"/>
  <c r="G103" i="3"/>
  <c r="F103" i="3"/>
  <c r="I102" i="3"/>
  <c r="H102" i="3"/>
  <c r="G102" i="3"/>
  <c r="F102" i="3"/>
  <c r="I101" i="3"/>
  <c r="H101" i="3"/>
  <c r="G101" i="3"/>
  <c r="F101" i="3"/>
  <c r="I100" i="3"/>
  <c r="H100" i="3"/>
  <c r="G100" i="3"/>
  <c r="F100" i="3"/>
  <c r="I99" i="3"/>
  <c r="H99" i="3"/>
  <c r="G99" i="3"/>
  <c r="F99" i="3"/>
  <c r="I98" i="3"/>
  <c r="H98" i="3"/>
  <c r="G98" i="3"/>
  <c r="F98" i="3"/>
  <c r="I97" i="3"/>
  <c r="H97" i="3"/>
  <c r="G97" i="3"/>
  <c r="F97" i="3"/>
  <c r="I96" i="3"/>
  <c r="H96" i="3"/>
  <c r="G96" i="3"/>
  <c r="F96" i="3"/>
  <c r="I95" i="3"/>
  <c r="H95" i="3"/>
  <c r="G95" i="3"/>
  <c r="F95" i="3"/>
  <c r="I94" i="3"/>
  <c r="H94" i="3"/>
  <c r="G94" i="3"/>
  <c r="F94" i="3"/>
  <c r="I93" i="3"/>
  <c r="H93" i="3"/>
  <c r="G93" i="3"/>
  <c r="F93" i="3"/>
  <c r="I92" i="3"/>
  <c r="H92" i="3"/>
  <c r="G92" i="3"/>
  <c r="F92" i="3"/>
  <c r="I91" i="3"/>
  <c r="H91" i="3"/>
  <c r="G91" i="3"/>
  <c r="F91" i="3"/>
  <c r="I90" i="3"/>
  <c r="H90" i="3"/>
  <c r="G90" i="3"/>
  <c r="F90" i="3"/>
  <c r="I89" i="3"/>
  <c r="H89" i="3"/>
  <c r="G89" i="3"/>
  <c r="F89" i="3"/>
  <c r="I88" i="3"/>
  <c r="H88" i="3"/>
  <c r="G88" i="3"/>
  <c r="F88" i="3"/>
  <c r="I87" i="3"/>
  <c r="H87" i="3"/>
  <c r="G87" i="3"/>
  <c r="F87" i="3"/>
  <c r="I86" i="3"/>
  <c r="H86" i="3"/>
  <c r="G86" i="3"/>
  <c r="F86" i="3"/>
  <c r="I85" i="3"/>
  <c r="H85" i="3"/>
  <c r="G85" i="3"/>
  <c r="F85" i="3"/>
  <c r="I84" i="3"/>
  <c r="H84" i="3"/>
  <c r="G84" i="3"/>
  <c r="F84" i="3"/>
  <c r="I83" i="3"/>
  <c r="H83" i="3"/>
  <c r="G83" i="3"/>
  <c r="F83" i="3"/>
  <c r="I82" i="3"/>
  <c r="H82" i="3"/>
  <c r="G82" i="3"/>
  <c r="F82" i="3"/>
  <c r="I81" i="3"/>
  <c r="H81" i="3"/>
  <c r="G81" i="3"/>
  <c r="F81" i="3"/>
  <c r="I80" i="3"/>
  <c r="H80" i="3"/>
  <c r="G80" i="3"/>
  <c r="F80" i="3"/>
  <c r="I79" i="3"/>
  <c r="H79" i="3"/>
  <c r="G79" i="3"/>
  <c r="F79" i="3"/>
  <c r="I78" i="3"/>
  <c r="H78" i="3"/>
  <c r="G78" i="3"/>
  <c r="F78" i="3"/>
  <c r="I77" i="3"/>
  <c r="H77" i="3"/>
  <c r="G77" i="3"/>
  <c r="F77" i="3"/>
  <c r="I76" i="3"/>
  <c r="H76" i="3"/>
  <c r="G76" i="3"/>
  <c r="F76" i="3"/>
  <c r="I75" i="3"/>
  <c r="H75" i="3"/>
  <c r="G75" i="3"/>
  <c r="F75" i="3"/>
  <c r="I74" i="3"/>
  <c r="H74" i="3"/>
  <c r="G74" i="3"/>
  <c r="F74" i="3"/>
  <c r="I73" i="3"/>
  <c r="H73" i="3"/>
  <c r="G73" i="3"/>
  <c r="F73" i="3"/>
  <c r="I72" i="3"/>
  <c r="H72" i="3"/>
  <c r="G72" i="3"/>
  <c r="F72" i="3"/>
  <c r="I71" i="3"/>
  <c r="H71" i="3"/>
  <c r="G71" i="3"/>
  <c r="F71" i="3"/>
  <c r="I70" i="3"/>
  <c r="H70" i="3"/>
  <c r="G70" i="3"/>
  <c r="F70" i="3"/>
  <c r="I69" i="3"/>
  <c r="H69" i="3"/>
  <c r="G69" i="3"/>
  <c r="F69" i="3"/>
  <c r="I68" i="3"/>
  <c r="H68" i="3"/>
  <c r="G68" i="3"/>
  <c r="F68" i="3"/>
  <c r="I67" i="3"/>
  <c r="H67" i="3"/>
  <c r="G67" i="3"/>
  <c r="F67" i="3"/>
  <c r="I66" i="3"/>
  <c r="H66" i="3"/>
  <c r="G66" i="3"/>
  <c r="F66" i="3"/>
  <c r="I65" i="3"/>
  <c r="H65" i="3"/>
  <c r="G65" i="3"/>
  <c r="F65" i="3"/>
  <c r="I64" i="3"/>
  <c r="H64" i="3"/>
  <c r="G64" i="3"/>
  <c r="F64" i="3"/>
  <c r="I63" i="3"/>
  <c r="H63" i="3"/>
  <c r="G63" i="3"/>
  <c r="F63" i="3"/>
  <c r="I62" i="3"/>
  <c r="H62" i="3"/>
  <c r="G62" i="3"/>
  <c r="F62" i="3"/>
  <c r="I61" i="3"/>
  <c r="H61" i="3"/>
  <c r="G61" i="3"/>
  <c r="F61" i="3"/>
  <c r="I60" i="3"/>
  <c r="H60" i="3"/>
  <c r="G60" i="3"/>
  <c r="F60" i="3"/>
  <c r="I59" i="3"/>
  <c r="H59" i="3"/>
  <c r="G59" i="3"/>
  <c r="F59" i="3"/>
  <c r="I58" i="3"/>
  <c r="H58" i="3"/>
  <c r="G58" i="3"/>
  <c r="F58" i="3"/>
  <c r="I57" i="3"/>
  <c r="H57" i="3"/>
  <c r="G57" i="3"/>
  <c r="F57" i="3"/>
  <c r="I56" i="3"/>
  <c r="H56" i="3"/>
  <c r="G56" i="3"/>
  <c r="F56" i="3"/>
  <c r="I55" i="3"/>
  <c r="H55" i="3"/>
  <c r="G55" i="3"/>
  <c r="F55" i="3"/>
  <c r="I54" i="3"/>
  <c r="H54" i="3"/>
  <c r="G54" i="3"/>
  <c r="F54" i="3"/>
  <c r="I53" i="3"/>
  <c r="H53" i="3"/>
  <c r="G53" i="3"/>
  <c r="F53" i="3"/>
  <c r="I52" i="3"/>
  <c r="H52" i="3"/>
  <c r="G52" i="3"/>
  <c r="F52" i="3"/>
  <c r="I51" i="3"/>
  <c r="H51" i="3"/>
  <c r="G51" i="3"/>
  <c r="F51" i="3"/>
  <c r="I50" i="3"/>
  <c r="H50" i="3"/>
  <c r="G50" i="3"/>
  <c r="F50" i="3"/>
  <c r="I49" i="3"/>
  <c r="H49" i="3"/>
  <c r="G49" i="3"/>
  <c r="F49" i="3"/>
  <c r="I48" i="3"/>
  <c r="H48" i="3"/>
  <c r="G48" i="3"/>
  <c r="F48" i="3"/>
  <c r="I47" i="3"/>
  <c r="H47" i="3"/>
  <c r="G47" i="3"/>
  <c r="F47" i="3"/>
  <c r="I46" i="3"/>
  <c r="H46" i="3"/>
  <c r="G46" i="3"/>
  <c r="F46" i="3"/>
  <c r="I45" i="3"/>
  <c r="H45" i="3"/>
  <c r="G45" i="3"/>
  <c r="F45" i="3"/>
  <c r="I44" i="3"/>
  <c r="H44" i="3"/>
  <c r="G44" i="3"/>
  <c r="F44" i="3"/>
  <c r="I43" i="3"/>
  <c r="H43" i="3"/>
  <c r="G43" i="3"/>
  <c r="F43" i="3"/>
  <c r="I42" i="3"/>
  <c r="H42" i="3"/>
  <c r="G42" i="3"/>
  <c r="F42" i="3"/>
  <c r="I41" i="3"/>
  <c r="H41" i="3"/>
  <c r="G41" i="3"/>
  <c r="F41" i="3"/>
  <c r="I40" i="3"/>
  <c r="H40" i="3"/>
  <c r="G40" i="3"/>
  <c r="F40" i="3"/>
  <c r="I39" i="3"/>
  <c r="H39" i="3"/>
  <c r="G39" i="3"/>
  <c r="F39" i="3"/>
  <c r="I38" i="3"/>
  <c r="H38" i="3"/>
  <c r="G38" i="3"/>
  <c r="F38" i="3"/>
  <c r="I37" i="3"/>
  <c r="H37" i="3"/>
  <c r="G37" i="3"/>
  <c r="F37" i="3"/>
  <c r="I36" i="3"/>
  <c r="H36" i="3"/>
  <c r="G36" i="3"/>
  <c r="F36" i="3"/>
  <c r="I35" i="3"/>
  <c r="H35" i="3"/>
  <c r="G35" i="3"/>
  <c r="F35" i="3"/>
  <c r="I34" i="3"/>
  <c r="H34" i="3"/>
  <c r="G34" i="3"/>
  <c r="F34" i="3"/>
  <c r="I33" i="3"/>
  <c r="H33" i="3"/>
  <c r="G33" i="3"/>
  <c r="F33" i="3"/>
  <c r="I32" i="3"/>
  <c r="H32" i="3"/>
  <c r="G32" i="3"/>
  <c r="F32" i="3"/>
  <c r="I31" i="3"/>
  <c r="H31" i="3"/>
  <c r="G31" i="3"/>
  <c r="F31" i="3"/>
  <c r="I30" i="3"/>
  <c r="H30" i="3"/>
  <c r="G30" i="3"/>
  <c r="F30" i="3"/>
  <c r="I29" i="3"/>
  <c r="H29" i="3"/>
  <c r="G29" i="3"/>
  <c r="F29" i="3"/>
  <c r="I28" i="3"/>
  <c r="H28" i="3"/>
  <c r="G28" i="3"/>
  <c r="F28" i="3"/>
  <c r="I27" i="3"/>
  <c r="H27" i="3"/>
  <c r="G27" i="3"/>
  <c r="F27" i="3"/>
  <c r="I26" i="3"/>
  <c r="H26" i="3"/>
  <c r="G26" i="3"/>
  <c r="F26" i="3"/>
  <c r="I25" i="3"/>
  <c r="H25" i="3"/>
  <c r="G25" i="3"/>
  <c r="F25" i="3"/>
  <c r="I24" i="3"/>
  <c r="H24" i="3"/>
  <c r="G24" i="3"/>
  <c r="F24" i="3"/>
  <c r="I23" i="3"/>
  <c r="H23" i="3"/>
  <c r="G23" i="3"/>
  <c r="F23" i="3"/>
  <c r="I22" i="3"/>
  <c r="H22" i="3"/>
  <c r="G22" i="3"/>
  <c r="F22" i="3"/>
  <c r="I21" i="3"/>
  <c r="H21" i="3"/>
  <c r="G21" i="3"/>
  <c r="F21" i="3"/>
  <c r="I20" i="3"/>
  <c r="H20" i="3"/>
  <c r="G20" i="3"/>
  <c r="F20" i="3"/>
  <c r="I19" i="3"/>
  <c r="H19" i="3"/>
  <c r="G19" i="3"/>
  <c r="F19" i="3"/>
  <c r="I18" i="3"/>
  <c r="H18" i="3"/>
  <c r="G18" i="3"/>
  <c r="F18" i="3"/>
  <c r="I17" i="3"/>
  <c r="H17" i="3"/>
  <c r="G17" i="3"/>
  <c r="F17" i="3"/>
  <c r="I16" i="3"/>
  <c r="H16" i="3"/>
  <c r="G16" i="3"/>
  <c r="F16" i="3"/>
  <c r="F11" i="3" l="1"/>
  <c r="G11" i="3"/>
  <c r="F12" i="3"/>
  <c r="G12" i="3"/>
  <c r="F13" i="3"/>
  <c r="G13" i="3"/>
  <c r="F14" i="3"/>
  <c r="G14" i="3"/>
  <c r="F15" i="3"/>
  <c r="G15" i="3"/>
  <c r="G10" i="3"/>
  <c r="F10" i="3"/>
  <c r="I15" i="3"/>
  <c r="H15" i="3"/>
  <c r="I14" i="3"/>
  <c r="H14" i="3"/>
  <c r="I13" i="3"/>
  <c r="H13" i="3"/>
  <c r="I12" i="3"/>
  <c r="H12" i="3"/>
  <c r="I11" i="3"/>
  <c r="H11" i="3"/>
  <c r="I10" i="3"/>
  <c r="H10" i="3"/>
  <c r="F5" i="3"/>
  <c r="G5" i="3"/>
  <c r="F6" i="3"/>
  <c r="G6" i="3"/>
  <c r="F7" i="3"/>
  <c r="G7" i="3"/>
  <c r="F8" i="3"/>
  <c r="G8" i="3"/>
  <c r="F9" i="3"/>
  <c r="G9" i="3"/>
  <c r="G4" i="3"/>
  <c r="F4" i="3"/>
  <c r="I9" i="3"/>
  <c r="H9" i="3"/>
  <c r="I8" i="3"/>
  <c r="H8" i="3"/>
  <c r="I7" i="3"/>
  <c r="H7" i="3"/>
  <c r="I6" i="3"/>
  <c r="H6" i="3"/>
  <c r="I5" i="3"/>
  <c r="H5" i="3"/>
  <c r="I4" i="3"/>
  <c r="H4" i="3"/>
  <c r="B1" i="4" l="1"/>
  <c r="C4" i="2"/>
  <c r="B3" i="2"/>
  <c r="B2" i="2"/>
</calcChain>
</file>

<file path=xl/sharedStrings.xml><?xml version="1.0" encoding="utf-8"?>
<sst xmlns="http://schemas.openxmlformats.org/spreadsheetml/2006/main" count="676" uniqueCount="116">
  <si>
    <t>Code</t>
  </si>
  <si>
    <t>Version</t>
  </si>
  <si>
    <t>V1</t>
  </si>
  <si>
    <t>اسم القالب</t>
  </si>
  <si>
    <t>Template Name</t>
  </si>
  <si>
    <t>دورية البيانات</t>
  </si>
  <si>
    <t>سنوي</t>
  </si>
  <si>
    <t>Data Frequency</t>
  </si>
  <si>
    <t>Annual</t>
  </si>
  <si>
    <t>الجهة المصدرية</t>
  </si>
  <si>
    <t>Data Source</t>
  </si>
  <si>
    <t>Year</t>
  </si>
  <si>
    <t>السنة</t>
  </si>
  <si>
    <t>Relational Sheet</t>
  </si>
  <si>
    <t>Measure_Name_Ar</t>
  </si>
  <si>
    <t>Measure_Name_En</t>
  </si>
  <si>
    <t>Measure_ID</t>
  </si>
  <si>
    <t>Unit_EN</t>
  </si>
  <si>
    <t>Unit_AR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</si>
  <si>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</si>
  <si>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</si>
  <si>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</si>
  <si>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</si>
  <si>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</si>
  <si>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</si>
  <si>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</si>
  <si>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</si>
  <si>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قيمة المؤشر</t>
  </si>
  <si>
    <t>سنة فترة القياس</t>
  </si>
  <si>
    <t>شهر فترة القياس</t>
  </si>
  <si>
    <t>M1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</si>
  <si>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</si>
  <si>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</si>
  <si>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</si>
  <si>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</si>
  <si>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</si>
  <si>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</si>
  <si>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</si>
  <si>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</si>
  <si>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</si>
  <si>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</si>
  <si>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</si>
  <si>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</si>
  <si>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</si>
  <si>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</si>
  <si>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</si>
  <si>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</si>
  <si>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</si>
  <si>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</si>
  <si>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</si>
  <si>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</si>
  <si>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</si>
  <si>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</si>
  <si>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</si>
  <si>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</si>
  <si>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</si>
  <si>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</si>
  <si>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</si>
  <si>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</si>
  <si>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</si>
  <si>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</si>
  <si>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</si>
  <si>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</si>
  <si>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</si>
  <si>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</si>
  <si>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</si>
  <si>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</si>
  <si>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</si>
  <si>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</si>
  <si>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</si>
  <si>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</si>
  <si>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</si>
  <si>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</si>
  <si>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</si>
  <si>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</si>
  <si>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</si>
  <si>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</si>
  <si>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</si>
  <si>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</si>
  <si>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</si>
  <si>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</si>
  <si>
    <t>Number</t>
  </si>
  <si>
    <t>عدد</t>
  </si>
  <si>
    <t>نقابة المهندسين الزراعيين</t>
  </si>
  <si>
    <t>الوقاية النباتية</t>
  </si>
  <si>
    <t>الإنتاج النباتي</t>
  </si>
  <si>
    <t>الاقتصاد الزراعي</t>
  </si>
  <si>
    <t>الإنتاج الحيواني</t>
  </si>
  <si>
    <t>الموارد المائيةوالبيئة</t>
  </si>
  <si>
    <t>التغذية والصناعات</t>
  </si>
  <si>
    <t>Plants Protection</t>
  </si>
  <si>
    <t>Plants  Production</t>
  </si>
  <si>
    <t xml:space="preserve">Agricultural Economics  </t>
  </si>
  <si>
    <t>Animal Production</t>
  </si>
  <si>
    <t>Environment &amp;  Irrigation</t>
  </si>
  <si>
    <t>Nutrition and Industries</t>
  </si>
  <si>
    <t>Agricultural Engineers Registered at the Agricultural Engineers Syndicate</t>
  </si>
  <si>
    <t>Agricultural Engineers Specialization</t>
  </si>
  <si>
    <t>CL_AGR_ENG_SPECALIZATION_EN_V1</t>
  </si>
  <si>
    <t>CL_AGR_ENG_SPECALIZATION_AR_V1</t>
  </si>
  <si>
    <t xml:space="preserve">تخصص المهندسون الزراعيون </t>
  </si>
  <si>
    <t>SYB_19_2_4</t>
  </si>
  <si>
    <t>المهندسون الزراعيون المسجّلون في نقابة المهندسين الزراعيين حسب التخصص والجنس</t>
  </si>
  <si>
    <t>Agricultural Engineers Registered at the Agricultural Engineers Syndicate by Specialization and Sex</t>
  </si>
  <si>
    <t>Agricultural  Engineers  Syndicate</t>
  </si>
  <si>
    <t>ذكر</t>
  </si>
  <si>
    <t>Male</t>
  </si>
  <si>
    <t>أنثى</t>
  </si>
  <si>
    <t>Female</t>
  </si>
  <si>
    <t>التخصص</t>
  </si>
  <si>
    <t>Specialization</t>
  </si>
  <si>
    <t>المهندسون الزراعيون المسجّلون في نقابة المهندسين الزراعيين</t>
  </si>
  <si>
    <t>CL_SEX_EN_V1</t>
  </si>
  <si>
    <t>CL_SEX_AR_V1</t>
  </si>
  <si>
    <t>Sex</t>
  </si>
  <si>
    <t>الجنس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</si>
</sst>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11"/>
      <color rgb="FF000000"/>
      <name val="Calibri"/>
      <family val="2"/>
    </font>
    <font>
      <sz val="16"/>
      <color rgb="FFFFFFFF"/>
      <name val="Aptos Narrow"/>
      <charset val="134"/>
      <scheme val="minor"/>
    </font>
    <font>
      <sz val="10"/>
      <name val="Arial"/>
      <family val="2"/>
    </font>
    <font>
      <b/>
      <sz val="14"/>
      <color indexed="12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color theme="1"/>
      <name val="Arial Unicode MS"/>
      <charset val="134"/>
    </font>
    <font>
      <sz val="11"/>
      <color theme="1"/>
      <name val="Aptos Narrow"/>
      <charset val="134"/>
      <scheme val="minor"/>
    </font>
    <font>
      <sz val="11"/>
      <color rgb="FF000000"/>
      <name val="Calibri"/>
      <family val="2"/>
    </font>
    <font>
      <sz val="12"/>
      <color theme="1"/>
      <name val="Traditional Arabic"/>
      <family val="1"/>
    </font>
    <font>
      <sz val="9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8687704092531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8">
    <xf numFmtId="0" fontId="0" fillId="0" borderId="0"/>
    <xf numFmtId="0" fontId="11" fillId="0" borderId="0"/>
    <xf numFmtId="0" fontId="11" fillId="0" borderId="0"/>
    <xf numFmtId="0" fontId="12" fillId="0" borderId="0">
      <alignment horizontal="centerContinuous" vertical="center"/>
    </xf>
    <xf numFmtId="0" fontId="13" fillId="0" borderId="0">
      <alignment horizontal="centerContinuous" vertical="center"/>
    </xf>
    <xf numFmtId="1" fontId="14" fillId="7" borderId="2">
      <alignment horizontal="center" vertical="center"/>
    </xf>
    <xf numFmtId="0" fontId="15" fillId="7" borderId="2">
      <alignment horizontal="center" vertical="center" wrapText="1"/>
    </xf>
    <xf numFmtId="0" fontId="16" fillId="7" borderId="2">
      <alignment horizontal="center" vertical="center" wrapText="1"/>
    </xf>
    <xf numFmtId="0" fontId="11" fillId="0" borderId="0"/>
    <xf numFmtId="0" fontId="11" fillId="0" borderId="0"/>
    <xf numFmtId="0" fontId="19" fillId="0" borderId="0"/>
    <xf numFmtId="0" fontId="19" fillId="0" borderId="0"/>
    <xf numFmtId="0" fontId="11" fillId="0" borderId="0"/>
    <xf numFmtId="0" fontId="19" fillId="0" borderId="0"/>
    <xf numFmtId="9" fontId="19" fillId="0" borderId="0"/>
    <xf numFmtId="9" fontId="19" fillId="0" borderId="0"/>
    <xf numFmtId="0" fontId="17" fillId="0" borderId="0">
      <alignment horizontal="right" vertical="center"/>
    </xf>
    <xf numFmtId="0" fontId="11" fillId="0" borderId="0">
      <alignment horizontal="left" vertical="center"/>
    </xf>
  </cellStyleXfs>
  <cellXfs count="38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readingOrder="2"/>
    </xf>
    <xf numFmtId="0" fontId="0" fillId="0" borderId="0" xfId="0" quotePrefix="1" applyAlignment="1">
      <alignment horizontal="center"/>
    </xf>
    <xf numFmtId="0" fontId="20" fillId="0" borderId="0" xfId="0" applyFont="1" applyAlignment="1">
      <alignment horizontal="center" readingOrder="2"/>
    </xf>
    <xf numFmtId="0" fontId="0" fillId="8" borderId="0" xfId="0" applyFont="1" applyFill="1" applyAlignment="1">
      <alignment horizontal="center" vertical="center"/>
    </xf>
    <xf numFmtId="0" fontId="21" fillId="0" borderId="1" xfId="0" applyFont="1" applyBorder="1" applyAlignment="1">
      <alignment horizontal="right" vertical="center" indent="1"/>
    </xf>
    <xf numFmtId="0" fontId="21" fillId="0" borderId="1" xfId="0" applyFont="1" applyBorder="1" applyAlignment="1">
      <alignment horizontal="right" vertical="center" readingOrder="2"/>
    </xf>
    <xf numFmtId="0" fontId="22" fillId="0" borderId="1" xfId="0" applyFont="1" applyBorder="1" applyAlignment="1">
      <alignment horizontal="left" vertical="center" indent="1"/>
    </xf>
    <xf numFmtId="0" fontId="9" fillId="0" borderId="1" xfId="8" applyFont="1" applyFill="1" applyBorder="1" applyProtection="1"/>
    <xf numFmtId="0" fontId="8" fillId="6" borderId="3" xfId="0" applyFont="1" applyFill="1" applyBorder="1" applyAlignment="1">
      <alignment horizontal="right" vertical="center"/>
    </xf>
    <xf numFmtId="0" fontId="8" fillId="6" borderId="4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right" vertical="center"/>
    </xf>
    <xf numFmtId="3" fontId="22" fillId="0" borderId="0" xfId="0" applyNumberFormat="1" applyFont="1" applyBorder="1" applyAlignment="1">
      <alignment horizontal="right" vertical="center"/>
    </xf>
  </cellXfs>
  <cellStyles count="18">
    <cellStyle name="‏_x001d_ً'_x000c_ï‏÷_x000c__x001c_" xfId="1"/>
    <cellStyle name="‏_x001d_ً'_x000c_ï‏÷_x000c__x001c_ 2" xfId="2"/>
    <cellStyle name="H1" xfId="3"/>
    <cellStyle name="H2" xfId="4"/>
    <cellStyle name="Had1" xfId="5"/>
    <cellStyle name="Had2" xfId="6"/>
    <cellStyle name="Had3" xfId="7"/>
    <cellStyle name="Normal" xfId="0" builtinId="0"/>
    <cellStyle name="Normal 2" xfId="8"/>
    <cellStyle name="Normal 3" xfId="9"/>
    <cellStyle name="Normal 4" xfId="10"/>
    <cellStyle name="Normal 4 2" xfId="11"/>
    <cellStyle name="Normal 5" xfId="12"/>
    <cellStyle name="Normal 6" xfId="13"/>
    <cellStyle name="Percent 2" xfId="14"/>
    <cellStyle name="Percent 2 2" xfId="15"/>
    <cellStyle name="T1" xfId="16"/>
    <cellStyle name="T2" xfId="17"/>
  </cellStyles>
  <dxfs count="0"/>
  <tableStyles count="0" defaultTableStyle="TableStyleMedium2" defaultPivotStyle="PivotStyleLight16"/>
  <colors>
    <mruColors>
      <color rgb="FF0776AD"/>
      <color rgb="FFBCE7FC"/>
      <color rgb="FF098B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1" sqref="B11"/>
    </sheetView>
  </sheetViews>
  <sheetFormatPr defaultColWidth="9" defaultRowHeight="13.5"/>
  <cols>
    <col min="1" max="1" width="32.375" customWidth="1"/>
    <col min="2" max="2" width="115.75" customWidth="1"/>
  </cols>
  <sheetData>
    <row r="1" spans="1:2" ht="21" customHeight="1">
      <c r="A1" s="17" t="s">
        <v>0</v>
      </c>
      <c r="B1" s="18" t="s">
        <v>101</v>
      </c>
    </row>
    <row r="2" spans="1:2" ht="21" customHeight="1">
      <c r="A2" s="17" t="s">
        <v>1</v>
      </c>
      <c r="B2" s="18" t="s">
        <v>2</v>
      </c>
    </row>
    <row r="3" spans="1:2" ht="21" customHeight="1">
      <c r="A3" s="17" t="s">
        <v>3</v>
      </c>
      <c r="B3" s="19" t="s">
        <v>102</v>
      </c>
    </row>
    <row r="4" spans="1:2" ht="21" customHeight="1">
      <c r="A4" s="17" t="s">
        <v>4</v>
      </c>
      <c r="B4" s="20" t="s">
        <v>103</v>
      </c>
    </row>
    <row r="5" spans="1:2" ht="21" customHeight="1">
      <c r="A5" s="17" t="s">
        <v>5</v>
      </c>
      <c r="B5" s="21" t="s">
        <v>6</v>
      </c>
    </row>
    <row r="6" spans="1:2" ht="21" customHeight="1">
      <c r="A6" s="17" t="s">
        <v>7</v>
      </c>
      <c r="B6" s="21" t="s">
        <v>8</v>
      </c>
    </row>
    <row r="7" spans="1:2" ht="21" customHeight="1">
      <c r="A7" s="17" t="s">
        <v>9</v>
      </c>
      <c r="B7" s="18" t="s">
        <v>83</v>
      </c>
    </row>
    <row r="8" spans="1:2" ht="21" customHeight="1">
      <c r="A8" s="17" t="s">
        <v>10</v>
      </c>
      <c r="B8" s="18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2"/>
  <sheetViews>
    <sheetView view="pageBreakPreview" zoomScale="80" zoomScaleNormal="100" workbookViewId="0">
      <selection activeCell="C6" sqref="C6"/>
    </sheetView>
  </sheetViews>
  <sheetFormatPr defaultColWidth="16.75" defaultRowHeight="13.5"/>
  <cols>
    <col min="2" max="2" width="35.125" customWidth="1"/>
    <col min="3" max="4" width="17.25" customWidth="1"/>
    <col min="5" max="5" width="34.375" customWidth="1"/>
  </cols>
  <sheetData>
    <row r="2" spans="2:5" ht="28.15" customHeight="1">
      <c r="B2" s="31" t="str">
        <f>'Cover Page'!B4</f>
        <v>Agricultural Engineers Registered at the Agricultural Engineers Syndicate by Specialization and Sex</v>
      </c>
      <c r="C2" s="31"/>
      <c r="D2" s="31"/>
      <c r="E2" s="31"/>
    </row>
    <row r="3" spans="2:5" ht="28.15" customHeight="1">
      <c r="B3" s="31" t="str">
        <f>'Cover Page'!B3</f>
        <v>المهندسون الزراعيون المسجّلون في نقابة المهندسين الزراعيين حسب التخصص والجنس</v>
      </c>
      <c r="C3" s="31"/>
      <c r="D3" s="31"/>
      <c r="E3" s="31"/>
    </row>
    <row r="4" spans="2:5" ht="28.15" customHeight="1">
      <c r="B4" s="16" t="s">
        <v>11</v>
      </c>
      <c r="C4" s="29">
        <f>YEAR('Template Data'!B1)</f>
        <v>2024</v>
      </c>
      <c r="D4" s="30"/>
      <c r="E4" s="16" t="s">
        <v>12</v>
      </c>
    </row>
    <row r="5" spans="2:5" ht="28.15" customHeight="1">
      <c r="B5" s="32" t="s">
        <v>110</v>
      </c>
      <c r="C5" s="29" t="s">
        <v>107</v>
      </c>
      <c r="D5" s="29" t="s">
        <v>105</v>
      </c>
      <c r="E5" s="34" t="s">
        <v>109</v>
      </c>
    </row>
    <row r="6" spans="2:5" ht="28.15" customHeight="1">
      <c r="B6" s="33"/>
      <c r="C6" s="29" t="s">
        <v>108</v>
      </c>
      <c r="D6" s="29" t="s">
        <v>106</v>
      </c>
      <c r="E6" s="35"/>
    </row>
    <row r="7" spans="2:5" ht="28.15" customHeight="1">
      <c r="B7" s="27" t="s">
        <v>90</v>
      </c>
      <c r="C7" s="28"/>
      <c r="D7" s="28"/>
      <c r="E7" s="25" t="s">
        <v>84</v>
      </c>
    </row>
    <row r="8" spans="2:5" ht="22.15" customHeight="1">
      <c r="B8" s="27" t="s">
        <v>91</v>
      </c>
      <c r="C8" s="28"/>
      <c r="D8" s="28"/>
      <c r="E8" s="25" t="s">
        <v>85</v>
      </c>
    </row>
    <row r="9" spans="2:5" ht="22.15" customHeight="1">
      <c r="B9" s="27" t="s">
        <v>92</v>
      </c>
      <c r="C9" s="28"/>
      <c r="D9" s="28"/>
      <c r="E9" s="26" t="s">
        <v>86</v>
      </c>
    </row>
    <row r="10" spans="2:5" ht="21.75">
      <c r="B10" s="27" t="s">
        <v>93</v>
      </c>
      <c r="C10" s="28"/>
      <c r="D10" s="28"/>
      <c r="E10" s="25" t="s">
        <v>87</v>
      </c>
    </row>
    <row r="11" spans="2:5" ht="21.75">
      <c r="B11" s="27" t="s">
        <v>94</v>
      </c>
      <c r="C11" s="28"/>
      <c r="D11" s="28"/>
      <c r="E11" s="26" t="s">
        <v>88</v>
      </c>
    </row>
    <row r="12" spans="2:5" ht="21.75">
      <c r="B12" s="27" t="s">
        <v>95</v>
      </c>
      <c r="C12" s="28"/>
      <c r="D12" s="28"/>
      <c r="E12" s="26" t="s">
        <v>89</v>
      </c>
    </row>
  </sheetData>
  <sheetProtection password="DEF8" sheet="1" objects="1" scenarios="1" deleteRows="0"/>
  <protectedRanges>
    <protectedRange sqref="C7:D12" name="Range4"/>
    <protectedRange sqref="C7:D12" name="Range2"/>
    <protectedRange sqref="C8:D8 C10:D10 C12:D12" name="Range1"/>
    <protectedRange sqref="C7:D12" name="Range3"/>
  </protectedRanges>
  <mergeCells count="4">
    <mergeCell ref="B2:E2"/>
    <mergeCell ref="B3:E3"/>
    <mergeCell ref="B5:B6"/>
    <mergeCell ref="E5:E6"/>
  </mergeCells>
  <pageMargins left="0.7" right="0.7" top="0.75" bottom="0.75" header="0.3" footer="0.3"/>
  <pageSetup scale="3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1"/>
  <sheetViews>
    <sheetView tabSelected="1" topLeftCell="B1" zoomScale="70" zoomScaleNormal="70" workbookViewId="0">
      <selection activeCell="G15" sqref="G15"/>
    </sheetView>
  </sheetViews>
  <sheetFormatPr defaultColWidth="9" defaultRowHeight="13.5"/>
  <cols>
    <col min="1" max="1" width="24.75" customWidth="1"/>
    <col min="2" max="2" width="75.875" bestFit="1" customWidth="1"/>
    <col min="3" max="3" width="9.75" customWidth="1"/>
    <col min="4" max="9" width="18.125" customWidth="1"/>
    <col min="10" max="12" width="15.375" customWidth="1"/>
  </cols>
  <sheetData>
    <row r="1" spans="1:12" ht="20.25">
      <c r="A1" s="14" t="s">
        <v>13</v>
      </c>
    </row>
    <row r="2" spans="1:12" s="10" customFormat="1" ht="18" customHeight="1">
      <c r="A2" s="13" t="s">
        <v>14</v>
      </c>
      <c r="B2" s="13" t="s">
        <v>15</v>
      </c>
      <c r="C2" s="13" t="s">
        <v>16</v>
      </c>
      <c r="D2" s="13" t="s">
        <v>17</v>
      </c>
      <c r="E2" s="13" t="s">
        <v>18</v>
      </c>
      <c r="F2" s="24" t="s">
        <v>112</v>
      </c>
      <c r="G2" s="24" t="s">
        <v>113</v>
      </c>
      <c r="H2" s="24" t="s">
        <v>98</v>
      </c>
      <c r="I2" s="24" t="s">
        <v>99</v>
      </c>
      <c r="J2" s="13" t="s">
        <v>19</v>
      </c>
      <c r="K2" s="13" t="s">
        <v>20</v>
      </c>
      <c r="L2" s="13" t="s">
        <v>21</v>
      </c>
    </row>
    <row r="3" spans="1:12" s="10" customFormat="1" ht="18" customHeight="1">
      <c r="A3" s="13" t="s">
        <v>22</v>
      </c>
      <c r="B3" s="13" t="s">
        <v>23</v>
      </c>
      <c r="C3" s="13" t="s">
        <v>24</v>
      </c>
      <c r="D3" s="13" t="s">
        <v>25</v>
      </c>
      <c r="E3" s="13" t="s">
        <v>26</v>
      </c>
      <c r="F3" s="24" t="s">
        <v>114</v>
      </c>
      <c r="G3" s="24" t="s">
        <v>115</v>
      </c>
      <c r="H3" s="24" t="s">
        <v>97</v>
      </c>
      <c r="I3" s="24" t="s">
        <v>100</v>
      </c>
      <c r="J3" s="13" t="s">
        <v>27</v>
      </c>
      <c r="K3" s="13" t="s">
        <v>28</v>
      </c>
      <c r="L3" s="13" t="s">
        <v>29</v>
      </c>
    </row>
    <row r="4" spans="1:12" ht="15">
      <c r="A4" t="s">
        <v>111</v>
      </c>
      <c r="B4" t="s">
        <v>96</v>
      </c>
      <c r="C4" s="15" t="s">
        <v>30</v>
      </c>
      <c r="D4" s="22" t="s">
        <v>81</v>
      </c>
      <c r="E4" s="23" t="s">
        <v>82</v>
      </c>
      <c r="F4" s="23" t="str">
        <f>'Source Table'!$D$6</f>
        <v>Male</v>
      </c>
      <c r="G4" s="23" t="str">
        <f>'Source Table'!$D$5</f>
        <v>ذكر</v>
      </c>
      <c r="H4" s="23" t="str">
        <f>'Source Table'!$B$7</f>
        <v>Plants Protection</v>
      </c>
      <c r="I4" s="23" t="str">
        <f>'Source Table'!$E$7</f>
        <v>الوقاية النباتية</v>
      </c>
      <c r="J4" s="36">
        <v>820</v>
      </c>
      <c r="K4">
        <v>2023</v>
      </c>
    </row>
    <row r="5" spans="1:12" ht="15">
      <c r="A5" t="s">
        <v>111</v>
      </c>
      <c r="B5" t="s">
        <v>96</v>
      </c>
      <c r="C5" s="15" t="s">
        <v>30</v>
      </c>
      <c r="D5" s="22" t="s">
        <v>81</v>
      </c>
      <c r="E5" s="23" t="s">
        <v>82</v>
      </c>
      <c r="F5" s="23" t="str">
        <f>'Source Table'!$D$6</f>
        <v>Male</v>
      </c>
      <c r="G5" s="23" t="str">
        <f>'Source Table'!$D$5</f>
        <v>ذكر</v>
      </c>
      <c r="H5" s="23" t="str">
        <f>'Source Table'!$B$8</f>
        <v>Plants  Production</v>
      </c>
      <c r="I5" s="23" t="str">
        <f>'Source Table'!$E$8</f>
        <v>الإنتاج النباتي</v>
      </c>
      <c r="J5" s="37">
        <v>3312</v>
      </c>
      <c r="K5">
        <v>2023</v>
      </c>
    </row>
    <row r="6" spans="1:12" ht="15">
      <c r="A6" t="s">
        <v>111</v>
      </c>
      <c r="B6" t="s">
        <v>96</v>
      </c>
      <c r="C6" s="15" t="s">
        <v>30</v>
      </c>
      <c r="D6" s="22" t="s">
        <v>81</v>
      </c>
      <c r="E6" s="23" t="s">
        <v>82</v>
      </c>
      <c r="F6" s="23" t="str">
        <f>'Source Table'!$D$6</f>
        <v>Male</v>
      </c>
      <c r="G6" s="23" t="str">
        <f>'Source Table'!$D$5</f>
        <v>ذكر</v>
      </c>
      <c r="H6" s="23" t="str">
        <f>'Source Table'!$B$9</f>
        <v xml:space="preserve">Agricultural Economics  </v>
      </c>
      <c r="I6" s="23" t="str">
        <f>'Source Table'!$E$9</f>
        <v>الاقتصاد الزراعي</v>
      </c>
      <c r="J6" s="36">
        <v>762</v>
      </c>
      <c r="K6">
        <v>2023</v>
      </c>
    </row>
    <row r="7" spans="1:12" ht="15">
      <c r="A7" t="s">
        <v>111</v>
      </c>
      <c r="B7" t="s">
        <v>96</v>
      </c>
      <c r="C7" s="15" t="s">
        <v>30</v>
      </c>
      <c r="D7" s="22" t="s">
        <v>81</v>
      </c>
      <c r="E7" s="23" t="s">
        <v>82</v>
      </c>
      <c r="F7" s="23" t="str">
        <f>'Source Table'!$D$6</f>
        <v>Male</v>
      </c>
      <c r="G7" s="23" t="str">
        <f>'Source Table'!$D$5</f>
        <v>ذكر</v>
      </c>
      <c r="H7" s="23" t="str">
        <f>'Source Table'!$B$10</f>
        <v>Animal Production</v>
      </c>
      <c r="I7" s="23" t="str">
        <f>'Source Table'!$E$10</f>
        <v>الإنتاج الحيواني</v>
      </c>
      <c r="J7" s="37">
        <v>1884</v>
      </c>
      <c r="K7">
        <v>2023</v>
      </c>
    </row>
    <row r="8" spans="1:12" ht="15">
      <c r="A8" t="s">
        <v>111</v>
      </c>
      <c r="B8" t="s">
        <v>96</v>
      </c>
      <c r="C8" s="15" t="s">
        <v>30</v>
      </c>
      <c r="D8" s="22" t="s">
        <v>81</v>
      </c>
      <c r="E8" s="23" t="s">
        <v>82</v>
      </c>
      <c r="F8" s="23" t="str">
        <f>'Source Table'!$D$6</f>
        <v>Male</v>
      </c>
      <c r="G8" s="23" t="str">
        <f>'Source Table'!$D$5</f>
        <v>ذكر</v>
      </c>
      <c r="H8" s="23" t="str">
        <f>'Source Table'!$B$11</f>
        <v>Environment &amp;  Irrigation</v>
      </c>
      <c r="I8" s="23" t="str">
        <f>'Source Table'!$E$11</f>
        <v>الموارد المائيةوالبيئة</v>
      </c>
      <c r="J8" s="37">
        <v>1048</v>
      </c>
      <c r="K8">
        <v>2023</v>
      </c>
    </row>
    <row r="9" spans="1:12" ht="15">
      <c r="A9" t="s">
        <v>111</v>
      </c>
      <c r="B9" t="s">
        <v>96</v>
      </c>
      <c r="C9" s="15" t="s">
        <v>30</v>
      </c>
      <c r="D9" s="22" t="s">
        <v>81</v>
      </c>
      <c r="E9" s="23" t="s">
        <v>82</v>
      </c>
      <c r="F9" s="23" t="str">
        <f>'Source Table'!$D$6</f>
        <v>Male</v>
      </c>
      <c r="G9" s="23" t="str">
        <f>'Source Table'!$D$5</f>
        <v>ذكر</v>
      </c>
      <c r="H9" s="23" t="str">
        <f>'Source Table'!$B$12</f>
        <v>Nutrition and Industries</v>
      </c>
      <c r="I9" s="23" t="str">
        <f>'Source Table'!$E$12</f>
        <v>التغذية والصناعات</v>
      </c>
      <c r="J9" s="37">
        <v>1785</v>
      </c>
      <c r="K9">
        <v>2023</v>
      </c>
    </row>
    <row r="10" spans="1:12" ht="15">
      <c r="A10" t="s">
        <v>111</v>
      </c>
      <c r="B10" t="s">
        <v>96</v>
      </c>
      <c r="C10" s="15" t="s">
        <v>30</v>
      </c>
      <c r="D10" s="22" t="s">
        <v>81</v>
      </c>
      <c r="E10" s="23" t="s">
        <v>82</v>
      </c>
      <c r="F10" s="23" t="str">
        <f>'Source Table'!$C$6</f>
        <v>Female</v>
      </c>
      <c r="G10" s="23" t="str">
        <f>'Source Table'!$C$5</f>
        <v>أنثى</v>
      </c>
      <c r="H10" s="23" t="str">
        <f>'Source Table'!$B$7</f>
        <v>Plants Protection</v>
      </c>
      <c r="I10" s="23" t="str">
        <f>'Source Table'!$E$7</f>
        <v>الوقاية النباتية</v>
      </c>
      <c r="J10" s="36">
        <v>451</v>
      </c>
      <c r="K10">
        <v>2023</v>
      </c>
    </row>
    <row r="11" spans="1:12" ht="15">
      <c r="A11" t="s">
        <v>111</v>
      </c>
      <c r="B11" t="s">
        <v>96</v>
      </c>
      <c r="C11" s="15" t="s">
        <v>30</v>
      </c>
      <c r="D11" s="22" t="s">
        <v>81</v>
      </c>
      <c r="E11" s="23" t="s">
        <v>82</v>
      </c>
      <c r="F11" s="23" t="str">
        <f>'Source Table'!$C$6</f>
        <v>Female</v>
      </c>
      <c r="G11" s="23" t="str">
        <f>'Source Table'!$C$5</f>
        <v>أنثى</v>
      </c>
      <c r="H11" s="23" t="str">
        <f>'Source Table'!$B$8</f>
        <v>Plants  Production</v>
      </c>
      <c r="I11" s="23" t="str">
        <f>'Source Table'!$E$8</f>
        <v>الإنتاج النباتي</v>
      </c>
      <c r="J11" s="37">
        <v>2467</v>
      </c>
      <c r="K11">
        <v>2023</v>
      </c>
    </row>
    <row r="12" spans="1:12" ht="15">
      <c r="A12" t="s">
        <v>111</v>
      </c>
      <c r="B12" t="s">
        <v>96</v>
      </c>
      <c r="C12" s="15" t="s">
        <v>30</v>
      </c>
      <c r="D12" s="22" t="s">
        <v>81</v>
      </c>
      <c r="E12" s="23" t="s">
        <v>82</v>
      </c>
      <c r="F12" s="23" t="str">
        <f>'Source Table'!$C$6</f>
        <v>Female</v>
      </c>
      <c r="G12" s="23" t="str">
        <f>'Source Table'!$C$5</f>
        <v>أنثى</v>
      </c>
      <c r="H12" s="23" t="str">
        <f>'Source Table'!$B$9</f>
        <v xml:space="preserve">Agricultural Economics  </v>
      </c>
      <c r="I12" s="23" t="str">
        <f>'Source Table'!$E$9</f>
        <v>الاقتصاد الزراعي</v>
      </c>
      <c r="J12" s="36">
        <v>643</v>
      </c>
      <c r="K12">
        <v>2023</v>
      </c>
    </row>
    <row r="13" spans="1:12" ht="15">
      <c r="A13" t="s">
        <v>111</v>
      </c>
      <c r="B13" t="s">
        <v>96</v>
      </c>
      <c r="C13" s="15" t="s">
        <v>30</v>
      </c>
      <c r="D13" s="22" t="s">
        <v>81</v>
      </c>
      <c r="E13" s="23" t="s">
        <v>82</v>
      </c>
      <c r="F13" s="23" t="str">
        <f>'Source Table'!$C$6</f>
        <v>Female</v>
      </c>
      <c r="G13" s="23" t="str">
        <f>'Source Table'!$C$5</f>
        <v>أنثى</v>
      </c>
      <c r="H13" s="23" t="str">
        <f>'Source Table'!$B$10</f>
        <v>Animal Production</v>
      </c>
      <c r="I13" s="23" t="str">
        <f>'Source Table'!$E$10</f>
        <v>الإنتاج الحيواني</v>
      </c>
      <c r="J13" s="36">
        <v>371</v>
      </c>
      <c r="K13">
        <v>2023</v>
      </c>
    </row>
    <row r="14" spans="1:12" ht="15">
      <c r="A14" t="s">
        <v>111</v>
      </c>
      <c r="B14" t="s">
        <v>96</v>
      </c>
      <c r="C14" s="15" t="s">
        <v>30</v>
      </c>
      <c r="D14" s="22" t="s">
        <v>81</v>
      </c>
      <c r="E14" s="23" t="s">
        <v>82</v>
      </c>
      <c r="F14" s="23" t="str">
        <f>'Source Table'!$C$6</f>
        <v>Female</v>
      </c>
      <c r="G14" s="23" t="str">
        <f>'Source Table'!$C$5</f>
        <v>أنثى</v>
      </c>
      <c r="H14" s="23" t="str">
        <f>'Source Table'!$B$11</f>
        <v>Environment &amp;  Irrigation</v>
      </c>
      <c r="I14" s="23" t="str">
        <f>'Source Table'!$E$11</f>
        <v>الموارد المائيةوالبيئة</v>
      </c>
      <c r="J14" s="37">
        <v>1883</v>
      </c>
      <c r="K14">
        <v>2023</v>
      </c>
    </row>
    <row r="15" spans="1:12" ht="15">
      <c r="A15" t="s">
        <v>111</v>
      </c>
      <c r="B15" t="s">
        <v>96</v>
      </c>
      <c r="C15" s="15" t="s">
        <v>30</v>
      </c>
      <c r="D15" s="22" t="s">
        <v>81</v>
      </c>
      <c r="E15" s="23" t="s">
        <v>82</v>
      </c>
      <c r="F15" s="23" t="str">
        <f>'Source Table'!$C$6</f>
        <v>Female</v>
      </c>
      <c r="G15" s="23" t="str">
        <f>'Source Table'!$C$5</f>
        <v>أنثى</v>
      </c>
      <c r="H15" s="23" t="str">
        <f>'Source Table'!$B$12</f>
        <v>Nutrition and Industries</v>
      </c>
      <c r="I15" s="23" t="str">
        <f>'Source Table'!$E$12</f>
        <v>التغذية والصناعات</v>
      </c>
      <c r="J15" s="37">
        <v>5119</v>
      </c>
      <c r="K15">
        <v>2023</v>
      </c>
    </row>
    <row r="16" spans="1:12" ht="15">
      <c r="A16" t="s">
        <v>111</v>
      </c>
      <c r="B16" t="s">
        <v>96</v>
      </c>
      <c r="C16" s="15" t="s">
        <v>30</v>
      </c>
      <c r="D16" s="22" t="s">
        <v>81</v>
      </c>
      <c r="E16" s="23" t="s">
        <v>82</v>
      </c>
      <c r="F16" s="23" t="str">
        <f>'Source Table'!$D$6</f>
        <v>Male</v>
      </c>
      <c r="G16" s="23" t="str">
        <f>'Source Table'!$D$5</f>
        <v>ذكر</v>
      </c>
      <c r="H16" s="23" t="str">
        <f>'Source Table'!$B$7</f>
        <v>Plants Protection</v>
      </c>
      <c r="I16" s="23" t="str">
        <f>'Source Table'!$E$7</f>
        <v>الوقاية النباتية</v>
      </c>
      <c r="J16" s="36">
        <v>755</v>
      </c>
      <c r="K16">
        <v>2022</v>
      </c>
    </row>
    <row r="17" spans="1:11" ht="15">
      <c r="A17" t="s">
        <v>111</v>
      </c>
      <c r="B17" t="s">
        <v>96</v>
      </c>
      <c r="C17" s="15" t="s">
        <v>30</v>
      </c>
      <c r="D17" s="22" t="s">
        <v>81</v>
      </c>
      <c r="E17" s="23" t="s">
        <v>82</v>
      </c>
      <c r="F17" s="23" t="str">
        <f>'Source Table'!$D$6</f>
        <v>Male</v>
      </c>
      <c r="G17" s="23" t="str">
        <f>'Source Table'!$D$5</f>
        <v>ذكر</v>
      </c>
      <c r="H17" s="23" t="str">
        <f>'Source Table'!$B$8</f>
        <v>Plants  Production</v>
      </c>
      <c r="I17" s="23" t="str">
        <f>'Source Table'!$E$8</f>
        <v>الإنتاج النباتي</v>
      </c>
      <c r="J17" s="37">
        <v>2870</v>
      </c>
      <c r="K17">
        <v>2022</v>
      </c>
    </row>
    <row r="18" spans="1:11" ht="15">
      <c r="A18" t="s">
        <v>111</v>
      </c>
      <c r="B18" t="s">
        <v>96</v>
      </c>
      <c r="C18" s="15" t="s">
        <v>30</v>
      </c>
      <c r="D18" s="22" t="s">
        <v>81</v>
      </c>
      <c r="E18" s="23" t="s">
        <v>82</v>
      </c>
      <c r="F18" s="23" t="str">
        <f>'Source Table'!$D$6</f>
        <v>Male</v>
      </c>
      <c r="G18" s="23" t="str">
        <f>'Source Table'!$D$5</f>
        <v>ذكر</v>
      </c>
      <c r="H18" s="23" t="str">
        <f>'Source Table'!$B$9</f>
        <v xml:space="preserve">Agricultural Economics  </v>
      </c>
      <c r="I18" s="23" t="str">
        <f>'Source Table'!$E$9</f>
        <v>الاقتصاد الزراعي</v>
      </c>
      <c r="J18" s="36">
        <v>747</v>
      </c>
      <c r="K18">
        <v>2022</v>
      </c>
    </row>
    <row r="19" spans="1:11" ht="15">
      <c r="A19" t="s">
        <v>111</v>
      </c>
      <c r="B19" t="s">
        <v>96</v>
      </c>
      <c r="C19" s="15" t="s">
        <v>30</v>
      </c>
      <c r="D19" s="22" t="s">
        <v>81</v>
      </c>
      <c r="E19" s="23" t="s">
        <v>82</v>
      </c>
      <c r="F19" s="23" t="str">
        <f>'Source Table'!$D$6</f>
        <v>Male</v>
      </c>
      <c r="G19" s="23" t="str">
        <f>'Source Table'!$D$5</f>
        <v>ذكر</v>
      </c>
      <c r="H19" s="23" t="str">
        <f>'Source Table'!$B$10</f>
        <v>Animal Production</v>
      </c>
      <c r="I19" s="23" t="str">
        <f>'Source Table'!$E$10</f>
        <v>الإنتاج الحيواني</v>
      </c>
      <c r="J19" s="37">
        <v>1669</v>
      </c>
      <c r="K19">
        <v>2022</v>
      </c>
    </row>
    <row r="20" spans="1:11" ht="15">
      <c r="A20" t="s">
        <v>111</v>
      </c>
      <c r="B20" t="s">
        <v>96</v>
      </c>
      <c r="C20" s="15" t="s">
        <v>30</v>
      </c>
      <c r="D20" s="22" t="s">
        <v>81</v>
      </c>
      <c r="E20" s="23" t="s">
        <v>82</v>
      </c>
      <c r="F20" s="23" t="str">
        <f>'Source Table'!$D$6</f>
        <v>Male</v>
      </c>
      <c r="G20" s="23" t="str">
        <f>'Source Table'!$D$5</f>
        <v>ذكر</v>
      </c>
      <c r="H20" s="23" t="str">
        <f>'Source Table'!$B$11</f>
        <v>Environment &amp;  Irrigation</v>
      </c>
      <c r="I20" s="23" t="str">
        <f>'Source Table'!$E$11</f>
        <v>الموارد المائيةوالبيئة</v>
      </c>
      <c r="J20" s="37">
        <v>1001</v>
      </c>
      <c r="K20">
        <v>2022</v>
      </c>
    </row>
    <row r="21" spans="1:11" ht="15">
      <c r="A21" t="s">
        <v>111</v>
      </c>
      <c r="B21" t="s">
        <v>96</v>
      </c>
      <c r="C21" s="15" t="s">
        <v>30</v>
      </c>
      <c r="D21" s="22" t="s">
        <v>81</v>
      </c>
      <c r="E21" s="23" t="s">
        <v>82</v>
      </c>
      <c r="F21" s="23" t="str">
        <f>'Source Table'!$D$6</f>
        <v>Male</v>
      </c>
      <c r="G21" s="23" t="str">
        <f>'Source Table'!$D$5</f>
        <v>ذكر</v>
      </c>
      <c r="H21" s="23" t="str">
        <f>'Source Table'!$B$12</f>
        <v>Nutrition and Industries</v>
      </c>
      <c r="I21" s="23" t="str">
        <f>'Source Table'!$E$12</f>
        <v>التغذية والصناعات</v>
      </c>
      <c r="J21" s="37">
        <v>1650</v>
      </c>
      <c r="K21">
        <v>2022</v>
      </c>
    </row>
    <row r="22" spans="1:11" ht="15">
      <c r="A22" t="s">
        <v>111</v>
      </c>
      <c r="B22" t="s">
        <v>96</v>
      </c>
      <c r="C22" s="15" t="s">
        <v>30</v>
      </c>
      <c r="D22" s="22" t="s">
        <v>81</v>
      </c>
      <c r="E22" s="23" t="s">
        <v>82</v>
      </c>
      <c r="F22" s="23" t="str">
        <f>'Source Table'!$C$6</f>
        <v>Female</v>
      </c>
      <c r="G22" s="23" t="str">
        <f>'Source Table'!$C$5</f>
        <v>أنثى</v>
      </c>
      <c r="H22" s="23" t="str">
        <f>'Source Table'!$B$7</f>
        <v>Plants Protection</v>
      </c>
      <c r="I22" s="23" t="str">
        <f>'Source Table'!$E$7</f>
        <v>الوقاية النباتية</v>
      </c>
      <c r="J22" s="36">
        <v>432</v>
      </c>
      <c r="K22">
        <v>2022</v>
      </c>
    </row>
    <row r="23" spans="1:11" ht="15">
      <c r="A23" t="s">
        <v>111</v>
      </c>
      <c r="B23" t="s">
        <v>96</v>
      </c>
      <c r="C23" s="15" t="s">
        <v>30</v>
      </c>
      <c r="D23" s="22" t="s">
        <v>81</v>
      </c>
      <c r="E23" s="23" t="s">
        <v>82</v>
      </c>
      <c r="F23" s="23" t="str">
        <f>'Source Table'!$C$6</f>
        <v>Female</v>
      </c>
      <c r="G23" s="23" t="str">
        <f>'Source Table'!$C$5</f>
        <v>أنثى</v>
      </c>
      <c r="H23" s="23" t="str">
        <f>'Source Table'!$B$8</f>
        <v>Plants  Production</v>
      </c>
      <c r="I23" s="23" t="str">
        <f>'Source Table'!$E$8</f>
        <v>الإنتاج النباتي</v>
      </c>
      <c r="J23" s="37">
        <v>2241</v>
      </c>
      <c r="K23">
        <v>2022</v>
      </c>
    </row>
    <row r="24" spans="1:11" ht="15">
      <c r="A24" t="s">
        <v>111</v>
      </c>
      <c r="B24" t="s">
        <v>96</v>
      </c>
      <c r="C24" s="15" t="s">
        <v>30</v>
      </c>
      <c r="D24" s="22" t="s">
        <v>81</v>
      </c>
      <c r="E24" s="23" t="s">
        <v>82</v>
      </c>
      <c r="F24" s="23" t="str">
        <f>'Source Table'!$C$6</f>
        <v>Female</v>
      </c>
      <c r="G24" s="23" t="str">
        <f>'Source Table'!$C$5</f>
        <v>أنثى</v>
      </c>
      <c r="H24" s="23" t="str">
        <f>'Source Table'!$B$9</f>
        <v xml:space="preserve">Agricultural Economics  </v>
      </c>
      <c r="I24" s="23" t="str">
        <f>'Source Table'!$E$9</f>
        <v>الاقتصاد الزراعي</v>
      </c>
      <c r="J24" s="36">
        <v>635</v>
      </c>
      <c r="K24">
        <v>2022</v>
      </c>
    </row>
    <row r="25" spans="1:11" ht="15">
      <c r="A25" t="s">
        <v>111</v>
      </c>
      <c r="B25" t="s">
        <v>96</v>
      </c>
      <c r="C25" s="15" t="s">
        <v>30</v>
      </c>
      <c r="D25" s="22" t="s">
        <v>81</v>
      </c>
      <c r="E25" s="23" t="s">
        <v>82</v>
      </c>
      <c r="F25" s="23" t="str">
        <f>'Source Table'!$C$6</f>
        <v>Female</v>
      </c>
      <c r="G25" s="23" t="str">
        <f>'Source Table'!$C$5</f>
        <v>أنثى</v>
      </c>
      <c r="H25" s="23" t="str">
        <f>'Source Table'!$B$10</f>
        <v>Animal Production</v>
      </c>
      <c r="I25" s="23" t="str">
        <f>'Source Table'!$E$10</f>
        <v>الإنتاج الحيواني</v>
      </c>
      <c r="J25" s="36">
        <v>332</v>
      </c>
      <c r="K25">
        <v>2022</v>
      </c>
    </row>
    <row r="26" spans="1:11" ht="15">
      <c r="A26" t="s">
        <v>111</v>
      </c>
      <c r="B26" t="s">
        <v>96</v>
      </c>
      <c r="C26" s="15" t="s">
        <v>30</v>
      </c>
      <c r="D26" s="22" t="s">
        <v>81</v>
      </c>
      <c r="E26" s="23" t="s">
        <v>82</v>
      </c>
      <c r="F26" s="23" t="str">
        <f>'Source Table'!$C$6</f>
        <v>Female</v>
      </c>
      <c r="G26" s="23" t="str">
        <f>'Source Table'!$C$5</f>
        <v>أنثى</v>
      </c>
      <c r="H26" s="23" t="str">
        <f>'Source Table'!$B$11</f>
        <v>Environment &amp;  Irrigation</v>
      </c>
      <c r="I26" s="23" t="str">
        <f>'Source Table'!$E$11</f>
        <v>الموارد المائيةوالبيئة</v>
      </c>
      <c r="J26" s="37">
        <v>1805</v>
      </c>
      <c r="K26">
        <v>2022</v>
      </c>
    </row>
    <row r="27" spans="1:11" ht="15">
      <c r="A27" t="s">
        <v>111</v>
      </c>
      <c r="B27" t="s">
        <v>96</v>
      </c>
      <c r="C27" s="15" t="s">
        <v>30</v>
      </c>
      <c r="D27" s="22" t="s">
        <v>81</v>
      </c>
      <c r="E27" s="23" t="s">
        <v>82</v>
      </c>
      <c r="F27" s="23" t="str">
        <f>'Source Table'!$C$6</f>
        <v>Female</v>
      </c>
      <c r="G27" s="23" t="str">
        <f>'Source Table'!$C$5</f>
        <v>أنثى</v>
      </c>
      <c r="H27" s="23" t="str">
        <f>'Source Table'!$B$12</f>
        <v>Nutrition and Industries</v>
      </c>
      <c r="I27" s="23" t="str">
        <f>'Source Table'!$E$12</f>
        <v>التغذية والصناعات</v>
      </c>
      <c r="J27" s="37">
        <v>4785</v>
      </c>
      <c r="K27">
        <v>2022</v>
      </c>
    </row>
    <row r="28" spans="1:11" ht="15">
      <c r="A28" t="s">
        <v>111</v>
      </c>
      <c r="B28" t="s">
        <v>96</v>
      </c>
      <c r="C28" s="15" t="s">
        <v>30</v>
      </c>
      <c r="D28" s="22" t="s">
        <v>81</v>
      </c>
      <c r="E28" s="23" t="s">
        <v>82</v>
      </c>
      <c r="F28" s="23" t="str">
        <f>'Source Table'!$D$6</f>
        <v>Male</v>
      </c>
      <c r="G28" s="23" t="str">
        <f>'Source Table'!$D$5</f>
        <v>ذكر</v>
      </c>
      <c r="H28" s="23" t="str">
        <f>'Source Table'!$B$7</f>
        <v>Plants Protection</v>
      </c>
      <c r="I28" s="23" t="str">
        <f>'Source Table'!$E$7</f>
        <v>الوقاية النباتية</v>
      </c>
      <c r="J28" s="36">
        <v>801</v>
      </c>
      <c r="K28">
        <v>2020</v>
      </c>
    </row>
    <row r="29" spans="1:11" ht="15">
      <c r="A29" t="s">
        <v>111</v>
      </c>
      <c r="B29" t="s">
        <v>96</v>
      </c>
      <c r="C29" s="15" t="s">
        <v>30</v>
      </c>
      <c r="D29" s="22" t="s">
        <v>81</v>
      </c>
      <c r="E29" s="23" t="s">
        <v>82</v>
      </c>
      <c r="F29" s="23" t="str">
        <f>'Source Table'!$D$6</f>
        <v>Male</v>
      </c>
      <c r="G29" s="23" t="str">
        <f>'Source Table'!$D$5</f>
        <v>ذكر</v>
      </c>
      <c r="H29" s="23" t="str">
        <f>'Source Table'!$B$8</f>
        <v>Plants  Production</v>
      </c>
      <c r="I29" s="23" t="str">
        <f>'Source Table'!$E$8</f>
        <v>الإنتاج النباتي</v>
      </c>
      <c r="J29" s="36">
        <v>2863</v>
      </c>
      <c r="K29">
        <v>2020</v>
      </c>
    </row>
    <row r="30" spans="1:11" ht="15">
      <c r="A30" t="s">
        <v>111</v>
      </c>
      <c r="B30" t="s">
        <v>96</v>
      </c>
      <c r="C30" s="15" t="s">
        <v>30</v>
      </c>
      <c r="D30" s="22" t="s">
        <v>81</v>
      </c>
      <c r="E30" s="23" t="s">
        <v>82</v>
      </c>
      <c r="F30" s="23" t="str">
        <f>'Source Table'!$D$6</f>
        <v>Male</v>
      </c>
      <c r="G30" s="23" t="str">
        <f>'Source Table'!$D$5</f>
        <v>ذكر</v>
      </c>
      <c r="H30" s="23" t="str">
        <f>'Source Table'!$B$9</f>
        <v xml:space="preserve">Agricultural Economics  </v>
      </c>
      <c r="I30" s="23" t="str">
        <f>'Source Table'!$E$9</f>
        <v>الاقتصاد الزراعي</v>
      </c>
      <c r="J30" s="36">
        <v>743</v>
      </c>
      <c r="K30">
        <v>2020</v>
      </c>
    </row>
    <row r="31" spans="1:11" ht="15">
      <c r="A31" t="s">
        <v>111</v>
      </c>
      <c r="B31" t="s">
        <v>96</v>
      </c>
      <c r="C31" s="15" t="s">
        <v>30</v>
      </c>
      <c r="D31" s="22" t="s">
        <v>81</v>
      </c>
      <c r="E31" s="23" t="s">
        <v>82</v>
      </c>
      <c r="F31" s="23" t="str">
        <f>'Source Table'!$D$6</f>
        <v>Male</v>
      </c>
      <c r="G31" s="23" t="str">
        <f>'Source Table'!$D$5</f>
        <v>ذكر</v>
      </c>
      <c r="H31" s="23" t="str">
        <f>'Source Table'!$B$10</f>
        <v>Animal Production</v>
      </c>
      <c r="I31" s="23" t="str">
        <f>'Source Table'!$E$10</f>
        <v>الإنتاج الحيواني</v>
      </c>
      <c r="J31" s="36">
        <v>1658</v>
      </c>
      <c r="K31">
        <v>2020</v>
      </c>
    </row>
    <row r="32" spans="1:11" ht="15">
      <c r="A32" t="s">
        <v>111</v>
      </c>
      <c r="B32" t="s">
        <v>96</v>
      </c>
      <c r="C32" s="15" t="s">
        <v>30</v>
      </c>
      <c r="D32" s="22" t="s">
        <v>81</v>
      </c>
      <c r="E32" s="23" t="s">
        <v>82</v>
      </c>
      <c r="F32" s="23" t="str">
        <f>'Source Table'!$D$6</f>
        <v>Male</v>
      </c>
      <c r="G32" s="23" t="str">
        <f>'Source Table'!$D$5</f>
        <v>ذكر</v>
      </c>
      <c r="H32" s="23" t="str">
        <f>'Source Table'!$B$11</f>
        <v>Environment &amp;  Irrigation</v>
      </c>
      <c r="I32" s="23" t="str">
        <f>'Source Table'!$E$11</f>
        <v>الموارد المائيةوالبيئة</v>
      </c>
      <c r="J32" s="36">
        <v>974</v>
      </c>
      <c r="K32">
        <v>2020</v>
      </c>
    </row>
    <row r="33" spans="1:11" ht="15">
      <c r="A33" t="s">
        <v>111</v>
      </c>
      <c r="B33" t="s">
        <v>96</v>
      </c>
      <c r="C33" s="15" t="s">
        <v>30</v>
      </c>
      <c r="D33" s="22" t="s">
        <v>81</v>
      </c>
      <c r="E33" s="23" t="s">
        <v>82</v>
      </c>
      <c r="F33" s="23" t="str">
        <f>'Source Table'!$D$6</f>
        <v>Male</v>
      </c>
      <c r="G33" s="23" t="str">
        <f>'Source Table'!$D$5</f>
        <v>ذكر</v>
      </c>
      <c r="H33" s="23" t="str">
        <f>'Source Table'!$B$12</f>
        <v>Nutrition and Industries</v>
      </c>
      <c r="I33" s="23" t="str">
        <f>'Source Table'!$E$12</f>
        <v>التغذية والصناعات</v>
      </c>
      <c r="J33" s="36">
        <v>1375</v>
      </c>
      <c r="K33">
        <v>2020</v>
      </c>
    </row>
    <row r="34" spans="1:11" ht="15">
      <c r="A34" t="s">
        <v>111</v>
      </c>
      <c r="B34" t="s">
        <v>96</v>
      </c>
      <c r="C34" s="15" t="s">
        <v>30</v>
      </c>
      <c r="D34" s="22" t="s">
        <v>81</v>
      </c>
      <c r="E34" s="23" t="s">
        <v>82</v>
      </c>
      <c r="F34" s="23" t="str">
        <f>'Source Table'!$C$6</f>
        <v>Female</v>
      </c>
      <c r="G34" s="23" t="str">
        <f>'Source Table'!$C$5</f>
        <v>أنثى</v>
      </c>
      <c r="H34" s="23" t="str">
        <f>'Source Table'!$B$7</f>
        <v>Plants Protection</v>
      </c>
      <c r="I34" s="23" t="str">
        <f>'Source Table'!$E$7</f>
        <v>الوقاية النباتية</v>
      </c>
      <c r="J34" s="36">
        <v>425</v>
      </c>
      <c r="K34">
        <v>2020</v>
      </c>
    </row>
    <row r="35" spans="1:11" ht="15">
      <c r="A35" t="s">
        <v>111</v>
      </c>
      <c r="B35" t="s">
        <v>96</v>
      </c>
      <c r="C35" s="15" t="s">
        <v>30</v>
      </c>
      <c r="D35" s="22" t="s">
        <v>81</v>
      </c>
      <c r="E35" s="23" t="s">
        <v>82</v>
      </c>
      <c r="F35" s="23" t="str">
        <f>'Source Table'!$C$6</f>
        <v>Female</v>
      </c>
      <c r="G35" s="23" t="str">
        <f>'Source Table'!$C$5</f>
        <v>أنثى</v>
      </c>
      <c r="H35" s="23" t="str">
        <f>'Source Table'!$B$8</f>
        <v>Plants  Production</v>
      </c>
      <c r="I35" s="23" t="str">
        <f>'Source Table'!$E$8</f>
        <v>الإنتاج النباتي</v>
      </c>
      <c r="J35" s="36">
        <v>2166</v>
      </c>
      <c r="K35">
        <v>2020</v>
      </c>
    </row>
    <row r="36" spans="1:11" ht="15">
      <c r="A36" t="s">
        <v>111</v>
      </c>
      <c r="B36" t="s">
        <v>96</v>
      </c>
      <c r="C36" s="15" t="s">
        <v>30</v>
      </c>
      <c r="D36" s="22" t="s">
        <v>81</v>
      </c>
      <c r="E36" s="23" t="s">
        <v>82</v>
      </c>
      <c r="F36" s="23" t="str">
        <f>'Source Table'!$C$6</f>
        <v>Female</v>
      </c>
      <c r="G36" s="23" t="str">
        <f>'Source Table'!$C$5</f>
        <v>أنثى</v>
      </c>
      <c r="H36" s="23" t="str">
        <f>'Source Table'!$B$9</f>
        <v xml:space="preserve">Agricultural Economics  </v>
      </c>
      <c r="I36" s="23" t="str">
        <f>'Source Table'!$E$9</f>
        <v>الاقتصاد الزراعي</v>
      </c>
      <c r="J36" s="36">
        <v>624</v>
      </c>
      <c r="K36">
        <v>2020</v>
      </c>
    </row>
    <row r="37" spans="1:11" ht="15">
      <c r="A37" t="s">
        <v>111</v>
      </c>
      <c r="B37" t="s">
        <v>96</v>
      </c>
      <c r="C37" s="15" t="s">
        <v>30</v>
      </c>
      <c r="D37" s="22" t="s">
        <v>81</v>
      </c>
      <c r="E37" s="23" t="s">
        <v>82</v>
      </c>
      <c r="F37" s="23" t="str">
        <f>'Source Table'!$C$6</f>
        <v>Female</v>
      </c>
      <c r="G37" s="23" t="str">
        <f>'Source Table'!$C$5</f>
        <v>أنثى</v>
      </c>
      <c r="H37" s="23" t="str">
        <f>'Source Table'!$B$10</f>
        <v>Animal Production</v>
      </c>
      <c r="I37" s="23" t="str">
        <f>'Source Table'!$E$10</f>
        <v>الإنتاج الحيواني</v>
      </c>
      <c r="J37" s="36">
        <v>332</v>
      </c>
      <c r="K37">
        <v>2020</v>
      </c>
    </row>
    <row r="38" spans="1:11" ht="15">
      <c r="A38" t="s">
        <v>111</v>
      </c>
      <c r="B38" t="s">
        <v>96</v>
      </c>
      <c r="C38" s="15" t="s">
        <v>30</v>
      </c>
      <c r="D38" s="22" t="s">
        <v>81</v>
      </c>
      <c r="E38" s="23" t="s">
        <v>82</v>
      </c>
      <c r="F38" s="23" t="str">
        <f>'Source Table'!$C$6</f>
        <v>Female</v>
      </c>
      <c r="G38" s="23" t="str">
        <f>'Source Table'!$C$5</f>
        <v>أنثى</v>
      </c>
      <c r="H38" s="23" t="str">
        <f>'Source Table'!$B$11</f>
        <v>Environment &amp;  Irrigation</v>
      </c>
      <c r="I38" s="23" t="str">
        <f>'Source Table'!$E$11</f>
        <v>الموارد المائيةوالبيئة</v>
      </c>
      <c r="J38" s="36">
        <v>1681</v>
      </c>
      <c r="K38">
        <v>2020</v>
      </c>
    </row>
    <row r="39" spans="1:11" ht="15">
      <c r="A39" t="s">
        <v>111</v>
      </c>
      <c r="B39" t="s">
        <v>96</v>
      </c>
      <c r="C39" s="15" t="s">
        <v>30</v>
      </c>
      <c r="D39" s="22" t="s">
        <v>81</v>
      </c>
      <c r="E39" s="23" t="s">
        <v>82</v>
      </c>
      <c r="F39" s="23" t="str">
        <f>'Source Table'!$C$6</f>
        <v>Female</v>
      </c>
      <c r="G39" s="23" t="str">
        <f>'Source Table'!$C$5</f>
        <v>أنثى</v>
      </c>
      <c r="H39" s="23" t="str">
        <f>'Source Table'!$B$12</f>
        <v>Nutrition and Industries</v>
      </c>
      <c r="I39" s="23" t="str">
        <f>'Source Table'!$E$12</f>
        <v>التغذية والصناعات</v>
      </c>
      <c r="J39" s="36">
        <v>4061</v>
      </c>
      <c r="K39">
        <v>2020</v>
      </c>
    </row>
    <row r="40" spans="1:11" ht="15">
      <c r="A40" t="s">
        <v>111</v>
      </c>
      <c r="B40" t="s">
        <v>96</v>
      </c>
      <c r="C40" s="15" t="s">
        <v>30</v>
      </c>
      <c r="D40" s="22" t="s">
        <v>81</v>
      </c>
      <c r="E40" s="23" t="s">
        <v>82</v>
      </c>
      <c r="F40" s="23" t="str">
        <f>'Source Table'!$D$6</f>
        <v>Male</v>
      </c>
      <c r="G40" s="23" t="str">
        <f>'Source Table'!$D$5</f>
        <v>ذكر</v>
      </c>
      <c r="H40" s="23" t="str">
        <f>'Source Table'!$B$7</f>
        <v>Plants Protection</v>
      </c>
      <c r="I40" s="23" t="str">
        <f>'Source Table'!$E$7</f>
        <v>الوقاية النباتية</v>
      </c>
      <c r="J40" s="36">
        <v>808</v>
      </c>
      <c r="K40">
        <v>2021</v>
      </c>
    </row>
    <row r="41" spans="1:11" ht="15">
      <c r="A41" t="s">
        <v>111</v>
      </c>
      <c r="B41" t="s">
        <v>96</v>
      </c>
      <c r="C41" s="15" t="s">
        <v>30</v>
      </c>
      <c r="D41" s="22" t="s">
        <v>81</v>
      </c>
      <c r="E41" s="23" t="s">
        <v>82</v>
      </c>
      <c r="F41" s="23" t="str">
        <f>'Source Table'!$D$6</f>
        <v>Male</v>
      </c>
      <c r="G41" s="23" t="str">
        <f>'Source Table'!$D$5</f>
        <v>ذكر</v>
      </c>
      <c r="H41" s="23" t="str">
        <f>'Source Table'!$B$8</f>
        <v>Plants  Production</v>
      </c>
      <c r="I41" s="23" t="str">
        <f>'Source Table'!$E$8</f>
        <v>الإنتاج النباتي</v>
      </c>
      <c r="J41" s="36">
        <v>3019</v>
      </c>
      <c r="K41">
        <v>2021</v>
      </c>
    </row>
    <row r="42" spans="1:11" ht="15">
      <c r="A42" t="s">
        <v>111</v>
      </c>
      <c r="B42" t="s">
        <v>96</v>
      </c>
      <c r="C42" s="15" t="s">
        <v>30</v>
      </c>
      <c r="D42" s="22" t="s">
        <v>81</v>
      </c>
      <c r="E42" s="23" t="s">
        <v>82</v>
      </c>
      <c r="F42" s="23" t="str">
        <f>'Source Table'!$D$6</f>
        <v>Male</v>
      </c>
      <c r="G42" s="23" t="str">
        <f>'Source Table'!$D$5</f>
        <v>ذكر</v>
      </c>
      <c r="H42" s="23" t="str">
        <f>'Source Table'!$B$9</f>
        <v xml:space="preserve">Agricultural Economics  </v>
      </c>
      <c r="I42" s="23" t="str">
        <f>'Source Table'!$E$9</f>
        <v>الاقتصاد الزراعي</v>
      </c>
      <c r="J42" s="36">
        <v>762</v>
      </c>
      <c r="K42">
        <v>2021</v>
      </c>
    </row>
    <row r="43" spans="1:11" ht="15">
      <c r="A43" t="s">
        <v>111</v>
      </c>
      <c r="B43" t="s">
        <v>96</v>
      </c>
      <c r="C43" s="15" t="s">
        <v>30</v>
      </c>
      <c r="D43" s="22" t="s">
        <v>81</v>
      </c>
      <c r="E43" s="23" t="s">
        <v>82</v>
      </c>
      <c r="F43" s="23" t="str">
        <f>'Source Table'!$D$6</f>
        <v>Male</v>
      </c>
      <c r="G43" s="23" t="str">
        <f>'Source Table'!$D$5</f>
        <v>ذكر</v>
      </c>
      <c r="H43" s="23" t="str">
        <f>'Source Table'!$B$10</f>
        <v>Animal Production</v>
      </c>
      <c r="I43" s="23" t="str">
        <f>'Source Table'!$E$10</f>
        <v>الإنتاج الحيواني</v>
      </c>
      <c r="J43" s="36">
        <v>1751</v>
      </c>
      <c r="K43">
        <v>2021</v>
      </c>
    </row>
    <row r="44" spans="1:11" ht="15">
      <c r="A44" t="s">
        <v>111</v>
      </c>
      <c r="B44" t="s">
        <v>96</v>
      </c>
      <c r="C44" s="15" t="s">
        <v>30</v>
      </c>
      <c r="D44" s="22" t="s">
        <v>81</v>
      </c>
      <c r="E44" s="23" t="s">
        <v>82</v>
      </c>
      <c r="F44" s="23" t="str">
        <f>'Source Table'!$D$6</f>
        <v>Male</v>
      </c>
      <c r="G44" s="23" t="str">
        <f>'Source Table'!$D$5</f>
        <v>ذكر</v>
      </c>
      <c r="H44" s="23" t="str">
        <f>'Source Table'!$B$11</f>
        <v>Environment &amp;  Irrigation</v>
      </c>
      <c r="I44" s="23" t="str">
        <f>'Source Table'!$E$11</f>
        <v>الموارد المائيةوالبيئة</v>
      </c>
      <c r="J44" s="36">
        <v>1010</v>
      </c>
      <c r="K44">
        <v>2021</v>
      </c>
    </row>
    <row r="45" spans="1:11" ht="15">
      <c r="A45" t="s">
        <v>111</v>
      </c>
      <c r="B45" t="s">
        <v>96</v>
      </c>
      <c r="C45" s="15" t="s">
        <v>30</v>
      </c>
      <c r="D45" s="22" t="s">
        <v>81</v>
      </c>
      <c r="E45" s="23" t="s">
        <v>82</v>
      </c>
      <c r="F45" s="23" t="str">
        <f>'Source Table'!$D$6</f>
        <v>Male</v>
      </c>
      <c r="G45" s="23" t="str">
        <f>'Source Table'!$D$5</f>
        <v>ذكر</v>
      </c>
      <c r="H45" s="23" t="str">
        <f>'Source Table'!$B$12</f>
        <v>Nutrition and Industries</v>
      </c>
      <c r="I45" s="23" t="str">
        <f>'Source Table'!$E$12</f>
        <v>التغذية والصناعات</v>
      </c>
      <c r="J45" s="36">
        <v>1531</v>
      </c>
      <c r="K45">
        <v>2021</v>
      </c>
    </row>
    <row r="46" spans="1:11" ht="15">
      <c r="A46" t="s">
        <v>111</v>
      </c>
      <c r="B46" t="s">
        <v>96</v>
      </c>
      <c r="C46" s="15" t="s">
        <v>30</v>
      </c>
      <c r="D46" s="22" t="s">
        <v>81</v>
      </c>
      <c r="E46" s="23" t="s">
        <v>82</v>
      </c>
      <c r="F46" s="23" t="str">
        <f>'Source Table'!$C$6</f>
        <v>Female</v>
      </c>
      <c r="G46" s="23" t="str">
        <f>'Source Table'!$C$5</f>
        <v>أنثى</v>
      </c>
      <c r="H46" s="23" t="str">
        <f>'Source Table'!$B$7</f>
        <v>Plants Protection</v>
      </c>
      <c r="I46" s="23" t="str">
        <f>'Source Table'!$E$7</f>
        <v>الوقاية النباتية</v>
      </c>
      <c r="J46" s="36">
        <v>438</v>
      </c>
      <c r="K46">
        <v>2021</v>
      </c>
    </row>
    <row r="47" spans="1:11" ht="15">
      <c r="A47" t="s">
        <v>111</v>
      </c>
      <c r="B47" t="s">
        <v>96</v>
      </c>
      <c r="C47" s="15" t="s">
        <v>30</v>
      </c>
      <c r="D47" s="22" t="s">
        <v>81</v>
      </c>
      <c r="E47" s="23" t="s">
        <v>82</v>
      </c>
      <c r="F47" s="23" t="str">
        <f>'Source Table'!$C$6</f>
        <v>Female</v>
      </c>
      <c r="G47" s="23" t="str">
        <f>'Source Table'!$C$5</f>
        <v>أنثى</v>
      </c>
      <c r="H47" s="23" t="str">
        <f>'Source Table'!$B$8</f>
        <v>Plants  Production</v>
      </c>
      <c r="I47" s="23" t="str">
        <f>'Source Table'!$E$8</f>
        <v>الإنتاج النباتي</v>
      </c>
      <c r="J47" s="36">
        <v>2286</v>
      </c>
      <c r="K47">
        <v>2021</v>
      </c>
    </row>
    <row r="48" spans="1:11" ht="15">
      <c r="A48" t="s">
        <v>111</v>
      </c>
      <c r="B48" t="s">
        <v>96</v>
      </c>
      <c r="C48" s="15" t="s">
        <v>30</v>
      </c>
      <c r="D48" s="22" t="s">
        <v>81</v>
      </c>
      <c r="E48" s="23" t="s">
        <v>82</v>
      </c>
      <c r="F48" s="23" t="str">
        <f>'Source Table'!$C$6</f>
        <v>Female</v>
      </c>
      <c r="G48" s="23" t="str">
        <f>'Source Table'!$C$5</f>
        <v>أنثى</v>
      </c>
      <c r="H48" s="23" t="str">
        <f>'Source Table'!$B$9</f>
        <v xml:space="preserve">Agricultural Economics  </v>
      </c>
      <c r="I48" s="23" t="str">
        <f>'Source Table'!$E$9</f>
        <v>الاقتصاد الزراعي</v>
      </c>
      <c r="J48" s="36">
        <v>631</v>
      </c>
      <c r="K48">
        <v>2021</v>
      </c>
    </row>
    <row r="49" spans="1:11" ht="15">
      <c r="A49" t="s">
        <v>111</v>
      </c>
      <c r="B49" t="s">
        <v>96</v>
      </c>
      <c r="C49" s="15" t="s">
        <v>30</v>
      </c>
      <c r="D49" s="22" t="s">
        <v>81</v>
      </c>
      <c r="E49" s="23" t="s">
        <v>82</v>
      </c>
      <c r="F49" s="23" t="str">
        <f>'Source Table'!$C$6</f>
        <v>Female</v>
      </c>
      <c r="G49" s="23" t="str">
        <f>'Source Table'!$C$5</f>
        <v>أنثى</v>
      </c>
      <c r="H49" s="23" t="str">
        <f>'Source Table'!$B$10</f>
        <v>Animal Production</v>
      </c>
      <c r="I49" s="23" t="str">
        <f>'Source Table'!$E$10</f>
        <v>الإنتاج الحيواني</v>
      </c>
      <c r="J49" s="36">
        <v>342</v>
      </c>
      <c r="K49">
        <v>2021</v>
      </c>
    </row>
    <row r="50" spans="1:11" ht="15">
      <c r="A50" t="s">
        <v>111</v>
      </c>
      <c r="B50" t="s">
        <v>96</v>
      </c>
      <c r="C50" s="15" t="s">
        <v>30</v>
      </c>
      <c r="D50" s="22" t="s">
        <v>81</v>
      </c>
      <c r="E50" s="23" t="s">
        <v>82</v>
      </c>
      <c r="F50" s="23" t="str">
        <f>'Source Table'!$C$6</f>
        <v>Female</v>
      </c>
      <c r="G50" s="23" t="str">
        <f>'Source Table'!$C$5</f>
        <v>أنثى</v>
      </c>
      <c r="H50" s="23" t="str">
        <f>'Source Table'!$B$11</f>
        <v>Environment &amp;  Irrigation</v>
      </c>
      <c r="I50" s="23" t="str">
        <f>'Source Table'!$E$11</f>
        <v>الموارد المائيةوالبيئة</v>
      </c>
      <c r="J50" s="36">
        <v>1753</v>
      </c>
      <c r="K50">
        <v>2021</v>
      </c>
    </row>
    <row r="51" spans="1:11" ht="15">
      <c r="A51" t="s">
        <v>111</v>
      </c>
      <c r="B51" t="s">
        <v>96</v>
      </c>
      <c r="C51" s="15" t="s">
        <v>30</v>
      </c>
      <c r="D51" s="22" t="s">
        <v>81</v>
      </c>
      <c r="E51" s="23" t="s">
        <v>82</v>
      </c>
      <c r="F51" s="23" t="str">
        <f>'Source Table'!$C$6</f>
        <v>Female</v>
      </c>
      <c r="G51" s="23" t="str">
        <f>'Source Table'!$C$5</f>
        <v>أنثى</v>
      </c>
      <c r="H51" s="23" t="str">
        <f>'Source Table'!$B$12</f>
        <v>Nutrition and Industries</v>
      </c>
      <c r="I51" s="23" t="str">
        <f>'Source Table'!$E$12</f>
        <v>التغذية والصناعات</v>
      </c>
      <c r="J51" s="36">
        <v>4473</v>
      </c>
      <c r="K51">
        <v>2021</v>
      </c>
    </row>
    <row r="52" spans="1:11" ht="15">
      <c r="A52" t="s">
        <v>111</v>
      </c>
      <c r="B52" t="s">
        <v>96</v>
      </c>
      <c r="C52" s="15" t="s">
        <v>30</v>
      </c>
      <c r="D52" s="22" t="s">
        <v>81</v>
      </c>
      <c r="E52" s="23" t="s">
        <v>82</v>
      </c>
      <c r="F52" s="23" t="str">
        <f>'Source Table'!$D$6</f>
        <v>Male</v>
      </c>
      <c r="G52" s="23" t="str">
        <f>'Source Table'!$D$5</f>
        <v>ذكر</v>
      </c>
      <c r="H52" s="23" t="str">
        <f>'Source Table'!$B$7</f>
        <v>Plants Protection</v>
      </c>
      <c r="I52" s="23" t="str">
        <f>'Source Table'!$E$7</f>
        <v>الوقاية النباتية</v>
      </c>
      <c r="J52" s="36">
        <v>843</v>
      </c>
      <c r="K52">
        <v>2019</v>
      </c>
    </row>
    <row r="53" spans="1:11" ht="15">
      <c r="A53" t="s">
        <v>111</v>
      </c>
      <c r="B53" t="s">
        <v>96</v>
      </c>
      <c r="C53" s="15" t="s">
        <v>30</v>
      </c>
      <c r="D53" s="22" t="s">
        <v>81</v>
      </c>
      <c r="E53" s="23" t="s">
        <v>82</v>
      </c>
      <c r="F53" s="23" t="str">
        <f>'Source Table'!$D$6</f>
        <v>Male</v>
      </c>
      <c r="G53" s="23" t="str">
        <f>'Source Table'!$D$5</f>
        <v>ذكر</v>
      </c>
      <c r="H53" s="23" t="str">
        <f>'Source Table'!$B$8</f>
        <v>Plants  Production</v>
      </c>
      <c r="I53" s="23" t="str">
        <f>'Source Table'!$E$8</f>
        <v>الإنتاج النباتي</v>
      </c>
      <c r="J53" s="36">
        <v>2936</v>
      </c>
      <c r="K53">
        <v>2019</v>
      </c>
    </row>
    <row r="54" spans="1:11" ht="15">
      <c r="A54" t="s">
        <v>111</v>
      </c>
      <c r="B54" t="s">
        <v>96</v>
      </c>
      <c r="C54" s="15" t="s">
        <v>30</v>
      </c>
      <c r="D54" s="22" t="s">
        <v>81</v>
      </c>
      <c r="E54" s="23" t="s">
        <v>82</v>
      </c>
      <c r="F54" s="23" t="str">
        <f>'Source Table'!$D$6</f>
        <v>Male</v>
      </c>
      <c r="G54" s="23" t="str">
        <f>'Source Table'!$D$5</f>
        <v>ذكر</v>
      </c>
      <c r="H54" s="23" t="str">
        <f>'Source Table'!$B$9</f>
        <v xml:space="preserve">Agricultural Economics  </v>
      </c>
      <c r="I54" s="23" t="str">
        <f>'Source Table'!$E$9</f>
        <v>الاقتصاد الزراعي</v>
      </c>
      <c r="J54" s="36">
        <v>789</v>
      </c>
      <c r="K54">
        <v>2019</v>
      </c>
    </row>
    <row r="55" spans="1:11" ht="15">
      <c r="A55" t="s">
        <v>111</v>
      </c>
      <c r="B55" t="s">
        <v>96</v>
      </c>
      <c r="C55" s="15" t="s">
        <v>30</v>
      </c>
      <c r="D55" s="22" t="s">
        <v>81</v>
      </c>
      <c r="E55" s="23" t="s">
        <v>82</v>
      </c>
      <c r="F55" s="23" t="str">
        <f>'Source Table'!$D$6</f>
        <v>Male</v>
      </c>
      <c r="G55" s="23" t="str">
        <f>'Source Table'!$D$5</f>
        <v>ذكر</v>
      </c>
      <c r="H55" s="23" t="str">
        <f>'Source Table'!$B$10</f>
        <v>Animal Production</v>
      </c>
      <c r="I55" s="23" t="str">
        <f>'Source Table'!$E$10</f>
        <v>الإنتاج الحيواني</v>
      </c>
      <c r="J55" s="36">
        <v>1616</v>
      </c>
      <c r="K55">
        <v>2019</v>
      </c>
    </row>
    <row r="56" spans="1:11" ht="15">
      <c r="A56" t="s">
        <v>111</v>
      </c>
      <c r="B56" t="s">
        <v>96</v>
      </c>
      <c r="C56" s="15" t="s">
        <v>30</v>
      </c>
      <c r="D56" s="22" t="s">
        <v>81</v>
      </c>
      <c r="E56" s="23" t="s">
        <v>82</v>
      </c>
      <c r="F56" s="23" t="str">
        <f>'Source Table'!$D$6</f>
        <v>Male</v>
      </c>
      <c r="G56" s="23" t="str">
        <f>'Source Table'!$D$5</f>
        <v>ذكر</v>
      </c>
      <c r="H56" s="23" t="str">
        <f>'Source Table'!$B$11</f>
        <v>Environment &amp;  Irrigation</v>
      </c>
      <c r="I56" s="23" t="str">
        <f>'Source Table'!$E$11</f>
        <v>الموارد المائيةوالبيئة</v>
      </c>
      <c r="J56" s="36">
        <v>1062</v>
      </c>
      <c r="K56">
        <v>2019</v>
      </c>
    </row>
    <row r="57" spans="1:11" ht="15">
      <c r="A57" t="s">
        <v>111</v>
      </c>
      <c r="B57" t="s">
        <v>96</v>
      </c>
      <c r="C57" s="15" t="s">
        <v>30</v>
      </c>
      <c r="D57" s="22" t="s">
        <v>81</v>
      </c>
      <c r="E57" s="23" t="s">
        <v>82</v>
      </c>
      <c r="F57" s="23" t="str">
        <f>'Source Table'!$D$6</f>
        <v>Male</v>
      </c>
      <c r="G57" s="23" t="str">
        <f>'Source Table'!$D$5</f>
        <v>ذكر</v>
      </c>
      <c r="H57" s="23" t="str">
        <f>'Source Table'!$B$12</f>
        <v>Nutrition and Industries</v>
      </c>
      <c r="I57" s="23" t="str">
        <f>'Source Table'!$E$12</f>
        <v>التغذية والصناعات</v>
      </c>
      <c r="J57" s="36">
        <v>1473</v>
      </c>
      <c r="K57">
        <v>2019</v>
      </c>
    </row>
    <row r="58" spans="1:11" ht="15">
      <c r="A58" t="s">
        <v>111</v>
      </c>
      <c r="B58" t="s">
        <v>96</v>
      </c>
      <c r="C58" s="15" t="s">
        <v>30</v>
      </c>
      <c r="D58" s="22" t="s">
        <v>81</v>
      </c>
      <c r="E58" s="23" t="s">
        <v>82</v>
      </c>
      <c r="F58" s="23" t="str">
        <f>'Source Table'!$C$6</f>
        <v>Female</v>
      </c>
      <c r="G58" s="23" t="str">
        <f>'Source Table'!$C$5</f>
        <v>أنثى</v>
      </c>
      <c r="H58" s="23" t="str">
        <f>'Source Table'!$B$7</f>
        <v>Plants Protection</v>
      </c>
      <c r="I58" s="23" t="str">
        <f>'Source Table'!$E$7</f>
        <v>الوقاية النباتية</v>
      </c>
      <c r="J58" s="36">
        <v>437</v>
      </c>
      <c r="K58">
        <v>2019</v>
      </c>
    </row>
    <row r="59" spans="1:11" ht="15">
      <c r="A59" t="s">
        <v>111</v>
      </c>
      <c r="B59" t="s">
        <v>96</v>
      </c>
      <c r="C59" s="15" t="s">
        <v>30</v>
      </c>
      <c r="D59" s="22" t="s">
        <v>81</v>
      </c>
      <c r="E59" s="23" t="s">
        <v>82</v>
      </c>
      <c r="F59" s="23" t="str">
        <f>'Source Table'!$C$6</f>
        <v>Female</v>
      </c>
      <c r="G59" s="23" t="str">
        <f>'Source Table'!$C$5</f>
        <v>أنثى</v>
      </c>
      <c r="H59" s="23" t="str">
        <f>'Source Table'!$B$8</f>
        <v>Plants  Production</v>
      </c>
      <c r="I59" s="23" t="str">
        <f>'Source Table'!$E$8</f>
        <v>الإنتاج النباتي</v>
      </c>
      <c r="J59" s="36">
        <v>2247</v>
      </c>
      <c r="K59">
        <v>2019</v>
      </c>
    </row>
    <row r="60" spans="1:11" ht="15">
      <c r="A60" t="s">
        <v>111</v>
      </c>
      <c r="B60" t="s">
        <v>96</v>
      </c>
      <c r="C60" s="15" t="s">
        <v>30</v>
      </c>
      <c r="D60" s="22" t="s">
        <v>81</v>
      </c>
      <c r="E60" s="23" t="s">
        <v>82</v>
      </c>
      <c r="F60" s="23" t="str">
        <f>'Source Table'!$C$6</f>
        <v>Female</v>
      </c>
      <c r="G60" s="23" t="str">
        <f>'Source Table'!$C$5</f>
        <v>أنثى</v>
      </c>
      <c r="H60" s="23" t="str">
        <f>'Source Table'!$B$9</f>
        <v xml:space="preserve">Agricultural Economics  </v>
      </c>
      <c r="I60" s="23" t="str">
        <f>'Source Table'!$E$9</f>
        <v>الاقتصاد الزراعي</v>
      </c>
      <c r="J60" s="36">
        <v>659</v>
      </c>
      <c r="K60">
        <v>2019</v>
      </c>
    </row>
    <row r="61" spans="1:11" ht="15">
      <c r="A61" t="s">
        <v>111</v>
      </c>
      <c r="B61" t="s">
        <v>96</v>
      </c>
      <c r="C61" s="15" t="s">
        <v>30</v>
      </c>
      <c r="D61" s="22" t="s">
        <v>81</v>
      </c>
      <c r="E61" s="23" t="s">
        <v>82</v>
      </c>
      <c r="F61" s="23" t="str">
        <f>'Source Table'!$C$6</f>
        <v>Female</v>
      </c>
      <c r="G61" s="23" t="str">
        <f>'Source Table'!$C$5</f>
        <v>أنثى</v>
      </c>
      <c r="H61" s="23" t="str">
        <f>'Source Table'!$B$10</f>
        <v>Animal Production</v>
      </c>
      <c r="I61" s="23" t="str">
        <f>'Source Table'!$E$10</f>
        <v>الإنتاج الحيواني</v>
      </c>
      <c r="J61" s="36">
        <v>418</v>
      </c>
      <c r="K61">
        <v>2019</v>
      </c>
    </row>
    <row r="62" spans="1:11" ht="15">
      <c r="A62" t="s">
        <v>111</v>
      </c>
      <c r="B62" t="s">
        <v>96</v>
      </c>
      <c r="C62" s="15" t="s">
        <v>30</v>
      </c>
      <c r="D62" s="22" t="s">
        <v>81</v>
      </c>
      <c r="E62" s="23" t="s">
        <v>82</v>
      </c>
      <c r="F62" s="23" t="str">
        <f>'Source Table'!$C$6</f>
        <v>Female</v>
      </c>
      <c r="G62" s="23" t="str">
        <f>'Source Table'!$C$5</f>
        <v>أنثى</v>
      </c>
      <c r="H62" s="23" t="str">
        <f>'Source Table'!$B$11</f>
        <v>Environment &amp;  Irrigation</v>
      </c>
      <c r="I62" s="23" t="str">
        <f>'Source Table'!$E$11</f>
        <v>الموارد المائيةوالبيئة</v>
      </c>
      <c r="J62" s="36">
        <v>1608</v>
      </c>
      <c r="K62">
        <v>2019</v>
      </c>
    </row>
    <row r="63" spans="1:11" ht="15">
      <c r="A63" t="s">
        <v>111</v>
      </c>
      <c r="B63" t="s">
        <v>96</v>
      </c>
      <c r="C63" s="15" t="s">
        <v>30</v>
      </c>
      <c r="D63" s="22" t="s">
        <v>81</v>
      </c>
      <c r="E63" s="23" t="s">
        <v>82</v>
      </c>
      <c r="F63" s="23" t="str">
        <f>'Source Table'!$C$6</f>
        <v>Female</v>
      </c>
      <c r="G63" s="23" t="str">
        <f>'Source Table'!$C$5</f>
        <v>أنثى</v>
      </c>
      <c r="H63" s="23" t="str">
        <f>'Source Table'!$B$12</f>
        <v>Nutrition and Industries</v>
      </c>
      <c r="I63" s="23" t="str">
        <f>'Source Table'!$E$12</f>
        <v>التغذية والصناعات</v>
      </c>
      <c r="J63" s="36">
        <v>3721</v>
      </c>
      <c r="K63">
        <v>2019</v>
      </c>
    </row>
    <row r="64" spans="1:11" ht="15">
      <c r="A64" t="s">
        <v>111</v>
      </c>
      <c r="B64" t="s">
        <v>96</v>
      </c>
      <c r="C64" s="15" t="s">
        <v>30</v>
      </c>
      <c r="D64" s="22" t="s">
        <v>81</v>
      </c>
      <c r="E64" s="23" t="s">
        <v>82</v>
      </c>
      <c r="F64" s="23" t="str">
        <f>'Source Table'!$D$6</f>
        <v>Male</v>
      </c>
      <c r="G64" s="23" t="str">
        <f>'Source Table'!$D$5</f>
        <v>ذكر</v>
      </c>
      <c r="H64" s="23" t="str">
        <f>'Source Table'!$B$7</f>
        <v>Plants Protection</v>
      </c>
      <c r="I64" s="23" t="str">
        <f>'Source Table'!$E$7</f>
        <v>الوقاية النباتية</v>
      </c>
      <c r="J64" s="36">
        <v>821</v>
      </c>
      <c r="K64">
        <v>2018</v>
      </c>
    </row>
    <row r="65" spans="1:11" ht="15">
      <c r="A65" t="s">
        <v>111</v>
      </c>
      <c r="B65" t="s">
        <v>96</v>
      </c>
      <c r="C65" s="15" t="s">
        <v>30</v>
      </c>
      <c r="D65" s="22" t="s">
        <v>81</v>
      </c>
      <c r="E65" s="23" t="s">
        <v>82</v>
      </c>
      <c r="F65" s="23" t="str">
        <f>'Source Table'!$D$6</f>
        <v>Male</v>
      </c>
      <c r="G65" s="23" t="str">
        <f>'Source Table'!$D$5</f>
        <v>ذكر</v>
      </c>
      <c r="H65" s="23" t="str">
        <f>'Source Table'!$B$8</f>
        <v>Plants  Production</v>
      </c>
      <c r="I65" s="23" t="str">
        <f>'Source Table'!$E$8</f>
        <v>الإنتاج النباتي</v>
      </c>
      <c r="J65" s="36">
        <v>2823</v>
      </c>
      <c r="K65">
        <v>2018</v>
      </c>
    </row>
    <row r="66" spans="1:11" ht="15">
      <c r="A66" t="s">
        <v>111</v>
      </c>
      <c r="B66" t="s">
        <v>96</v>
      </c>
      <c r="C66" s="15" t="s">
        <v>30</v>
      </c>
      <c r="D66" s="22" t="s">
        <v>81</v>
      </c>
      <c r="E66" s="23" t="s">
        <v>82</v>
      </c>
      <c r="F66" s="23" t="str">
        <f>'Source Table'!$D$6</f>
        <v>Male</v>
      </c>
      <c r="G66" s="23" t="str">
        <f>'Source Table'!$D$5</f>
        <v>ذكر</v>
      </c>
      <c r="H66" s="23" t="str">
        <f>'Source Table'!$B$9</f>
        <v xml:space="preserve">Agricultural Economics  </v>
      </c>
      <c r="I66" s="23" t="str">
        <f>'Source Table'!$E$9</f>
        <v>الاقتصاد الزراعي</v>
      </c>
      <c r="J66" s="36">
        <v>761</v>
      </c>
      <c r="K66">
        <v>2018</v>
      </c>
    </row>
    <row r="67" spans="1:11" ht="15">
      <c r="A67" t="s">
        <v>111</v>
      </c>
      <c r="B67" t="s">
        <v>96</v>
      </c>
      <c r="C67" s="15" t="s">
        <v>30</v>
      </c>
      <c r="D67" s="22" t="s">
        <v>81</v>
      </c>
      <c r="E67" s="23" t="s">
        <v>82</v>
      </c>
      <c r="F67" s="23" t="str">
        <f>'Source Table'!$D$6</f>
        <v>Male</v>
      </c>
      <c r="G67" s="23" t="str">
        <f>'Source Table'!$D$5</f>
        <v>ذكر</v>
      </c>
      <c r="H67" s="23" t="str">
        <f>'Source Table'!$B$10</f>
        <v>Animal Production</v>
      </c>
      <c r="I67" s="23" t="str">
        <f>'Source Table'!$E$10</f>
        <v>الإنتاج الحيواني</v>
      </c>
      <c r="J67" s="36">
        <v>1595</v>
      </c>
      <c r="K67">
        <v>2018</v>
      </c>
    </row>
    <row r="68" spans="1:11" ht="15">
      <c r="A68" t="s">
        <v>111</v>
      </c>
      <c r="B68" t="s">
        <v>96</v>
      </c>
      <c r="C68" s="15" t="s">
        <v>30</v>
      </c>
      <c r="D68" s="22" t="s">
        <v>81</v>
      </c>
      <c r="E68" s="23" t="s">
        <v>82</v>
      </c>
      <c r="F68" s="23" t="str">
        <f>'Source Table'!$D$6</f>
        <v>Male</v>
      </c>
      <c r="G68" s="23" t="str">
        <f>'Source Table'!$D$5</f>
        <v>ذكر</v>
      </c>
      <c r="H68" s="23" t="str">
        <f>'Source Table'!$B$11</f>
        <v>Environment &amp;  Irrigation</v>
      </c>
      <c r="I68" s="23" t="str">
        <f>'Source Table'!$E$11</f>
        <v>الموارد المائيةوالبيئة</v>
      </c>
      <c r="J68" s="36">
        <v>954</v>
      </c>
      <c r="K68">
        <v>2018</v>
      </c>
    </row>
    <row r="69" spans="1:11" ht="15">
      <c r="A69" t="s">
        <v>111</v>
      </c>
      <c r="B69" t="s">
        <v>96</v>
      </c>
      <c r="C69" s="15" t="s">
        <v>30</v>
      </c>
      <c r="D69" s="22" t="s">
        <v>81</v>
      </c>
      <c r="E69" s="23" t="s">
        <v>82</v>
      </c>
      <c r="F69" s="23" t="str">
        <f>'Source Table'!$D$6</f>
        <v>Male</v>
      </c>
      <c r="G69" s="23" t="str">
        <f>'Source Table'!$D$5</f>
        <v>ذكر</v>
      </c>
      <c r="H69" s="23" t="str">
        <f>'Source Table'!$B$12</f>
        <v>Nutrition and Industries</v>
      </c>
      <c r="I69" s="23" t="str">
        <f>'Source Table'!$E$12</f>
        <v>التغذية والصناعات</v>
      </c>
      <c r="J69" s="36">
        <v>1168</v>
      </c>
      <c r="K69">
        <v>2018</v>
      </c>
    </row>
    <row r="70" spans="1:11" ht="15">
      <c r="A70" t="s">
        <v>111</v>
      </c>
      <c r="B70" t="s">
        <v>96</v>
      </c>
      <c r="C70" s="15" t="s">
        <v>30</v>
      </c>
      <c r="D70" s="22" t="s">
        <v>81</v>
      </c>
      <c r="E70" s="23" t="s">
        <v>82</v>
      </c>
      <c r="F70" s="23" t="str">
        <f>'Source Table'!$C$6</f>
        <v>Female</v>
      </c>
      <c r="G70" s="23" t="str">
        <f>'Source Table'!$C$5</f>
        <v>أنثى</v>
      </c>
      <c r="H70" s="23" t="str">
        <f>'Source Table'!$B$7</f>
        <v>Plants Protection</v>
      </c>
      <c r="I70" s="23" t="str">
        <f>'Source Table'!$E$7</f>
        <v>الوقاية النباتية</v>
      </c>
      <c r="J70" s="36">
        <v>416</v>
      </c>
      <c r="K70">
        <v>2018</v>
      </c>
    </row>
    <row r="71" spans="1:11" ht="15">
      <c r="A71" t="s">
        <v>111</v>
      </c>
      <c r="B71" t="s">
        <v>96</v>
      </c>
      <c r="C71" s="15" t="s">
        <v>30</v>
      </c>
      <c r="D71" s="22" t="s">
        <v>81</v>
      </c>
      <c r="E71" s="23" t="s">
        <v>82</v>
      </c>
      <c r="F71" s="23" t="str">
        <f>'Source Table'!$C$6</f>
        <v>Female</v>
      </c>
      <c r="G71" s="23" t="str">
        <f>'Source Table'!$C$5</f>
        <v>أنثى</v>
      </c>
      <c r="H71" s="23" t="str">
        <f>'Source Table'!$B$8</f>
        <v>Plants  Production</v>
      </c>
      <c r="I71" s="23" t="str">
        <f>'Source Table'!$E$8</f>
        <v>الإنتاج النباتي</v>
      </c>
      <c r="J71" s="36">
        <v>2102</v>
      </c>
      <c r="K71">
        <v>2018</v>
      </c>
    </row>
    <row r="72" spans="1:11" ht="15">
      <c r="A72" t="s">
        <v>111</v>
      </c>
      <c r="B72" t="s">
        <v>96</v>
      </c>
      <c r="C72" s="15" t="s">
        <v>30</v>
      </c>
      <c r="D72" s="22" t="s">
        <v>81</v>
      </c>
      <c r="E72" s="23" t="s">
        <v>82</v>
      </c>
      <c r="F72" s="23" t="str">
        <f>'Source Table'!$C$6</f>
        <v>Female</v>
      </c>
      <c r="G72" s="23" t="str">
        <f>'Source Table'!$C$5</f>
        <v>أنثى</v>
      </c>
      <c r="H72" s="23" t="str">
        <f>'Source Table'!$B$9</f>
        <v xml:space="preserve">Agricultural Economics  </v>
      </c>
      <c r="I72" s="23" t="str">
        <f>'Source Table'!$E$9</f>
        <v>الاقتصاد الزراعي</v>
      </c>
      <c r="J72" s="36">
        <v>634</v>
      </c>
      <c r="K72">
        <v>2018</v>
      </c>
    </row>
    <row r="73" spans="1:11" ht="15">
      <c r="A73" t="s">
        <v>111</v>
      </c>
      <c r="B73" t="s">
        <v>96</v>
      </c>
      <c r="C73" s="15" t="s">
        <v>30</v>
      </c>
      <c r="D73" s="22" t="s">
        <v>81</v>
      </c>
      <c r="E73" s="23" t="s">
        <v>82</v>
      </c>
      <c r="F73" s="23" t="str">
        <f>'Source Table'!$C$6</f>
        <v>Female</v>
      </c>
      <c r="G73" s="23" t="str">
        <f>'Source Table'!$C$5</f>
        <v>أنثى</v>
      </c>
      <c r="H73" s="23" t="str">
        <f>'Source Table'!$B$10</f>
        <v>Animal Production</v>
      </c>
      <c r="I73" s="23" t="str">
        <f>'Source Table'!$E$10</f>
        <v>الإنتاج الحيواني</v>
      </c>
      <c r="J73" s="36">
        <v>312</v>
      </c>
      <c r="K73">
        <v>2018</v>
      </c>
    </row>
    <row r="74" spans="1:11" ht="15">
      <c r="A74" t="s">
        <v>111</v>
      </c>
      <c r="B74" t="s">
        <v>96</v>
      </c>
      <c r="C74" s="15" t="s">
        <v>30</v>
      </c>
      <c r="D74" s="22" t="s">
        <v>81</v>
      </c>
      <c r="E74" s="23" t="s">
        <v>82</v>
      </c>
      <c r="F74" s="23" t="str">
        <f>'Source Table'!$C$6</f>
        <v>Female</v>
      </c>
      <c r="G74" s="23" t="str">
        <f>'Source Table'!$C$5</f>
        <v>أنثى</v>
      </c>
      <c r="H74" s="23" t="str">
        <f>'Source Table'!$B$11</f>
        <v>Environment &amp;  Irrigation</v>
      </c>
      <c r="I74" s="23" t="str">
        <f>'Source Table'!$E$11</f>
        <v>الموارد المائيةوالبيئة</v>
      </c>
      <c r="J74" s="36">
        <v>1558</v>
      </c>
      <c r="K74">
        <v>2018</v>
      </c>
    </row>
    <row r="75" spans="1:11" ht="15">
      <c r="A75" t="s">
        <v>111</v>
      </c>
      <c r="B75" t="s">
        <v>96</v>
      </c>
      <c r="C75" s="15" t="s">
        <v>30</v>
      </c>
      <c r="D75" s="22" t="s">
        <v>81</v>
      </c>
      <c r="E75" s="23" t="s">
        <v>82</v>
      </c>
      <c r="F75" s="23" t="str">
        <f>'Source Table'!$C$6</f>
        <v>Female</v>
      </c>
      <c r="G75" s="23" t="str">
        <f>'Source Table'!$C$5</f>
        <v>أنثى</v>
      </c>
      <c r="H75" s="23" t="str">
        <f>'Source Table'!$B$12</f>
        <v>Nutrition and Industries</v>
      </c>
      <c r="I75" s="23" t="str">
        <f>'Source Table'!$E$12</f>
        <v>التغذية والصناعات</v>
      </c>
      <c r="J75" s="36">
        <v>3585</v>
      </c>
      <c r="K75">
        <v>2018</v>
      </c>
    </row>
    <row r="76" spans="1:11" ht="15">
      <c r="A76" t="s">
        <v>111</v>
      </c>
      <c r="B76" t="s">
        <v>96</v>
      </c>
      <c r="C76" s="15" t="s">
        <v>30</v>
      </c>
      <c r="D76" s="22" t="s">
        <v>81</v>
      </c>
      <c r="E76" s="23" t="s">
        <v>82</v>
      </c>
      <c r="F76" s="23" t="str">
        <f>'Source Table'!$D$6</f>
        <v>Male</v>
      </c>
      <c r="G76" s="23" t="str">
        <f>'Source Table'!$D$5</f>
        <v>ذكر</v>
      </c>
      <c r="H76" s="23" t="str">
        <f>'Source Table'!$B$7</f>
        <v>Plants Protection</v>
      </c>
      <c r="I76" s="23" t="str">
        <f>'Source Table'!$E$7</f>
        <v>الوقاية النباتية</v>
      </c>
      <c r="J76" s="36">
        <v>811</v>
      </c>
      <c r="K76">
        <v>2017</v>
      </c>
    </row>
    <row r="77" spans="1:11" ht="15">
      <c r="A77" t="s">
        <v>111</v>
      </c>
      <c r="B77" t="s">
        <v>96</v>
      </c>
      <c r="C77" s="15" t="s">
        <v>30</v>
      </c>
      <c r="D77" s="22" t="s">
        <v>81</v>
      </c>
      <c r="E77" s="23" t="s">
        <v>82</v>
      </c>
      <c r="F77" s="23" t="str">
        <f>'Source Table'!$D$6</f>
        <v>Male</v>
      </c>
      <c r="G77" s="23" t="str">
        <f>'Source Table'!$D$5</f>
        <v>ذكر</v>
      </c>
      <c r="H77" s="23" t="str">
        <f>'Source Table'!$B$8</f>
        <v>Plants  Production</v>
      </c>
      <c r="I77" s="23" t="str">
        <f>'Source Table'!$E$8</f>
        <v>الإنتاج النباتي</v>
      </c>
      <c r="J77" s="36">
        <v>2762</v>
      </c>
      <c r="K77">
        <v>2017</v>
      </c>
    </row>
    <row r="78" spans="1:11" ht="15">
      <c r="A78" t="s">
        <v>111</v>
      </c>
      <c r="B78" t="s">
        <v>96</v>
      </c>
      <c r="C78" s="15" t="s">
        <v>30</v>
      </c>
      <c r="D78" s="22" t="s">
        <v>81</v>
      </c>
      <c r="E78" s="23" t="s">
        <v>82</v>
      </c>
      <c r="F78" s="23" t="str">
        <f>'Source Table'!$D$6</f>
        <v>Male</v>
      </c>
      <c r="G78" s="23" t="str">
        <f>'Source Table'!$D$5</f>
        <v>ذكر</v>
      </c>
      <c r="H78" s="23" t="str">
        <f>'Source Table'!$B$9</f>
        <v xml:space="preserve">Agricultural Economics  </v>
      </c>
      <c r="I78" s="23" t="str">
        <f>'Source Table'!$E$9</f>
        <v>الاقتصاد الزراعي</v>
      </c>
      <c r="J78" s="36">
        <v>756</v>
      </c>
      <c r="K78">
        <v>2017</v>
      </c>
    </row>
    <row r="79" spans="1:11" ht="15">
      <c r="A79" t="s">
        <v>111</v>
      </c>
      <c r="B79" t="s">
        <v>96</v>
      </c>
      <c r="C79" s="15" t="s">
        <v>30</v>
      </c>
      <c r="D79" s="22" t="s">
        <v>81</v>
      </c>
      <c r="E79" s="23" t="s">
        <v>82</v>
      </c>
      <c r="F79" s="23" t="str">
        <f>'Source Table'!$D$6</f>
        <v>Male</v>
      </c>
      <c r="G79" s="23" t="str">
        <f>'Source Table'!$D$5</f>
        <v>ذكر</v>
      </c>
      <c r="H79" s="23" t="str">
        <f>'Source Table'!$B$10</f>
        <v>Animal Production</v>
      </c>
      <c r="I79" s="23" t="str">
        <f>'Source Table'!$E$10</f>
        <v>الإنتاج الحيواني</v>
      </c>
      <c r="J79" s="36">
        <v>1570</v>
      </c>
      <c r="K79">
        <v>2017</v>
      </c>
    </row>
    <row r="80" spans="1:11" ht="15">
      <c r="A80" t="s">
        <v>111</v>
      </c>
      <c r="B80" t="s">
        <v>96</v>
      </c>
      <c r="C80" s="15" t="s">
        <v>30</v>
      </c>
      <c r="D80" s="22" t="s">
        <v>81</v>
      </c>
      <c r="E80" s="23" t="s">
        <v>82</v>
      </c>
      <c r="F80" s="23" t="str">
        <f>'Source Table'!$D$6</f>
        <v>Male</v>
      </c>
      <c r="G80" s="23" t="str">
        <f>'Source Table'!$D$5</f>
        <v>ذكر</v>
      </c>
      <c r="H80" s="23" t="str">
        <f>'Source Table'!$B$11</f>
        <v>Environment &amp;  Irrigation</v>
      </c>
      <c r="I80" s="23" t="str">
        <f>'Source Table'!$E$11</f>
        <v>الموارد المائيةوالبيئة</v>
      </c>
      <c r="J80" s="36">
        <v>925</v>
      </c>
      <c r="K80">
        <v>2017</v>
      </c>
    </row>
    <row r="81" spans="1:11" ht="15">
      <c r="A81" t="s">
        <v>111</v>
      </c>
      <c r="B81" t="s">
        <v>96</v>
      </c>
      <c r="C81" s="15" t="s">
        <v>30</v>
      </c>
      <c r="D81" s="22" t="s">
        <v>81</v>
      </c>
      <c r="E81" s="23" t="s">
        <v>82</v>
      </c>
      <c r="F81" s="23" t="str">
        <f>'Source Table'!$D$6</f>
        <v>Male</v>
      </c>
      <c r="G81" s="23" t="str">
        <f>'Source Table'!$D$5</f>
        <v>ذكر</v>
      </c>
      <c r="H81" s="23" t="str">
        <f>'Source Table'!$B$12</f>
        <v>Nutrition and Industries</v>
      </c>
      <c r="I81" s="23" t="str">
        <f>'Source Table'!$E$12</f>
        <v>التغذية والصناعات</v>
      </c>
      <c r="J81" s="36">
        <v>1132</v>
      </c>
      <c r="K81">
        <v>2017</v>
      </c>
    </row>
    <row r="82" spans="1:11" ht="15">
      <c r="A82" t="s">
        <v>111</v>
      </c>
      <c r="B82" t="s">
        <v>96</v>
      </c>
      <c r="C82" s="15" t="s">
        <v>30</v>
      </c>
      <c r="D82" s="22" t="s">
        <v>81</v>
      </c>
      <c r="E82" s="23" t="s">
        <v>82</v>
      </c>
      <c r="F82" s="23" t="str">
        <f>'Source Table'!$C$6</f>
        <v>Female</v>
      </c>
      <c r="G82" s="23" t="str">
        <f>'Source Table'!$C$5</f>
        <v>أنثى</v>
      </c>
      <c r="H82" s="23" t="str">
        <f>'Source Table'!$B$7</f>
        <v>Plants Protection</v>
      </c>
      <c r="I82" s="23" t="str">
        <f>'Source Table'!$E$7</f>
        <v>الوقاية النباتية</v>
      </c>
      <c r="J82" s="36">
        <v>411</v>
      </c>
      <c r="K82">
        <v>2017</v>
      </c>
    </row>
    <row r="83" spans="1:11" ht="15">
      <c r="A83" t="s">
        <v>111</v>
      </c>
      <c r="B83" t="s">
        <v>96</v>
      </c>
      <c r="C83" s="15" t="s">
        <v>30</v>
      </c>
      <c r="D83" s="22" t="s">
        <v>81</v>
      </c>
      <c r="E83" s="23" t="s">
        <v>82</v>
      </c>
      <c r="F83" s="23" t="str">
        <f>'Source Table'!$C$6</f>
        <v>Female</v>
      </c>
      <c r="G83" s="23" t="str">
        <f>'Source Table'!$C$5</f>
        <v>أنثى</v>
      </c>
      <c r="H83" s="23" t="str">
        <f>'Source Table'!$B$8</f>
        <v>Plants  Production</v>
      </c>
      <c r="I83" s="23" t="str">
        <f>'Source Table'!$E$8</f>
        <v>الإنتاج النباتي</v>
      </c>
      <c r="J83" s="36">
        <v>2013</v>
      </c>
      <c r="K83">
        <v>2017</v>
      </c>
    </row>
    <row r="84" spans="1:11" ht="15">
      <c r="A84" t="s">
        <v>111</v>
      </c>
      <c r="B84" t="s">
        <v>96</v>
      </c>
      <c r="C84" s="15" t="s">
        <v>30</v>
      </c>
      <c r="D84" s="22" t="s">
        <v>81</v>
      </c>
      <c r="E84" s="23" t="s">
        <v>82</v>
      </c>
      <c r="F84" s="23" t="str">
        <f>'Source Table'!$C$6</f>
        <v>Female</v>
      </c>
      <c r="G84" s="23" t="str">
        <f>'Source Table'!$C$5</f>
        <v>أنثى</v>
      </c>
      <c r="H84" s="23" t="str">
        <f>'Source Table'!$B$9</f>
        <v xml:space="preserve">Agricultural Economics  </v>
      </c>
      <c r="I84" s="23" t="str">
        <f>'Source Table'!$E$9</f>
        <v>الاقتصاد الزراعي</v>
      </c>
      <c r="J84" s="36">
        <v>622</v>
      </c>
      <c r="K84">
        <v>2017</v>
      </c>
    </row>
    <row r="85" spans="1:11" ht="15">
      <c r="A85" t="s">
        <v>111</v>
      </c>
      <c r="B85" t="s">
        <v>96</v>
      </c>
      <c r="C85" s="15" t="s">
        <v>30</v>
      </c>
      <c r="D85" s="22" t="s">
        <v>81</v>
      </c>
      <c r="E85" s="23" t="s">
        <v>82</v>
      </c>
      <c r="F85" s="23" t="str">
        <f>'Source Table'!$C$6</f>
        <v>Female</v>
      </c>
      <c r="G85" s="23" t="str">
        <f>'Source Table'!$C$5</f>
        <v>أنثى</v>
      </c>
      <c r="H85" s="23" t="str">
        <f>'Source Table'!$B$10</f>
        <v>Animal Production</v>
      </c>
      <c r="I85" s="23" t="str">
        <f>'Source Table'!$E$10</f>
        <v>الإنتاج الحيواني</v>
      </c>
      <c r="J85" s="36">
        <v>305</v>
      </c>
      <c r="K85">
        <v>2017</v>
      </c>
    </row>
    <row r="86" spans="1:11" ht="15">
      <c r="A86" t="s">
        <v>111</v>
      </c>
      <c r="B86" t="s">
        <v>96</v>
      </c>
      <c r="C86" s="15" t="s">
        <v>30</v>
      </c>
      <c r="D86" s="22" t="s">
        <v>81</v>
      </c>
      <c r="E86" s="23" t="s">
        <v>82</v>
      </c>
      <c r="F86" s="23" t="str">
        <f>'Source Table'!$C$6</f>
        <v>Female</v>
      </c>
      <c r="G86" s="23" t="str">
        <f>'Source Table'!$C$5</f>
        <v>أنثى</v>
      </c>
      <c r="H86" s="23" t="str">
        <f>'Source Table'!$B$11</f>
        <v>Environment &amp;  Irrigation</v>
      </c>
      <c r="I86" s="23" t="str">
        <f>'Source Table'!$E$11</f>
        <v>الموارد المائيةوالبيئة</v>
      </c>
      <c r="J86" s="36">
        <v>1460</v>
      </c>
      <c r="K86">
        <v>2017</v>
      </c>
    </row>
    <row r="87" spans="1:11" ht="15">
      <c r="A87" t="s">
        <v>111</v>
      </c>
      <c r="B87" t="s">
        <v>96</v>
      </c>
      <c r="C87" s="15" t="s">
        <v>30</v>
      </c>
      <c r="D87" s="22" t="s">
        <v>81</v>
      </c>
      <c r="E87" s="23" t="s">
        <v>82</v>
      </c>
      <c r="F87" s="23" t="str">
        <f>'Source Table'!$C$6</f>
        <v>Female</v>
      </c>
      <c r="G87" s="23" t="str">
        <f>'Source Table'!$C$5</f>
        <v>أنثى</v>
      </c>
      <c r="H87" s="23" t="str">
        <f>'Source Table'!$B$12</f>
        <v>Nutrition and Industries</v>
      </c>
      <c r="I87" s="23" t="str">
        <f>'Source Table'!$E$12</f>
        <v>التغذية والصناعات</v>
      </c>
      <c r="J87" s="36">
        <v>3313</v>
      </c>
      <c r="K87">
        <v>2017</v>
      </c>
    </row>
    <row r="88" spans="1:11" ht="15">
      <c r="A88" t="s">
        <v>111</v>
      </c>
      <c r="B88" t="s">
        <v>96</v>
      </c>
      <c r="C88" s="15" t="s">
        <v>30</v>
      </c>
      <c r="D88" s="22" t="s">
        <v>81</v>
      </c>
      <c r="E88" s="23" t="s">
        <v>82</v>
      </c>
      <c r="F88" s="23" t="str">
        <f>'Source Table'!$D$6</f>
        <v>Male</v>
      </c>
      <c r="G88" s="23" t="str">
        <f>'Source Table'!$D$5</f>
        <v>ذكر</v>
      </c>
      <c r="H88" s="23" t="str">
        <f>'Source Table'!$B$7</f>
        <v>Plants Protection</v>
      </c>
      <c r="I88" s="23" t="str">
        <f>'Source Table'!$E$7</f>
        <v>الوقاية النباتية</v>
      </c>
      <c r="J88" s="36">
        <v>810</v>
      </c>
      <c r="K88">
        <v>2016</v>
      </c>
    </row>
    <row r="89" spans="1:11" ht="15">
      <c r="A89" t="s">
        <v>111</v>
      </c>
      <c r="B89" t="s">
        <v>96</v>
      </c>
      <c r="C89" s="15" t="s">
        <v>30</v>
      </c>
      <c r="D89" s="22" t="s">
        <v>81</v>
      </c>
      <c r="E89" s="23" t="s">
        <v>82</v>
      </c>
      <c r="F89" s="23" t="str">
        <f>'Source Table'!$D$6</f>
        <v>Male</v>
      </c>
      <c r="G89" s="23" t="str">
        <f>'Source Table'!$D$5</f>
        <v>ذكر</v>
      </c>
      <c r="H89" s="23" t="str">
        <f>'Source Table'!$B$8</f>
        <v>Plants  Production</v>
      </c>
      <c r="I89" s="23" t="str">
        <f>'Source Table'!$E$8</f>
        <v>الإنتاج النباتي</v>
      </c>
      <c r="J89" s="36">
        <v>2671</v>
      </c>
      <c r="K89">
        <v>2016</v>
      </c>
    </row>
    <row r="90" spans="1:11" ht="15">
      <c r="A90" t="s">
        <v>111</v>
      </c>
      <c r="B90" t="s">
        <v>96</v>
      </c>
      <c r="C90" s="15" t="s">
        <v>30</v>
      </c>
      <c r="D90" s="22" t="s">
        <v>81</v>
      </c>
      <c r="E90" s="23" t="s">
        <v>82</v>
      </c>
      <c r="F90" s="23" t="str">
        <f>'Source Table'!$D$6</f>
        <v>Male</v>
      </c>
      <c r="G90" s="23" t="str">
        <f>'Source Table'!$D$5</f>
        <v>ذكر</v>
      </c>
      <c r="H90" s="23" t="str">
        <f>'Source Table'!$B$9</f>
        <v xml:space="preserve">Agricultural Economics  </v>
      </c>
      <c r="I90" s="23" t="str">
        <f>'Source Table'!$E$9</f>
        <v>الاقتصاد الزراعي</v>
      </c>
      <c r="J90" s="36">
        <v>753</v>
      </c>
      <c r="K90">
        <v>2016</v>
      </c>
    </row>
    <row r="91" spans="1:11" ht="15">
      <c r="A91" t="s">
        <v>111</v>
      </c>
      <c r="B91" t="s">
        <v>96</v>
      </c>
      <c r="C91" s="15" t="s">
        <v>30</v>
      </c>
      <c r="D91" s="22" t="s">
        <v>81</v>
      </c>
      <c r="E91" s="23" t="s">
        <v>82</v>
      </c>
      <c r="F91" s="23" t="str">
        <f>'Source Table'!$D$6</f>
        <v>Male</v>
      </c>
      <c r="G91" s="23" t="str">
        <f>'Source Table'!$D$5</f>
        <v>ذكر</v>
      </c>
      <c r="H91" s="23" t="str">
        <f>'Source Table'!$B$10</f>
        <v>Animal Production</v>
      </c>
      <c r="I91" s="23" t="str">
        <f>'Source Table'!$E$10</f>
        <v>الإنتاج الحيواني</v>
      </c>
      <c r="J91" s="36">
        <v>1543</v>
      </c>
      <c r="K91">
        <v>2016</v>
      </c>
    </row>
    <row r="92" spans="1:11" ht="15">
      <c r="A92" t="s">
        <v>111</v>
      </c>
      <c r="B92" t="s">
        <v>96</v>
      </c>
      <c r="C92" s="15" t="s">
        <v>30</v>
      </c>
      <c r="D92" s="22" t="s">
        <v>81</v>
      </c>
      <c r="E92" s="23" t="s">
        <v>82</v>
      </c>
      <c r="F92" s="23" t="str">
        <f>'Source Table'!$D$6</f>
        <v>Male</v>
      </c>
      <c r="G92" s="23" t="str">
        <f>'Source Table'!$D$5</f>
        <v>ذكر</v>
      </c>
      <c r="H92" s="23" t="str">
        <f>'Source Table'!$B$11</f>
        <v>Environment &amp;  Irrigation</v>
      </c>
      <c r="I92" s="23" t="str">
        <f>'Source Table'!$E$11</f>
        <v>الموارد المائيةوالبيئة</v>
      </c>
      <c r="J92" s="36">
        <v>890</v>
      </c>
      <c r="K92">
        <v>2016</v>
      </c>
    </row>
    <row r="93" spans="1:11" ht="15">
      <c r="A93" t="s">
        <v>111</v>
      </c>
      <c r="B93" t="s">
        <v>96</v>
      </c>
      <c r="C93" s="15" t="s">
        <v>30</v>
      </c>
      <c r="D93" s="22" t="s">
        <v>81</v>
      </c>
      <c r="E93" s="23" t="s">
        <v>82</v>
      </c>
      <c r="F93" s="23" t="str">
        <f>'Source Table'!$D$6</f>
        <v>Male</v>
      </c>
      <c r="G93" s="23" t="str">
        <f>'Source Table'!$D$5</f>
        <v>ذكر</v>
      </c>
      <c r="H93" s="23" t="str">
        <f>'Source Table'!$B$12</f>
        <v>Nutrition and Industries</v>
      </c>
      <c r="I93" s="23" t="str">
        <f>'Source Table'!$E$12</f>
        <v>التغذية والصناعات</v>
      </c>
      <c r="J93" s="36">
        <v>1078</v>
      </c>
      <c r="K93">
        <v>2016</v>
      </c>
    </row>
    <row r="94" spans="1:11" ht="15">
      <c r="A94" t="s">
        <v>111</v>
      </c>
      <c r="B94" t="s">
        <v>96</v>
      </c>
      <c r="C94" s="15" t="s">
        <v>30</v>
      </c>
      <c r="D94" s="22" t="s">
        <v>81</v>
      </c>
      <c r="E94" s="23" t="s">
        <v>82</v>
      </c>
      <c r="F94" s="23" t="str">
        <f>'Source Table'!$C$6</f>
        <v>Female</v>
      </c>
      <c r="G94" s="23" t="str">
        <f>'Source Table'!$C$5</f>
        <v>أنثى</v>
      </c>
      <c r="H94" s="23" t="str">
        <f>'Source Table'!$B$7</f>
        <v>Plants Protection</v>
      </c>
      <c r="I94" s="23" t="str">
        <f>'Source Table'!$E$7</f>
        <v>الوقاية النباتية</v>
      </c>
      <c r="J94" s="36">
        <v>403</v>
      </c>
      <c r="K94">
        <v>2016</v>
      </c>
    </row>
    <row r="95" spans="1:11" ht="15">
      <c r="A95" t="s">
        <v>111</v>
      </c>
      <c r="B95" t="s">
        <v>96</v>
      </c>
      <c r="C95" s="15" t="s">
        <v>30</v>
      </c>
      <c r="D95" s="22" t="s">
        <v>81</v>
      </c>
      <c r="E95" s="23" t="s">
        <v>82</v>
      </c>
      <c r="F95" s="23" t="str">
        <f>'Source Table'!$C$6</f>
        <v>Female</v>
      </c>
      <c r="G95" s="23" t="str">
        <f>'Source Table'!$C$5</f>
        <v>أنثى</v>
      </c>
      <c r="H95" s="23" t="str">
        <f>'Source Table'!$B$8</f>
        <v>Plants  Production</v>
      </c>
      <c r="I95" s="23" t="str">
        <f>'Source Table'!$E$8</f>
        <v>الإنتاج النباتي</v>
      </c>
      <c r="J95" s="36">
        <v>1929</v>
      </c>
      <c r="K95">
        <v>2016</v>
      </c>
    </row>
    <row r="96" spans="1:11" ht="15">
      <c r="A96" t="s">
        <v>111</v>
      </c>
      <c r="B96" t="s">
        <v>96</v>
      </c>
      <c r="C96" s="15" t="s">
        <v>30</v>
      </c>
      <c r="D96" s="22" t="s">
        <v>81</v>
      </c>
      <c r="E96" s="23" t="s">
        <v>82</v>
      </c>
      <c r="F96" s="23" t="str">
        <f>'Source Table'!$C$6</f>
        <v>Female</v>
      </c>
      <c r="G96" s="23" t="str">
        <f>'Source Table'!$C$5</f>
        <v>أنثى</v>
      </c>
      <c r="H96" s="23" t="str">
        <f>'Source Table'!$B$9</f>
        <v xml:space="preserve">Agricultural Economics  </v>
      </c>
      <c r="I96" s="23" t="str">
        <f>'Source Table'!$E$9</f>
        <v>الاقتصاد الزراعي</v>
      </c>
      <c r="J96" s="36">
        <v>601</v>
      </c>
      <c r="K96">
        <v>2016</v>
      </c>
    </row>
    <row r="97" spans="1:11" ht="15">
      <c r="A97" t="s">
        <v>111</v>
      </c>
      <c r="B97" t="s">
        <v>96</v>
      </c>
      <c r="C97" s="15" t="s">
        <v>30</v>
      </c>
      <c r="D97" s="22" t="s">
        <v>81</v>
      </c>
      <c r="E97" s="23" t="s">
        <v>82</v>
      </c>
      <c r="F97" s="23" t="str">
        <f>'Source Table'!$C$6</f>
        <v>Female</v>
      </c>
      <c r="G97" s="23" t="str">
        <f>'Source Table'!$C$5</f>
        <v>أنثى</v>
      </c>
      <c r="H97" s="23" t="str">
        <f>'Source Table'!$B$10</f>
        <v>Animal Production</v>
      </c>
      <c r="I97" s="23" t="str">
        <f>'Source Table'!$E$10</f>
        <v>الإنتاج الحيواني</v>
      </c>
      <c r="J97" s="36">
        <v>295</v>
      </c>
      <c r="K97">
        <v>2016</v>
      </c>
    </row>
    <row r="98" spans="1:11" ht="15">
      <c r="A98" t="s">
        <v>111</v>
      </c>
      <c r="B98" t="s">
        <v>96</v>
      </c>
      <c r="C98" s="15" t="s">
        <v>30</v>
      </c>
      <c r="D98" s="22" t="s">
        <v>81</v>
      </c>
      <c r="E98" s="23" t="s">
        <v>82</v>
      </c>
      <c r="F98" s="23" t="str">
        <f>'Source Table'!$C$6</f>
        <v>Female</v>
      </c>
      <c r="G98" s="23" t="str">
        <f>'Source Table'!$C$5</f>
        <v>أنثى</v>
      </c>
      <c r="H98" s="23" t="str">
        <f>'Source Table'!$B$11</f>
        <v>Environment &amp;  Irrigation</v>
      </c>
      <c r="I98" s="23" t="str">
        <f>'Source Table'!$E$11</f>
        <v>الموارد المائيةوالبيئة</v>
      </c>
      <c r="J98" s="36">
        <v>1332</v>
      </c>
      <c r="K98">
        <v>2016</v>
      </c>
    </row>
    <row r="99" spans="1:11" ht="15">
      <c r="A99" t="s">
        <v>111</v>
      </c>
      <c r="B99" t="s">
        <v>96</v>
      </c>
      <c r="C99" s="15" t="s">
        <v>30</v>
      </c>
      <c r="D99" s="22" t="s">
        <v>81</v>
      </c>
      <c r="E99" s="23" t="s">
        <v>82</v>
      </c>
      <c r="F99" s="23" t="str">
        <f>'Source Table'!$C$6</f>
        <v>Female</v>
      </c>
      <c r="G99" s="23" t="str">
        <f>'Source Table'!$C$5</f>
        <v>أنثى</v>
      </c>
      <c r="H99" s="23" t="str">
        <f>'Source Table'!$B$12</f>
        <v>Nutrition and Industries</v>
      </c>
      <c r="I99" s="23" t="str">
        <f>'Source Table'!$E$12</f>
        <v>التغذية والصناعات</v>
      </c>
      <c r="J99" s="36">
        <v>3036</v>
      </c>
      <c r="K99">
        <v>2016</v>
      </c>
    </row>
    <row r="100" spans="1:11" ht="15">
      <c r="A100" t="s">
        <v>111</v>
      </c>
      <c r="B100" t="s">
        <v>96</v>
      </c>
      <c r="C100" s="15" t="s">
        <v>30</v>
      </c>
      <c r="D100" s="22" t="s">
        <v>81</v>
      </c>
      <c r="E100" s="23" t="s">
        <v>82</v>
      </c>
      <c r="F100" s="23" t="str">
        <f>'Source Table'!$D$6</f>
        <v>Male</v>
      </c>
      <c r="G100" s="23" t="str">
        <f>'Source Table'!$D$5</f>
        <v>ذكر</v>
      </c>
      <c r="H100" s="23" t="str">
        <f>'Source Table'!$B$7</f>
        <v>Plants Protection</v>
      </c>
      <c r="I100" s="23" t="str">
        <f>'Source Table'!$E$7</f>
        <v>الوقاية النباتية</v>
      </c>
      <c r="J100" s="36">
        <v>793</v>
      </c>
      <c r="K100">
        <v>2015</v>
      </c>
    </row>
    <row r="101" spans="1:11" ht="15">
      <c r="A101" t="s">
        <v>111</v>
      </c>
      <c r="B101" t="s">
        <v>96</v>
      </c>
      <c r="C101" s="15" t="s">
        <v>30</v>
      </c>
      <c r="D101" s="22" t="s">
        <v>81</v>
      </c>
      <c r="E101" s="23" t="s">
        <v>82</v>
      </c>
      <c r="F101" s="23" t="str">
        <f>'Source Table'!$D$6</f>
        <v>Male</v>
      </c>
      <c r="G101" s="23" t="str">
        <f>'Source Table'!$D$5</f>
        <v>ذكر</v>
      </c>
      <c r="H101" s="23" t="str">
        <f>'Source Table'!$B$8</f>
        <v>Plants  Production</v>
      </c>
      <c r="I101" s="23" t="str">
        <f>'Source Table'!$E$8</f>
        <v>الإنتاج النباتي</v>
      </c>
      <c r="J101" s="36">
        <v>2559</v>
      </c>
      <c r="K101">
        <v>2015</v>
      </c>
    </row>
    <row r="102" spans="1:11" ht="15">
      <c r="A102" t="s">
        <v>111</v>
      </c>
      <c r="B102" t="s">
        <v>96</v>
      </c>
      <c r="C102" s="15" t="s">
        <v>30</v>
      </c>
      <c r="D102" s="22" t="s">
        <v>81</v>
      </c>
      <c r="E102" s="23" t="s">
        <v>82</v>
      </c>
      <c r="F102" s="23" t="str">
        <f>'Source Table'!$D$6</f>
        <v>Male</v>
      </c>
      <c r="G102" s="23" t="str">
        <f>'Source Table'!$D$5</f>
        <v>ذكر</v>
      </c>
      <c r="H102" s="23" t="str">
        <f>'Source Table'!$B$9</f>
        <v xml:space="preserve">Agricultural Economics  </v>
      </c>
      <c r="I102" s="23" t="str">
        <f>'Source Table'!$E$9</f>
        <v>الاقتصاد الزراعي</v>
      </c>
      <c r="J102" s="36">
        <v>743</v>
      </c>
      <c r="K102">
        <v>2015</v>
      </c>
    </row>
    <row r="103" spans="1:11" ht="15">
      <c r="A103" t="s">
        <v>111</v>
      </c>
      <c r="B103" t="s">
        <v>96</v>
      </c>
      <c r="C103" s="15" t="s">
        <v>30</v>
      </c>
      <c r="D103" s="22" t="s">
        <v>81</v>
      </c>
      <c r="E103" s="23" t="s">
        <v>82</v>
      </c>
      <c r="F103" s="23" t="str">
        <f>'Source Table'!$D$6</f>
        <v>Male</v>
      </c>
      <c r="G103" s="23" t="str">
        <f>'Source Table'!$D$5</f>
        <v>ذكر</v>
      </c>
      <c r="H103" s="23" t="str">
        <f>'Source Table'!$B$10</f>
        <v>Animal Production</v>
      </c>
      <c r="I103" s="23" t="str">
        <f>'Source Table'!$E$10</f>
        <v>الإنتاج الحيواني</v>
      </c>
      <c r="J103" s="36">
        <v>1479</v>
      </c>
      <c r="K103">
        <v>2015</v>
      </c>
    </row>
    <row r="104" spans="1:11" ht="15">
      <c r="A104" t="s">
        <v>111</v>
      </c>
      <c r="B104" t="s">
        <v>96</v>
      </c>
      <c r="C104" s="15" t="s">
        <v>30</v>
      </c>
      <c r="D104" s="22" t="s">
        <v>81</v>
      </c>
      <c r="E104" s="23" t="s">
        <v>82</v>
      </c>
      <c r="F104" s="23" t="str">
        <f>'Source Table'!$D$6</f>
        <v>Male</v>
      </c>
      <c r="G104" s="23" t="str">
        <f>'Source Table'!$D$5</f>
        <v>ذكر</v>
      </c>
      <c r="H104" s="23" t="str">
        <f>'Source Table'!$B$11</f>
        <v>Environment &amp;  Irrigation</v>
      </c>
      <c r="I104" s="23" t="str">
        <f>'Source Table'!$E$11</f>
        <v>الموارد المائيةوالبيئة</v>
      </c>
      <c r="J104" s="36">
        <v>858</v>
      </c>
      <c r="K104">
        <v>2015</v>
      </c>
    </row>
    <row r="105" spans="1:11" ht="15">
      <c r="A105" t="s">
        <v>111</v>
      </c>
      <c r="B105" t="s">
        <v>96</v>
      </c>
      <c r="C105" s="15" t="s">
        <v>30</v>
      </c>
      <c r="D105" s="22" t="s">
        <v>81</v>
      </c>
      <c r="E105" s="23" t="s">
        <v>82</v>
      </c>
      <c r="F105" s="23" t="str">
        <f>'Source Table'!$D$6</f>
        <v>Male</v>
      </c>
      <c r="G105" s="23" t="str">
        <f>'Source Table'!$D$5</f>
        <v>ذكر</v>
      </c>
      <c r="H105" s="23" t="str">
        <f>'Source Table'!$B$12</f>
        <v>Nutrition and Industries</v>
      </c>
      <c r="I105" s="23" t="str">
        <f>'Source Table'!$E$12</f>
        <v>التغذية والصناعات</v>
      </c>
      <c r="J105" s="36">
        <v>992</v>
      </c>
      <c r="K105">
        <v>2015</v>
      </c>
    </row>
    <row r="106" spans="1:11" ht="15">
      <c r="A106" t="s">
        <v>111</v>
      </c>
      <c r="B106" t="s">
        <v>96</v>
      </c>
      <c r="C106" s="15" t="s">
        <v>30</v>
      </c>
      <c r="D106" s="22" t="s">
        <v>81</v>
      </c>
      <c r="E106" s="23" t="s">
        <v>82</v>
      </c>
      <c r="F106" s="23" t="str">
        <f>'Source Table'!$C$6</f>
        <v>Female</v>
      </c>
      <c r="G106" s="23" t="str">
        <f>'Source Table'!$C$5</f>
        <v>أنثى</v>
      </c>
      <c r="H106" s="23" t="str">
        <f>'Source Table'!$B$7</f>
        <v>Plants Protection</v>
      </c>
      <c r="I106" s="23" t="str">
        <f>'Source Table'!$E$7</f>
        <v>الوقاية النباتية</v>
      </c>
      <c r="J106" s="36">
        <v>386</v>
      </c>
      <c r="K106">
        <v>2015</v>
      </c>
    </row>
    <row r="107" spans="1:11" ht="15">
      <c r="A107" t="s">
        <v>111</v>
      </c>
      <c r="B107" t="s">
        <v>96</v>
      </c>
      <c r="C107" s="15" t="s">
        <v>30</v>
      </c>
      <c r="D107" s="22" t="s">
        <v>81</v>
      </c>
      <c r="E107" s="23" t="s">
        <v>82</v>
      </c>
      <c r="F107" s="23" t="str">
        <f>'Source Table'!$C$6</f>
        <v>Female</v>
      </c>
      <c r="G107" s="23" t="str">
        <f>'Source Table'!$C$5</f>
        <v>أنثى</v>
      </c>
      <c r="H107" s="23" t="str">
        <f>'Source Table'!$B$8</f>
        <v>Plants  Production</v>
      </c>
      <c r="I107" s="23" t="str">
        <f>'Source Table'!$E$8</f>
        <v>الإنتاج النباتي</v>
      </c>
      <c r="J107" s="36">
        <v>1801</v>
      </c>
      <c r="K107">
        <v>2015</v>
      </c>
    </row>
    <row r="108" spans="1:11" ht="15">
      <c r="A108" t="s">
        <v>111</v>
      </c>
      <c r="B108" t="s">
        <v>96</v>
      </c>
      <c r="C108" s="15" t="s">
        <v>30</v>
      </c>
      <c r="D108" s="22" t="s">
        <v>81</v>
      </c>
      <c r="E108" s="23" t="s">
        <v>82</v>
      </c>
      <c r="F108" s="23" t="str">
        <f>'Source Table'!$C$6</f>
        <v>Female</v>
      </c>
      <c r="G108" s="23" t="str">
        <f>'Source Table'!$C$5</f>
        <v>أنثى</v>
      </c>
      <c r="H108" s="23" t="str">
        <f>'Source Table'!$B$9</f>
        <v xml:space="preserve">Agricultural Economics  </v>
      </c>
      <c r="I108" s="23" t="str">
        <f>'Source Table'!$E$9</f>
        <v>الاقتصاد الزراعي</v>
      </c>
      <c r="J108" s="36">
        <v>583</v>
      </c>
      <c r="K108">
        <v>2015</v>
      </c>
    </row>
    <row r="109" spans="1:11" ht="15">
      <c r="A109" t="s">
        <v>111</v>
      </c>
      <c r="B109" t="s">
        <v>96</v>
      </c>
      <c r="C109" s="15" t="s">
        <v>30</v>
      </c>
      <c r="D109" s="22" t="s">
        <v>81</v>
      </c>
      <c r="E109" s="23" t="s">
        <v>82</v>
      </c>
      <c r="F109" s="23" t="str">
        <f>'Source Table'!$C$6</f>
        <v>Female</v>
      </c>
      <c r="G109" s="23" t="str">
        <f>'Source Table'!$C$5</f>
        <v>أنثى</v>
      </c>
      <c r="H109" s="23" t="str">
        <f>'Source Table'!$B$10</f>
        <v>Animal Production</v>
      </c>
      <c r="I109" s="23" t="str">
        <f>'Source Table'!$E$10</f>
        <v>الإنتاج الحيواني</v>
      </c>
      <c r="J109" s="36">
        <v>275</v>
      </c>
      <c r="K109">
        <v>2015</v>
      </c>
    </row>
    <row r="110" spans="1:11" ht="15">
      <c r="A110" t="s">
        <v>111</v>
      </c>
      <c r="B110" t="s">
        <v>96</v>
      </c>
      <c r="C110" s="15" t="s">
        <v>30</v>
      </c>
      <c r="D110" s="22" t="s">
        <v>81</v>
      </c>
      <c r="E110" s="23" t="s">
        <v>82</v>
      </c>
      <c r="F110" s="23" t="str">
        <f>'Source Table'!$C$6</f>
        <v>Female</v>
      </c>
      <c r="G110" s="23" t="str">
        <f>'Source Table'!$C$5</f>
        <v>أنثى</v>
      </c>
      <c r="H110" s="23" t="str">
        <f>'Source Table'!$B$11</f>
        <v>Environment &amp;  Irrigation</v>
      </c>
      <c r="I110" s="23" t="str">
        <f>'Source Table'!$E$11</f>
        <v>الموارد المائيةوالبيئة</v>
      </c>
      <c r="J110" s="36">
        <v>1180</v>
      </c>
      <c r="K110">
        <v>2015</v>
      </c>
    </row>
    <row r="111" spans="1:11" ht="15">
      <c r="A111" t="s">
        <v>111</v>
      </c>
      <c r="B111" t="s">
        <v>96</v>
      </c>
      <c r="C111" s="15" t="s">
        <v>30</v>
      </c>
      <c r="D111" s="22" t="s">
        <v>81</v>
      </c>
      <c r="E111" s="23" t="s">
        <v>82</v>
      </c>
      <c r="F111" s="23" t="str">
        <f>'Source Table'!$C$6</f>
        <v>Female</v>
      </c>
      <c r="G111" s="23" t="str">
        <f>'Source Table'!$C$5</f>
        <v>أنثى</v>
      </c>
      <c r="H111" s="23" t="str">
        <f>'Source Table'!$B$12</f>
        <v>Nutrition and Industries</v>
      </c>
      <c r="I111" s="23" t="str">
        <f>'Source Table'!$E$12</f>
        <v>التغذية والصناعات</v>
      </c>
      <c r="J111" s="36">
        <v>2689</v>
      </c>
      <c r="K111">
        <v>2015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zoomScale="70" zoomScaleNormal="70" workbookViewId="0">
      <selection activeCell="A4" sqref="A4:L5"/>
    </sheetView>
  </sheetViews>
  <sheetFormatPr defaultColWidth="9" defaultRowHeight="13.5"/>
  <cols>
    <col min="1" max="8" width="24.375" customWidth="1"/>
    <col min="9" max="9" width="8.75" customWidth="1"/>
    <col min="10" max="10" width="11.375" customWidth="1"/>
    <col min="11" max="11" width="12" customWidth="1"/>
    <col min="12" max="12" width="9.875" customWidth="1"/>
    <col min="13" max="13" width="7.375" customWidth="1"/>
  </cols>
  <sheetData>
    <row r="1" spans="1:12">
      <c r="A1" s="11" t="s">
        <v>31</v>
      </c>
      <c r="B1" s="12">
        <f>DATE(B2,B3,1)</f>
        <v>45292</v>
      </c>
    </row>
    <row r="2" spans="1:12">
      <c r="A2" s="11" t="s">
        <v>11</v>
      </c>
      <c r="B2">
        <v>2024</v>
      </c>
      <c r="D2" s="12"/>
    </row>
    <row r="3" spans="1:12">
      <c r="A3" s="11" t="s">
        <v>32</v>
      </c>
      <c r="B3">
        <v>1</v>
      </c>
    </row>
    <row r="4" spans="1:12" s="10" customFormat="1" ht="18" customHeight="1">
      <c r="A4" s="13" t="s">
        <v>14</v>
      </c>
      <c r="B4" s="13" t="s">
        <v>15</v>
      </c>
      <c r="C4" s="13" t="s">
        <v>16</v>
      </c>
      <c r="D4" s="13" t="s">
        <v>17</v>
      </c>
      <c r="E4" s="13" t="s">
        <v>18</v>
      </c>
      <c r="F4" s="24" t="s">
        <v>112</v>
      </c>
      <c r="G4" s="24" t="s">
        <v>113</v>
      </c>
      <c r="H4" s="24" t="s">
        <v>98</v>
      </c>
      <c r="I4" s="24" t="s">
        <v>99</v>
      </c>
      <c r="J4" s="13" t="s">
        <v>19</v>
      </c>
      <c r="K4" s="13" t="s">
        <v>20</v>
      </c>
      <c r="L4" s="13" t="s">
        <v>21</v>
      </c>
    </row>
    <row r="5" spans="1:12" s="10" customFormat="1" ht="18" customHeight="1">
      <c r="A5" s="13" t="s">
        <v>22</v>
      </c>
      <c r="B5" s="13" t="s">
        <v>23</v>
      </c>
      <c r="C5" s="13" t="s">
        <v>24</v>
      </c>
      <c r="D5" s="13" t="s">
        <v>25</v>
      </c>
      <c r="E5" s="13" t="s">
        <v>26</v>
      </c>
      <c r="F5" s="24" t="s">
        <v>114</v>
      </c>
      <c r="G5" s="24" t="s">
        <v>115</v>
      </c>
      <c r="H5" s="24" t="s">
        <v>97</v>
      </c>
      <c r="I5" s="24" t="s">
        <v>100</v>
      </c>
      <c r="J5" s="13" t="s">
        <v>27</v>
      </c>
      <c r="K5" s="13" t="s">
        <v>28</v>
      </c>
      <c r="L5" s="13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8"/>
  <sheetViews>
    <sheetView topLeftCell="A17" workbookViewId="0">
      <selection activeCell="A20" sqref="A20"/>
    </sheetView>
  </sheetViews>
  <sheetFormatPr defaultColWidth="8.875" defaultRowHeight="13.5"/>
  <cols>
    <col min="1" max="1" width="90" style="1" customWidth="1"/>
    <col min="2" max="2" width="2.625" style="2" customWidth="1"/>
    <col min="3" max="3" width="87.25" style="3" customWidth="1"/>
    <col min="4" max="16384" width="8.875" style="4"/>
  </cols>
  <sheetData>
    <row r="2" spans="1:3" ht="18">
      <c r="A2" s="5" t="s">
        <v>33</v>
      </c>
      <c r="C2" s="6" t="s">
        <v>34</v>
      </c>
    </row>
    <row r="3" spans="1:3">
      <c r="A3" s="7"/>
    </row>
    <row r="4" spans="1:3" ht="27">
      <c r="A4" s="7" t="s">
        <v>35</v>
      </c>
      <c r="C4" s="3" t="s">
        <v>36</v>
      </c>
    </row>
    <row r="6" spans="1:3" ht="18">
      <c r="A6" s="5" t="s">
        <v>37</v>
      </c>
      <c r="C6" s="6" t="s">
        <v>38</v>
      </c>
    </row>
    <row r="7" spans="1:3">
      <c r="A7" s="7"/>
    </row>
    <row r="8" spans="1:3" ht="27">
      <c r="A8" s="8" t="s">
        <v>39</v>
      </c>
      <c r="C8" s="3" t="s">
        <v>40</v>
      </c>
    </row>
    <row r="10" spans="1:3" ht="18">
      <c r="A10" s="5" t="s">
        <v>41</v>
      </c>
      <c r="C10" s="6" t="s">
        <v>42</v>
      </c>
    </row>
    <row r="11" spans="1:3">
      <c r="A11" s="7"/>
    </row>
    <row r="12" spans="1:3">
      <c r="A12" s="7" t="s">
        <v>43</v>
      </c>
      <c r="C12" s="3" t="s">
        <v>44</v>
      </c>
    </row>
    <row r="13" spans="1:3" ht="27">
      <c r="A13" s="8" t="s">
        <v>45</v>
      </c>
      <c r="C13" s="9" t="s">
        <v>46</v>
      </c>
    </row>
    <row r="14" spans="1:3" ht="40.5">
      <c r="A14" s="8" t="s">
        <v>47</v>
      </c>
      <c r="C14" s="9" t="s">
        <v>48</v>
      </c>
    </row>
    <row r="15" spans="1:3" ht="27">
      <c r="A15" s="8" t="s">
        <v>49</v>
      </c>
      <c r="C15" s="9" t="s">
        <v>50</v>
      </c>
    </row>
    <row r="16" spans="1:3">
      <c r="A16" s="8" t="s">
        <v>51</v>
      </c>
      <c r="C16" s="9" t="s">
        <v>52</v>
      </c>
    </row>
    <row r="17" spans="1:3">
      <c r="A17" s="8" t="s">
        <v>53</v>
      </c>
      <c r="C17" s="9" t="s">
        <v>54</v>
      </c>
    </row>
    <row r="18" spans="1:3">
      <c r="A18" s="7" t="s">
        <v>55</v>
      </c>
      <c r="C18" s="3" t="s">
        <v>56</v>
      </c>
    </row>
    <row r="19" spans="1:3">
      <c r="A19" s="7" t="s">
        <v>57</v>
      </c>
      <c r="C19" s="3" t="s">
        <v>58</v>
      </c>
    </row>
    <row r="20" spans="1:3" ht="27">
      <c r="A20" s="8" t="s">
        <v>59</v>
      </c>
      <c r="C20" s="9" t="s">
        <v>60</v>
      </c>
    </row>
    <row r="22" spans="1:3" ht="18">
      <c r="A22" s="5" t="s">
        <v>61</v>
      </c>
      <c r="C22" s="6" t="s">
        <v>62</v>
      </c>
    </row>
    <row r="23" spans="1:3">
      <c r="A23" s="7"/>
    </row>
    <row r="24" spans="1:3" ht="27">
      <c r="A24" s="7" t="s">
        <v>63</v>
      </c>
      <c r="C24" s="3" t="s">
        <v>64</v>
      </c>
    </row>
    <row r="25" spans="1:3" ht="27">
      <c r="A25" s="7" t="s">
        <v>65</v>
      </c>
      <c r="C25" s="3" t="s">
        <v>66</v>
      </c>
    </row>
    <row r="27" spans="1:3" ht="18">
      <c r="A27" s="5" t="s">
        <v>67</v>
      </c>
      <c r="C27" s="6" t="s">
        <v>68</v>
      </c>
    </row>
    <row r="28" spans="1:3">
      <c r="A28" s="7"/>
    </row>
    <row r="29" spans="1:3" ht="27">
      <c r="A29" s="7" t="s">
        <v>69</v>
      </c>
      <c r="C29" s="3" t="s">
        <v>70</v>
      </c>
    </row>
    <row r="30" spans="1:3">
      <c r="A30" s="7" t="s">
        <v>71</v>
      </c>
      <c r="C30" s="3" t="s">
        <v>72</v>
      </c>
    </row>
    <row r="32" spans="1:3" ht="18">
      <c r="A32" s="5" t="s">
        <v>73</v>
      </c>
      <c r="C32" s="6" t="s">
        <v>74</v>
      </c>
    </row>
    <row r="33" spans="1:3">
      <c r="A33" s="7"/>
    </row>
    <row r="34" spans="1:3">
      <c r="A34" s="8" t="s">
        <v>75</v>
      </c>
      <c r="C34" s="3" t="s">
        <v>76</v>
      </c>
    </row>
    <row r="36" spans="1:3" ht="18">
      <c r="A36" s="5" t="s">
        <v>77</v>
      </c>
      <c r="C36" s="6" t="s">
        <v>78</v>
      </c>
    </row>
    <row r="37" spans="1:3">
      <c r="A37" s="7"/>
    </row>
    <row r="38" spans="1:3" ht="27">
      <c r="A38" s="7" t="s">
        <v>79</v>
      </c>
      <c r="C38" s="3" t="s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9D8868F97254F9E5095DCA93C6B5E" ma:contentTypeVersion="4" ma:contentTypeDescription="Create a new document." ma:contentTypeScope="" ma:versionID="c382a7e8560abba42d9175972971dca4">
  <xsd:schema xmlns:xsd="http://www.w3.org/2001/XMLSchema" xmlns:xs="http://www.w3.org/2001/XMLSchema" xmlns:p="http://schemas.microsoft.com/office/2006/metadata/properties" xmlns:ns2="5f3aa2a1-f742-4cb3-874a-b3631849deb5" targetNamespace="http://schemas.microsoft.com/office/2006/metadata/properties" ma:root="true" ma:fieldsID="dff2fb13bd7f76f9795f131d17ef348c" ns2:_="">
    <xsd:import namespace="5f3aa2a1-f742-4cb3-874a-b3631849de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aa2a1-f742-4cb3-874a-b3631849de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Range1" rangeCreator="" othersAccessPermission="edit"/>
  </rangeList>
  <rangeList sheetStid="3" master="" otherUserPermission="visible"/>
  <rangeList sheetStid="4" master="" otherUserPermission="visible"/>
  <rangeList sheetStid="6" master="" otherUserPermission="visible"/>
</allowEditUser>
</file>

<file path=customXml/itemProps1.xml><?xml version="1.0" encoding="utf-8"?>
<ds:datastoreItem xmlns:ds="http://schemas.openxmlformats.org/officeDocument/2006/customXml" ds:itemID="{376B0781-3F54-40BC-A068-7F5A2310ECAB}">
  <ds:schemaRefs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5f3aa2a1-f742-4cb3-874a-b3631849deb5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EFB3727-0098-41DB-9DEB-08A099D40A76}">
  <ds:schemaRefs/>
</ds:datastoreItem>
</file>

<file path=customXml/itemProps3.xml><?xml version="1.0" encoding="utf-8"?>
<ds:datastoreItem xmlns:ds="http://schemas.openxmlformats.org/officeDocument/2006/customXml" ds:itemID="{3517F994-C603-46B5-AEAB-E4EEDEDA8C7D}">
  <ds:schemaRefs/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13</vt:i4>
      </vt:variant>
    </vt:vector>
  </HeadingPairs>
  <TitlesOfParts>
    <vt:vector size="18" baseType="lpstr">
      <vt:lpstr>Cover Page</vt:lpstr>
      <vt:lpstr>Source Table</vt:lpstr>
      <vt:lpstr>Relational DB</vt:lpstr>
      <vt:lpstr>Template Data</vt:lpstr>
      <vt:lpstr>Help</vt:lpstr>
      <vt:lpstr>'Relational DB'!_Toc175817975</vt:lpstr>
      <vt:lpstr>'Relational DB'!_Toc175817976</vt:lpstr>
      <vt:lpstr>'Relational DB'!_Toc175817980</vt:lpstr>
      <vt:lpstr>'Relational DB'!_Toc175817981</vt:lpstr>
      <vt:lpstr>'Relational DB'!_Toc175817985</vt:lpstr>
      <vt:lpstr>'Relational DB'!_Toc175817986</vt:lpstr>
      <vt:lpstr>'Relational DB'!_Toc175817990</vt:lpstr>
      <vt:lpstr>'Relational DB'!_Toc175817991</vt:lpstr>
      <vt:lpstr>'Relational DB'!_Toc175817995</vt:lpstr>
      <vt:lpstr>'Relational DB'!_Toc175817996</vt:lpstr>
      <vt:lpstr>'Relational DB'!_Toc175818000</vt:lpstr>
      <vt:lpstr>'Relational DB'!_Toc175818001</vt:lpstr>
      <vt:lpstr>'Source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2025-05-07T09:05:06Z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0x010100D459D8868F97254F9E5095DCA93C6B5E</vt:lpwstr>
  </property>
  <property fmtid="{D5CDD505-2E9C-101B-9397-08002B2CF9AE}" pid="3" name="MediaServiceImageTags">
    <vt:lpwstr/>
  </property>
  <property fmtid="{D5CDD505-2E9C-101B-9397-08002B2CF9AE}" pid="4" name="ICV">
    <vt:lpwstr>156DA827928A4ABFAF3DDE15037F87AA_13</vt:lpwstr>
  </property>
  <property fmtid="{D5CDD505-2E9C-101B-9397-08002B2CF9AE}" pid="5" name="KSOProductBuildVer">
    <vt:lpwstr>1033-12.2.0.20795</vt:lpwstr>
  </property>
</Properties>
</file>