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Tabels\His\19\"/>
    </mc:Choice>
  </mc:AlternateContent>
  <bookViews>
    <workbookView xWindow="0" yWindow="0"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17912" localSheetId="2">'Relational DB'!$H$28</definedName>
    <definedName name="_Toc175817913" localSheetId="2">'Relational DB'!$H$22</definedName>
    <definedName name="_Toc175817914" localSheetId="2">'Relational DB'!$H$16</definedName>
    <definedName name="_Toc175817915" localSheetId="2">'Relational DB'!$H$10</definedName>
    <definedName name="_Toc175817916" localSheetId="2">'Relational DB'!$H$4</definedName>
    <definedName name="_Toc175817919" localSheetId="2">'Relational DB'!$H$29</definedName>
    <definedName name="_Toc175817920" localSheetId="2">'Relational DB'!$H$23</definedName>
    <definedName name="_Toc175817921" localSheetId="2">'Relational DB'!$H$17</definedName>
    <definedName name="_Toc175817922" localSheetId="2">'Relational DB'!$H$11</definedName>
    <definedName name="_Toc175817923" localSheetId="2">'Relational DB'!$H$5</definedName>
    <definedName name="_Toc175817926" localSheetId="2">'Relational DB'!$H$30</definedName>
    <definedName name="_Toc175817927" localSheetId="2">'Relational DB'!$H$24</definedName>
    <definedName name="_Toc175817928" localSheetId="2">'Relational DB'!$H$18</definedName>
    <definedName name="_Toc175817929" localSheetId="2">'Relational DB'!$H$12</definedName>
    <definedName name="_Toc175817930" localSheetId="2">'Relational DB'!$H$6</definedName>
    <definedName name="_Toc175817933" localSheetId="2">'Relational DB'!$H$31</definedName>
    <definedName name="_Toc175817934" localSheetId="2">'Relational DB'!$H$25</definedName>
    <definedName name="_Toc175817935" localSheetId="2">'Relational DB'!$H$19</definedName>
    <definedName name="_Toc175817936" localSheetId="2">'Relational DB'!$H$13</definedName>
    <definedName name="_Toc175817937" localSheetId="2">'Relational DB'!$H$7</definedName>
    <definedName name="_Toc175817940" localSheetId="2">'Relational DB'!$H$32</definedName>
    <definedName name="_Toc175817941" localSheetId="2">'Relational DB'!$H$26</definedName>
    <definedName name="_Toc175817942" localSheetId="2">'Relational DB'!$H$20</definedName>
    <definedName name="_Toc175817943" localSheetId="2">'Relational DB'!$H$14</definedName>
    <definedName name="_Toc175817944" localSheetId="2">'Relational DB'!$H$8</definedName>
    <definedName name="_Toc175817947" localSheetId="2">'Relational DB'!$H$33</definedName>
    <definedName name="_Toc175817948" localSheetId="2">'Relational DB'!$H$27</definedName>
    <definedName name="_Toc175817949" localSheetId="2">'Relational DB'!$H$21</definedName>
    <definedName name="_Toc175817950" localSheetId="2">'Relational DB'!$H$15</definedName>
    <definedName name="_Toc175817951" localSheetId="2">'Relational DB'!$H$9</definedName>
    <definedName name="_xlnm.Print_Area" localSheetId="1">'Source Table'!$B$2:$D$10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3" l="1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4" i="3" l="1"/>
  <c r="G5" i="3"/>
  <c r="G6" i="3"/>
  <c r="G7" i="3"/>
  <c r="G8" i="3"/>
  <c r="G9" i="3"/>
  <c r="F4" i="3"/>
  <c r="F5" i="3"/>
  <c r="F6" i="3"/>
  <c r="F7" i="3"/>
  <c r="F8" i="3"/>
  <c r="F9" i="3"/>
  <c r="B1" i="4" l="1"/>
  <c r="C4" i="2"/>
  <c r="B3" i="2"/>
  <c r="B2" i="2"/>
</calcChain>
</file>

<file path=xl/sharedStrings.xml><?xml version="1.0" encoding="utf-8"?>
<sst xmlns="http://schemas.openxmlformats.org/spreadsheetml/2006/main" count="512" uniqueCount="106">
  <si>
    <t>Code</t>
  </si>
  <si>
    <t>Version</t>
  </si>
  <si>
    <t>V1</t>
  </si>
  <si>
    <t>اسم القالب</t>
  </si>
  <si>
    <t>Template Name</t>
  </si>
  <si>
    <t>دورية البيانات</t>
  </si>
  <si>
    <t>سنوي</t>
  </si>
  <si>
    <t>Data Frequency</t>
  </si>
  <si>
    <t>Annual</t>
  </si>
  <si>
    <t>الجهة المصدرية</t>
  </si>
  <si>
    <t>Data Source</t>
  </si>
  <si>
    <t>Year</t>
  </si>
  <si>
    <t>السنة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</si>
  <si>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</si>
  <si>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</si>
  <si>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</si>
  <si>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</si>
  <si>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</si>
  <si>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</si>
  <si>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</si>
  <si>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</si>
  <si>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</si>
  <si>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</si>
  <si>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</si>
  <si>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</si>
  <si>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</si>
  <si>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</si>
  <si>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</si>
  <si>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</si>
  <si>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</si>
  <si>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M1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</si>
  <si>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</si>
  <si>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</si>
  <si>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</si>
  <si>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</si>
  <si>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</si>
  <si>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</si>
  <si>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</si>
  <si>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</si>
  <si>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</si>
  <si>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</si>
  <si>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</si>
  <si>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</si>
  <si>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</si>
  <si>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</si>
  <si>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</si>
  <si>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</si>
  <si>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</si>
  <si>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</si>
  <si>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</si>
  <si>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</si>
  <si>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</si>
  <si>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</si>
  <si>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</si>
  <si>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</si>
  <si>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</si>
  <si>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</si>
  <si>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</si>
  <si>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</si>
  <si>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</si>
  <si>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</si>
  <si>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</si>
  <si>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</si>
  <si>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</si>
  <si>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</si>
  <si>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</si>
  <si>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</si>
  <si>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</si>
  <si>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</si>
  <si>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</si>
  <si>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</si>
  <si>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</si>
  <si>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</si>
  <si>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</si>
  <si>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</si>
  <si>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</si>
  <si>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</si>
  <si>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</si>
  <si>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</si>
  <si>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</si>
  <si>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</si>
  <si>
    <t>Number</t>
  </si>
  <si>
    <t>عدد</t>
  </si>
  <si>
    <t>المهندسون الزراعيون المسجّلون في نقابة المهندسين الزراعيين حسب التخصص</t>
  </si>
  <si>
    <t>SYB_19_2_3</t>
  </si>
  <si>
    <t>Agricultural Engineers Registered at the Agricultural Engineers Syndicate by Specialization</t>
  </si>
  <si>
    <t>نقابة المهندسين الزراعيين</t>
  </si>
  <si>
    <t>الوقاية النباتية</t>
  </si>
  <si>
    <t>الإنتاج النباتي</t>
  </si>
  <si>
    <t>الاقتصاد الزراعي</t>
  </si>
  <si>
    <t>الإنتاج الحيواني</t>
  </si>
  <si>
    <t>الموارد المائيةوالبيئة</t>
  </si>
  <si>
    <t>التغذية والصناعات</t>
  </si>
  <si>
    <t>Plants Protection</t>
  </si>
  <si>
    <t>Plants  Production</t>
  </si>
  <si>
    <t xml:space="preserve">Agricultural Economics  </t>
  </si>
  <si>
    <t>Animal Production</t>
  </si>
  <si>
    <t>Environment &amp;  Irrigation</t>
  </si>
  <si>
    <t>Nutrition and Industries</t>
  </si>
  <si>
    <t>لمهندسون الزراعيون المسجّلون في نقابة المهندسين الزراعيين</t>
  </si>
  <si>
    <t>Agricultural Engineers Registered at the Agricultural Engineers Syndicate</t>
  </si>
  <si>
    <t>Agricultural Engineers Specialization</t>
  </si>
  <si>
    <t>CL_AGR_ENG_SPECALIZATION_EN_V1</t>
  </si>
  <si>
    <t>CL_AGR_ENG_SPECALIZATION_AR_V1</t>
  </si>
  <si>
    <t xml:space="preserve">تخصص المهندسون الزراعيون </t>
  </si>
  <si>
    <t>Agricultural  Engineers  Syndicate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</si>
</sst>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1"/>
      <color rgb="FF000000"/>
      <name val="Calibri"/>
      <family val="2"/>
    </font>
    <font>
      <sz val="16"/>
      <color rgb="FFFFFFFF"/>
      <name val="Aptos Narrow"/>
      <charset val="134"/>
      <scheme val="minor"/>
    </font>
    <font>
      <sz val="10"/>
      <name val="Arial"/>
      <family val="2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color theme="1"/>
      <name val="Arial Unicode MS"/>
      <charset val="134"/>
    </font>
    <font>
      <sz val="11"/>
      <color theme="1"/>
      <name val="Aptos Narrow"/>
      <charset val="134"/>
      <scheme val="minor"/>
    </font>
    <font>
      <sz val="11"/>
      <color rgb="FF000000"/>
      <name val="Calibri"/>
      <family val="2"/>
    </font>
    <font>
      <sz val="12"/>
      <color theme="1"/>
      <name val="Traditional Arabic"/>
      <family val="1"/>
    </font>
    <font>
      <sz val="9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1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1" fillId="0" borderId="0"/>
    <xf numFmtId="0" fontId="11" fillId="0" borderId="0"/>
    <xf numFmtId="0" fontId="12" fillId="0" borderId="0">
      <alignment horizontal="centerContinuous" vertical="center"/>
    </xf>
    <xf numFmtId="0" fontId="13" fillId="0" borderId="0">
      <alignment horizontal="centerContinuous" vertical="center"/>
    </xf>
    <xf numFmtId="1" fontId="14" fillId="7" borderId="2">
      <alignment horizontal="center" vertical="center"/>
    </xf>
    <xf numFmtId="0" fontId="15" fillId="7" borderId="2">
      <alignment horizontal="center" vertical="center" wrapText="1"/>
    </xf>
    <xf numFmtId="0" fontId="16" fillId="7" borderId="2">
      <alignment horizontal="center" vertical="center" wrapText="1"/>
    </xf>
    <xf numFmtId="0" fontId="11" fillId="0" borderId="0"/>
    <xf numFmtId="0" fontId="11" fillId="0" borderId="0"/>
    <xf numFmtId="0" fontId="19" fillId="0" borderId="0"/>
    <xf numFmtId="0" fontId="19" fillId="0" borderId="0"/>
    <xf numFmtId="0" fontId="11" fillId="0" borderId="0"/>
    <xf numFmtId="0" fontId="19" fillId="0" borderId="0"/>
    <xf numFmtId="9" fontId="19" fillId="0" borderId="0"/>
    <xf numFmtId="9" fontId="19" fillId="0" borderId="0"/>
    <xf numFmtId="0" fontId="17" fillId="0" borderId="0">
      <alignment horizontal="right" vertical="center"/>
    </xf>
    <xf numFmtId="0" fontId="11" fillId="0" borderId="0">
      <alignment horizontal="left" vertical="center"/>
    </xf>
  </cellStyleXfs>
  <cellXfs count="33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  <xf numFmtId="0" fontId="0" fillId="0" borderId="0" xfId="0" quotePrefix="1" applyAlignment="1">
      <alignment horizontal="center"/>
    </xf>
    <xf numFmtId="0" fontId="20" fillId="0" borderId="0" xfId="0" applyFont="1" applyAlignment="1">
      <alignment horizontal="center" readingOrder="2"/>
    </xf>
    <xf numFmtId="0" fontId="0" fillId="8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right" vertical="center" indent="1"/>
    </xf>
    <xf numFmtId="0" fontId="21" fillId="0" borderId="1" xfId="0" applyFont="1" applyBorder="1" applyAlignment="1">
      <alignment horizontal="right" vertical="center" readingOrder="2"/>
    </xf>
    <xf numFmtId="0" fontId="22" fillId="0" borderId="1" xfId="0" applyFont="1" applyBorder="1" applyAlignment="1">
      <alignment horizontal="left" vertical="center" indent="1"/>
    </xf>
    <xf numFmtId="0" fontId="9" fillId="0" borderId="1" xfId="8" applyFont="1" applyFill="1" applyBorder="1" applyProtection="1"/>
    <xf numFmtId="0" fontId="8" fillId="6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3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right" vertical="center"/>
    </xf>
  </cellXfs>
  <cellStyles count="18">
    <cellStyle name="‏_x001d_ً'_x000c_ï‏÷_x000c__x001c_" xfId="1"/>
    <cellStyle name="‏_x001d_ً'_x000c_ï‏÷_x000c__x001c_ 2" xfId="2"/>
    <cellStyle name="H1" xfId="3"/>
    <cellStyle name="H2" xfId="4"/>
    <cellStyle name="Had1" xfId="5"/>
    <cellStyle name="Had2" xfId="6"/>
    <cellStyle name="Had3" xfId="7"/>
    <cellStyle name="Normal" xfId="0" builtinId="0"/>
    <cellStyle name="Normal 2" xfId="8"/>
    <cellStyle name="Normal 3" xfId="9"/>
    <cellStyle name="Normal 4" xfId="10"/>
    <cellStyle name="Normal 4 2" xfId="11"/>
    <cellStyle name="Normal 5" xfId="12"/>
    <cellStyle name="Normal 6" xfId="13"/>
    <cellStyle name="Percent 2" xfId="14"/>
    <cellStyle name="Percent 2 2" xfId="15"/>
    <cellStyle name="T1" xfId="16"/>
    <cellStyle name="T2" xfId="17"/>
  </cellStyles>
  <dxfs count="0"/>
  <tableStyles count="0" defaultTableStyle="TableStyleMedium2" defaultPivotStyle="PivotStyleLight16"/>
  <colors>
    <mruColors>
      <color rgb="FF0776AD"/>
      <color rgb="FFBCE7FC"/>
      <color rgb="FF098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3" sqref="B13"/>
    </sheetView>
  </sheetViews>
  <sheetFormatPr defaultColWidth="9" defaultRowHeight="13.5"/>
  <cols>
    <col min="1" max="1" width="32.375" customWidth="1"/>
    <col min="2" max="2" width="115.75" customWidth="1"/>
  </cols>
  <sheetData>
    <row r="1" spans="1:2" ht="21" customHeight="1">
      <c r="A1" s="17" t="s">
        <v>0</v>
      </c>
      <c r="B1" s="18" t="s">
        <v>84</v>
      </c>
    </row>
    <row r="2" spans="1:2" ht="21" customHeight="1">
      <c r="A2" s="17" t="s">
        <v>1</v>
      </c>
      <c r="B2" s="18" t="s">
        <v>2</v>
      </c>
    </row>
    <row r="3" spans="1:2" ht="21" customHeight="1">
      <c r="A3" s="17" t="s">
        <v>3</v>
      </c>
      <c r="B3" s="19" t="s">
        <v>83</v>
      </c>
    </row>
    <row r="4" spans="1:2" ht="21" customHeight="1">
      <c r="A4" s="17" t="s">
        <v>4</v>
      </c>
      <c r="B4" s="20" t="s">
        <v>85</v>
      </c>
    </row>
    <row r="5" spans="1:2" ht="21" customHeight="1">
      <c r="A5" s="17" t="s">
        <v>5</v>
      </c>
      <c r="B5" s="21" t="s">
        <v>6</v>
      </c>
    </row>
    <row r="6" spans="1:2" ht="21" customHeight="1">
      <c r="A6" s="17" t="s">
        <v>7</v>
      </c>
      <c r="B6" s="21" t="s">
        <v>8</v>
      </c>
    </row>
    <row r="7" spans="1:2" ht="21" customHeight="1">
      <c r="A7" s="17" t="s">
        <v>9</v>
      </c>
      <c r="B7" s="18" t="s">
        <v>86</v>
      </c>
    </row>
    <row r="8" spans="1:2" ht="21" customHeight="1">
      <c r="A8" s="17" t="s">
        <v>10</v>
      </c>
      <c r="B8" s="18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view="pageBreakPreview" zoomScale="80" zoomScaleNormal="100" workbookViewId="0">
      <selection activeCell="C5" sqref="C5"/>
    </sheetView>
  </sheetViews>
  <sheetFormatPr defaultColWidth="16.75" defaultRowHeight="13.5"/>
  <cols>
    <col min="2" max="2" width="35.125" customWidth="1"/>
    <col min="3" max="3" width="17.25" customWidth="1"/>
    <col min="4" max="4" width="34.375" customWidth="1"/>
  </cols>
  <sheetData>
    <row r="2" spans="2:4" ht="28.15" customHeight="1">
      <c r="B2" s="30" t="str">
        <f>'Cover Page'!B4</f>
        <v>Agricultural Engineers Registered at the Agricultural Engineers Syndicate by Specialization</v>
      </c>
      <c r="C2" s="30"/>
      <c r="D2" s="30"/>
    </row>
    <row r="3" spans="2:4" ht="28.15" customHeight="1">
      <c r="B3" s="30" t="str">
        <f>'Cover Page'!B3</f>
        <v>المهندسون الزراعيون المسجّلون في نقابة المهندسين الزراعيين حسب التخصص</v>
      </c>
      <c r="C3" s="30"/>
      <c r="D3" s="30"/>
    </row>
    <row r="4" spans="2:4" ht="28.15" customHeight="1">
      <c r="B4" s="16" t="s">
        <v>11</v>
      </c>
      <c r="C4" s="29">
        <f>YEAR('Template Data'!B1)</f>
        <v>2024</v>
      </c>
      <c r="D4" s="16" t="s">
        <v>12</v>
      </c>
    </row>
    <row r="5" spans="2:4" ht="28.15" customHeight="1">
      <c r="B5" s="27" t="s">
        <v>93</v>
      </c>
      <c r="C5" s="28"/>
      <c r="D5" s="25" t="s">
        <v>87</v>
      </c>
    </row>
    <row r="6" spans="2:4" ht="22.15" customHeight="1">
      <c r="B6" s="27" t="s">
        <v>94</v>
      </c>
      <c r="C6" s="28"/>
      <c r="D6" s="25" t="s">
        <v>88</v>
      </c>
    </row>
    <row r="7" spans="2:4" ht="22.15" customHeight="1">
      <c r="B7" s="27" t="s">
        <v>95</v>
      </c>
      <c r="C7" s="28"/>
      <c r="D7" s="26" t="s">
        <v>89</v>
      </c>
    </row>
    <row r="8" spans="2:4" ht="21.75">
      <c r="B8" s="27" t="s">
        <v>96</v>
      </c>
      <c r="C8" s="28"/>
      <c r="D8" s="25" t="s">
        <v>90</v>
      </c>
    </row>
    <row r="9" spans="2:4" ht="21.75">
      <c r="B9" s="27" t="s">
        <v>97</v>
      </c>
      <c r="C9" s="28"/>
      <c r="D9" s="26" t="s">
        <v>91</v>
      </c>
    </row>
    <row r="10" spans="2:4" ht="21.75">
      <c r="B10" s="27" t="s">
        <v>98</v>
      </c>
      <c r="C10" s="28"/>
      <c r="D10" s="26" t="s">
        <v>92</v>
      </c>
    </row>
  </sheetData>
  <sheetProtection password="DEF8" sheet="1" objects="1" scenarios="1" deleteRows="0"/>
  <protectedRanges>
    <protectedRange sqref="C5:C10" name="Range5"/>
    <protectedRange sqref="C5:C10" name="Range3"/>
    <protectedRange sqref="C8 C10 C6" name="Range1"/>
    <protectedRange sqref="C5:C10" name="Range2"/>
    <protectedRange sqref="C5:C10" name="Range4"/>
  </protectedRanges>
  <mergeCells count="2">
    <mergeCell ref="B2:D2"/>
    <mergeCell ref="B3:D3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zoomScale="70" zoomScaleNormal="70" workbookViewId="0">
      <selection activeCell="G2" sqref="G2"/>
    </sheetView>
  </sheetViews>
  <sheetFormatPr defaultColWidth="9" defaultRowHeight="13.5"/>
  <cols>
    <col min="1" max="1" width="24.75" customWidth="1"/>
    <col min="2" max="2" width="75.875" bestFit="1" customWidth="1"/>
    <col min="3" max="3" width="9.75" customWidth="1"/>
    <col min="4" max="7" width="18.125" customWidth="1"/>
    <col min="8" max="10" width="15.375" customWidth="1"/>
  </cols>
  <sheetData>
    <row r="1" spans="1:10" ht="20.25">
      <c r="A1" s="14" t="s">
        <v>13</v>
      </c>
    </row>
    <row r="2" spans="1:10" s="10" customFormat="1" ht="18" customHeight="1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24" t="s">
        <v>102</v>
      </c>
      <c r="G2" s="24" t="s">
        <v>103</v>
      </c>
      <c r="H2" s="13" t="s">
        <v>19</v>
      </c>
      <c r="I2" s="13" t="s">
        <v>20</v>
      </c>
      <c r="J2" s="13" t="s">
        <v>21</v>
      </c>
    </row>
    <row r="3" spans="1:10" s="10" customFormat="1" ht="18" customHeight="1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24" t="s">
        <v>101</v>
      </c>
      <c r="G3" s="24" t="s">
        <v>104</v>
      </c>
      <c r="H3" s="13" t="s">
        <v>27</v>
      </c>
      <c r="I3" s="13" t="s">
        <v>28</v>
      </c>
      <c r="J3" s="13" t="s">
        <v>29</v>
      </c>
    </row>
    <row r="4" spans="1:10" ht="15">
      <c r="A4" t="s">
        <v>99</v>
      </c>
      <c r="B4" t="s">
        <v>100</v>
      </c>
      <c r="C4" s="15" t="s">
        <v>30</v>
      </c>
      <c r="D4" s="22" t="s">
        <v>81</v>
      </c>
      <c r="E4" s="23" t="s">
        <v>82</v>
      </c>
      <c r="F4" s="23" t="str">
        <f>'Source Table'!$B$5</f>
        <v>Plants Protection</v>
      </c>
      <c r="G4" s="23" t="str">
        <f>'Source Table'!$D$5</f>
        <v>الوقاية النباتية</v>
      </c>
      <c r="H4" s="31">
        <v>1271</v>
      </c>
      <c r="I4">
        <v>2023</v>
      </c>
    </row>
    <row r="5" spans="1:10" ht="15">
      <c r="A5" t="s">
        <v>99</v>
      </c>
      <c r="B5" t="s">
        <v>100</v>
      </c>
      <c r="C5" s="15" t="s">
        <v>30</v>
      </c>
      <c r="D5" s="22" t="s">
        <v>81</v>
      </c>
      <c r="E5" s="23" t="s">
        <v>82</v>
      </c>
      <c r="F5" s="23" t="str">
        <f>'Source Table'!$B$6</f>
        <v>Plants  Production</v>
      </c>
      <c r="G5" s="23" t="str">
        <f>'Source Table'!$D$6</f>
        <v>الإنتاج النباتي</v>
      </c>
      <c r="H5" s="31">
        <v>5779</v>
      </c>
      <c r="I5">
        <v>2023</v>
      </c>
    </row>
    <row r="6" spans="1:10" ht="15">
      <c r="A6" t="s">
        <v>99</v>
      </c>
      <c r="B6" t="s">
        <v>100</v>
      </c>
      <c r="C6" s="15" t="s">
        <v>30</v>
      </c>
      <c r="D6" s="22" t="s">
        <v>81</v>
      </c>
      <c r="E6" s="23" t="s">
        <v>82</v>
      </c>
      <c r="F6" s="23" t="str">
        <f>'Source Table'!$B$7</f>
        <v xml:space="preserve">Agricultural Economics  </v>
      </c>
      <c r="G6" s="23" t="str">
        <f>'Source Table'!$D$7</f>
        <v>الاقتصاد الزراعي</v>
      </c>
      <c r="H6" s="31">
        <v>1405</v>
      </c>
      <c r="I6">
        <v>2023</v>
      </c>
    </row>
    <row r="7" spans="1:10" ht="15">
      <c r="A7" t="s">
        <v>99</v>
      </c>
      <c r="B7" t="s">
        <v>100</v>
      </c>
      <c r="C7" s="15" t="s">
        <v>30</v>
      </c>
      <c r="D7" s="22" t="s">
        <v>81</v>
      </c>
      <c r="E7" s="23" t="s">
        <v>82</v>
      </c>
      <c r="F7" s="23" t="str">
        <f>'Source Table'!$B$8</f>
        <v>Animal Production</v>
      </c>
      <c r="G7" s="23" t="str">
        <f>'Source Table'!$D$8</f>
        <v>الإنتاج الحيواني</v>
      </c>
      <c r="H7" s="31">
        <v>2255</v>
      </c>
      <c r="I7">
        <v>2023</v>
      </c>
    </row>
    <row r="8" spans="1:10" ht="15">
      <c r="A8" t="s">
        <v>99</v>
      </c>
      <c r="B8" t="s">
        <v>100</v>
      </c>
      <c r="C8" s="15" t="s">
        <v>30</v>
      </c>
      <c r="D8" s="22" t="s">
        <v>81</v>
      </c>
      <c r="E8" s="23" t="s">
        <v>82</v>
      </c>
      <c r="F8" s="23" t="str">
        <f>'Source Table'!$B$9</f>
        <v>Environment &amp;  Irrigation</v>
      </c>
      <c r="G8" s="23" t="str">
        <f>'Source Table'!$D$9</f>
        <v>الموارد المائيةوالبيئة</v>
      </c>
      <c r="H8" s="31">
        <v>2931</v>
      </c>
      <c r="I8">
        <v>2023</v>
      </c>
    </row>
    <row r="9" spans="1:10" ht="15">
      <c r="A9" t="s">
        <v>99</v>
      </c>
      <c r="B9" t="s">
        <v>100</v>
      </c>
      <c r="C9" s="15" t="s">
        <v>30</v>
      </c>
      <c r="D9" s="22" t="s">
        <v>81</v>
      </c>
      <c r="E9" s="23" t="s">
        <v>82</v>
      </c>
      <c r="F9" s="23" t="str">
        <f>'Source Table'!$B$10</f>
        <v>Nutrition and Industries</v>
      </c>
      <c r="G9" s="23" t="str">
        <f>'Source Table'!$D$10</f>
        <v>التغذية والصناعات</v>
      </c>
      <c r="H9" s="31">
        <v>6904</v>
      </c>
      <c r="I9">
        <v>2023</v>
      </c>
    </row>
    <row r="10" spans="1:10" ht="15">
      <c r="A10" t="s">
        <v>99</v>
      </c>
      <c r="B10" t="s">
        <v>100</v>
      </c>
      <c r="C10" s="15" t="s">
        <v>30</v>
      </c>
      <c r="D10" s="22" t="s">
        <v>81</v>
      </c>
      <c r="E10" s="23" t="s">
        <v>82</v>
      </c>
      <c r="F10" s="23" t="str">
        <f>'Source Table'!$B$5</f>
        <v>Plants Protection</v>
      </c>
      <c r="G10" s="23" t="str">
        <f>'Source Table'!$D$5</f>
        <v>الوقاية النباتية</v>
      </c>
      <c r="H10" s="31">
        <v>1187</v>
      </c>
      <c r="I10">
        <v>2022</v>
      </c>
    </row>
    <row r="11" spans="1:10" ht="15">
      <c r="A11" t="s">
        <v>99</v>
      </c>
      <c r="B11" t="s">
        <v>100</v>
      </c>
      <c r="C11" s="15" t="s">
        <v>30</v>
      </c>
      <c r="D11" s="22" t="s">
        <v>81</v>
      </c>
      <c r="E11" s="23" t="s">
        <v>82</v>
      </c>
      <c r="F11" s="23" t="str">
        <f>'Source Table'!$B$6</f>
        <v>Plants  Production</v>
      </c>
      <c r="G11" s="23" t="str">
        <f>'Source Table'!$D$6</f>
        <v>الإنتاج النباتي</v>
      </c>
      <c r="H11" s="31">
        <v>5111</v>
      </c>
      <c r="I11">
        <v>2022</v>
      </c>
    </row>
    <row r="12" spans="1:10" ht="15">
      <c r="A12" t="s">
        <v>99</v>
      </c>
      <c r="B12" t="s">
        <v>100</v>
      </c>
      <c r="C12" s="15" t="s">
        <v>30</v>
      </c>
      <c r="D12" s="22" t="s">
        <v>81</v>
      </c>
      <c r="E12" s="23" t="s">
        <v>82</v>
      </c>
      <c r="F12" s="23" t="str">
        <f>'Source Table'!$B$7</f>
        <v xml:space="preserve">Agricultural Economics  </v>
      </c>
      <c r="G12" s="23" t="str">
        <f>'Source Table'!$D$7</f>
        <v>الاقتصاد الزراعي</v>
      </c>
      <c r="H12" s="31">
        <v>1382</v>
      </c>
      <c r="I12">
        <v>2022</v>
      </c>
    </row>
    <row r="13" spans="1:10" ht="15">
      <c r="A13" t="s">
        <v>99</v>
      </c>
      <c r="B13" t="s">
        <v>100</v>
      </c>
      <c r="C13" s="15" t="s">
        <v>30</v>
      </c>
      <c r="D13" s="22" t="s">
        <v>81</v>
      </c>
      <c r="E13" s="23" t="s">
        <v>82</v>
      </c>
      <c r="F13" s="23" t="str">
        <f>'Source Table'!$B$8</f>
        <v>Animal Production</v>
      </c>
      <c r="G13" s="23" t="str">
        <f>'Source Table'!$D$8</f>
        <v>الإنتاج الحيواني</v>
      </c>
      <c r="H13" s="31">
        <v>2001</v>
      </c>
      <c r="I13">
        <v>2022</v>
      </c>
    </row>
    <row r="14" spans="1:10" ht="15">
      <c r="A14" t="s">
        <v>99</v>
      </c>
      <c r="B14" t="s">
        <v>100</v>
      </c>
      <c r="C14" s="15" t="s">
        <v>30</v>
      </c>
      <c r="D14" s="22" t="s">
        <v>81</v>
      </c>
      <c r="E14" s="23" t="s">
        <v>82</v>
      </c>
      <c r="F14" s="23" t="str">
        <f>'Source Table'!$B$9</f>
        <v>Environment &amp;  Irrigation</v>
      </c>
      <c r="G14" s="23" t="str">
        <f>'Source Table'!$D$9</f>
        <v>الموارد المائيةوالبيئة</v>
      </c>
      <c r="H14" s="31">
        <v>2806</v>
      </c>
      <c r="I14">
        <v>2022</v>
      </c>
    </row>
    <row r="15" spans="1:10" ht="15">
      <c r="A15" t="s">
        <v>99</v>
      </c>
      <c r="B15" t="s">
        <v>100</v>
      </c>
      <c r="C15" s="15" t="s">
        <v>30</v>
      </c>
      <c r="D15" s="22" t="s">
        <v>81</v>
      </c>
      <c r="E15" s="23" t="s">
        <v>82</v>
      </c>
      <c r="F15" s="23" t="str">
        <f>'Source Table'!$B$10</f>
        <v>Nutrition and Industries</v>
      </c>
      <c r="G15" s="23" t="str">
        <f>'Source Table'!$D$10</f>
        <v>التغذية والصناعات</v>
      </c>
      <c r="H15" s="31">
        <v>6435</v>
      </c>
      <c r="I15">
        <v>2022</v>
      </c>
    </row>
    <row r="16" spans="1:10" ht="15">
      <c r="A16" t="s">
        <v>99</v>
      </c>
      <c r="B16" t="s">
        <v>100</v>
      </c>
      <c r="C16" s="15" t="s">
        <v>30</v>
      </c>
      <c r="D16" s="22" t="s">
        <v>81</v>
      </c>
      <c r="E16" s="23" t="s">
        <v>82</v>
      </c>
      <c r="F16" s="23" t="str">
        <f>'Source Table'!$B$5</f>
        <v>Plants Protection</v>
      </c>
      <c r="G16" s="23" t="str">
        <f>'Source Table'!$D$5</f>
        <v>الوقاية النباتية</v>
      </c>
      <c r="H16" s="31">
        <v>1246</v>
      </c>
      <c r="I16">
        <v>2021</v>
      </c>
    </row>
    <row r="17" spans="1:9" ht="15">
      <c r="A17" t="s">
        <v>99</v>
      </c>
      <c r="B17" t="s">
        <v>100</v>
      </c>
      <c r="C17" s="15" t="s">
        <v>30</v>
      </c>
      <c r="D17" s="22" t="s">
        <v>81</v>
      </c>
      <c r="E17" s="23" t="s">
        <v>82</v>
      </c>
      <c r="F17" s="23" t="str">
        <f>'Source Table'!$B$6</f>
        <v>Plants  Production</v>
      </c>
      <c r="G17" s="23" t="str">
        <f>'Source Table'!$D$6</f>
        <v>الإنتاج النباتي</v>
      </c>
      <c r="H17" s="31">
        <v>5305</v>
      </c>
      <c r="I17">
        <v>2021</v>
      </c>
    </row>
    <row r="18" spans="1:9" ht="15">
      <c r="A18" t="s">
        <v>99</v>
      </c>
      <c r="B18" t="s">
        <v>100</v>
      </c>
      <c r="C18" s="15" t="s">
        <v>30</v>
      </c>
      <c r="D18" s="22" t="s">
        <v>81</v>
      </c>
      <c r="E18" s="23" t="s">
        <v>82</v>
      </c>
      <c r="F18" s="23" t="str">
        <f>'Source Table'!$B$7</f>
        <v xml:space="preserve">Agricultural Economics  </v>
      </c>
      <c r="G18" s="23" t="str">
        <f>'Source Table'!$D$7</f>
        <v>الاقتصاد الزراعي</v>
      </c>
      <c r="H18" s="31">
        <v>1393</v>
      </c>
      <c r="I18">
        <v>2021</v>
      </c>
    </row>
    <row r="19" spans="1:9" ht="15">
      <c r="A19" t="s">
        <v>99</v>
      </c>
      <c r="B19" t="s">
        <v>100</v>
      </c>
      <c r="C19" s="15" t="s">
        <v>30</v>
      </c>
      <c r="D19" s="22" t="s">
        <v>81</v>
      </c>
      <c r="E19" s="23" t="s">
        <v>82</v>
      </c>
      <c r="F19" s="23" t="str">
        <f>'Source Table'!$B$8</f>
        <v>Animal Production</v>
      </c>
      <c r="G19" s="23" t="str">
        <f>'Source Table'!$D$8</f>
        <v>الإنتاج الحيواني</v>
      </c>
      <c r="H19" s="31">
        <v>2093</v>
      </c>
      <c r="I19">
        <v>2021</v>
      </c>
    </row>
    <row r="20" spans="1:9" ht="15">
      <c r="A20" t="s">
        <v>99</v>
      </c>
      <c r="B20" t="s">
        <v>100</v>
      </c>
      <c r="C20" s="15" t="s">
        <v>30</v>
      </c>
      <c r="D20" s="22" t="s">
        <v>81</v>
      </c>
      <c r="E20" s="23" t="s">
        <v>82</v>
      </c>
      <c r="F20" s="23" t="str">
        <f>'Source Table'!$B$9</f>
        <v>Environment &amp;  Irrigation</v>
      </c>
      <c r="G20" s="23" t="str">
        <f>'Source Table'!$D$9</f>
        <v>الموارد المائيةوالبيئة</v>
      </c>
      <c r="H20" s="31">
        <v>2763</v>
      </c>
      <c r="I20">
        <v>2021</v>
      </c>
    </row>
    <row r="21" spans="1:9" ht="15">
      <c r="A21" t="s">
        <v>99</v>
      </c>
      <c r="B21" t="s">
        <v>100</v>
      </c>
      <c r="C21" s="15" t="s">
        <v>30</v>
      </c>
      <c r="D21" s="22" t="s">
        <v>81</v>
      </c>
      <c r="E21" s="23" t="s">
        <v>82</v>
      </c>
      <c r="F21" s="23" t="str">
        <f>'Source Table'!$B$10</f>
        <v>Nutrition and Industries</v>
      </c>
      <c r="G21" s="23" t="str">
        <f>'Source Table'!$D$10</f>
        <v>التغذية والصناعات</v>
      </c>
      <c r="H21" s="31">
        <v>6004</v>
      </c>
      <c r="I21">
        <v>2021</v>
      </c>
    </row>
    <row r="22" spans="1:9" ht="15">
      <c r="A22" t="s">
        <v>99</v>
      </c>
      <c r="B22" t="s">
        <v>100</v>
      </c>
      <c r="C22" s="15" t="s">
        <v>30</v>
      </c>
      <c r="D22" s="22" t="s">
        <v>81</v>
      </c>
      <c r="E22" s="23" t="s">
        <v>82</v>
      </c>
      <c r="F22" s="23" t="str">
        <f>'Source Table'!$B$5</f>
        <v>Plants Protection</v>
      </c>
      <c r="G22" s="23" t="str">
        <f>'Source Table'!$D$5</f>
        <v>الوقاية النباتية</v>
      </c>
      <c r="H22" s="31">
        <v>1226</v>
      </c>
      <c r="I22">
        <v>2020</v>
      </c>
    </row>
    <row r="23" spans="1:9" ht="15">
      <c r="A23" t="s">
        <v>99</v>
      </c>
      <c r="B23" t="s">
        <v>100</v>
      </c>
      <c r="C23" s="15" t="s">
        <v>30</v>
      </c>
      <c r="D23" s="22" t="s">
        <v>81</v>
      </c>
      <c r="E23" s="23" t="s">
        <v>82</v>
      </c>
      <c r="F23" s="23" t="str">
        <f>'Source Table'!$B$6</f>
        <v>Plants  Production</v>
      </c>
      <c r="G23" s="23" t="str">
        <f>'Source Table'!$D$6</f>
        <v>الإنتاج النباتي</v>
      </c>
      <c r="H23" s="31">
        <v>5029</v>
      </c>
      <c r="I23">
        <v>2020</v>
      </c>
    </row>
    <row r="24" spans="1:9" ht="15">
      <c r="A24" t="s">
        <v>99</v>
      </c>
      <c r="B24" t="s">
        <v>100</v>
      </c>
      <c r="C24" s="15" t="s">
        <v>30</v>
      </c>
      <c r="D24" s="22" t="s">
        <v>81</v>
      </c>
      <c r="E24" s="23" t="s">
        <v>82</v>
      </c>
      <c r="F24" s="23" t="str">
        <f>'Source Table'!$B$7</f>
        <v xml:space="preserve">Agricultural Economics  </v>
      </c>
      <c r="G24" s="23" t="str">
        <f>'Source Table'!$D$7</f>
        <v>الاقتصاد الزراعي</v>
      </c>
      <c r="H24" s="31">
        <v>1367</v>
      </c>
      <c r="I24">
        <v>2020</v>
      </c>
    </row>
    <row r="25" spans="1:9" ht="15">
      <c r="A25" t="s">
        <v>99</v>
      </c>
      <c r="B25" t="s">
        <v>100</v>
      </c>
      <c r="C25" s="15" t="s">
        <v>30</v>
      </c>
      <c r="D25" s="22" t="s">
        <v>81</v>
      </c>
      <c r="E25" s="23" t="s">
        <v>82</v>
      </c>
      <c r="F25" s="23" t="str">
        <f>'Source Table'!$B$8</f>
        <v>Animal Production</v>
      </c>
      <c r="G25" s="23" t="str">
        <f>'Source Table'!$D$8</f>
        <v>الإنتاج الحيواني</v>
      </c>
      <c r="H25" s="31">
        <v>1990</v>
      </c>
      <c r="I25">
        <v>2020</v>
      </c>
    </row>
    <row r="26" spans="1:9" ht="15">
      <c r="A26" t="s">
        <v>99</v>
      </c>
      <c r="B26" t="s">
        <v>100</v>
      </c>
      <c r="C26" s="15" t="s">
        <v>30</v>
      </c>
      <c r="D26" s="22" t="s">
        <v>81</v>
      </c>
      <c r="E26" s="23" t="s">
        <v>82</v>
      </c>
      <c r="F26" s="23" t="str">
        <f>'Source Table'!$B$9</f>
        <v>Environment &amp;  Irrigation</v>
      </c>
      <c r="G26" s="23" t="str">
        <f>'Source Table'!$D$9</f>
        <v>الموارد المائيةوالبيئة</v>
      </c>
      <c r="H26" s="31">
        <v>2655</v>
      </c>
      <c r="I26">
        <v>2020</v>
      </c>
    </row>
    <row r="27" spans="1:9" ht="15">
      <c r="A27" t="s">
        <v>99</v>
      </c>
      <c r="B27" t="s">
        <v>100</v>
      </c>
      <c r="C27" s="15" t="s">
        <v>30</v>
      </c>
      <c r="D27" s="22" t="s">
        <v>81</v>
      </c>
      <c r="E27" s="23" t="s">
        <v>82</v>
      </c>
      <c r="F27" s="23" t="str">
        <f>'Source Table'!$B$10</f>
        <v>Nutrition and Industries</v>
      </c>
      <c r="G27" s="23" t="str">
        <f>'Source Table'!$D$10</f>
        <v>التغذية والصناعات</v>
      </c>
      <c r="H27" s="31">
        <v>5436</v>
      </c>
      <c r="I27">
        <v>2020</v>
      </c>
    </row>
    <row r="28" spans="1:9" ht="15">
      <c r="A28" t="s">
        <v>99</v>
      </c>
      <c r="B28" t="s">
        <v>100</v>
      </c>
      <c r="C28" s="15" t="s">
        <v>30</v>
      </c>
      <c r="D28" s="22" t="s">
        <v>81</v>
      </c>
      <c r="E28" s="23" t="s">
        <v>82</v>
      </c>
      <c r="F28" s="23" t="str">
        <f>'Source Table'!$B$5</f>
        <v>Plants Protection</v>
      </c>
      <c r="G28" s="23" t="str">
        <f>'Source Table'!$D$5</f>
        <v>الوقاية النباتية</v>
      </c>
      <c r="H28" s="31">
        <v>1280</v>
      </c>
      <c r="I28">
        <v>2019</v>
      </c>
    </row>
    <row r="29" spans="1:9" ht="15">
      <c r="A29" t="s">
        <v>99</v>
      </c>
      <c r="B29" t="s">
        <v>100</v>
      </c>
      <c r="C29" s="15" t="s">
        <v>30</v>
      </c>
      <c r="D29" s="22" t="s">
        <v>81</v>
      </c>
      <c r="E29" s="23" t="s">
        <v>82</v>
      </c>
      <c r="F29" s="23" t="str">
        <f>'Source Table'!$B$6</f>
        <v>Plants  Production</v>
      </c>
      <c r="G29" s="23" t="str">
        <f>'Source Table'!$D$6</f>
        <v>الإنتاج النباتي</v>
      </c>
      <c r="H29" s="31">
        <v>5183</v>
      </c>
      <c r="I29">
        <v>2019</v>
      </c>
    </row>
    <row r="30" spans="1:9" ht="15">
      <c r="A30" t="s">
        <v>99</v>
      </c>
      <c r="B30" t="s">
        <v>100</v>
      </c>
      <c r="C30" s="15" t="s">
        <v>30</v>
      </c>
      <c r="D30" s="22" t="s">
        <v>81</v>
      </c>
      <c r="E30" s="23" t="s">
        <v>82</v>
      </c>
      <c r="F30" s="23" t="str">
        <f>'Source Table'!$B$7</f>
        <v xml:space="preserve">Agricultural Economics  </v>
      </c>
      <c r="G30" s="23" t="str">
        <f>'Source Table'!$D$7</f>
        <v>الاقتصاد الزراعي</v>
      </c>
      <c r="H30" s="31">
        <v>1448</v>
      </c>
      <c r="I30">
        <v>2019</v>
      </c>
    </row>
    <row r="31" spans="1:9" ht="15">
      <c r="A31" t="s">
        <v>99</v>
      </c>
      <c r="B31" t="s">
        <v>100</v>
      </c>
      <c r="C31" s="15" t="s">
        <v>30</v>
      </c>
      <c r="D31" s="22" t="s">
        <v>81</v>
      </c>
      <c r="E31" s="23" t="s">
        <v>82</v>
      </c>
      <c r="F31" s="23" t="str">
        <f>'Source Table'!$B$8</f>
        <v>Animal Production</v>
      </c>
      <c r="G31" s="23" t="str">
        <f>'Source Table'!$D$8</f>
        <v>الإنتاج الحيواني</v>
      </c>
      <c r="H31" s="31">
        <v>2034</v>
      </c>
      <c r="I31">
        <v>2019</v>
      </c>
    </row>
    <row r="32" spans="1:9" ht="15">
      <c r="A32" t="s">
        <v>99</v>
      </c>
      <c r="B32" t="s">
        <v>100</v>
      </c>
      <c r="C32" s="15" t="s">
        <v>30</v>
      </c>
      <c r="D32" s="22" t="s">
        <v>81</v>
      </c>
      <c r="E32" s="23" t="s">
        <v>82</v>
      </c>
      <c r="F32" s="23" t="str">
        <f>'Source Table'!$B$9</f>
        <v>Environment &amp;  Irrigation</v>
      </c>
      <c r="G32" s="23" t="str">
        <f>'Source Table'!$D$9</f>
        <v>الموارد المائيةوالبيئة</v>
      </c>
      <c r="H32" s="31">
        <v>2670</v>
      </c>
      <c r="I32">
        <v>2019</v>
      </c>
    </row>
    <row r="33" spans="1:9" ht="15">
      <c r="A33" t="s">
        <v>99</v>
      </c>
      <c r="B33" t="s">
        <v>100</v>
      </c>
      <c r="C33" s="15" t="s">
        <v>30</v>
      </c>
      <c r="D33" s="22" t="s">
        <v>81</v>
      </c>
      <c r="E33" s="23" t="s">
        <v>82</v>
      </c>
      <c r="F33" s="23" t="str">
        <f>'Source Table'!$B$10</f>
        <v>Nutrition and Industries</v>
      </c>
      <c r="G33" s="23" t="str">
        <f>'Source Table'!$D$10</f>
        <v>التغذية والصناعات</v>
      </c>
      <c r="H33" s="31">
        <v>5194</v>
      </c>
      <c r="I33">
        <v>2019</v>
      </c>
    </row>
    <row r="34" spans="1:9" ht="15">
      <c r="A34" t="s">
        <v>99</v>
      </c>
      <c r="B34" t="s">
        <v>100</v>
      </c>
      <c r="C34" s="15" t="s">
        <v>30</v>
      </c>
      <c r="D34" s="22" t="s">
        <v>81</v>
      </c>
      <c r="E34" s="23" t="s">
        <v>82</v>
      </c>
      <c r="F34" s="23" t="str">
        <f>'Source Table'!$B$5</f>
        <v>Plants Protection</v>
      </c>
      <c r="G34" s="23" t="str">
        <f>'Source Table'!$D$5</f>
        <v>الوقاية النباتية</v>
      </c>
      <c r="H34" s="31">
        <v>1237</v>
      </c>
      <c r="I34">
        <v>2018</v>
      </c>
    </row>
    <row r="35" spans="1:9" ht="15">
      <c r="A35" t="s">
        <v>99</v>
      </c>
      <c r="B35" t="s">
        <v>100</v>
      </c>
      <c r="C35" s="15" t="s">
        <v>30</v>
      </c>
      <c r="D35" s="22" t="s">
        <v>81</v>
      </c>
      <c r="E35" s="23" t="s">
        <v>82</v>
      </c>
      <c r="F35" s="23" t="str">
        <f>'Source Table'!$B$6</f>
        <v>Plants  Production</v>
      </c>
      <c r="G35" s="23" t="str">
        <f>'Source Table'!$D$6</f>
        <v>الإنتاج النباتي</v>
      </c>
      <c r="H35" s="31">
        <v>4925</v>
      </c>
      <c r="I35">
        <v>2018</v>
      </c>
    </row>
    <row r="36" spans="1:9" ht="15">
      <c r="A36" t="s">
        <v>99</v>
      </c>
      <c r="B36" t="s">
        <v>100</v>
      </c>
      <c r="C36" s="15" t="s">
        <v>30</v>
      </c>
      <c r="D36" s="22" t="s">
        <v>81</v>
      </c>
      <c r="E36" s="23" t="s">
        <v>82</v>
      </c>
      <c r="F36" s="23" t="str">
        <f>'Source Table'!$B$7</f>
        <v xml:space="preserve">Agricultural Economics  </v>
      </c>
      <c r="G36" s="23" t="str">
        <f>'Source Table'!$D$7</f>
        <v>الاقتصاد الزراعي</v>
      </c>
      <c r="H36" s="31">
        <v>1395</v>
      </c>
      <c r="I36">
        <v>2018</v>
      </c>
    </row>
    <row r="37" spans="1:9" ht="15">
      <c r="A37" t="s">
        <v>99</v>
      </c>
      <c r="B37" t="s">
        <v>100</v>
      </c>
      <c r="C37" s="15" t="s">
        <v>30</v>
      </c>
      <c r="D37" s="22" t="s">
        <v>81</v>
      </c>
      <c r="E37" s="23" t="s">
        <v>82</v>
      </c>
      <c r="F37" s="23" t="str">
        <f>'Source Table'!$B$8</f>
        <v>Animal Production</v>
      </c>
      <c r="G37" s="23" t="str">
        <f>'Source Table'!$D$8</f>
        <v>الإنتاج الحيواني</v>
      </c>
      <c r="H37" s="31">
        <v>1907</v>
      </c>
      <c r="I37">
        <v>2018</v>
      </c>
    </row>
    <row r="38" spans="1:9" ht="15">
      <c r="A38" t="s">
        <v>99</v>
      </c>
      <c r="B38" t="s">
        <v>100</v>
      </c>
      <c r="C38" s="15" t="s">
        <v>30</v>
      </c>
      <c r="D38" s="22" t="s">
        <v>81</v>
      </c>
      <c r="E38" s="23" t="s">
        <v>82</v>
      </c>
      <c r="F38" s="23" t="str">
        <f>'Source Table'!$B$9</f>
        <v>Environment &amp;  Irrigation</v>
      </c>
      <c r="G38" s="23" t="str">
        <f>'Source Table'!$D$9</f>
        <v>الموارد المائيةوالبيئة</v>
      </c>
      <c r="H38" s="31">
        <v>2512</v>
      </c>
      <c r="I38">
        <v>2018</v>
      </c>
    </row>
    <row r="39" spans="1:9" ht="15">
      <c r="A39" t="s">
        <v>99</v>
      </c>
      <c r="B39" t="s">
        <v>100</v>
      </c>
      <c r="C39" s="15" t="s">
        <v>30</v>
      </c>
      <c r="D39" s="22" t="s">
        <v>81</v>
      </c>
      <c r="E39" s="23" t="s">
        <v>82</v>
      </c>
      <c r="F39" s="23" t="str">
        <f>'Source Table'!$B$10</f>
        <v>Nutrition and Industries</v>
      </c>
      <c r="G39" s="23" t="str">
        <f>'Source Table'!$D$10</f>
        <v>التغذية والصناعات</v>
      </c>
      <c r="H39" s="31">
        <v>4753</v>
      </c>
      <c r="I39">
        <v>2018</v>
      </c>
    </row>
    <row r="40" spans="1:9" ht="15">
      <c r="A40" t="s">
        <v>99</v>
      </c>
      <c r="B40" t="s">
        <v>100</v>
      </c>
      <c r="C40" s="15" t="s">
        <v>30</v>
      </c>
      <c r="D40" s="22" t="s">
        <v>81</v>
      </c>
      <c r="E40" s="23" t="s">
        <v>82</v>
      </c>
      <c r="F40" s="23" t="str">
        <f>'Source Table'!$B$5</f>
        <v>Plants Protection</v>
      </c>
      <c r="G40" s="23" t="str">
        <f>'Source Table'!$D$5</f>
        <v>الوقاية النباتية</v>
      </c>
      <c r="H40" s="32">
        <v>1222</v>
      </c>
      <c r="I40">
        <v>2017</v>
      </c>
    </row>
    <row r="41" spans="1:9" ht="15">
      <c r="A41" t="s">
        <v>99</v>
      </c>
      <c r="B41" t="s">
        <v>100</v>
      </c>
      <c r="C41" s="15" t="s">
        <v>30</v>
      </c>
      <c r="D41" s="22" t="s">
        <v>81</v>
      </c>
      <c r="E41" s="23" t="s">
        <v>82</v>
      </c>
      <c r="F41" s="23" t="str">
        <f>'Source Table'!$B$6</f>
        <v>Plants  Production</v>
      </c>
      <c r="G41" s="23" t="str">
        <f>'Source Table'!$D$6</f>
        <v>الإنتاج النباتي</v>
      </c>
      <c r="H41" s="32">
        <v>4775</v>
      </c>
      <c r="I41">
        <v>2017</v>
      </c>
    </row>
    <row r="42" spans="1:9" ht="15">
      <c r="A42" t="s">
        <v>99</v>
      </c>
      <c r="B42" t="s">
        <v>100</v>
      </c>
      <c r="C42" s="15" t="s">
        <v>30</v>
      </c>
      <c r="D42" s="22" t="s">
        <v>81</v>
      </c>
      <c r="E42" s="23" t="s">
        <v>82</v>
      </c>
      <c r="F42" s="23" t="str">
        <f>'Source Table'!$B$7</f>
        <v xml:space="preserve">Agricultural Economics  </v>
      </c>
      <c r="G42" s="23" t="str">
        <f>'Source Table'!$D$7</f>
        <v>الاقتصاد الزراعي</v>
      </c>
      <c r="H42" s="32">
        <v>1378</v>
      </c>
      <c r="I42">
        <v>2017</v>
      </c>
    </row>
    <row r="43" spans="1:9" ht="15">
      <c r="A43" t="s">
        <v>99</v>
      </c>
      <c r="B43" t="s">
        <v>100</v>
      </c>
      <c r="C43" s="15" t="s">
        <v>30</v>
      </c>
      <c r="D43" s="22" t="s">
        <v>81</v>
      </c>
      <c r="E43" s="23" t="s">
        <v>82</v>
      </c>
      <c r="F43" s="23" t="str">
        <f>'Source Table'!$B$8</f>
        <v>Animal Production</v>
      </c>
      <c r="G43" s="23" t="str">
        <f>'Source Table'!$D$8</f>
        <v>الإنتاج الحيواني</v>
      </c>
      <c r="H43" s="32">
        <v>1875</v>
      </c>
      <c r="I43">
        <v>2017</v>
      </c>
    </row>
    <row r="44" spans="1:9" ht="15">
      <c r="A44" t="s">
        <v>99</v>
      </c>
      <c r="B44" t="s">
        <v>100</v>
      </c>
      <c r="C44" s="15" t="s">
        <v>30</v>
      </c>
      <c r="D44" s="22" t="s">
        <v>81</v>
      </c>
      <c r="E44" s="23" t="s">
        <v>82</v>
      </c>
      <c r="F44" s="23" t="str">
        <f>'Source Table'!$B$9</f>
        <v>Environment &amp;  Irrigation</v>
      </c>
      <c r="G44" s="23" t="str">
        <f>'Source Table'!$D$9</f>
        <v>الموارد المائيةوالبيئة</v>
      </c>
      <c r="H44" s="32">
        <v>2385</v>
      </c>
      <c r="I44">
        <v>2017</v>
      </c>
    </row>
    <row r="45" spans="1:9" ht="15">
      <c r="A45" t="s">
        <v>99</v>
      </c>
      <c r="B45" t="s">
        <v>100</v>
      </c>
      <c r="C45" s="15" t="s">
        <v>30</v>
      </c>
      <c r="D45" s="22" t="s">
        <v>81</v>
      </c>
      <c r="E45" s="23" t="s">
        <v>82</v>
      </c>
      <c r="F45" s="23" t="str">
        <f>'Source Table'!$B$10</f>
        <v>Nutrition and Industries</v>
      </c>
      <c r="G45" s="23" t="str">
        <f>'Source Table'!$D$10</f>
        <v>التغذية والصناعات</v>
      </c>
      <c r="H45" s="32">
        <v>4445</v>
      </c>
      <c r="I45">
        <v>2017</v>
      </c>
    </row>
    <row r="46" spans="1:9" ht="15">
      <c r="A46" t="s">
        <v>99</v>
      </c>
      <c r="B46" t="s">
        <v>100</v>
      </c>
      <c r="C46" s="15" t="s">
        <v>30</v>
      </c>
      <c r="D46" s="22" t="s">
        <v>81</v>
      </c>
      <c r="E46" s="23" t="s">
        <v>82</v>
      </c>
      <c r="F46" s="23" t="str">
        <f>'Source Table'!$B$5</f>
        <v>Plants Protection</v>
      </c>
      <c r="G46" s="23" t="str">
        <f>'Source Table'!$D$5</f>
        <v>الوقاية النباتية</v>
      </c>
      <c r="H46" s="32">
        <v>1213</v>
      </c>
      <c r="I46">
        <v>2016</v>
      </c>
    </row>
    <row r="47" spans="1:9" ht="15">
      <c r="A47" t="s">
        <v>99</v>
      </c>
      <c r="B47" t="s">
        <v>100</v>
      </c>
      <c r="C47" s="15" t="s">
        <v>30</v>
      </c>
      <c r="D47" s="22" t="s">
        <v>81</v>
      </c>
      <c r="E47" s="23" t="s">
        <v>82</v>
      </c>
      <c r="F47" s="23" t="str">
        <f>'Source Table'!$B$6</f>
        <v>Plants  Production</v>
      </c>
      <c r="G47" s="23" t="str">
        <f>'Source Table'!$D$6</f>
        <v>الإنتاج النباتي</v>
      </c>
      <c r="H47" s="32">
        <v>4600</v>
      </c>
      <c r="I47">
        <v>2016</v>
      </c>
    </row>
    <row r="48" spans="1:9" ht="15">
      <c r="A48" t="s">
        <v>99</v>
      </c>
      <c r="B48" t="s">
        <v>100</v>
      </c>
      <c r="C48" s="15" t="s">
        <v>30</v>
      </c>
      <c r="D48" s="22" t="s">
        <v>81</v>
      </c>
      <c r="E48" s="23" t="s">
        <v>82</v>
      </c>
      <c r="F48" s="23" t="str">
        <f>'Source Table'!$B$7</f>
        <v xml:space="preserve">Agricultural Economics  </v>
      </c>
      <c r="G48" s="23" t="str">
        <f>'Source Table'!$D$7</f>
        <v>الاقتصاد الزراعي</v>
      </c>
      <c r="H48" s="32">
        <v>1354</v>
      </c>
      <c r="I48">
        <v>2016</v>
      </c>
    </row>
    <row r="49" spans="1:9" ht="15">
      <c r="A49" t="s">
        <v>99</v>
      </c>
      <c r="B49" t="s">
        <v>100</v>
      </c>
      <c r="C49" s="15" t="s">
        <v>30</v>
      </c>
      <c r="D49" s="22" t="s">
        <v>81</v>
      </c>
      <c r="E49" s="23" t="s">
        <v>82</v>
      </c>
      <c r="F49" s="23" t="str">
        <f>'Source Table'!$B$8</f>
        <v>Animal Production</v>
      </c>
      <c r="G49" s="23" t="str">
        <f>'Source Table'!$D$8</f>
        <v>الإنتاج الحيواني</v>
      </c>
      <c r="H49" s="32">
        <v>1838</v>
      </c>
      <c r="I49">
        <v>2016</v>
      </c>
    </row>
    <row r="50" spans="1:9" ht="15">
      <c r="A50" t="s">
        <v>99</v>
      </c>
      <c r="B50" t="s">
        <v>100</v>
      </c>
      <c r="C50" s="15" t="s">
        <v>30</v>
      </c>
      <c r="D50" s="22" t="s">
        <v>81</v>
      </c>
      <c r="E50" s="23" t="s">
        <v>82</v>
      </c>
      <c r="F50" s="23" t="str">
        <f>'Source Table'!$B$9</f>
        <v>Environment &amp;  Irrigation</v>
      </c>
      <c r="G50" s="23" t="str">
        <f>'Source Table'!$D$9</f>
        <v>الموارد المائيةوالبيئة</v>
      </c>
      <c r="H50" s="32">
        <v>2222</v>
      </c>
      <c r="I50">
        <v>2016</v>
      </c>
    </row>
    <row r="51" spans="1:9" ht="15">
      <c r="A51" t="s">
        <v>99</v>
      </c>
      <c r="B51" t="s">
        <v>100</v>
      </c>
      <c r="C51" s="15" t="s">
        <v>30</v>
      </c>
      <c r="D51" s="22" t="s">
        <v>81</v>
      </c>
      <c r="E51" s="23" t="s">
        <v>82</v>
      </c>
      <c r="F51" s="23" t="str">
        <f>'Source Table'!$B$10</f>
        <v>Nutrition and Industries</v>
      </c>
      <c r="G51" s="23" t="str">
        <f>'Source Table'!$D$10</f>
        <v>التغذية والصناعات</v>
      </c>
      <c r="H51" s="32">
        <v>4114</v>
      </c>
      <c r="I51">
        <v>2016</v>
      </c>
    </row>
    <row r="52" spans="1:9" ht="15">
      <c r="A52" t="s">
        <v>99</v>
      </c>
      <c r="B52" t="s">
        <v>100</v>
      </c>
      <c r="C52" s="15" t="s">
        <v>30</v>
      </c>
      <c r="D52" s="22" t="s">
        <v>81</v>
      </c>
      <c r="E52" s="23" t="s">
        <v>82</v>
      </c>
      <c r="F52" s="23" t="str">
        <f>'Source Table'!$B$5</f>
        <v>Plants Protection</v>
      </c>
      <c r="G52" s="23" t="str">
        <f>'Source Table'!$D$5</f>
        <v>الوقاية النباتية</v>
      </c>
      <c r="H52" s="32">
        <v>1179</v>
      </c>
      <c r="I52">
        <v>2015</v>
      </c>
    </row>
    <row r="53" spans="1:9" ht="15">
      <c r="A53" t="s">
        <v>99</v>
      </c>
      <c r="B53" t="s">
        <v>100</v>
      </c>
      <c r="C53" s="15" t="s">
        <v>30</v>
      </c>
      <c r="D53" s="22" t="s">
        <v>81</v>
      </c>
      <c r="E53" s="23" t="s">
        <v>82</v>
      </c>
      <c r="F53" s="23" t="str">
        <f>'Source Table'!$B$6</f>
        <v>Plants  Production</v>
      </c>
      <c r="G53" s="23" t="str">
        <f>'Source Table'!$D$6</f>
        <v>الإنتاج النباتي</v>
      </c>
      <c r="H53" s="32">
        <v>4360</v>
      </c>
      <c r="I53">
        <v>2015</v>
      </c>
    </row>
    <row r="54" spans="1:9" ht="15">
      <c r="A54" t="s">
        <v>99</v>
      </c>
      <c r="B54" t="s">
        <v>100</v>
      </c>
      <c r="C54" s="15" t="s">
        <v>30</v>
      </c>
      <c r="D54" s="22" t="s">
        <v>81</v>
      </c>
      <c r="E54" s="23" t="s">
        <v>82</v>
      </c>
      <c r="F54" s="23" t="str">
        <f>'Source Table'!$B$7</f>
        <v xml:space="preserve">Agricultural Economics  </v>
      </c>
      <c r="G54" s="23" t="str">
        <f>'Source Table'!$D$7</f>
        <v>الاقتصاد الزراعي</v>
      </c>
      <c r="H54" s="32">
        <v>1326</v>
      </c>
      <c r="I54">
        <v>2015</v>
      </c>
    </row>
    <row r="55" spans="1:9" ht="15">
      <c r="A55" t="s">
        <v>99</v>
      </c>
      <c r="B55" t="s">
        <v>100</v>
      </c>
      <c r="C55" s="15" t="s">
        <v>30</v>
      </c>
      <c r="D55" s="22" t="s">
        <v>81</v>
      </c>
      <c r="E55" s="23" t="s">
        <v>82</v>
      </c>
      <c r="F55" s="23" t="str">
        <f>'Source Table'!$B$8</f>
        <v>Animal Production</v>
      </c>
      <c r="G55" s="23" t="str">
        <f>'Source Table'!$D$8</f>
        <v>الإنتاج الحيواني</v>
      </c>
      <c r="H55" s="32">
        <v>1754</v>
      </c>
      <c r="I55">
        <v>2015</v>
      </c>
    </row>
    <row r="56" spans="1:9" ht="15">
      <c r="A56" t="s">
        <v>99</v>
      </c>
      <c r="B56" t="s">
        <v>100</v>
      </c>
      <c r="C56" s="15" t="s">
        <v>30</v>
      </c>
      <c r="D56" s="22" t="s">
        <v>81</v>
      </c>
      <c r="E56" s="23" t="s">
        <v>82</v>
      </c>
      <c r="F56" s="23" t="str">
        <f>'Source Table'!$B$9</f>
        <v>Environment &amp;  Irrigation</v>
      </c>
      <c r="G56" s="23" t="str">
        <f>'Source Table'!$D$9</f>
        <v>الموارد المائيةوالبيئة</v>
      </c>
      <c r="H56" s="32">
        <v>2038</v>
      </c>
      <c r="I56">
        <v>2015</v>
      </c>
    </row>
    <row r="57" spans="1:9" ht="15">
      <c r="A57" t="s">
        <v>99</v>
      </c>
      <c r="B57" t="s">
        <v>100</v>
      </c>
      <c r="C57" s="15" t="s">
        <v>30</v>
      </c>
      <c r="D57" s="22" t="s">
        <v>81</v>
      </c>
      <c r="E57" s="23" t="s">
        <v>82</v>
      </c>
      <c r="F57" s="23" t="str">
        <f>'Source Table'!$B$10</f>
        <v>Nutrition and Industries</v>
      </c>
      <c r="G57" s="23" t="str">
        <f>'Source Table'!$D$10</f>
        <v>التغذية والصناعات</v>
      </c>
      <c r="H57" s="32">
        <v>3681</v>
      </c>
      <c r="I57">
        <v>2015</v>
      </c>
    </row>
    <row r="58" spans="1:9" ht="15">
      <c r="A58" t="s">
        <v>99</v>
      </c>
      <c r="B58" t="s">
        <v>100</v>
      </c>
      <c r="C58" s="15" t="s">
        <v>30</v>
      </c>
      <c r="D58" s="22" t="s">
        <v>81</v>
      </c>
      <c r="E58" s="23" t="s">
        <v>82</v>
      </c>
      <c r="F58" s="23" t="str">
        <f>'Source Table'!$B$5</f>
        <v>Plants Protection</v>
      </c>
      <c r="G58" s="23" t="str">
        <f>'Source Table'!$D$5</f>
        <v>الوقاية النباتية</v>
      </c>
      <c r="H58" s="32">
        <v>4382</v>
      </c>
      <c r="I58">
        <v>2014</v>
      </c>
    </row>
    <row r="59" spans="1:9" ht="15">
      <c r="A59" t="s">
        <v>99</v>
      </c>
      <c r="B59" t="s">
        <v>100</v>
      </c>
      <c r="C59" s="15" t="s">
        <v>30</v>
      </c>
      <c r="D59" s="22" t="s">
        <v>81</v>
      </c>
      <c r="E59" s="23" t="s">
        <v>82</v>
      </c>
      <c r="F59" s="23" t="str">
        <f>'Source Table'!$B$6</f>
        <v>Plants  Production</v>
      </c>
      <c r="G59" s="23" t="str">
        <f>'Source Table'!$D$6</f>
        <v>الإنتاج النباتي</v>
      </c>
      <c r="H59" s="32">
        <v>1214</v>
      </c>
      <c r="I59">
        <v>2014</v>
      </c>
    </row>
    <row r="60" spans="1:9" ht="15">
      <c r="A60" t="s">
        <v>99</v>
      </c>
      <c r="B60" t="s">
        <v>100</v>
      </c>
      <c r="C60" s="15" t="s">
        <v>30</v>
      </c>
      <c r="D60" s="22" t="s">
        <v>81</v>
      </c>
      <c r="E60" s="23" t="s">
        <v>82</v>
      </c>
      <c r="F60" s="23" t="str">
        <f>'Source Table'!$B$7</f>
        <v xml:space="preserve">Agricultural Economics  </v>
      </c>
      <c r="G60" s="23" t="str">
        <f>'Source Table'!$D$7</f>
        <v>الاقتصاد الزراعي</v>
      </c>
      <c r="H60" s="32">
        <v>1830</v>
      </c>
      <c r="I60">
        <v>2014</v>
      </c>
    </row>
    <row r="61" spans="1:9" ht="15">
      <c r="A61" t="s">
        <v>99</v>
      </c>
      <c r="B61" t="s">
        <v>100</v>
      </c>
      <c r="C61" s="15" t="s">
        <v>30</v>
      </c>
      <c r="D61" s="22" t="s">
        <v>81</v>
      </c>
      <c r="E61" s="23" t="s">
        <v>82</v>
      </c>
      <c r="F61" s="23" t="str">
        <f>'Source Table'!$B$8</f>
        <v>Animal Production</v>
      </c>
      <c r="G61" s="23" t="str">
        <f>'Source Table'!$D$8</f>
        <v>الإنتاج الحيواني</v>
      </c>
      <c r="H61" s="32">
        <v>1400</v>
      </c>
      <c r="I61">
        <v>2014</v>
      </c>
    </row>
    <row r="62" spans="1:9" ht="15">
      <c r="A62" t="s">
        <v>99</v>
      </c>
      <c r="B62" t="s">
        <v>100</v>
      </c>
      <c r="C62" s="15" t="s">
        <v>30</v>
      </c>
      <c r="D62" s="22" t="s">
        <v>81</v>
      </c>
      <c r="E62" s="23" t="s">
        <v>82</v>
      </c>
      <c r="F62" s="23" t="str">
        <f>'Source Table'!$B$9</f>
        <v>Environment &amp;  Irrigation</v>
      </c>
      <c r="G62" s="23" t="str">
        <f>'Source Table'!$D$9</f>
        <v>الموارد المائيةوالبيئة</v>
      </c>
      <c r="H62" s="32">
        <v>2018</v>
      </c>
      <c r="I62">
        <v>2014</v>
      </c>
    </row>
    <row r="63" spans="1:9" ht="15">
      <c r="A63" t="s">
        <v>99</v>
      </c>
      <c r="B63" t="s">
        <v>100</v>
      </c>
      <c r="C63" s="15" t="s">
        <v>30</v>
      </c>
      <c r="D63" s="22" t="s">
        <v>81</v>
      </c>
      <c r="E63" s="23" t="s">
        <v>82</v>
      </c>
      <c r="F63" s="23" t="str">
        <f>'Source Table'!$B$10</f>
        <v>Nutrition and Industries</v>
      </c>
      <c r="G63" s="23" t="str">
        <f>'Source Table'!$D$10</f>
        <v>التغذية والصناعات</v>
      </c>
      <c r="H63" s="32">
        <v>3669</v>
      </c>
      <c r="I63">
        <v>2014</v>
      </c>
    </row>
    <row r="64" spans="1:9" ht="15">
      <c r="A64" t="s">
        <v>99</v>
      </c>
      <c r="B64" t="s">
        <v>100</v>
      </c>
      <c r="C64" s="15" t="s">
        <v>30</v>
      </c>
      <c r="D64" s="22" t="s">
        <v>81</v>
      </c>
      <c r="E64" s="23" t="s">
        <v>82</v>
      </c>
      <c r="F64" s="23" t="str">
        <f>'Source Table'!$B$5</f>
        <v>Plants Protection</v>
      </c>
      <c r="G64" s="23" t="str">
        <f>'Source Table'!$D$5</f>
        <v>الوقاية النباتية</v>
      </c>
      <c r="H64" s="32">
        <v>4132</v>
      </c>
      <c r="I64">
        <v>2013</v>
      </c>
    </row>
    <row r="65" spans="1:9" ht="15">
      <c r="A65" t="s">
        <v>99</v>
      </c>
      <c r="B65" t="s">
        <v>100</v>
      </c>
      <c r="C65" s="15" t="s">
        <v>30</v>
      </c>
      <c r="D65" s="22" t="s">
        <v>81</v>
      </c>
      <c r="E65" s="23" t="s">
        <v>82</v>
      </c>
      <c r="F65" s="23" t="str">
        <f>'Source Table'!$B$6</f>
        <v>Plants  Production</v>
      </c>
      <c r="G65" s="23" t="str">
        <f>'Source Table'!$D$6</f>
        <v>الإنتاج النباتي</v>
      </c>
      <c r="H65" s="32">
        <v>1170</v>
      </c>
      <c r="I65">
        <v>2013</v>
      </c>
    </row>
    <row r="66" spans="1:9" ht="15">
      <c r="A66" t="s">
        <v>99</v>
      </c>
      <c r="B66" t="s">
        <v>100</v>
      </c>
      <c r="C66" s="15" t="s">
        <v>30</v>
      </c>
      <c r="D66" s="22" t="s">
        <v>81</v>
      </c>
      <c r="E66" s="23" t="s">
        <v>82</v>
      </c>
      <c r="F66" s="23" t="str">
        <f>'Source Table'!$B$7</f>
        <v xml:space="preserve">Agricultural Economics  </v>
      </c>
      <c r="G66" s="23" t="str">
        <f>'Source Table'!$D$7</f>
        <v>الاقتصاد الزراعي</v>
      </c>
      <c r="H66" s="32">
        <v>1770</v>
      </c>
      <c r="I66">
        <v>2013</v>
      </c>
    </row>
    <row r="67" spans="1:9" ht="15">
      <c r="A67" t="s">
        <v>99</v>
      </c>
      <c r="B67" t="s">
        <v>100</v>
      </c>
      <c r="C67" s="15" t="s">
        <v>30</v>
      </c>
      <c r="D67" s="22" t="s">
        <v>81</v>
      </c>
      <c r="E67" s="23" t="s">
        <v>82</v>
      </c>
      <c r="F67" s="23" t="str">
        <f>'Source Table'!$B$8</f>
        <v>Animal Production</v>
      </c>
      <c r="G67" s="23" t="str">
        <f>'Source Table'!$D$8</f>
        <v>الإنتاج الحيواني</v>
      </c>
      <c r="H67" s="32">
        <v>1350</v>
      </c>
      <c r="I67">
        <v>2013</v>
      </c>
    </row>
    <row r="68" spans="1:9" ht="15">
      <c r="A68" t="s">
        <v>99</v>
      </c>
      <c r="B68" t="s">
        <v>100</v>
      </c>
      <c r="C68" s="15" t="s">
        <v>30</v>
      </c>
      <c r="D68" s="22" t="s">
        <v>81</v>
      </c>
      <c r="E68" s="23" t="s">
        <v>82</v>
      </c>
      <c r="F68" s="23" t="str">
        <f>'Source Table'!$B$9</f>
        <v>Environment &amp;  Irrigation</v>
      </c>
      <c r="G68" s="23" t="str">
        <f>'Source Table'!$D$9</f>
        <v>الموارد المائيةوالبيئة</v>
      </c>
      <c r="H68" s="32">
        <v>1853</v>
      </c>
      <c r="I68">
        <v>2013</v>
      </c>
    </row>
    <row r="69" spans="1:9" ht="15">
      <c r="A69" t="s">
        <v>99</v>
      </c>
      <c r="B69" t="s">
        <v>100</v>
      </c>
      <c r="C69" s="15" t="s">
        <v>30</v>
      </c>
      <c r="D69" s="22" t="s">
        <v>81</v>
      </c>
      <c r="E69" s="23" t="s">
        <v>82</v>
      </c>
      <c r="F69" s="23" t="str">
        <f>'Source Table'!$B$10</f>
        <v>Nutrition and Industries</v>
      </c>
      <c r="G69" s="23" t="str">
        <f>'Source Table'!$D$10</f>
        <v>التغذية والصناعات</v>
      </c>
      <c r="H69" s="32">
        <v>3305</v>
      </c>
      <c r="I69">
        <v>2013</v>
      </c>
    </row>
    <row r="70" spans="1:9" ht="15">
      <c r="A70" t="s">
        <v>99</v>
      </c>
      <c r="B70" t="s">
        <v>100</v>
      </c>
      <c r="C70" s="15" t="s">
        <v>30</v>
      </c>
      <c r="D70" s="22" t="s">
        <v>81</v>
      </c>
      <c r="E70" s="23" t="s">
        <v>82</v>
      </c>
      <c r="F70" s="23" t="str">
        <f>'Source Table'!$B$5</f>
        <v>Plants Protection</v>
      </c>
      <c r="G70" s="23" t="str">
        <f>'Source Table'!$D$5</f>
        <v>الوقاية النباتية</v>
      </c>
      <c r="H70" s="32">
        <v>3582</v>
      </c>
      <c r="I70">
        <v>2012</v>
      </c>
    </row>
    <row r="71" spans="1:9" ht="15">
      <c r="A71" t="s">
        <v>99</v>
      </c>
      <c r="B71" t="s">
        <v>100</v>
      </c>
      <c r="C71" s="15" t="s">
        <v>30</v>
      </c>
      <c r="D71" s="22" t="s">
        <v>81</v>
      </c>
      <c r="E71" s="23" t="s">
        <v>82</v>
      </c>
      <c r="F71" s="23" t="str">
        <f>'Source Table'!$B$6</f>
        <v>Plants  Production</v>
      </c>
      <c r="G71" s="23" t="str">
        <f>'Source Table'!$D$6</f>
        <v>الإنتاج النباتي</v>
      </c>
      <c r="H71" s="32">
        <v>1039</v>
      </c>
      <c r="I71">
        <v>2012</v>
      </c>
    </row>
    <row r="72" spans="1:9" ht="15">
      <c r="A72" t="s">
        <v>99</v>
      </c>
      <c r="B72" t="s">
        <v>100</v>
      </c>
      <c r="C72" s="15" t="s">
        <v>30</v>
      </c>
      <c r="D72" s="22" t="s">
        <v>81</v>
      </c>
      <c r="E72" s="23" t="s">
        <v>82</v>
      </c>
      <c r="F72" s="23" t="str">
        <f>'Source Table'!$B$7</f>
        <v xml:space="preserve">Agricultural Economics  </v>
      </c>
      <c r="G72" s="23" t="str">
        <f>'Source Table'!$D$7</f>
        <v>الاقتصاد الزراعي</v>
      </c>
      <c r="H72" s="32">
        <v>1526</v>
      </c>
      <c r="I72">
        <v>2012</v>
      </c>
    </row>
    <row r="73" spans="1:9" ht="15">
      <c r="A73" t="s">
        <v>99</v>
      </c>
      <c r="B73" t="s">
        <v>100</v>
      </c>
      <c r="C73" s="15" t="s">
        <v>30</v>
      </c>
      <c r="D73" s="22" t="s">
        <v>81</v>
      </c>
      <c r="E73" s="23" t="s">
        <v>82</v>
      </c>
      <c r="F73" s="23" t="str">
        <f>'Source Table'!$B$8</f>
        <v>Animal Production</v>
      </c>
      <c r="G73" s="23" t="str">
        <f>'Source Table'!$D$8</f>
        <v>الإنتاج الحيواني</v>
      </c>
      <c r="H73" s="32">
        <v>1144</v>
      </c>
      <c r="I73">
        <v>2012</v>
      </c>
    </row>
    <row r="74" spans="1:9" ht="15">
      <c r="A74" t="s">
        <v>99</v>
      </c>
      <c r="B74" t="s">
        <v>100</v>
      </c>
      <c r="C74" s="15" t="s">
        <v>30</v>
      </c>
      <c r="D74" s="22" t="s">
        <v>81</v>
      </c>
      <c r="E74" s="23" t="s">
        <v>82</v>
      </c>
      <c r="F74" s="23" t="str">
        <f>'Source Table'!$B$9</f>
        <v>Environment &amp;  Irrigation</v>
      </c>
      <c r="G74" s="23" t="str">
        <f>'Source Table'!$D$9</f>
        <v>الموارد المائيةوالبيئة</v>
      </c>
      <c r="H74" s="32">
        <v>1495</v>
      </c>
      <c r="I74">
        <v>2012</v>
      </c>
    </row>
    <row r="75" spans="1:9" ht="15">
      <c r="A75" t="s">
        <v>99</v>
      </c>
      <c r="B75" t="s">
        <v>100</v>
      </c>
      <c r="C75" s="15" t="s">
        <v>30</v>
      </c>
      <c r="D75" s="22" t="s">
        <v>81</v>
      </c>
      <c r="E75" s="23" t="s">
        <v>82</v>
      </c>
      <c r="F75" s="23" t="str">
        <f>'Source Table'!$B$10</f>
        <v>Nutrition and Industries</v>
      </c>
      <c r="G75" s="23" t="str">
        <f>'Source Table'!$D$10</f>
        <v>التغذية والصناعات</v>
      </c>
      <c r="H75" s="32">
        <v>2696</v>
      </c>
      <c r="I75">
        <v>2012</v>
      </c>
    </row>
    <row r="76" spans="1:9" ht="15">
      <c r="A76" t="s">
        <v>99</v>
      </c>
      <c r="B76" t="s">
        <v>100</v>
      </c>
      <c r="C76" s="15" t="s">
        <v>30</v>
      </c>
      <c r="D76" s="22" t="s">
        <v>81</v>
      </c>
      <c r="E76" s="23" t="s">
        <v>82</v>
      </c>
      <c r="F76" s="23" t="str">
        <f>'Source Table'!$B$5</f>
        <v>Plants Protection</v>
      </c>
      <c r="G76" s="23" t="str">
        <f>'Source Table'!$D$5</f>
        <v>الوقاية النباتية</v>
      </c>
      <c r="H76" s="32">
        <v>3327</v>
      </c>
      <c r="I76">
        <v>2011</v>
      </c>
    </row>
    <row r="77" spans="1:9" ht="15">
      <c r="A77" t="s">
        <v>99</v>
      </c>
      <c r="B77" t="s">
        <v>100</v>
      </c>
      <c r="C77" s="15" t="s">
        <v>30</v>
      </c>
      <c r="D77" s="22" t="s">
        <v>81</v>
      </c>
      <c r="E77" s="23" t="s">
        <v>82</v>
      </c>
      <c r="F77" s="23" t="str">
        <f>'Source Table'!$B$6</f>
        <v>Plants  Production</v>
      </c>
      <c r="G77" s="23" t="str">
        <f>'Source Table'!$D$6</f>
        <v>الإنتاج النباتي</v>
      </c>
      <c r="H77" s="32">
        <v>1009</v>
      </c>
      <c r="I77">
        <v>2011</v>
      </c>
    </row>
    <row r="78" spans="1:9" ht="15">
      <c r="A78" t="s">
        <v>99</v>
      </c>
      <c r="B78" t="s">
        <v>100</v>
      </c>
      <c r="C78" s="15" t="s">
        <v>30</v>
      </c>
      <c r="D78" s="22" t="s">
        <v>81</v>
      </c>
      <c r="E78" s="23" t="s">
        <v>82</v>
      </c>
      <c r="F78" s="23" t="str">
        <f>'Source Table'!$B$7</f>
        <v xml:space="preserve">Agricultural Economics  </v>
      </c>
      <c r="G78" s="23" t="str">
        <f>'Source Table'!$D$7</f>
        <v>الاقتصاد الزراعي</v>
      </c>
      <c r="H78" s="32">
        <v>1437</v>
      </c>
      <c r="I78">
        <v>2011</v>
      </c>
    </row>
    <row r="79" spans="1:9" ht="15">
      <c r="A79" t="s">
        <v>99</v>
      </c>
      <c r="B79" t="s">
        <v>100</v>
      </c>
      <c r="C79" s="15" t="s">
        <v>30</v>
      </c>
      <c r="D79" s="22" t="s">
        <v>81</v>
      </c>
      <c r="E79" s="23" t="s">
        <v>82</v>
      </c>
      <c r="F79" s="23" t="str">
        <f>'Source Table'!$B$8</f>
        <v>Animal Production</v>
      </c>
      <c r="G79" s="23" t="str">
        <f>'Source Table'!$D$8</f>
        <v>الإنتاج الحيواني</v>
      </c>
      <c r="H79" s="32">
        <v>1085</v>
      </c>
      <c r="I79">
        <v>2011</v>
      </c>
    </row>
    <row r="80" spans="1:9" ht="15">
      <c r="A80" t="s">
        <v>99</v>
      </c>
      <c r="B80" t="s">
        <v>100</v>
      </c>
      <c r="C80" s="15" t="s">
        <v>30</v>
      </c>
      <c r="D80" s="22" t="s">
        <v>81</v>
      </c>
      <c r="E80" s="23" t="s">
        <v>82</v>
      </c>
      <c r="F80" s="23" t="str">
        <f>'Source Table'!$B$9</f>
        <v>Environment &amp;  Irrigation</v>
      </c>
      <c r="G80" s="23" t="str">
        <f>'Source Table'!$D$9</f>
        <v>الموارد المائيةوالبيئة</v>
      </c>
      <c r="H80" s="32">
        <v>1260</v>
      </c>
      <c r="I80">
        <v>2011</v>
      </c>
    </row>
    <row r="81" spans="1:9" ht="15">
      <c r="A81" t="s">
        <v>99</v>
      </c>
      <c r="B81" t="s">
        <v>100</v>
      </c>
      <c r="C81" s="15" t="s">
        <v>30</v>
      </c>
      <c r="D81" s="22" t="s">
        <v>81</v>
      </c>
      <c r="E81" s="23" t="s">
        <v>82</v>
      </c>
      <c r="F81" s="23" t="str">
        <f>'Source Table'!$B$10</f>
        <v>Nutrition and Industries</v>
      </c>
      <c r="G81" s="23" t="str">
        <f>'Source Table'!$D$10</f>
        <v>التغذية والصناعات</v>
      </c>
      <c r="H81" s="32">
        <v>2359</v>
      </c>
      <c r="I81">
        <v>2011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zoomScale="70" zoomScaleNormal="70" workbookViewId="0">
      <selection activeCell="G22" sqref="G22"/>
    </sheetView>
  </sheetViews>
  <sheetFormatPr defaultColWidth="9" defaultRowHeight="13.5"/>
  <cols>
    <col min="1" max="8" width="24.375" customWidth="1"/>
    <col min="9" max="9" width="8.75" customWidth="1"/>
    <col min="10" max="10" width="11.375" customWidth="1"/>
    <col min="11" max="11" width="12" customWidth="1"/>
    <col min="12" max="12" width="9.875" customWidth="1"/>
    <col min="13" max="13" width="7.375" customWidth="1"/>
  </cols>
  <sheetData>
    <row r="1" spans="1:10">
      <c r="A1" s="11" t="s">
        <v>31</v>
      </c>
      <c r="B1" s="12">
        <f>DATE(B2,B3,1)</f>
        <v>45292</v>
      </c>
    </row>
    <row r="2" spans="1:10">
      <c r="A2" s="11" t="s">
        <v>11</v>
      </c>
      <c r="B2">
        <v>2024</v>
      </c>
      <c r="D2" s="12"/>
    </row>
    <row r="3" spans="1:10">
      <c r="A3" s="11" t="s">
        <v>32</v>
      </c>
      <c r="B3">
        <v>1</v>
      </c>
    </row>
    <row r="4" spans="1:10" s="10" customFormat="1" ht="18" customHeight="1">
      <c r="A4" s="13" t="s">
        <v>14</v>
      </c>
      <c r="B4" s="13" t="s">
        <v>15</v>
      </c>
      <c r="C4" s="13" t="s">
        <v>16</v>
      </c>
      <c r="D4" s="13" t="s">
        <v>17</v>
      </c>
      <c r="E4" s="13" t="s">
        <v>18</v>
      </c>
      <c r="F4" s="24" t="s">
        <v>102</v>
      </c>
      <c r="G4" s="24" t="s">
        <v>103</v>
      </c>
      <c r="H4" s="13" t="s">
        <v>19</v>
      </c>
      <c r="I4" s="13" t="s">
        <v>20</v>
      </c>
      <c r="J4" s="13" t="s">
        <v>21</v>
      </c>
    </row>
    <row r="5" spans="1:10" s="10" customFormat="1" ht="18" customHeight="1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26</v>
      </c>
      <c r="F5" s="24" t="s">
        <v>101</v>
      </c>
      <c r="G5" s="24" t="s">
        <v>104</v>
      </c>
      <c r="H5" s="13" t="s">
        <v>27</v>
      </c>
      <c r="I5" s="13" t="s">
        <v>28</v>
      </c>
      <c r="J5" s="1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topLeftCell="A17" workbookViewId="0">
      <selection activeCell="A20" sqref="A20"/>
    </sheetView>
  </sheetViews>
  <sheetFormatPr defaultColWidth="8.875" defaultRowHeight="13.5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spans="1:3" ht="18">
      <c r="A2" s="5" t="s">
        <v>33</v>
      </c>
      <c r="C2" s="6" t="s">
        <v>34</v>
      </c>
    </row>
    <row r="3" spans="1:3">
      <c r="A3" s="7"/>
    </row>
    <row r="4" spans="1:3" ht="27">
      <c r="A4" s="7" t="s">
        <v>35</v>
      </c>
      <c r="C4" s="3" t="s">
        <v>36</v>
      </c>
    </row>
    <row r="6" spans="1:3" ht="18">
      <c r="A6" s="5" t="s">
        <v>37</v>
      </c>
      <c r="C6" s="6" t="s">
        <v>38</v>
      </c>
    </row>
    <row r="7" spans="1:3">
      <c r="A7" s="7"/>
    </row>
    <row r="8" spans="1:3" ht="27">
      <c r="A8" s="8" t="s">
        <v>39</v>
      </c>
      <c r="C8" s="3" t="s">
        <v>40</v>
      </c>
    </row>
    <row r="10" spans="1:3" ht="18">
      <c r="A10" s="5" t="s">
        <v>41</v>
      </c>
      <c r="C10" s="6" t="s">
        <v>42</v>
      </c>
    </row>
    <row r="11" spans="1:3">
      <c r="A11" s="7"/>
    </row>
    <row r="12" spans="1:3">
      <c r="A12" s="7" t="s">
        <v>43</v>
      </c>
      <c r="C12" s="3" t="s">
        <v>44</v>
      </c>
    </row>
    <row r="13" spans="1:3" ht="27">
      <c r="A13" s="8" t="s">
        <v>45</v>
      </c>
      <c r="C13" s="9" t="s">
        <v>46</v>
      </c>
    </row>
    <row r="14" spans="1:3" ht="40.5">
      <c r="A14" s="8" t="s">
        <v>47</v>
      </c>
      <c r="C14" s="9" t="s">
        <v>48</v>
      </c>
    </row>
    <row r="15" spans="1:3" ht="27">
      <c r="A15" s="8" t="s">
        <v>49</v>
      </c>
      <c r="C15" s="9" t="s">
        <v>50</v>
      </c>
    </row>
    <row r="16" spans="1:3">
      <c r="A16" s="8" t="s">
        <v>51</v>
      </c>
      <c r="C16" s="9" t="s">
        <v>52</v>
      </c>
    </row>
    <row r="17" spans="1:3">
      <c r="A17" s="8" t="s">
        <v>53</v>
      </c>
      <c r="C17" s="9" t="s">
        <v>54</v>
      </c>
    </row>
    <row r="18" spans="1:3">
      <c r="A18" s="7" t="s">
        <v>55</v>
      </c>
      <c r="C18" s="3" t="s">
        <v>56</v>
      </c>
    </row>
    <row r="19" spans="1:3">
      <c r="A19" s="7" t="s">
        <v>57</v>
      </c>
      <c r="C19" s="3" t="s">
        <v>58</v>
      </c>
    </row>
    <row r="20" spans="1:3" ht="27">
      <c r="A20" s="8" t="s">
        <v>59</v>
      </c>
      <c r="C20" s="9" t="s">
        <v>60</v>
      </c>
    </row>
    <row r="22" spans="1:3" ht="18">
      <c r="A22" s="5" t="s">
        <v>61</v>
      </c>
      <c r="C22" s="6" t="s">
        <v>62</v>
      </c>
    </row>
    <row r="23" spans="1:3">
      <c r="A23" s="7"/>
    </row>
    <row r="24" spans="1:3" ht="27">
      <c r="A24" s="7" t="s">
        <v>63</v>
      </c>
      <c r="C24" s="3" t="s">
        <v>64</v>
      </c>
    </row>
    <row r="25" spans="1:3" ht="27">
      <c r="A25" s="7" t="s">
        <v>65</v>
      </c>
      <c r="C25" s="3" t="s">
        <v>66</v>
      </c>
    </row>
    <row r="27" spans="1:3" ht="18">
      <c r="A27" s="5" t="s">
        <v>67</v>
      </c>
      <c r="C27" s="6" t="s">
        <v>68</v>
      </c>
    </row>
    <row r="28" spans="1:3">
      <c r="A28" s="7"/>
    </row>
    <row r="29" spans="1:3" ht="27">
      <c r="A29" s="7" t="s">
        <v>69</v>
      </c>
      <c r="C29" s="3" t="s">
        <v>70</v>
      </c>
    </row>
    <row r="30" spans="1:3">
      <c r="A30" s="7" t="s">
        <v>71</v>
      </c>
      <c r="C30" s="3" t="s">
        <v>72</v>
      </c>
    </row>
    <row r="32" spans="1:3" ht="18">
      <c r="A32" s="5" t="s">
        <v>73</v>
      </c>
      <c r="C32" s="6" t="s">
        <v>74</v>
      </c>
    </row>
    <row r="33" spans="1:3">
      <c r="A33" s="7"/>
    </row>
    <row r="34" spans="1:3">
      <c r="A34" s="8" t="s">
        <v>75</v>
      </c>
      <c r="C34" s="3" t="s">
        <v>76</v>
      </c>
    </row>
    <row r="36" spans="1:3" ht="18">
      <c r="A36" s="5" t="s">
        <v>77</v>
      </c>
      <c r="C36" s="6" t="s">
        <v>78</v>
      </c>
    </row>
    <row r="37" spans="1:3">
      <c r="A37" s="7"/>
    </row>
    <row r="38" spans="1:3" ht="27">
      <c r="A38" s="7" t="s">
        <v>79</v>
      </c>
      <c r="C38" s="3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9D8868F97254F9E5095DCA93C6B5E" ma:contentTypeVersion="4" ma:contentTypeDescription="Create a new document." ma:contentTypeScope="" ma:versionID="c382a7e8560abba42d9175972971dca4">
  <xsd:schema xmlns:xsd="http://www.w3.org/2001/XMLSchema" xmlns:xs="http://www.w3.org/2001/XMLSchema" xmlns:p="http://schemas.microsoft.com/office/2006/metadata/properties" xmlns:ns2="5f3aa2a1-f742-4cb3-874a-b3631849deb5" targetNamespace="http://schemas.microsoft.com/office/2006/metadata/properties" ma:root="true" ma:fieldsID="dff2fb13bd7f76f9795f131d17ef348c" ns2:_="">
    <xsd:import namespace="5f3aa2a1-f742-4cb3-874a-b3631849d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aa2a1-f742-4cb3-874a-b3631849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3517F994-C603-46B5-AEAB-E4EEDEDA8C7D}">
  <ds:schemaRefs/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376B0781-3F54-40BC-A068-7F5A2310ECAB}">
  <ds:schemaRefs>
    <ds:schemaRef ds:uri="http://schemas.microsoft.com/office/2006/documentManagement/types"/>
    <ds:schemaRef ds:uri="http://purl.org/dc/elements/1.1/"/>
    <ds:schemaRef ds:uri="5f3aa2a1-f742-4cb3-874a-b3631849deb5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31</vt:i4>
      </vt:variant>
    </vt:vector>
  </HeadingPairs>
  <TitlesOfParts>
    <vt:vector size="36" baseType="lpstr">
      <vt:lpstr>Cover Page</vt:lpstr>
      <vt:lpstr>Source Table</vt:lpstr>
      <vt:lpstr>Relational DB</vt:lpstr>
      <vt:lpstr>Template Data</vt:lpstr>
      <vt:lpstr>Help</vt:lpstr>
      <vt:lpstr>'Relational DB'!_Toc175817912</vt:lpstr>
      <vt:lpstr>'Relational DB'!_Toc175817913</vt:lpstr>
      <vt:lpstr>'Relational DB'!_Toc175817914</vt:lpstr>
      <vt:lpstr>'Relational DB'!_Toc175817915</vt:lpstr>
      <vt:lpstr>'Relational DB'!_Toc175817916</vt:lpstr>
      <vt:lpstr>'Relational DB'!_Toc175817919</vt:lpstr>
      <vt:lpstr>'Relational DB'!_Toc175817920</vt:lpstr>
      <vt:lpstr>'Relational DB'!_Toc175817921</vt:lpstr>
      <vt:lpstr>'Relational DB'!_Toc175817922</vt:lpstr>
      <vt:lpstr>'Relational DB'!_Toc175817923</vt:lpstr>
      <vt:lpstr>'Relational DB'!_Toc175817926</vt:lpstr>
      <vt:lpstr>'Relational DB'!_Toc175817927</vt:lpstr>
      <vt:lpstr>'Relational DB'!_Toc175817928</vt:lpstr>
      <vt:lpstr>'Relational DB'!_Toc175817929</vt:lpstr>
      <vt:lpstr>'Relational DB'!_Toc175817930</vt:lpstr>
      <vt:lpstr>'Relational DB'!_Toc175817933</vt:lpstr>
      <vt:lpstr>'Relational DB'!_Toc175817934</vt:lpstr>
      <vt:lpstr>'Relational DB'!_Toc175817935</vt:lpstr>
      <vt:lpstr>'Relational DB'!_Toc175817936</vt:lpstr>
      <vt:lpstr>'Relational DB'!_Toc175817937</vt:lpstr>
      <vt:lpstr>'Relational DB'!_Toc175817940</vt:lpstr>
      <vt:lpstr>'Relational DB'!_Toc175817941</vt:lpstr>
      <vt:lpstr>'Relational DB'!_Toc175817942</vt:lpstr>
      <vt:lpstr>'Relational DB'!_Toc175817943</vt:lpstr>
      <vt:lpstr>'Relational DB'!_Toc175817944</vt:lpstr>
      <vt:lpstr>'Relational DB'!_Toc175817947</vt:lpstr>
      <vt:lpstr>'Relational DB'!_Toc175817948</vt:lpstr>
      <vt:lpstr>'Relational DB'!_Toc175817949</vt:lpstr>
      <vt:lpstr>'Relational DB'!_Toc175817950</vt:lpstr>
      <vt:lpstr>'Relational DB'!_Toc175817951</vt:lpstr>
      <vt:lpstr>'Source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2025-05-07T09:04:20Z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1033-12.2.0.20795</vt:lpwstr>
  </property>
</Properties>
</file>