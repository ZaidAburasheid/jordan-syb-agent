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4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<sst xmlns="http://schemas.openxmlformats.org/spreadsheetml/2006/main" count="582" uniqueCount="114">
  <si>
    <t>Code</t>
  </si>
  <si>
    <t>SYB_11_3_3</t>
  </si>
  <si>
    <t>Version</t>
  </si>
  <si>
    <t>V1</t>
  </si>
  <si>
    <t>اسم القالب</t>
  </si>
  <si>
    <t>عدد مراكز الخدمة البريدية حسب المحافظة</t>
  </si>
  <si>
    <t>Template Name</t>
  </si>
  <si>
    <t>Number of  Postal Service Centers by Governorate</t>
  </si>
  <si>
    <t>دورية البيانات</t>
  </si>
  <si>
    <t>سنوي</t>
  </si>
  <si>
    <t>Data Frequency</t>
  </si>
  <si>
    <t>Yearly</t>
  </si>
  <si>
    <t>الجهة المصدرية</t>
  </si>
  <si>
    <t xml:space="preserve">شركة البريد الأردني </t>
  </si>
  <si>
    <t>Data Source</t>
  </si>
  <si>
    <t>Jordan Post Company</t>
  </si>
  <si>
    <t>Year</t>
  </si>
  <si>
    <t>السنة</t>
  </si>
  <si>
    <t>Governorate</t>
  </si>
  <si>
    <t>المحافظة</t>
  </si>
  <si>
    <t>Amman</t>
  </si>
  <si>
    <t>العاصمة</t>
  </si>
  <si>
    <t>Balqa</t>
  </si>
  <si>
    <t>البلقاء</t>
  </si>
  <si>
    <t>Zarqa</t>
  </si>
  <si>
    <t>الزرقاء</t>
  </si>
  <si>
    <t>Madaba</t>
  </si>
  <si>
    <t>مأدبا</t>
  </si>
  <si>
    <t>North Region</t>
  </si>
  <si>
    <t>إقليم الشمال</t>
  </si>
  <si>
    <t>Mafraq</t>
  </si>
  <si>
    <t>المفرق</t>
  </si>
  <si>
    <t>Karak</t>
  </si>
  <si>
    <t>الكرك</t>
  </si>
  <si>
    <t>Tafiela</t>
  </si>
  <si>
    <t>الطفيله</t>
  </si>
  <si>
    <t>Ma'an</t>
  </si>
  <si>
    <t>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</si>
  <si>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</si>
  <si>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</si>
  <si>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</si>
  <si>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</si>
  <si>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</si>
  <si>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</si>
  <si>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</si>
  <si>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</si>
  <si>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CL_GOVERNORATE_EN_V2</t>
  </si>
  <si>
    <t>CL_GOVERNORATE_AR_V2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</si>
  <si>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</si>
  <si>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</si>
  <si>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</si>
  <si>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</si>
  <si>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</si>
  <si>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</si>
  <si>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</si>
  <si>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</si>
  <si>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</si>
  <si>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</si>
  <si>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</si>
  <si>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عدد مراكز الخدمة البريدية</t>
  </si>
  <si>
    <t>Number of  Postal Service Centers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</si>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</sst>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14" applyNumberFormat="0" applyAlignment="0" applyProtection="0">
      <alignment vertical="center"/>
    </xf>
    <xf numFmtId="0" fontId="28" fillId="11" borderId="15" applyNumberFormat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12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9" fillId="0" borderId="0">
      <alignment horizontal="centerContinuous" vertical="center"/>
    </xf>
    <xf numFmtId="0" fontId="40" fillId="0" borderId="0">
      <alignment horizontal="centerContinuous" vertical="center"/>
    </xf>
    <xf numFmtId="1" fontId="41" fillId="40" borderId="19">
      <alignment horizontal="center" vertical="center"/>
    </xf>
    <xf numFmtId="0" fontId="42" fillId="40" borderId="19">
      <alignment horizontal="center" vertical="center" wrapText="1"/>
    </xf>
    <xf numFmtId="0" fontId="43" fillId="40" borderId="19">
      <alignment horizontal="center" vertical="center" wrapText="1"/>
    </xf>
    <xf numFmtId="0" fontId="38" fillId="0" borderId="0"/>
    <xf numFmtId="0" fontId="38" fillId="0" borderId="0"/>
    <xf numFmtId="0" fontId="0" fillId="0" borderId="0"/>
    <xf numFmtId="0" fontId="0" fillId="0" borderId="0"/>
    <xf numFmtId="0" fontId="38" fillId="0" borderId="0"/>
    <xf numFmtId="0" fontId="0" fillId="0" borderId="0"/>
    <xf numFmtId="9" fontId="0" fillId="0" borderId="0"/>
    <xf numFmtId="9" fontId="0" fillId="0" borderId="0"/>
    <xf numFmtId="0" fontId="44" fillId="0" borderId="0">
      <alignment horizontal="right" vertical="center"/>
    </xf>
    <xf numFmtId="0" fontId="38" fillId="0" borderId="0">
      <alignment horizontal="left" vertical="center"/>
    </xf>
  </cellStyleXfs>
  <cellXfs count="45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 readingOrder="2"/>
    </xf>
    <xf numFmtId="0" fontId="13" fillId="8" borderId="8" xfId="0" applyFont="1" applyFill="1" applyBorder="1" applyAlignment="1">
      <alignment horizontal="center" vertical="center" readingOrder="2"/>
    </xf>
    <xf numFmtId="0" fontId="15" fillId="8" borderId="1" xfId="0" applyFont="1" applyFill="1" applyBorder="1" applyAlignment="1">
      <alignment horizontal="center" vertical="center" readingOrder="2"/>
    </xf>
    <xf numFmtId="0" fontId="13" fillId="8" borderId="9" xfId="0" applyFont="1" applyFill="1" applyBorder="1" applyAlignment="1">
      <alignment horizontal="center" vertical="center" readingOrder="2"/>
    </xf>
    <xf numFmtId="0" fontId="13" fillId="8" borderId="10" xfId="0" applyFont="1" applyFill="1" applyBorder="1" applyAlignment="1">
      <alignment horizontal="center" vertical="center" readingOrder="2"/>
    </xf>
    <xf numFmtId="0" fontId="15" fillId="8" borderId="10" xfId="0" applyFont="1" applyFill="1" applyBorder="1" applyAlignment="1">
      <alignment horizontal="left" vertical="center" indent="2" readingOrder="2"/>
    </xf>
    <xf numFmtId="0" fontId="16" fillId="0" borderId="10" xfId="0" applyFont="1" applyBorder="1" applyAlignment="1" applyProtection="1">
      <alignment horizontal="center" vertical="center"/>
      <protection locked="0"/>
    </xf>
    <xf numFmtId="0" fontId="17" fillId="8" borderId="10" xfId="0" applyFont="1" applyFill="1" applyBorder="1" applyAlignment="1">
      <alignment horizontal="right" vertical="center" indent="2" readingOrder="2"/>
    </xf>
    <xf numFmtId="0" fontId="18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3" sqref="B3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40" t="s">
        <v>0</v>
      </c>
      <c r="B1" s="15" t="s">
        <v>1</v>
      </c>
    </row>
    <row r="2" ht="21" customHeight="1" spans="1:2">
      <c r="A2" s="40" t="s">
        <v>2</v>
      </c>
      <c r="B2" s="15" t="s">
        <v>3</v>
      </c>
    </row>
    <row r="3" ht="21" customHeight="1" spans="1:2">
      <c r="A3" s="40" t="s">
        <v>4</v>
      </c>
      <c r="B3" s="41" t="s">
        <v>5</v>
      </c>
    </row>
    <row r="4" ht="21" customHeight="1" spans="1:2">
      <c r="A4" s="40" t="s">
        <v>6</v>
      </c>
      <c r="B4" s="42" t="s">
        <v>7</v>
      </c>
    </row>
    <row r="5" ht="21" customHeight="1" spans="1:2">
      <c r="A5" s="40" t="s">
        <v>8</v>
      </c>
      <c r="B5" s="43" t="s">
        <v>9</v>
      </c>
    </row>
    <row r="6" ht="21" customHeight="1" spans="1:2">
      <c r="A6" s="40" t="s">
        <v>10</v>
      </c>
      <c r="B6" s="43" t="s">
        <v>11</v>
      </c>
    </row>
    <row r="7" ht="21" customHeight="1" spans="1:2">
      <c r="A7" s="40" t="s">
        <v>12</v>
      </c>
      <c r="B7" s="44" t="s">
        <v>13</v>
      </c>
    </row>
    <row r="8" ht="21" customHeight="1" spans="1:2">
      <c r="A8" s="40" t="s">
        <v>14</v>
      </c>
      <c r="B8" s="44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view="pageBreakPreview" zoomScale="70" zoomScaleNormal="100" workbookViewId="0">
      <selection activeCell="B3" sqref="B3:D3"/>
    </sheetView>
  </sheetViews>
  <sheetFormatPr defaultColWidth="16.75" defaultRowHeight="14.25" outlineLevelCol="3"/>
  <cols>
    <col min="2" max="5" width="25.75" customWidth="1"/>
  </cols>
  <sheetData>
    <row r="2" ht="28.15" customHeight="1" spans="2:4">
      <c r="B2" s="26" t="str">
        <f>'Cover Page'!B4</f>
        <v>Number of  Postal Service Centers by Governorate</v>
      </c>
      <c r="C2" s="27"/>
      <c r="D2" s="27"/>
    </row>
    <row r="3" ht="28.15" customHeight="1" spans="2:4">
      <c r="B3" s="28" t="str">
        <f>'Cover Page'!B3</f>
        <v>عدد مراكز الخدمة البريدية حسب المحافظة</v>
      </c>
      <c r="C3" s="29"/>
      <c r="D3" s="29"/>
    </row>
    <row r="4" ht="28.15" customHeight="1" spans="2:4">
      <c r="B4" s="30" t="s">
        <v>16</v>
      </c>
      <c r="C4" s="31">
        <f>YEAR('Template Data'!B1)</f>
        <v>2024</v>
      </c>
      <c r="D4" s="32" t="s">
        <v>17</v>
      </c>
    </row>
    <row r="5" ht="28.15" customHeight="1" spans="2:4">
      <c r="B5" s="33" t="s">
        <v>18</v>
      </c>
      <c r="C5" s="34"/>
      <c r="D5" s="35" t="s">
        <v>19</v>
      </c>
    </row>
    <row r="6" ht="19.9" customHeight="1" spans="2:4">
      <c r="B6" s="36"/>
      <c r="C6" s="34"/>
      <c r="D6" s="35"/>
    </row>
    <row r="7" ht="22.15" customHeight="1" spans="2:4">
      <c r="B7" s="37" t="s">
        <v>20</v>
      </c>
      <c r="C7" s="38"/>
      <c r="D7" s="39" t="s">
        <v>21</v>
      </c>
    </row>
    <row r="8" ht="22.15" customHeight="1" spans="2:4">
      <c r="B8" s="37" t="s">
        <v>22</v>
      </c>
      <c r="C8" s="38"/>
      <c r="D8" s="39" t="s">
        <v>23</v>
      </c>
    </row>
    <row r="9" ht="22.15" customHeight="1" spans="2:4">
      <c r="B9" s="37" t="s">
        <v>24</v>
      </c>
      <c r="C9" s="38"/>
      <c r="D9" s="39" t="s">
        <v>25</v>
      </c>
    </row>
    <row r="10" ht="22.15" customHeight="1" spans="2:4">
      <c r="B10" s="37" t="s">
        <v>26</v>
      </c>
      <c r="C10" s="38"/>
      <c r="D10" s="39" t="s">
        <v>27</v>
      </c>
    </row>
    <row r="11" ht="22.15" customHeight="1" spans="2:4">
      <c r="B11" s="37" t="s">
        <v>28</v>
      </c>
      <c r="C11" s="38"/>
      <c r="D11" s="39" t="s">
        <v>29</v>
      </c>
    </row>
    <row r="12" ht="22.15" customHeight="1" spans="2:4">
      <c r="B12" s="37" t="s">
        <v>30</v>
      </c>
      <c r="C12" s="38"/>
      <c r="D12" s="39" t="s">
        <v>31</v>
      </c>
    </row>
    <row r="13" ht="22.15" customHeight="1" spans="2:4">
      <c r="B13" s="37" t="s">
        <v>32</v>
      </c>
      <c r="C13" s="38"/>
      <c r="D13" s="39" t="s">
        <v>33</v>
      </c>
    </row>
    <row r="14" ht="22.15" customHeight="1" spans="2:4">
      <c r="B14" s="37" t="s">
        <v>34</v>
      </c>
      <c r="C14" s="38"/>
      <c r="D14" s="39" t="s">
        <v>35</v>
      </c>
    </row>
    <row r="15" ht="22.15" customHeight="1" spans="2:4">
      <c r="B15" s="37" t="s">
        <v>36</v>
      </c>
      <c r="C15" s="38"/>
      <c r="D15" s="39" t="s">
        <v>37</v>
      </c>
    </row>
    <row r="16" ht="22.15" customHeight="1" spans="2:4">
      <c r="B16" s="37" t="s">
        <v>38</v>
      </c>
      <c r="C16" s="38"/>
      <c r="D16" s="39" t="s">
        <v>39</v>
      </c>
    </row>
  </sheetData>
  <sheetProtection algorithmName="SHA-512" hashValue="UMv751+L/LbrI+IrnYUaXrmsJv60rbql9/dqKEb/OvELJjqeBowGVZYC+MULYwwvYLcJHmERUR1LJTmkzCtBNg==" saltValue="/0+OCApuUcSf8cmKJ8xKkg==" spinCount="100000" sheet="1" objects="1"/>
  <mergeCells count="4">
    <mergeCell ref="B2:D2"/>
    <mergeCell ref="B3:D3"/>
    <mergeCell ref="B5:B6"/>
    <mergeCell ref="D5:D6"/>
  </mergeCells>
  <pageMargins left="0.7" right="0.7" top="0.75" bottom="0.75" header="0.3" footer="0.3"/>
  <pageSetup paperSize="1" scale="4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3"/>
  <sheetViews>
    <sheetView zoomScale="70" zoomScaleNormal="70" topLeftCell="C41" workbookViewId="0">
      <selection activeCell="H93" sqref="H93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375" customWidth="1"/>
    <col min="9" max="9" width="36.5" customWidth="1"/>
    <col min="10" max="12" width="15.5" customWidth="1"/>
  </cols>
  <sheetData>
    <row r="1" ht="20.25" spans="1:1">
      <c r="A1" s="15" t="s">
        <v>40</v>
      </c>
    </row>
    <row r="2" s="10" customFormat="1" ht="18" customHeight="1" spans="1:10">
      <c r="A2" s="13" t="s">
        <v>41</v>
      </c>
      <c r="B2" s="13" t="s">
        <v>42</v>
      </c>
      <c r="C2" s="13" t="s">
        <v>43</v>
      </c>
      <c r="D2" s="13" t="s">
        <v>44</v>
      </c>
      <c r="E2" s="13" t="s">
        <v>45</v>
      </c>
      <c r="F2" s="14" t="s">
        <v>46</v>
      </c>
      <c r="G2" s="14" t="s">
        <v>47</v>
      </c>
      <c r="H2" s="13" t="s">
        <v>48</v>
      </c>
      <c r="I2" s="13" t="s">
        <v>49</v>
      </c>
      <c r="J2" s="13" t="s">
        <v>50</v>
      </c>
    </row>
    <row r="3" s="10" customFormat="1" ht="18" customHeight="1" spans="1:10">
      <c r="A3" s="13" t="s">
        <v>51</v>
      </c>
      <c r="B3" s="13" t="s">
        <v>52</v>
      </c>
      <c r="C3" s="13" t="s">
        <v>53</v>
      </c>
      <c r="D3" s="13" t="s">
        <v>54</v>
      </c>
      <c r="E3" s="13" t="s">
        <v>55</v>
      </c>
      <c r="F3" s="14" t="s">
        <v>18</v>
      </c>
      <c r="G3" s="14" t="s">
        <v>19</v>
      </c>
      <c r="H3" s="13" t="s">
        <v>56</v>
      </c>
      <c r="I3" s="13" t="s">
        <v>57</v>
      </c>
      <c r="J3" s="13" t="s">
        <v>58</v>
      </c>
    </row>
    <row r="4" ht="15.75" spans="1:9">
      <c r="A4" s="16" t="s">
        <v>59</v>
      </c>
      <c r="B4" s="16" t="s">
        <v>60</v>
      </c>
      <c r="C4" s="17" t="s">
        <v>61</v>
      </c>
      <c r="D4" s="18" t="s">
        <v>62</v>
      </c>
      <c r="E4" s="19" t="s">
        <v>63</v>
      </c>
      <c r="F4" t="str">
        <f>'Source Table'!$B$7</f>
        <v>Amman</v>
      </c>
      <c r="G4" t="str">
        <f>'Source Table'!$D$7</f>
        <v>العاصمة</v>
      </c>
      <c r="H4" s="20">
        <v>36</v>
      </c>
      <c r="I4">
        <v>2023</v>
      </c>
    </row>
    <row r="5" ht="15.75" spans="1:9">
      <c r="A5" s="16" t="s">
        <v>59</v>
      </c>
      <c r="B5" s="16" t="s">
        <v>60</v>
      </c>
      <c r="C5" s="17" t="s">
        <v>61</v>
      </c>
      <c r="D5" s="18" t="s">
        <v>62</v>
      </c>
      <c r="E5" s="19" t="s">
        <v>63</v>
      </c>
      <c r="F5" t="str">
        <f>'Source Table'!$B$8</f>
        <v>Balqa</v>
      </c>
      <c r="G5" t="str">
        <f>'Source Table'!$D$8</f>
        <v>البلقاء</v>
      </c>
      <c r="H5" s="21">
        <v>11</v>
      </c>
      <c r="I5">
        <v>2023</v>
      </c>
    </row>
    <row r="6" ht="15.75" spans="1:9">
      <c r="A6" s="16" t="s">
        <v>59</v>
      </c>
      <c r="B6" s="16" t="s">
        <v>60</v>
      </c>
      <c r="C6" s="17" t="s">
        <v>61</v>
      </c>
      <c r="D6" s="18" t="s">
        <v>62</v>
      </c>
      <c r="E6" s="19" t="s">
        <v>63</v>
      </c>
      <c r="F6" t="str">
        <f>'Source Table'!$B$9</f>
        <v>Zarqa</v>
      </c>
      <c r="G6" t="str">
        <f>'Source Table'!$D$9</f>
        <v>الزرقاء</v>
      </c>
      <c r="H6" s="21">
        <v>13</v>
      </c>
      <c r="I6">
        <v>2023</v>
      </c>
    </row>
    <row r="7" ht="15.75" spans="1:9">
      <c r="A7" s="16" t="s">
        <v>59</v>
      </c>
      <c r="B7" s="16" t="s">
        <v>60</v>
      </c>
      <c r="C7" s="17" t="s">
        <v>61</v>
      </c>
      <c r="D7" s="18" t="s">
        <v>62</v>
      </c>
      <c r="E7" s="19" t="s">
        <v>63</v>
      </c>
      <c r="F7" t="str">
        <f>'Source Table'!$B$10</f>
        <v>Madaba</v>
      </c>
      <c r="G7" t="str">
        <f>'Source Table'!$D$10</f>
        <v>مأدبا</v>
      </c>
      <c r="H7" s="21">
        <v>15</v>
      </c>
      <c r="I7">
        <v>2023</v>
      </c>
    </row>
    <row r="8" ht="15.75" spans="1:9">
      <c r="A8" s="16" t="s">
        <v>59</v>
      </c>
      <c r="B8" s="16" t="s">
        <v>60</v>
      </c>
      <c r="C8" s="17" t="s">
        <v>61</v>
      </c>
      <c r="D8" s="18" t="s">
        <v>62</v>
      </c>
      <c r="E8" s="19" t="s">
        <v>63</v>
      </c>
      <c r="F8" t="str">
        <f>'Source Table'!$B$11</f>
        <v>North Region</v>
      </c>
      <c r="G8" t="str">
        <f>'Source Table'!$D$11</f>
        <v>إقليم الشمال</v>
      </c>
      <c r="H8" s="21">
        <v>70</v>
      </c>
      <c r="I8">
        <v>2023</v>
      </c>
    </row>
    <row r="9" ht="15.75" spans="1:9">
      <c r="A9" s="16" t="s">
        <v>59</v>
      </c>
      <c r="B9" s="16" t="s">
        <v>60</v>
      </c>
      <c r="C9" s="17" t="s">
        <v>61</v>
      </c>
      <c r="D9" s="18" t="s">
        <v>62</v>
      </c>
      <c r="E9" s="19" t="s">
        <v>63</v>
      </c>
      <c r="F9" t="str">
        <f>'Source Table'!$B$12</f>
        <v>Mafraq</v>
      </c>
      <c r="G9" t="str">
        <f>'Source Table'!$D$12</f>
        <v>المفرق</v>
      </c>
      <c r="H9" s="21">
        <v>11</v>
      </c>
      <c r="I9">
        <v>2023</v>
      </c>
    </row>
    <row r="10" ht="15.75" spans="1:9">
      <c r="A10" s="16" t="s">
        <v>59</v>
      </c>
      <c r="B10" s="16" t="s">
        <v>60</v>
      </c>
      <c r="C10" s="17" t="s">
        <v>61</v>
      </c>
      <c r="D10" s="18" t="s">
        <v>62</v>
      </c>
      <c r="E10" s="19" t="s">
        <v>63</v>
      </c>
      <c r="F10" t="str">
        <f>'Source Table'!$B$13</f>
        <v>Karak</v>
      </c>
      <c r="G10" t="str">
        <f>'Source Table'!$D$13</f>
        <v>الكرك</v>
      </c>
      <c r="H10" s="21">
        <v>12</v>
      </c>
      <c r="I10">
        <v>2023</v>
      </c>
    </row>
    <row r="11" ht="15.75" spans="1:9">
      <c r="A11" s="16" t="s">
        <v>59</v>
      </c>
      <c r="B11" s="16" t="s">
        <v>60</v>
      </c>
      <c r="C11" s="17" t="s">
        <v>61</v>
      </c>
      <c r="D11" s="18" t="s">
        <v>62</v>
      </c>
      <c r="E11" s="19" t="s">
        <v>63</v>
      </c>
      <c r="F11" t="str">
        <f>'Source Table'!$B$14</f>
        <v>Tafiela</v>
      </c>
      <c r="G11" t="str">
        <f>'Source Table'!$D$14</f>
        <v>الطفيله</v>
      </c>
      <c r="H11" s="21">
        <v>6</v>
      </c>
      <c r="I11">
        <v>2023</v>
      </c>
    </row>
    <row r="12" ht="15.75" spans="1:9">
      <c r="A12" s="16" t="s">
        <v>59</v>
      </c>
      <c r="B12" s="16" t="s">
        <v>60</v>
      </c>
      <c r="C12" s="17" t="s">
        <v>61</v>
      </c>
      <c r="D12" s="18" t="s">
        <v>62</v>
      </c>
      <c r="E12" s="19" t="s">
        <v>63</v>
      </c>
      <c r="F12" t="str">
        <f>'Source Table'!$B$15</f>
        <v>Ma'an</v>
      </c>
      <c r="G12" t="str">
        <f>'Source Table'!$D$15</f>
        <v>معان</v>
      </c>
      <c r="H12" s="21">
        <v>10</v>
      </c>
      <c r="I12">
        <v>2023</v>
      </c>
    </row>
    <row r="13" ht="16.5" spans="1:9">
      <c r="A13" s="16" t="s">
        <v>59</v>
      </c>
      <c r="B13" s="16" t="s">
        <v>60</v>
      </c>
      <c r="C13" s="17" t="s">
        <v>61</v>
      </c>
      <c r="D13" s="18" t="s">
        <v>62</v>
      </c>
      <c r="E13" s="19" t="s">
        <v>63</v>
      </c>
      <c r="F13" t="str">
        <f>'Source Table'!$B$16</f>
        <v>Aqaba</v>
      </c>
      <c r="G13" t="str">
        <f>'Source Table'!$D$16</f>
        <v>العقبة</v>
      </c>
      <c r="H13" s="22">
        <v>3</v>
      </c>
      <c r="I13">
        <v>2023</v>
      </c>
    </row>
    <row r="14" ht="15.75" spans="1:9">
      <c r="A14" s="16" t="s">
        <v>59</v>
      </c>
      <c r="B14" s="16" t="s">
        <v>60</v>
      </c>
      <c r="C14" s="17" t="s">
        <v>61</v>
      </c>
      <c r="D14" s="18" t="s">
        <v>62</v>
      </c>
      <c r="E14" s="19" t="s">
        <v>63</v>
      </c>
      <c r="F14" t="str">
        <f>'Source Table'!$B$7</f>
        <v>Amman</v>
      </c>
      <c r="G14" t="str">
        <f>'Source Table'!$D$7</f>
        <v>العاصمة</v>
      </c>
      <c r="H14" s="23">
        <v>37</v>
      </c>
      <c r="I14">
        <v>2022</v>
      </c>
    </row>
    <row r="15" ht="15.75" spans="1:9">
      <c r="A15" s="16" t="s">
        <v>59</v>
      </c>
      <c r="B15" s="16" t="s">
        <v>60</v>
      </c>
      <c r="C15" s="17" t="s">
        <v>61</v>
      </c>
      <c r="D15" s="18" t="s">
        <v>62</v>
      </c>
      <c r="E15" s="19" t="s">
        <v>63</v>
      </c>
      <c r="F15" t="str">
        <f>'Source Table'!$B$8</f>
        <v>Balqa</v>
      </c>
      <c r="G15" t="str">
        <f>'Source Table'!$D$8</f>
        <v>البلقاء</v>
      </c>
      <c r="H15" s="24">
        <v>12</v>
      </c>
      <c r="I15">
        <v>2022</v>
      </c>
    </row>
    <row r="16" ht="15.75" spans="1:9">
      <c r="A16" s="16" t="s">
        <v>59</v>
      </c>
      <c r="B16" s="16" t="s">
        <v>60</v>
      </c>
      <c r="C16" s="17" t="s">
        <v>61</v>
      </c>
      <c r="D16" s="18" t="s">
        <v>62</v>
      </c>
      <c r="E16" s="19" t="s">
        <v>63</v>
      </c>
      <c r="F16" t="str">
        <f>'Source Table'!$B$9</f>
        <v>Zarqa</v>
      </c>
      <c r="G16" t="str">
        <f>'Source Table'!$D$9</f>
        <v>الزرقاء</v>
      </c>
      <c r="H16" s="24">
        <v>14</v>
      </c>
      <c r="I16">
        <v>2022</v>
      </c>
    </row>
    <row r="17" ht="15.75" spans="1:9">
      <c r="A17" s="16" t="s">
        <v>59</v>
      </c>
      <c r="B17" s="16" t="s">
        <v>60</v>
      </c>
      <c r="C17" s="17" t="s">
        <v>61</v>
      </c>
      <c r="D17" s="18" t="s">
        <v>62</v>
      </c>
      <c r="E17" s="19" t="s">
        <v>63</v>
      </c>
      <c r="F17" t="str">
        <f>'Source Table'!$B$10</f>
        <v>Madaba</v>
      </c>
      <c r="G17" t="str">
        <f>'Source Table'!$D$10</f>
        <v>مأدبا</v>
      </c>
      <c r="H17" s="24">
        <v>16</v>
      </c>
      <c r="I17">
        <v>2022</v>
      </c>
    </row>
    <row r="18" ht="15.75" spans="1:9">
      <c r="A18" s="16" t="s">
        <v>59</v>
      </c>
      <c r="B18" s="16" t="s">
        <v>60</v>
      </c>
      <c r="C18" s="17" t="s">
        <v>61</v>
      </c>
      <c r="D18" s="18" t="s">
        <v>62</v>
      </c>
      <c r="E18" s="19" t="s">
        <v>63</v>
      </c>
      <c r="F18" t="str">
        <f>'Source Table'!$B$11</f>
        <v>North Region</v>
      </c>
      <c r="G18" t="str">
        <f>'Source Table'!$D$11</f>
        <v>إقليم الشمال</v>
      </c>
      <c r="H18" s="24">
        <v>75</v>
      </c>
      <c r="I18">
        <v>2022</v>
      </c>
    </row>
    <row r="19" ht="15.75" spans="1:9">
      <c r="A19" s="16" t="s">
        <v>59</v>
      </c>
      <c r="B19" s="16" t="s">
        <v>60</v>
      </c>
      <c r="C19" s="17" t="s">
        <v>61</v>
      </c>
      <c r="D19" s="18" t="s">
        <v>62</v>
      </c>
      <c r="E19" s="19" t="s">
        <v>63</v>
      </c>
      <c r="F19" t="str">
        <f>'Source Table'!$B$12</f>
        <v>Mafraq</v>
      </c>
      <c r="G19" t="str">
        <f>'Source Table'!$D$12</f>
        <v>المفرق</v>
      </c>
      <c r="H19" s="24">
        <v>10</v>
      </c>
      <c r="I19">
        <v>2022</v>
      </c>
    </row>
    <row r="20" ht="15.75" spans="1:9">
      <c r="A20" s="16" t="s">
        <v>59</v>
      </c>
      <c r="B20" s="16" t="s">
        <v>60</v>
      </c>
      <c r="C20" s="17" t="s">
        <v>61</v>
      </c>
      <c r="D20" s="18" t="s">
        <v>62</v>
      </c>
      <c r="E20" s="19" t="s">
        <v>63</v>
      </c>
      <c r="F20" t="str">
        <f>'Source Table'!$B$13</f>
        <v>Karak</v>
      </c>
      <c r="G20" t="str">
        <f>'Source Table'!$D$13</f>
        <v>الكرك</v>
      </c>
      <c r="H20" s="24">
        <v>12</v>
      </c>
      <c r="I20">
        <v>2022</v>
      </c>
    </row>
    <row r="21" ht="15.75" spans="1:9">
      <c r="A21" s="16" t="s">
        <v>59</v>
      </c>
      <c r="B21" s="16" t="s">
        <v>60</v>
      </c>
      <c r="C21" s="17" t="s">
        <v>61</v>
      </c>
      <c r="D21" s="18" t="s">
        <v>62</v>
      </c>
      <c r="E21" s="19" t="s">
        <v>63</v>
      </c>
      <c r="F21" t="str">
        <f>'Source Table'!$B$14</f>
        <v>Tafiela</v>
      </c>
      <c r="G21" t="str">
        <f>'Source Table'!$D$14</f>
        <v>الطفيله</v>
      </c>
      <c r="H21" s="24">
        <v>6</v>
      </c>
      <c r="I21">
        <v>2022</v>
      </c>
    </row>
    <row r="22" ht="15.75" spans="1:9">
      <c r="A22" s="16" t="s">
        <v>59</v>
      </c>
      <c r="B22" s="16" t="s">
        <v>60</v>
      </c>
      <c r="C22" s="17" t="s">
        <v>61</v>
      </c>
      <c r="D22" s="18" t="s">
        <v>62</v>
      </c>
      <c r="E22" s="19" t="s">
        <v>63</v>
      </c>
      <c r="F22" t="str">
        <f>'Source Table'!$B$15</f>
        <v>Ma'an</v>
      </c>
      <c r="G22" t="str">
        <f>'Source Table'!$D$15</f>
        <v>معان</v>
      </c>
      <c r="H22" s="24">
        <v>11</v>
      </c>
      <c r="I22">
        <v>2022</v>
      </c>
    </row>
    <row r="23" ht="16.5" spans="1:9">
      <c r="A23" s="16" t="s">
        <v>59</v>
      </c>
      <c r="B23" s="16" t="s">
        <v>60</v>
      </c>
      <c r="C23" s="17" t="s">
        <v>61</v>
      </c>
      <c r="D23" s="18" t="s">
        <v>62</v>
      </c>
      <c r="E23" s="19" t="s">
        <v>63</v>
      </c>
      <c r="F23" t="str">
        <f>'Source Table'!$B$16</f>
        <v>Aqaba</v>
      </c>
      <c r="G23" t="str">
        <f>'Source Table'!$D$16</f>
        <v>العقبة</v>
      </c>
      <c r="H23" s="25">
        <v>4</v>
      </c>
      <c r="I23">
        <v>2022</v>
      </c>
    </row>
    <row r="24" ht="15.75" spans="1:9">
      <c r="A24" s="16" t="s">
        <v>59</v>
      </c>
      <c r="B24" s="16" t="s">
        <v>60</v>
      </c>
      <c r="C24" s="17" t="s">
        <v>61</v>
      </c>
      <c r="D24" s="18" t="s">
        <v>62</v>
      </c>
      <c r="E24" s="19" t="s">
        <v>63</v>
      </c>
      <c r="F24" t="str">
        <f>'Source Table'!$B$7</f>
        <v>Amman</v>
      </c>
      <c r="G24" t="str">
        <f>'Source Table'!$D$7</f>
        <v>العاصمة</v>
      </c>
      <c r="H24" s="23">
        <v>43</v>
      </c>
      <c r="I24">
        <v>2021</v>
      </c>
    </row>
    <row r="25" ht="15.75" spans="1:9">
      <c r="A25" s="16" t="s">
        <v>59</v>
      </c>
      <c r="B25" s="16" t="s">
        <v>60</v>
      </c>
      <c r="C25" s="17" t="s">
        <v>61</v>
      </c>
      <c r="D25" s="18" t="s">
        <v>62</v>
      </c>
      <c r="E25" s="19" t="s">
        <v>63</v>
      </c>
      <c r="F25" t="str">
        <f>'Source Table'!$B$8</f>
        <v>Balqa</v>
      </c>
      <c r="G25" t="str">
        <f>'Source Table'!$D$8</f>
        <v>البلقاء</v>
      </c>
      <c r="H25" s="24">
        <v>16</v>
      </c>
      <c r="I25">
        <v>2021</v>
      </c>
    </row>
    <row r="26" ht="15.75" spans="1:9">
      <c r="A26" s="16" t="s">
        <v>59</v>
      </c>
      <c r="B26" s="16" t="s">
        <v>60</v>
      </c>
      <c r="C26" s="17" t="s">
        <v>61</v>
      </c>
      <c r="D26" s="18" t="s">
        <v>62</v>
      </c>
      <c r="E26" s="19" t="s">
        <v>63</v>
      </c>
      <c r="F26" t="str">
        <f>'Source Table'!$B$9</f>
        <v>Zarqa</v>
      </c>
      <c r="G26" t="str">
        <f>'Source Table'!$D$9</f>
        <v>الزرقاء</v>
      </c>
      <c r="H26" s="24">
        <v>14</v>
      </c>
      <c r="I26">
        <v>2021</v>
      </c>
    </row>
    <row r="27" ht="15.75" spans="1:9">
      <c r="A27" s="16" t="s">
        <v>59</v>
      </c>
      <c r="B27" s="16" t="s">
        <v>60</v>
      </c>
      <c r="C27" s="17" t="s">
        <v>61</v>
      </c>
      <c r="D27" s="18" t="s">
        <v>62</v>
      </c>
      <c r="E27" s="19" t="s">
        <v>63</v>
      </c>
      <c r="F27" t="str">
        <f>'Source Table'!$B$10</f>
        <v>Madaba</v>
      </c>
      <c r="G27" t="str">
        <f>'Source Table'!$D$10</f>
        <v>مأدبا</v>
      </c>
      <c r="H27" s="24">
        <v>18</v>
      </c>
      <c r="I27">
        <v>2021</v>
      </c>
    </row>
    <row r="28" ht="15.75" spans="1:9">
      <c r="A28" s="16" t="s">
        <v>59</v>
      </c>
      <c r="B28" s="16" t="s">
        <v>60</v>
      </c>
      <c r="C28" s="17" t="s">
        <v>61</v>
      </c>
      <c r="D28" s="18" t="s">
        <v>62</v>
      </c>
      <c r="E28" s="19" t="s">
        <v>63</v>
      </c>
      <c r="F28" t="str">
        <f>'Source Table'!$B$11</f>
        <v>North Region</v>
      </c>
      <c r="G28" t="str">
        <f>'Source Table'!$D$11</f>
        <v>إقليم الشمال</v>
      </c>
      <c r="H28" s="24">
        <v>91</v>
      </c>
      <c r="I28">
        <v>2021</v>
      </c>
    </row>
    <row r="29" ht="15.75" spans="1:9">
      <c r="A29" s="16" t="s">
        <v>59</v>
      </c>
      <c r="B29" s="16" t="s">
        <v>60</v>
      </c>
      <c r="C29" s="17" t="s">
        <v>61</v>
      </c>
      <c r="D29" s="18" t="s">
        <v>62</v>
      </c>
      <c r="E29" s="19" t="s">
        <v>63</v>
      </c>
      <c r="F29" t="str">
        <f>'Source Table'!$B$12</f>
        <v>Mafraq</v>
      </c>
      <c r="G29" t="str">
        <f>'Source Table'!$D$12</f>
        <v>المفرق</v>
      </c>
      <c r="H29" s="24">
        <v>24</v>
      </c>
      <c r="I29">
        <v>2021</v>
      </c>
    </row>
    <row r="30" ht="15.75" spans="1:9">
      <c r="A30" s="16" t="s">
        <v>59</v>
      </c>
      <c r="B30" s="16" t="s">
        <v>60</v>
      </c>
      <c r="C30" s="17" t="s">
        <v>61</v>
      </c>
      <c r="D30" s="18" t="s">
        <v>62</v>
      </c>
      <c r="E30" s="19" t="s">
        <v>63</v>
      </c>
      <c r="F30" t="str">
        <f>'Source Table'!$B$13</f>
        <v>Karak</v>
      </c>
      <c r="G30" t="str">
        <f>'Source Table'!$D$13</f>
        <v>الكرك</v>
      </c>
      <c r="H30" s="24">
        <v>23</v>
      </c>
      <c r="I30">
        <v>2021</v>
      </c>
    </row>
    <row r="31" ht="15.75" spans="1:9">
      <c r="A31" s="16" t="s">
        <v>59</v>
      </c>
      <c r="B31" s="16" t="s">
        <v>60</v>
      </c>
      <c r="C31" s="17" t="s">
        <v>61</v>
      </c>
      <c r="D31" s="18" t="s">
        <v>62</v>
      </c>
      <c r="E31" s="19" t="s">
        <v>63</v>
      </c>
      <c r="F31" t="str">
        <f>'Source Table'!$B$14</f>
        <v>Tafiela</v>
      </c>
      <c r="G31" t="str">
        <f>'Source Table'!$D$14</f>
        <v>الطفيله</v>
      </c>
      <c r="H31" s="24">
        <v>11</v>
      </c>
      <c r="I31">
        <v>2021</v>
      </c>
    </row>
    <row r="32" ht="15.75" spans="1:9">
      <c r="A32" s="16" t="s">
        <v>59</v>
      </c>
      <c r="B32" s="16" t="s">
        <v>60</v>
      </c>
      <c r="C32" s="17" t="s">
        <v>61</v>
      </c>
      <c r="D32" s="18" t="s">
        <v>62</v>
      </c>
      <c r="E32" s="19" t="s">
        <v>63</v>
      </c>
      <c r="F32" t="str">
        <f>'Source Table'!$B$15</f>
        <v>Ma'an</v>
      </c>
      <c r="G32" t="str">
        <f>'Source Table'!$D$15</f>
        <v>معان</v>
      </c>
      <c r="H32" s="24">
        <v>12</v>
      </c>
      <c r="I32">
        <v>2021</v>
      </c>
    </row>
    <row r="33" ht="16.5" spans="1:9">
      <c r="A33" s="16" t="s">
        <v>59</v>
      </c>
      <c r="B33" s="16" t="s">
        <v>60</v>
      </c>
      <c r="C33" s="17" t="s">
        <v>61</v>
      </c>
      <c r="D33" s="18" t="s">
        <v>62</v>
      </c>
      <c r="E33" s="19" t="s">
        <v>63</v>
      </c>
      <c r="F33" t="str">
        <f>'Source Table'!$B$16</f>
        <v>Aqaba</v>
      </c>
      <c r="G33" t="str">
        <f>'Source Table'!$D$16</f>
        <v>العقبة</v>
      </c>
      <c r="H33" s="25">
        <v>6</v>
      </c>
      <c r="I33">
        <v>2021</v>
      </c>
    </row>
    <row r="34" ht="15.75" spans="1:9">
      <c r="A34" s="16" t="s">
        <v>59</v>
      </c>
      <c r="B34" s="16" t="s">
        <v>60</v>
      </c>
      <c r="C34" s="17" t="s">
        <v>61</v>
      </c>
      <c r="D34" s="18" t="s">
        <v>62</v>
      </c>
      <c r="E34" s="19" t="s">
        <v>63</v>
      </c>
      <c r="F34" t="str">
        <f>'Source Table'!$B$7</f>
        <v>Amman</v>
      </c>
      <c r="G34" t="str">
        <f>'Source Table'!$D$7</f>
        <v>العاصمة</v>
      </c>
      <c r="H34" s="23">
        <v>43</v>
      </c>
      <c r="I34">
        <v>2020</v>
      </c>
    </row>
    <row r="35" ht="15.75" spans="1:9">
      <c r="A35" s="16" t="s">
        <v>59</v>
      </c>
      <c r="B35" s="16" t="s">
        <v>60</v>
      </c>
      <c r="C35" s="17" t="s">
        <v>61</v>
      </c>
      <c r="D35" s="18" t="s">
        <v>62</v>
      </c>
      <c r="E35" s="19" t="s">
        <v>63</v>
      </c>
      <c r="F35" t="str">
        <f>'Source Table'!$B$8</f>
        <v>Balqa</v>
      </c>
      <c r="G35" t="str">
        <f>'Source Table'!$D$8</f>
        <v>البلقاء</v>
      </c>
      <c r="H35" s="24">
        <v>16</v>
      </c>
      <c r="I35">
        <v>2020</v>
      </c>
    </row>
    <row r="36" ht="15.75" spans="1:9">
      <c r="A36" s="16" t="s">
        <v>59</v>
      </c>
      <c r="B36" s="16" t="s">
        <v>60</v>
      </c>
      <c r="C36" s="17" t="s">
        <v>61</v>
      </c>
      <c r="D36" s="18" t="s">
        <v>62</v>
      </c>
      <c r="E36" s="19" t="s">
        <v>63</v>
      </c>
      <c r="F36" t="str">
        <f>'Source Table'!$B$9</f>
        <v>Zarqa</v>
      </c>
      <c r="G36" t="str">
        <f>'Source Table'!$D$9</f>
        <v>الزرقاء</v>
      </c>
      <c r="H36" s="24">
        <v>15</v>
      </c>
      <c r="I36">
        <v>2020</v>
      </c>
    </row>
    <row r="37" ht="15.75" spans="1:9">
      <c r="A37" s="16" t="s">
        <v>59</v>
      </c>
      <c r="B37" s="16" t="s">
        <v>60</v>
      </c>
      <c r="C37" s="17" t="s">
        <v>61</v>
      </c>
      <c r="D37" s="18" t="s">
        <v>62</v>
      </c>
      <c r="E37" s="19" t="s">
        <v>63</v>
      </c>
      <c r="F37" t="str">
        <f>'Source Table'!$B$10</f>
        <v>Madaba</v>
      </c>
      <c r="G37" t="str">
        <f>'Source Table'!$D$10</f>
        <v>مأدبا</v>
      </c>
      <c r="H37" s="24">
        <v>17</v>
      </c>
      <c r="I37">
        <v>2020</v>
      </c>
    </row>
    <row r="38" ht="15.75" spans="1:9">
      <c r="A38" s="16" t="s">
        <v>59</v>
      </c>
      <c r="B38" s="16" t="s">
        <v>60</v>
      </c>
      <c r="C38" s="17" t="s">
        <v>61</v>
      </c>
      <c r="D38" s="18" t="s">
        <v>62</v>
      </c>
      <c r="E38" s="19" t="s">
        <v>63</v>
      </c>
      <c r="F38" t="str">
        <f>'Source Table'!$B$11</f>
        <v>North Region</v>
      </c>
      <c r="G38" t="str">
        <f>'Source Table'!$D$11</f>
        <v>إقليم الشمال</v>
      </c>
      <c r="H38" s="24">
        <v>97</v>
      </c>
      <c r="I38">
        <v>2020</v>
      </c>
    </row>
    <row r="39" ht="15.75" spans="1:9">
      <c r="A39" s="16" t="s">
        <v>59</v>
      </c>
      <c r="B39" s="16" t="s">
        <v>60</v>
      </c>
      <c r="C39" s="17" t="s">
        <v>61</v>
      </c>
      <c r="D39" s="18" t="s">
        <v>62</v>
      </c>
      <c r="E39" s="19" t="s">
        <v>63</v>
      </c>
      <c r="F39" t="str">
        <f>'Source Table'!$B$12</f>
        <v>Mafraq</v>
      </c>
      <c r="G39" t="str">
        <f>'Source Table'!$D$12</f>
        <v>المفرق</v>
      </c>
      <c r="H39" s="24">
        <v>23</v>
      </c>
      <c r="I39">
        <v>2020</v>
      </c>
    </row>
    <row r="40" ht="15.75" spans="1:9">
      <c r="A40" s="16" t="s">
        <v>59</v>
      </c>
      <c r="B40" s="16" t="s">
        <v>60</v>
      </c>
      <c r="C40" s="17" t="s">
        <v>61</v>
      </c>
      <c r="D40" s="18" t="s">
        <v>62</v>
      </c>
      <c r="E40" s="19" t="s">
        <v>63</v>
      </c>
      <c r="F40" t="str">
        <f>'Source Table'!$B$13</f>
        <v>Karak</v>
      </c>
      <c r="G40" t="str">
        <f>'Source Table'!$D$13</f>
        <v>الكرك</v>
      </c>
      <c r="H40" s="24">
        <v>23</v>
      </c>
      <c r="I40">
        <v>2020</v>
      </c>
    </row>
    <row r="41" ht="15.75" spans="1:9">
      <c r="A41" s="16" t="s">
        <v>59</v>
      </c>
      <c r="B41" s="16" t="s">
        <v>60</v>
      </c>
      <c r="C41" s="17" t="s">
        <v>61</v>
      </c>
      <c r="D41" s="18" t="s">
        <v>62</v>
      </c>
      <c r="E41" s="19" t="s">
        <v>63</v>
      </c>
      <c r="F41" t="str">
        <f>'Source Table'!$B$14</f>
        <v>Tafiela</v>
      </c>
      <c r="G41" t="str">
        <f>'Source Table'!$D$14</f>
        <v>الطفيله</v>
      </c>
      <c r="H41" s="24">
        <v>11</v>
      </c>
      <c r="I41">
        <v>2020</v>
      </c>
    </row>
    <row r="42" ht="15.75" spans="1:9">
      <c r="A42" s="16" t="s">
        <v>59</v>
      </c>
      <c r="B42" s="16" t="s">
        <v>60</v>
      </c>
      <c r="C42" s="17" t="s">
        <v>61</v>
      </c>
      <c r="D42" s="18" t="s">
        <v>62</v>
      </c>
      <c r="E42" s="19" t="s">
        <v>63</v>
      </c>
      <c r="F42" t="str">
        <f>'Source Table'!$B$15</f>
        <v>Ma'an</v>
      </c>
      <c r="G42" t="str">
        <f>'Source Table'!$D$15</f>
        <v>معان</v>
      </c>
      <c r="H42" s="24">
        <v>13</v>
      </c>
      <c r="I42">
        <v>2020</v>
      </c>
    </row>
    <row r="43" ht="16.5" spans="1:9">
      <c r="A43" s="16" t="s">
        <v>59</v>
      </c>
      <c r="B43" s="16" t="s">
        <v>60</v>
      </c>
      <c r="C43" s="17" t="s">
        <v>61</v>
      </c>
      <c r="D43" s="18" t="s">
        <v>62</v>
      </c>
      <c r="E43" s="19" t="s">
        <v>63</v>
      </c>
      <c r="F43" t="str">
        <f>'Source Table'!$B$16</f>
        <v>Aqaba</v>
      </c>
      <c r="G43" t="str">
        <f>'Source Table'!$D$16</f>
        <v>العقبة</v>
      </c>
      <c r="H43" s="25">
        <v>7</v>
      </c>
      <c r="I43">
        <v>2020</v>
      </c>
    </row>
    <row r="44" ht="15.75" spans="1:9">
      <c r="A44" s="16" t="s">
        <v>59</v>
      </c>
      <c r="B44" s="16" t="s">
        <v>60</v>
      </c>
      <c r="C44" s="17" t="s">
        <v>61</v>
      </c>
      <c r="D44" s="18" t="s">
        <v>62</v>
      </c>
      <c r="E44" s="19" t="s">
        <v>63</v>
      </c>
      <c r="F44" t="str">
        <f>'Source Table'!$B$7</f>
        <v>Amman</v>
      </c>
      <c r="G44" t="str">
        <f>'Source Table'!$D$7</f>
        <v>العاصمة</v>
      </c>
      <c r="H44" s="23">
        <v>51</v>
      </c>
      <c r="I44">
        <v>2019</v>
      </c>
    </row>
    <row r="45" ht="15.75" spans="1:9">
      <c r="A45" s="16" t="s">
        <v>59</v>
      </c>
      <c r="B45" s="16" t="s">
        <v>60</v>
      </c>
      <c r="C45" s="17" t="s">
        <v>61</v>
      </c>
      <c r="D45" s="18" t="s">
        <v>62</v>
      </c>
      <c r="E45" s="19" t="s">
        <v>63</v>
      </c>
      <c r="F45" t="str">
        <f>'Source Table'!$B$8</f>
        <v>Balqa</v>
      </c>
      <c r="G45" t="str">
        <f>'Source Table'!$D$8</f>
        <v>البلقاء</v>
      </c>
      <c r="H45" s="24">
        <v>17</v>
      </c>
      <c r="I45">
        <v>2019</v>
      </c>
    </row>
    <row r="46" ht="15.75" spans="1:9">
      <c r="A46" s="16" t="s">
        <v>59</v>
      </c>
      <c r="B46" s="16" t="s">
        <v>60</v>
      </c>
      <c r="C46" s="17" t="s">
        <v>61</v>
      </c>
      <c r="D46" s="18" t="s">
        <v>62</v>
      </c>
      <c r="E46" s="19" t="s">
        <v>63</v>
      </c>
      <c r="F46" t="str">
        <f>'Source Table'!$B$9</f>
        <v>Zarqa</v>
      </c>
      <c r="G46" t="str">
        <f>'Source Table'!$D$9</f>
        <v>الزرقاء</v>
      </c>
      <c r="H46" s="24">
        <v>14</v>
      </c>
      <c r="I46">
        <v>2019</v>
      </c>
    </row>
    <row r="47" ht="15.75" spans="1:9">
      <c r="A47" s="16" t="s">
        <v>59</v>
      </c>
      <c r="B47" s="16" t="s">
        <v>60</v>
      </c>
      <c r="C47" s="17" t="s">
        <v>61</v>
      </c>
      <c r="D47" s="18" t="s">
        <v>62</v>
      </c>
      <c r="E47" s="19" t="s">
        <v>63</v>
      </c>
      <c r="F47" t="str">
        <f>'Source Table'!$B$10</f>
        <v>Madaba</v>
      </c>
      <c r="G47" t="str">
        <f>'Source Table'!$D$10</f>
        <v>مأدبا</v>
      </c>
      <c r="H47" s="24">
        <v>16</v>
      </c>
      <c r="I47">
        <v>2019</v>
      </c>
    </row>
    <row r="48" ht="15.75" spans="1:9">
      <c r="A48" s="16" t="s">
        <v>59</v>
      </c>
      <c r="B48" s="16" t="s">
        <v>60</v>
      </c>
      <c r="C48" s="17" t="s">
        <v>61</v>
      </c>
      <c r="D48" s="18" t="s">
        <v>62</v>
      </c>
      <c r="E48" s="19" t="s">
        <v>63</v>
      </c>
      <c r="F48" t="str">
        <f>'Source Table'!$B$11</f>
        <v>North Region</v>
      </c>
      <c r="G48" t="str">
        <f>'Source Table'!$D$11</f>
        <v>إقليم الشمال</v>
      </c>
      <c r="H48" s="24">
        <v>95</v>
      </c>
      <c r="I48">
        <v>2019</v>
      </c>
    </row>
    <row r="49" ht="15.75" spans="1:9">
      <c r="A49" s="16" t="s">
        <v>59</v>
      </c>
      <c r="B49" s="16" t="s">
        <v>60</v>
      </c>
      <c r="C49" s="17" t="s">
        <v>61</v>
      </c>
      <c r="D49" s="18" t="s">
        <v>62</v>
      </c>
      <c r="E49" s="19" t="s">
        <v>63</v>
      </c>
      <c r="F49" t="str">
        <f>'Source Table'!$B$12</f>
        <v>Mafraq</v>
      </c>
      <c r="G49" t="str">
        <f>'Source Table'!$D$12</f>
        <v>المفرق</v>
      </c>
      <c r="H49" s="24">
        <v>24</v>
      </c>
      <c r="I49">
        <v>2019</v>
      </c>
    </row>
    <row r="50" ht="15.75" spans="1:9">
      <c r="A50" s="16" t="s">
        <v>59</v>
      </c>
      <c r="B50" s="16" t="s">
        <v>60</v>
      </c>
      <c r="C50" s="17" t="s">
        <v>61</v>
      </c>
      <c r="D50" s="18" t="s">
        <v>62</v>
      </c>
      <c r="E50" s="19" t="s">
        <v>63</v>
      </c>
      <c r="F50" t="str">
        <f>'Source Table'!$B$13</f>
        <v>Karak</v>
      </c>
      <c r="G50" t="str">
        <f>'Source Table'!$D$13</f>
        <v>الكرك</v>
      </c>
      <c r="H50" s="24">
        <v>25</v>
      </c>
      <c r="I50">
        <v>2019</v>
      </c>
    </row>
    <row r="51" ht="15.75" spans="1:9">
      <c r="A51" s="16" t="s">
        <v>59</v>
      </c>
      <c r="B51" s="16" t="s">
        <v>60</v>
      </c>
      <c r="C51" s="17" t="s">
        <v>61</v>
      </c>
      <c r="D51" s="18" t="s">
        <v>62</v>
      </c>
      <c r="E51" s="19" t="s">
        <v>63</v>
      </c>
      <c r="F51" t="str">
        <f>'Source Table'!$B$14</f>
        <v>Tafiela</v>
      </c>
      <c r="G51" t="str">
        <f>'Source Table'!$D$14</f>
        <v>الطفيله</v>
      </c>
      <c r="H51" s="24">
        <v>11</v>
      </c>
      <c r="I51">
        <v>2019</v>
      </c>
    </row>
    <row r="52" ht="15.75" spans="1:9">
      <c r="A52" s="16" t="s">
        <v>59</v>
      </c>
      <c r="B52" s="16" t="s">
        <v>60</v>
      </c>
      <c r="C52" s="17" t="s">
        <v>61</v>
      </c>
      <c r="D52" s="18" t="s">
        <v>62</v>
      </c>
      <c r="E52" s="19" t="s">
        <v>63</v>
      </c>
      <c r="F52" t="str">
        <f>'Source Table'!$B$15</f>
        <v>Ma'an</v>
      </c>
      <c r="G52" t="str">
        <f>'Source Table'!$D$15</f>
        <v>معان</v>
      </c>
      <c r="H52" s="24">
        <v>13</v>
      </c>
      <c r="I52">
        <v>2019</v>
      </c>
    </row>
    <row r="53" ht="16.5" spans="1:9">
      <c r="A53" s="16" t="s">
        <v>59</v>
      </c>
      <c r="B53" s="16" t="s">
        <v>60</v>
      </c>
      <c r="C53" s="17" t="s">
        <v>61</v>
      </c>
      <c r="D53" s="18" t="s">
        <v>62</v>
      </c>
      <c r="E53" s="19" t="s">
        <v>63</v>
      </c>
      <c r="F53" t="str">
        <f>'Source Table'!$B$16</f>
        <v>Aqaba</v>
      </c>
      <c r="G53" t="str">
        <f>'Source Table'!$D$16</f>
        <v>العقبة</v>
      </c>
      <c r="H53" s="25">
        <v>6</v>
      </c>
      <c r="I53">
        <v>2019</v>
      </c>
    </row>
    <row r="54" ht="15.75" spans="1:9">
      <c r="A54" s="16" t="s">
        <v>59</v>
      </c>
      <c r="B54" s="16" t="s">
        <v>60</v>
      </c>
      <c r="C54" s="17" t="s">
        <v>61</v>
      </c>
      <c r="D54" s="18" t="s">
        <v>62</v>
      </c>
      <c r="E54" s="19" t="s">
        <v>63</v>
      </c>
      <c r="F54" t="str">
        <f>'Source Table'!$B$7</f>
        <v>Amman</v>
      </c>
      <c r="G54" t="str">
        <f>'Source Table'!$D$7</f>
        <v>العاصمة</v>
      </c>
      <c r="H54" s="23">
        <v>52</v>
      </c>
      <c r="I54">
        <v>2018</v>
      </c>
    </row>
    <row r="55" ht="15.75" spans="1:9">
      <c r="A55" s="16" t="s">
        <v>59</v>
      </c>
      <c r="B55" s="16" t="s">
        <v>60</v>
      </c>
      <c r="C55" s="17" t="s">
        <v>61</v>
      </c>
      <c r="D55" s="18" t="s">
        <v>62</v>
      </c>
      <c r="E55" s="19" t="s">
        <v>63</v>
      </c>
      <c r="F55" t="str">
        <f>'Source Table'!$B$8</f>
        <v>Balqa</v>
      </c>
      <c r="G55" t="str">
        <f>'Source Table'!$D$8</f>
        <v>البلقاء</v>
      </c>
      <c r="H55" s="24">
        <v>17</v>
      </c>
      <c r="I55">
        <v>2018</v>
      </c>
    </row>
    <row r="56" ht="15.75" spans="1:9">
      <c r="A56" s="16" t="s">
        <v>59</v>
      </c>
      <c r="B56" s="16" t="s">
        <v>60</v>
      </c>
      <c r="C56" s="17" t="s">
        <v>61</v>
      </c>
      <c r="D56" s="18" t="s">
        <v>62</v>
      </c>
      <c r="E56" s="19" t="s">
        <v>63</v>
      </c>
      <c r="F56" t="str">
        <f>'Source Table'!$B$9</f>
        <v>Zarqa</v>
      </c>
      <c r="G56" t="str">
        <f>'Source Table'!$D$9</f>
        <v>الزرقاء</v>
      </c>
      <c r="H56" s="24">
        <v>14</v>
      </c>
      <c r="I56">
        <v>2018</v>
      </c>
    </row>
    <row r="57" ht="15.75" spans="1:9">
      <c r="A57" s="16" t="s">
        <v>59</v>
      </c>
      <c r="B57" s="16" t="s">
        <v>60</v>
      </c>
      <c r="C57" s="17" t="s">
        <v>61</v>
      </c>
      <c r="D57" s="18" t="s">
        <v>62</v>
      </c>
      <c r="E57" s="19" t="s">
        <v>63</v>
      </c>
      <c r="F57" t="str">
        <f>'Source Table'!$B$10</f>
        <v>Madaba</v>
      </c>
      <c r="G57" t="str">
        <f>'Source Table'!$D$10</f>
        <v>مأدبا</v>
      </c>
      <c r="H57" s="24">
        <v>18</v>
      </c>
      <c r="I57">
        <v>2018</v>
      </c>
    </row>
    <row r="58" ht="15.75" spans="1:9">
      <c r="A58" s="16" t="s">
        <v>59</v>
      </c>
      <c r="B58" s="16" t="s">
        <v>60</v>
      </c>
      <c r="C58" s="17" t="s">
        <v>61</v>
      </c>
      <c r="D58" s="18" t="s">
        <v>62</v>
      </c>
      <c r="E58" s="19" t="s">
        <v>63</v>
      </c>
      <c r="F58" t="str">
        <f>'Source Table'!$B$11</f>
        <v>North Region</v>
      </c>
      <c r="G58" t="str">
        <f>'Source Table'!$D$11</f>
        <v>إقليم الشمال</v>
      </c>
      <c r="H58" s="24">
        <v>95</v>
      </c>
      <c r="I58">
        <v>2018</v>
      </c>
    </row>
    <row r="59" ht="15.75" spans="1:9">
      <c r="A59" s="16" t="s">
        <v>59</v>
      </c>
      <c r="B59" s="16" t="s">
        <v>60</v>
      </c>
      <c r="C59" s="17" t="s">
        <v>61</v>
      </c>
      <c r="D59" s="18" t="s">
        <v>62</v>
      </c>
      <c r="E59" s="19" t="s">
        <v>63</v>
      </c>
      <c r="F59" t="str">
        <f>'Source Table'!$B$12</f>
        <v>Mafraq</v>
      </c>
      <c r="G59" t="str">
        <f>'Source Table'!$D$12</f>
        <v>المفرق</v>
      </c>
      <c r="H59" s="24">
        <v>25</v>
      </c>
      <c r="I59">
        <v>2018</v>
      </c>
    </row>
    <row r="60" ht="15.75" spans="1:9">
      <c r="A60" s="16" t="s">
        <v>59</v>
      </c>
      <c r="B60" s="16" t="s">
        <v>60</v>
      </c>
      <c r="C60" s="17" t="s">
        <v>61</v>
      </c>
      <c r="D60" s="18" t="s">
        <v>62</v>
      </c>
      <c r="E60" s="19" t="s">
        <v>63</v>
      </c>
      <c r="F60" t="str">
        <f>'Source Table'!$B$13</f>
        <v>Karak</v>
      </c>
      <c r="G60" t="str">
        <f>'Source Table'!$D$13</f>
        <v>الكرك</v>
      </c>
      <c r="H60" s="24">
        <v>27</v>
      </c>
      <c r="I60">
        <v>2018</v>
      </c>
    </row>
    <row r="61" ht="15.75" spans="1:9">
      <c r="A61" s="16" t="s">
        <v>59</v>
      </c>
      <c r="B61" s="16" t="s">
        <v>60</v>
      </c>
      <c r="C61" s="17" t="s">
        <v>61</v>
      </c>
      <c r="D61" s="18" t="s">
        <v>62</v>
      </c>
      <c r="E61" s="19" t="s">
        <v>63</v>
      </c>
      <c r="F61" t="str">
        <f>'Source Table'!$B$14</f>
        <v>Tafiela</v>
      </c>
      <c r="G61" t="str">
        <f>'Source Table'!$D$14</f>
        <v>الطفيله</v>
      </c>
      <c r="H61" s="24">
        <v>12</v>
      </c>
      <c r="I61">
        <v>2018</v>
      </c>
    </row>
    <row r="62" ht="15.75" spans="1:9">
      <c r="A62" s="16" t="s">
        <v>59</v>
      </c>
      <c r="B62" s="16" t="s">
        <v>60</v>
      </c>
      <c r="C62" s="17" t="s">
        <v>61</v>
      </c>
      <c r="D62" s="18" t="s">
        <v>62</v>
      </c>
      <c r="E62" s="19" t="s">
        <v>63</v>
      </c>
      <c r="F62" t="str">
        <f>'Source Table'!$B$15</f>
        <v>Ma'an</v>
      </c>
      <c r="G62" t="str">
        <f>'Source Table'!$D$15</f>
        <v>معان</v>
      </c>
      <c r="H62" s="24">
        <v>12</v>
      </c>
      <c r="I62">
        <v>2018</v>
      </c>
    </row>
    <row r="63" ht="16.5" spans="1:9">
      <c r="A63" s="16" t="s">
        <v>59</v>
      </c>
      <c r="B63" s="16" t="s">
        <v>60</v>
      </c>
      <c r="C63" s="17" t="s">
        <v>61</v>
      </c>
      <c r="D63" s="18" t="s">
        <v>62</v>
      </c>
      <c r="E63" s="19" t="s">
        <v>63</v>
      </c>
      <c r="F63" t="str">
        <f>'Source Table'!$B$16</f>
        <v>Aqaba</v>
      </c>
      <c r="G63" t="str">
        <f>'Source Table'!$D$16</f>
        <v>العقبة</v>
      </c>
      <c r="H63" s="25">
        <v>6</v>
      </c>
      <c r="I63">
        <v>2018</v>
      </c>
    </row>
    <row r="64" ht="15.75" spans="1:9">
      <c r="A64" s="16" t="s">
        <v>59</v>
      </c>
      <c r="B64" s="16" t="s">
        <v>60</v>
      </c>
      <c r="C64" s="17" t="s">
        <v>61</v>
      </c>
      <c r="D64" s="18" t="s">
        <v>62</v>
      </c>
      <c r="E64" s="19" t="s">
        <v>63</v>
      </c>
      <c r="F64" t="str">
        <f>'Source Table'!$B$7</f>
        <v>Amman</v>
      </c>
      <c r="G64" t="str">
        <f>'Source Table'!$D$7</f>
        <v>العاصمة</v>
      </c>
      <c r="H64" s="23">
        <v>50</v>
      </c>
      <c r="I64">
        <v>2017</v>
      </c>
    </row>
    <row r="65" ht="15.75" spans="1:9">
      <c r="A65" s="16" t="s">
        <v>59</v>
      </c>
      <c r="B65" s="16" t="s">
        <v>60</v>
      </c>
      <c r="C65" s="17" t="s">
        <v>61</v>
      </c>
      <c r="D65" s="18" t="s">
        <v>62</v>
      </c>
      <c r="E65" s="19" t="s">
        <v>63</v>
      </c>
      <c r="F65" t="str">
        <f>'Source Table'!$B$8</f>
        <v>Balqa</v>
      </c>
      <c r="G65" t="str">
        <f>'Source Table'!$D$8</f>
        <v>البلقاء</v>
      </c>
      <c r="H65" s="24">
        <v>16</v>
      </c>
      <c r="I65">
        <v>2017</v>
      </c>
    </row>
    <row r="66" ht="15.75" spans="1:9">
      <c r="A66" s="16" t="s">
        <v>59</v>
      </c>
      <c r="B66" s="16" t="s">
        <v>60</v>
      </c>
      <c r="C66" s="17" t="s">
        <v>61</v>
      </c>
      <c r="D66" s="18" t="s">
        <v>62</v>
      </c>
      <c r="E66" s="19" t="s">
        <v>63</v>
      </c>
      <c r="F66" t="str">
        <f>'Source Table'!$B$9</f>
        <v>Zarqa</v>
      </c>
      <c r="G66" t="str">
        <f>'Source Table'!$D$9</f>
        <v>الزرقاء</v>
      </c>
      <c r="H66" s="24">
        <v>14</v>
      </c>
      <c r="I66">
        <v>2017</v>
      </c>
    </row>
    <row r="67" ht="15.75" spans="1:9">
      <c r="A67" s="16" t="s">
        <v>59</v>
      </c>
      <c r="B67" s="16" t="s">
        <v>60</v>
      </c>
      <c r="C67" s="17" t="s">
        <v>61</v>
      </c>
      <c r="D67" s="18" t="s">
        <v>62</v>
      </c>
      <c r="E67" s="19" t="s">
        <v>63</v>
      </c>
      <c r="F67" t="str">
        <f>'Source Table'!$B$10</f>
        <v>Madaba</v>
      </c>
      <c r="G67" t="str">
        <f>'Source Table'!$D$10</f>
        <v>مأدبا</v>
      </c>
      <c r="H67" s="24">
        <v>18</v>
      </c>
      <c r="I67">
        <v>2017</v>
      </c>
    </row>
    <row r="68" ht="15.75" spans="1:9">
      <c r="A68" s="16" t="s">
        <v>59</v>
      </c>
      <c r="B68" s="16" t="s">
        <v>60</v>
      </c>
      <c r="C68" s="17" t="s">
        <v>61</v>
      </c>
      <c r="D68" s="18" t="s">
        <v>62</v>
      </c>
      <c r="E68" s="19" t="s">
        <v>63</v>
      </c>
      <c r="F68" t="str">
        <f>'Source Table'!$B$11</f>
        <v>North Region</v>
      </c>
      <c r="G68" t="str">
        <f>'Source Table'!$D$11</f>
        <v>إقليم الشمال</v>
      </c>
      <c r="H68" s="24">
        <v>102</v>
      </c>
      <c r="I68">
        <v>2017</v>
      </c>
    </row>
    <row r="69" ht="15.75" spans="1:9">
      <c r="A69" s="16" t="s">
        <v>59</v>
      </c>
      <c r="B69" s="16" t="s">
        <v>60</v>
      </c>
      <c r="C69" s="17" t="s">
        <v>61</v>
      </c>
      <c r="D69" s="18" t="s">
        <v>62</v>
      </c>
      <c r="E69" s="19" t="s">
        <v>63</v>
      </c>
      <c r="F69" t="str">
        <f>'Source Table'!$B$12</f>
        <v>Mafraq</v>
      </c>
      <c r="G69" t="str">
        <f>'Source Table'!$D$12</f>
        <v>المفرق</v>
      </c>
      <c r="H69" s="24">
        <v>26</v>
      </c>
      <c r="I69">
        <v>2017</v>
      </c>
    </row>
    <row r="70" ht="15.75" spans="1:9">
      <c r="A70" s="16" t="s">
        <v>59</v>
      </c>
      <c r="B70" s="16" t="s">
        <v>60</v>
      </c>
      <c r="C70" s="17" t="s">
        <v>61</v>
      </c>
      <c r="D70" s="18" t="s">
        <v>62</v>
      </c>
      <c r="E70" s="19" t="s">
        <v>63</v>
      </c>
      <c r="F70" t="str">
        <f>'Source Table'!$B$13</f>
        <v>Karak</v>
      </c>
      <c r="G70" t="str">
        <f>'Source Table'!$D$13</f>
        <v>الكرك</v>
      </c>
      <c r="H70" s="24">
        <v>27</v>
      </c>
      <c r="I70">
        <v>2017</v>
      </c>
    </row>
    <row r="71" ht="15.75" spans="1:9">
      <c r="A71" s="16" t="s">
        <v>59</v>
      </c>
      <c r="B71" s="16" t="s">
        <v>60</v>
      </c>
      <c r="C71" s="17" t="s">
        <v>61</v>
      </c>
      <c r="D71" s="18" t="s">
        <v>62</v>
      </c>
      <c r="E71" s="19" t="s">
        <v>63</v>
      </c>
      <c r="F71" t="str">
        <f>'Source Table'!$B$14</f>
        <v>Tafiela</v>
      </c>
      <c r="G71" t="str">
        <f>'Source Table'!$D$14</f>
        <v>الطفيله</v>
      </c>
      <c r="H71" s="24">
        <v>12</v>
      </c>
      <c r="I71">
        <v>2017</v>
      </c>
    </row>
    <row r="72" ht="15.75" spans="1:9">
      <c r="A72" s="16" t="s">
        <v>59</v>
      </c>
      <c r="B72" s="16" t="s">
        <v>60</v>
      </c>
      <c r="C72" s="17" t="s">
        <v>61</v>
      </c>
      <c r="D72" s="18" t="s">
        <v>62</v>
      </c>
      <c r="E72" s="19" t="s">
        <v>63</v>
      </c>
      <c r="F72" t="str">
        <f>'Source Table'!$B$15</f>
        <v>Ma'an</v>
      </c>
      <c r="G72" t="str">
        <f>'Source Table'!$D$15</f>
        <v>معان</v>
      </c>
      <c r="H72" s="24">
        <v>13</v>
      </c>
      <c r="I72">
        <v>2017</v>
      </c>
    </row>
    <row r="73" ht="16.5" spans="1:9">
      <c r="A73" s="16" t="s">
        <v>59</v>
      </c>
      <c r="B73" s="16" t="s">
        <v>60</v>
      </c>
      <c r="C73" s="17" t="s">
        <v>61</v>
      </c>
      <c r="D73" s="18" t="s">
        <v>62</v>
      </c>
      <c r="E73" s="19" t="s">
        <v>63</v>
      </c>
      <c r="F73" t="str">
        <f>'Source Table'!$B$16</f>
        <v>Aqaba</v>
      </c>
      <c r="G73" t="str">
        <f>'Source Table'!$D$16</f>
        <v>العقبة</v>
      </c>
      <c r="H73" s="25">
        <v>6</v>
      </c>
      <c r="I73">
        <v>2017</v>
      </c>
    </row>
    <row r="74" ht="15.75" spans="1:9">
      <c r="A74" s="16" t="s">
        <v>59</v>
      </c>
      <c r="B74" s="16" t="s">
        <v>60</v>
      </c>
      <c r="C74" s="17" t="s">
        <v>61</v>
      </c>
      <c r="D74" s="18" t="s">
        <v>62</v>
      </c>
      <c r="E74" s="19" t="s">
        <v>63</v>
      </c>
      <c r="F74" t="str">
        <f>'Source Table'!$B$7</f>
        <v>Amman</v>
      </c>
      <c r="G74" t="str">
        <f>'Source Table'!$D$7</f>
        <v>العاصمة</v>
      </c>
      <c r="H74" s="23">
        <v>51</v>
      </c>
      <c r="I74">
        <v>2016</v>
      </c>
    </row>
    <row r="75" ht="15.75" spans="1:9">
      <c r="A75" s="16" t="s">
        <v>59</v>
      </c>
      <c r="B75" s="16" t="s">
        <v>60</v>
      </c>
      <c r="C75" s="17" t="s">
        <v>61</v>
      </c>
      <c r="D75" s="18" t="s">
        <v>62</v>
      </c>
      <c r="E75" s="19" t="s">
        <v>63</v>
      </c>
      <c r="F75" t="str">
        <f>'Source Table'!$B$8</f>
        <v>Balqa</v>
      </c>
      <c r="G75" t="str">
        <f>'Source Table'!$D$8</f>
        <v>البلقاء</v>
      </c>
      <c r="H75" s="24">
        <v>18</v>
      </c>
      <c r="I75">
        <v>2016</v>
      </c>
    </row>
    <row r="76" ht="15.75" spans="1:9">
      <c r="A76" s="16" t="s">
        <v>59</v>
      </c>
      <c r="B76" s="16" t="s">
        <v>60</v>
      </c>
      <c r="C76" s="17" t="s">
        <v>61</v>
      </c>
      <c r="D76" s="18" t="s">
        <v>62</v>
      </c>
      <c r="E76" s="19" t="s">
        <v>63</v>
      </c>
      <c r="F76" t="str">
        <f>'Source Table'!$B$9</f>
        <v>Zarqa</v>
      </c>
      <c r="G76" t="str">
        <f>'Source Table'!$D$9</f>
        <v>الزرقاء</v>
      </c>
      <c r="H76" s="24">
        <v>13</v>
      </c>
      <c r="I76">
        <v>2016</v>
      </c>
    </row>
    <row r="77" ht="15.75" spans="1:9">
      <c r="A77" s="16" t="s">
        <v>59</v>
      </c>
      <c r="B77" s="16" t="s">
        <v>60</v>
      </c>
      <c r="C77" s="17" t="s">
        <v>61</v>
      </c>
      <c r="D77" s="18" t="s">
        <v>62</v>
      </c>
      <c r="E77" s="19" t="s">
        <v>63</v>
      </c>
      <c r="F77" t="str">
        <f>'Source Table'!$B$10</f>
        <v>Madaba</v>
      </c>
      <c r="G77" t="str">
        <f>'Source Table'!$D$10</f>
        <v>مأدبا</v>
      </c>
      <c r="H77" s="24">
        <v>18</v>
      </c>
      <c r="I77">
        <v>2016</v>
      </c>
    </row>
    <row r="78" ht="15.75" spans="1:9">
      <c r="A78" s="16" t="s">
        <v>59</v>
      </c>
      <c r="B78" s="16" t="s">
        <v>60</v>
      </c>
      <c r="C78" s="17" t="s">
        <v>61</v>
      </c>
      <c r="D78" s="18" t="s">
        <v>62</v>
      </c>
      <c r="E78" s="19" t="s">
        <v>63</v>
      </c>
      <c r="F78" t="str">
        <f>'Source Table'!$B$11</f>
        <v>North Region</v>
      </c>
      <c r="G78" t="str">
        <f>'Source Table'!$D$11</f>
        <v>إقليم الشمال</v>
      </c>
      <c r="H78" s="24">
        <v>97</v>
      </c>
      <c r="I78">
        <v>2016</v>
      </c>
    </row>
    <row r="79" ht="15.75" spans="1:9">
      <c r="A79" s="16" t="s">
        <v>59</v>
      </c>
      <c r="B79" s="16" t="s">
        <v>60</v>
      </c>
      <c r="C79" s="17" t="s">
        <v>61</v>
      </c>
      <c r="D79" s="18" t="s">
        <v>62</v>
      </c>
      <c r="E79" s="19" t="s">
        <v>63</v>
      </c>
      <c r="F79" t="str">
        <f>'Source Table'!$B$12</f>
        <v>Mafraq</v>
      </c>
      <c r="G79" t="str">
        <f>'Source Table'!$D$12</f>
        <v>المفرق</v>
      </c>
      <c r="H79" s="24">
        <v>31</v>
      </c>
      <c r="I79">
        <v>2016</v>
      </c>
    </row>
    <row r="80" ht="15.75" spans="1:9">
      <c r="A80" s="16" t="s">
        <v>59</v>
      </c>
      <c r="B80" s="16" t="s">
        <v>60</v>
      </c>
      <c r="C80" s="17" t="s">
        <v>61</v>
      </c>
      <c r="D80" s="18" t="s">
        <v>62</v>
      </c>
      <c r="E80" s="19" t="s">
        <v>63</v>
      </c>
      <c r="F80" t="str">
        <f>'Source Table'!$B$13</f>
        <v>Karak</v>
      </c>
      <c r="G80" t="str">
        <f>'Source Table'!$D$13</f>
        <v>الكرك</v>
      </c>
      <c r="H80" s="24">
        <v>29</v>
      </c>
      <c r="I80">
        <v>2016</v>
      </c>
    </row>
    <row r="81" ht="15.75" spans="1:9">
      <c r="A81" s="16" t="s">
        <v>59</v>
      </c>
      <c r="B81" s="16" t="s">
        <v>60</v>
      </c>
      <c r="C81" s="17" t="s">
        <v>61</v>
      </c>
      <c r="D81" s="18" t="s">
        <v>62</v>
      </c>
      <c r="E81" s="19" t="s">
        <v>63</v>
      </c>
      <c r="F81" t="str">
        <f>'Source Table'!$B$14</f>
        <v>Tafiela</v>
      </c>
      <c r="G81" t="str">
        <f>'Source Table'!$D$14</f>
        <v>الطفيله</v>
      </c>
      <c r="H81" s="24">
        <v>12</v>
      </c>
      <c r="I81">
        <v>2016</v>
      </c>
    </row>
    <row r="82" ht="15.75" spans="1:9">
      <c r="A82" s="16" t="s">
        <v>59</v>
      </c>
      <c r="B82" s="16" t="s">
        <v>60</v>
      </c>
      <c r="C82" s="17" t="s">
        <v>61</v>
      </c>
      <c r="D82" s="18" t="s">
        <v>62</v>
      </c>
      <c r="E82" s="19" t="s">
        <v>63</v>
      </c>
      <c r="F82" t="str">
        <f>'Source Table'!$B$15</f>
        <v>Ma'an</v>
      </c>
      <c r="G82" t="str">
        <f>'Source Table'!$D$15</f>
        <v>معان</v>
      </c>
      <c r="H82" s="24">
        <v>14</v>
      </c>
      <c r="I82">
        <v>2016</v>
      </c>
    </row>
    <row r="83" ht="16.5" spans="1:9">
      <c r="A83" s="16" t="s">
        <v>59</v>
      </c>
      <c r="B83" s="16" t="s">
        <v>60</v>
      </c>
      <c r="C83" s="17" t="s">
        <v>61</v>
      </c>
      <c r="D83" s="18" t="s">
        <v>62</v>
      </c>
      <c r="E83" s="19" t="s">
        <v>63</v>
      </c>
      <c r="F83" t="str">
        <f>'Source Table'!$B$16</f>
        <v>Aqaba</v>
      </c>
      <c r="G83" t="str">
        <f>'Source Table'!$D$16</f>
        <v>العقبة</v>
      </c>
      <c r="H83" s="25">
        <v>6</v>
      </c>
      <c r="I83">
        <v>2016</v>
      </c>
    </row>
    <row r="84" ht="15.75" spans="1:9">
      <c r="A84" s="16" t="s">
        <v>59</v>
      </c>
      <c r="B84" s="16" t="s">
        <v>60</v>
      </c>
      <c r="C84" s="17" t="s">
        <v>61</v>
      </c>
      <c r="D84" s="18" t="s">
        <v>62</v>
      </c>
      <c r="E84" s="19" t="s">
        <v>63</v>
      </c>
      <c r="F84" t="str">
        <f>'Source Table'!$B$7</f>
        <v>Amman</v>
      </c>
      <c r="G84" t="str">
        <f>'Source Table'!$D$7</f>
        <v>العاصمة</v>
      </c>
      <c r="H84" s="23">
        <v>63</v>
      </c>
      <c r="I84">
        <v>2015</v>
      </c>
    </row>
    <row r="85" ht="15.75" spans="1:9">
      <c r="A85" s="16" t="s">
        <v>59</v>
      </c>
      <c r="B85" s="16" t="s">
        <v>60</v>
      </c>
      <c r="C85" s="17" t="s">
        <v>61</v>
      </c>
      <c r="D85" s="18" t="s">
        <v>62</v>
      </c>
      <c r="E85" s="19" t="s">
        <v>63</v>
      </c>
      <c r="F85" t="str">
        <f>'Source Table'!$B$8</f>
        <v>Balqa</v>
      </c>
      <c r="G85" t="str">
        <f>'Source Table'!$D$8</f>
        <v>البلقاء</v>
      </c>
      <c r="H85" s="24">
        <v>23</v>
      </c>
      <c r="I85">
        <v>2015</v>
      </c>
    </row>
    <row r="86" ht="15.75" spans="1:9">
      <c r="A86" s="16" t="s">
        <v>59</v>
      </c>
      <c r="B86" s="16" t="s">
        <v>60</v>
      </c>
      <c r="C86" s="17" t="s">
        <v>61</v>
      </c>
      <c r="D86" s="18" t="s">
        <v>62</v>
      </c>
      <c r="E86" s="19" t="s">
        <v>63</v>
      </c>
      <c r="F86" t="str">
        <f>'Source Table'!$B$9</f>
        <v>Zarqa</v>
      </c>
      <c r="G86" t="str">
        <f>'Source Table'!$D$9</f>
        <v>الزرقاء</v>
      </c>
      <c r="H86" s="24">
        <v>21</v>
      </c>
      <c r="I86">
        <v>2015</v>
      </c>
    </row>
    <row r="87" ht="15.75" spans="1:9">
      <c r="A87" s="16" t="s">
        <v>59</v>
      </c>
      <c r="B87" s="16" t="s">
        <v>60</v>
      </c>
      <c r="C87" s="17" t="s">
        <v>61</v>
      </c>
      <c r="D87" s="18" t="s">
        <v>62</v>
      </c>
      <c r="E87" s="19" t="s">
        <v>63</v>
      </c>
      <c r="F87" t="str">
        <f>'Source Table'!$B$10</f>
        <v>Madaba</v>
      </c>
      <c r="G87" t="str">
        <f>'Source Table'!$D$10</f>
        <v>مأدبا</v>
      </c>
      <c r="H87" s="24">
        <v>21</v>
      </c>
      <c r="I87">
        <v>2015</v>
      </c>
    </row>
    <row r="88" ht="15.75" spans="1:9">
      <c r="A88" s="16" t="s">
        <v>59</v>
      </c>
      <c r="B88" s="16" t="s">
        <v>60</v>
      </c>
      <c r="C88" s="17" t="s">
        <v>61</v>
      </c>
      <c r="D88" s="18" t="s">
        <v>62</v>
      </c>
      <c r="E88" s="19" t="s">
        <v>63</v>
      </c>
      <c r="F88" t="str">
        <f>'Source Table'!$B$11</f>
        <v>North Region</v>
      </c>
      <c r="G88" t="str">
        <f>'Source Table'!$D$11</f>
        <v>إقليم الشمال</v>
      </c>
      <c r="H88" s="24">
        <v>118</v>
      </c>
      <c r="I88">
        <v>2015</v>
      </c>
    </row>
    <row r="89" ht="15.75" spans="1:9">
      <c r="A89" s="16" t="s">
        <v>59</v>
      </c>
      <c r="B89" s="16" t="s">
        <v>60</v>
      </c>
      <c r="C89" s="17" t="s">
        <v>61</v>
      </c>
      <c r="D89" s="18" t="s">
        <v>62</v>
      </c>
      <c r="E89" s="19" t="s">
        <v>63</v>
      </c>
      <c r="F89" t="str">
        <f>'Source Table'!$B$12</f>
        <v>Mafraq</v>
      </c>
      <c r="G89" t="str">
        <f>'Source Table'!$D$12</f>
        <v>المفرق</v>
      </c>
      <c r="H89" s="24">
        <v>31</v>
      </c>
      <c r="I89">
        <v>2015</v>
      </c>
    </row>
    <row r="90" ht="15.75" spans="1:9">
      <c r="A90" s="16" t="s">
        <v>59</v>
      </c>
      <c r="B90" s="16" t="s">
        <v>60</v>
      </c>
      <c r="C90" s="17" t="s">
        <v>61</v>
      </c>
      <c r="D90" s="18" t="s">
        <v>62</v>
      </c>
      <c r="E90" s="19" t="s">
        <v>63</v>
      </c>
      <c r="F90" t="str">
        <f>'Source Table'!$B$13</f>
        <v>Karak</v>
      </c>
      <c r="G90" t="str">
        <f>'Source Table'!$D$13</f>
        <v>الكرك</v>
      </c>
      <c r="H90" s="24">
        <v>35</v>
      </c>
      <c r="I90">
        <v>2015</v>
      </c>
    </row>
    <row r="91" ht="15.75" spans="1:9">
      <c r="A91" s="16" t="s">
        <v>59</v>
      </c>
      <c r="B91" s="16" t="s">
        <v>60</v>
      </c>
      <c r="C91" s="17" t="s">
        <v>61</v>
      </c>
      <c r="D91" s="18" t="s">
        <v>62</v>
      </c>
      <c r="E91" s="19" t="s">
        <v>63</v>
      </c>
      <c r="F91" t="str">
        <f>'Source Table'!$B$14</f>
        <v>Tafiela</v>
      </c>
      <c r="G91" t="str">
        <f>'Source Table'!$D$14</f>
        <v>الطفيله</v>
      </c>
      <c r="H91" s="24">
        <v>12</v>
      </c>
      <c r="I91">
        <v>2015</v>
      </c>
    </row>
    <row r="92" ht="15.75" spans="1:9">
      <c r="A92" s="16" t="s">
        <v>59</v>
      </c>
      <c r="B92" s="16" t="s">
        <v>60</v>
      </c>
      <c r="C92" s="17" t="s">
        <v>61</v>
      </c>
      <c r="D92" s="18" t="s">
        <v>62</v>
      </c>
      <c r="E92" s="19" t="s">
        <v>63</v>
      </c>
      <c r="F92" t="str">
        <f>'Source Table'!$B$15</f>
        <v>Ma'an</v>
      </c>
      <c r="G92" t="str">
        <f>'Source Table'!$D$15</f>
        <v>معان</v>
      </c>
      <c r="H92" s="24">
        <v>20</v>
      </c>
      <c r="I92">
        <v>2015</v>
      </c>
    </row>
    <row r="93" ht="16.5" spans="1:9">
      <c r="A93" s="16" t="s">
        <v>59</v>
      </c>
      <c r="B93" s="16" t="s">
        <v>60</v>
      </c>
      <c r="C93" s="17" t="s">
        <v>61</v>
      </c>
      <c r="D93" s="18" t="s">
        <v>62</v>
      </c>
      <c r="E93" s="19" t="s">
        <v>63</v>
      </c>
      <c r="F93" t="str">
        <f>'Source Table'!$B$16</f>
        <v>Aqaba</v>
      </c>
      <c r="G93" t="str">
        <f>'Source Table'!$D$16</f>
        <v>العقبة</v>
      </c>
      <c r="H93" s="25">
        <v>7</v>
      </c>
      <c r="I93">
        <v>2015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70" zoomScaleNormal="70" topLeftCell="B1" workbookViewId="0">
      <selection activeCell="B4" sqref="B4"/>
    </sheetView>
  </sheetViews>
  <sheetFormatPr defaultColWidth="9" defaultRowHeight="14.25" outlineLevelRow="4"/>
  <cols>
    <col min="1" max="10" width="24.5" customWidth="1"/>
    <col min="11" max="12" width="15" customWidth="1"/>
    <col min="13" max="13" width="8.75" customWidth="1"/>
    <col min="14" max="14" width="11.5" customWidth="1"/>
    <col min="15" max="15" width="12" customWidth="1"/>
    <col min="16" max="16" width="9.875" customWidth="1"/>
    <col min="17" max="17" width="7.5" customWidth="1"/>
  </cols>
  <sheetData>
    <row r="1" ht="15" spans="1:2">
      <c r="A1" s="11" t="s">
        <v>64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65</v>
      </c>
      <c r="B3">
        <v>1</v>
      </c>
    </row>
    <row r="4" s="10" customFormat="1" ht="18" customHeight="1" spans="1:10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4" t="s">
        <v>46</v>
      </c>
      <c r="G4" s="14" t="s">
        <v>47</v>
      </c>
      <c r="H4" s="13" t="s">
        <v>48</v>
      </c>
      <c r="I4" s="13" t="s">
        <v>49</v>
      </c>
      <c r="J4" s="13" t="s">
        <v>50</v>
      </c>
    </row>
    <row r="5" s="10" customFormat="1" ht="18" customHeight="1" spans="1:10">
      <c r="A5" s="13" t="s">
        <v>51</v>
      </c>
      <c r="B5" s="13" t="s">
        <v>52</v>
      </c>
      <c r="C5" s="13" t="s">
        <v>53</v>
      </c>
      <c r="D5" s="13" t="s">
        <v>54</v>
      </c>
      <c r="E5" s="13" t="s">
        <v>55</v>
      </c>
      <c r="F5" s="14" t="s">
        <v>18</v>
      </c>
      <c r="G5" s="14" t="s">
        <v>19</v>
      </c>
      <c r="H5" s="13" t="s">
        <v>56</v>
      </c>
      <c r="I5" s="13" t="s">
        <v>57</v>
      </c>
      <c r="J5" s="13" t="s">
        <v>58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topLeftCell="A20" workbookViewId="0">
      <selection activeCell="A20" sqref="B7 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66</v>
      </c>
      <c r="C2" s="6" t="s">
        <v>67</v>
      </c>
    </row>
    <row r="3" spans="1:1">
      <c r="A3" s="7"/>
    </row>
    <row r="4" ht="28.5" spans="1:3">
      <c r="A4" s="7" t="s">
        <v>68</v>
      </c>
      <c r="C4" s="3" t="s">
        <v>69</v>
      </c>
    </row>
    <row r="6" ht="17.25" spans="1:3">
      <c r="A6" s="5" t="s">
        <v>70</v>
      </c>
      <c r="C6" s="6" t="s">
        <v>71</v>
      </c>
    </row>
    <row r="7" spans="1:1">
      <c r="A7" s="7"/>
    </row>
    <row r="8" ht="30" spans="1:3">
      <c r="A8" s="8" t="s">
        <v>72</v>
      </c>
      <c r="C8" s="3" t="s">
        <v>73</v>
      </c>
    </row>
    <row r="10" ht="17.25" spans="1:3">
      <c r="A10" s="5" t="s">
        <v>74</v>
      </c>
      <c r="C10" s="6" t="s">
        <v>75</v>
      </c>
    </row>
    <row r="11" spans="1:1">
      <c r="A11" s="7"/>
    </row>
    <row r="12" spans="1:3">
      <c r="A12" s="7" t="s">
        <v>76</v>
      </c>
      <c r="C12" s="3" t="s">
        <v>77</v>
      </c>
    </row>
    <row r="13" ht="15" spans="1:3">
      <c r="A13" s="8" t="s">
        <v>78</v>
      </c>
      <c r="C13" s="9" t="s">
        <v>79</v>
      </c>
    </row>
    <row r="14" ht="29.25" spans="1:3">
      <c r="A14" s="8" t="s">
        <v>80</v>
      </c>
      <c r="C14" s="9" t="s">
        <v>81</v>
      </c>
    </row>
    <row r="15" ht="15" spans="1:3">
      <c r="A15" s="8" t="s">
        <v>82</v>
      </c>
      <c r="C15" s="9" t="s">
        <v>83</v>
      </c>
    </row>
    <row r="16" ht="15" spans="1:3">
      <c r="A16" s="8" t="s">
        <v>84</v>
      </c>
      <c r="C16" s="9" t="s">
        <v>85</v>
      </c>
    </row>
    <row r="17" ht="15" spans="1:3">
      <c r="A17" s="8" t="s">
        <v>86</v>
      </c>
      <c r="C17" s="9" t="s">
        <v>87</v>
      </c>
    </row>
    <row r="18" spans="1:3">
      <c r="A18" s="7" t="s">
        <v>88</v>
      </c>
      <c r="C18" s="3" t="s">
        <v>89</v>
      </c>
    </row>
    <row r="19" spans="1:3">
      <c r="A19" s="7" t="s">
        <v>90</v>
      </c>
      <c r="C19" s="3" t="s">
        <v>91</v>
      </c>
    </row>
    <row r="20" ht="29.25" spans="1:3">
      <c r="A20" s="8" t="s">
        <v>92</v>
      </c>
      <c r="C20" s="9" t="s">
        <v>93</v>
      </c>
    </row>
    <row r="22" ht="17.25" spans="1:3">
      <c r="A22" s="5" t="s">
        <v>94</v>
      </c>
      <c r="C22" s="6" t="s">
        <v>95</v>
      </c>
    </row>
    <row r="23" spans="1:1">
      <c r="A23" s="7"/>
    </row>
    <row r="24" ht="29.25" spans="1:3">
      <c r="A24" s="7" t="s">
        <v>96</v>
      </c>
      <c r="C24" s="3" t="s">
        <v>97</v>
      </c>
    </row>
    <row r="25" ht="30" spans="1:3">
      <c r="A25" s="7" t="s">
        <v>98</v>
      </c>
      <c r="C25" s="3" t="s">
        <v>99</v>
      </c>
    </row>
    <row r="27" ht="17.25" spans="1:3">
      <c r="A27" s="5" t="s">
        <v>100</v>
      </c>
      <c r="C27" s="6" t="s">
        <v>101</v>
      </c>
    </row>
    <row r="28" spans="1:1">
      <c r="A28" s="7"/>
    </row>
    <row r="29" ht="15" spans="1:3">
      <c r="A29" s="7" t="s">
        <v>102</v>
      </c>
      <c r="C29" s="3" t="s">
        <v>103</v>
      </c>
    </row>
    <row r="30" spans="1:3">
      <c r="A30" s="7" t="s">
        <v>104</v>
      </c>
      <c r="C30" s="3" t="s">
        <v>105</v>
      </c>
    </row>
    <row r="32" ht="17.25" spans="1:3">
      <c r="A32" s="5" t="s">
        <v>106</v>
      </c>
      <c r="C32" s="6" t="s">
        <v>107</v>
      </c>
    </row>
    <row r="33" spans="1:1">
      <c r="A33" s="7"/>
    </row>
    <row r="34" ht="15" spans="1:3">
      <c r="A34" s="8" t="s">
        <v>108</v>
      </c>
      <c r="C34" s="3" t="s">
        <v>109</v>
      </c>
    </row>
    <row r="36" ht="17.25" spans="1:3">
      <c r="A36" s="5" t="s">
        <v>110</v>
      </c>
      <c r="C36" s="6" t="s">
        <v>111</v>
      </c>
    </row>
    <row r="37" spans="1:1">
      <c r="A37" s="7"/>
    </row>
    <row r="38" spans="1:3">
      <c r="A38" s="7" t="s">
        <v>112</v>
      </c>
      <c r="C38" s="3" t="s">
        <v>113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2025-04-13T10:45:14Z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DFFAE5D08EB94E44A91B882D43365F75_13</vt:lpwstr>
  </property>
  <property fmtid="{D5CDD505-2E9C-101B-9397-08002B2CF9AE}" pid="5" name="KSOProductBuildVer">
    <vt:lpwstr>1033-12.2.0.20782</vt:lpwstr>
  </property>
</Properties>
</file>