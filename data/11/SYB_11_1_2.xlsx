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715" activeTab="2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xlnm.Print_Area" localSheetId="1">'Source Table'!$B$2:$F$18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<sst xmlns="http://schemas.openxmlformats.org/spreadsheetml/2006/main" count="1770" uniqueCount="128">
  <si>
    <t>Code</t>
  </si>
  <si>
    <t>SYB_11_1_2</t>
  </si>
  <si>
    <t>Version</t>
  </si>
  <si>
    <t>V1</t>
  </si>
  <si>
    <t>اسم القالب</t>
  </si>
  <si>
    <t>أطوال شبكات الطرق الخارجية حسب نوع الطريق والمحافظة</t>
  </si>
  <si>
    <t>Template Name</t>
  </si>
  <si>
    <t>Lengths of Road Networks by Type of Road and Governorate</t>
  </si>
  <si>
    <t>دورية البيانات</t>
  </si>
  <si>
    <t>سنوي</t>
  </si>
  <si>
    <t>Data Frequency</t>
  </si>
  <si>
    <t>Yearly</t>
  </si>
  <si>
    <t>الجهة المصدرية</t>
  </si>
  <si>
    <t>وزارة الأشغال العامة والإسكان</t>
  </si>
  <si>
    <t>Data Source</t>
  </si>
  <si>
    <t>Ministry of Public Works &amp; Housing</t>
  </si>
  <si>
    <t>Year</t>
  </si>
  <si>
    <t>السنة</t>
  </si>
  <si>
    <t>Governorate</t>
  </si>
  <si>
    <t>طرق رئيسية</t>
  </si>
  <si>
    <t>طرق ثانوية</t>
  </si>
  <si>
    <t>طرق قروية</t>
  </si>
  <si>
    <t>المحافظة</t>
  </si>
  <si>
    <t>Highways</t>
  </si>
  <si>
    <t>Secondary Roads</t>
  </si>
  <si>
    <t>Rural Roads</t>
  </si>
  <si>
    <t>Amman</t>
  </si>
  <si>
    <t>العاصمة</t>
  </si>
  <si>
    <t>Balqa</t>
  </si>
  <si>
    <t>البلقاء</t>
  </si>
  <si>
    <t>Zarqa</t>
  </si>
  <si>
    <t>الزرقاء</t>
  </si>
  <si>
    <t>Madaba</t>
  </si>
  <si>
    <t>مأدبا</t>
  </si>
  <si>
    <t>Irbid</t>
  </si>
  <si>
    <t>إربد</t>
  </si>
  <si>
    <t>Mafraq</t>
  </si>
  <si>
    <t>المفرق</t>
  </si>
  <si>
    <t>Jarash</t>
  </si>
  <si>
    <t>جرش</t>
  </si>
  <si>
    <t>Ajloun</t>
  </si>
  <si>
    <t>عجلون</t>
  </si>
  <si>
    <t>Karak</t>
  </si>
  <si>
    <t>الكرك</t>
  </si>
  <si>
    <t>Tafiela</t>
  </si>
  <si>
    <t>الطفيله</t>
  </si>
  <si>
    <t>Ma'an</t>
  </si>
  <si>
    <t>معان</t>
  </si>
  <si>
    <t>Aqaba</t>
  </si>
  <si>
    <t>العقبة</t>
  </si>
  <si>
    <t>Relational Sheet</t>
  </si>
  <si>
    <t>Measure_Name_Ar</t>
  </si>
  <si>
    <t>Measure_Name_En</t>
  </si>
  <si>
    <t>Measure_ID</t>
  </si>
  <si>
    <t>Unit_EN</t>
  </si>
  <si>
    <t>Unit_AR</t>
  </si>
  <si>
    <t>CL_GOVERNORATE_EN_V1</t>
  </si>
  <si>
    <t>CL_GOVERNORATE_AR_V1</t>
  </si>
  <si>
    <t>CL_ROAD_NETWROKS_EN_V1</t>
  </si>
  <si>
    <t>CL_ROAD_NETWROKS_AR_V1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</si>
  <si>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</si>
  <si>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</si>
  <si>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</si>
  <si>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</si>
  <si>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</si>
  <si>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</si>
  <si>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</si>
  <si>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</si>
  <si>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Road Networks</t>
  </si>
  <si>
    <t>شبكات الطرق</t>
  </si>
  <si>
    <t>قيمة المؤشر</t>
  </si>
  <si>
    <t>سنة فترة القياس</t>
  </si>
  <si>
    <t>شهر فترة القياس</t>
  </si>
  <si>
    <t>أطوال شبكات الطرق الخارجية</t>
  </si>
  <si>
    <t>Lengths of Road Networks</t>
  </si>
  <si>
    <t>M1</t>
  </si>
  <si>
    <t>KM</t>
  </si>
  <si>
    <t>كم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</si>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</sst>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7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776AD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2"/>
      <color theme="1"/>
      <name val="Times New Roman"/>
      <charset val="134"/>
    </font>
    <font>
      <sz val="11"/>
      <color indexed="8"/>
      <name val="Aptos Narrow"/>
      <charset val="134"/>
    </font>
    <font>
      <sz val="11"/>
      <color indexed="8"/>
      <name val="Calibri"/>
      <charset val="134"/>
    </font>
    <font>
      <sz val="9"/>
      <color theme="1"/>
      <name val="Times New Roman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sz val="14"/>
      <color theme="1"/>
      <name val="Aptos"/>
      <charset val="134"/>
    </font>
    <font>
      <b/>
      <sz val="14"/>
      <color rgb="FF0C769E"/>
      <name val="Aptos"/>
      <charset val="134"/>
    </font>
    <font>
      <sz val="12"/>
      <color rgb="FF0C769E"/>
      <name val="Aptos"/>
      <charset val="134"/>
    </font>
    <font>
      <sz val="12"/>
      <color theme="7" tint="-0.249977111117893"/>
      <name val="Aptos"/>
      <charset val="134"/>
    </font>
    <font>
      <sz val="14"/>
      <color theme="7" tint="-0.249977111117893"/>
      <name val="Aptos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3" tint="0.899929807428205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theme="7" tint="-0.499984740745262"/>
      </left>
      <right/>
      <top/>
      <bottom style="thin">
        <color theme="7" tint="-0.499984740745262"/>
      </bottom>
      <diagonal/>
    </border>
    <border>
      <left/>
      <right/>
      <top/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/>
      <diagonal/>
    </border>
    <border>
      <left/>
      <right/>
      <top style="thin">
        <color theme="7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 style="thin">
        <color rgb="FF074F69"/>
      </left>
      <right/>
      <top style="thin">
        <color rgb="FF074F69"/>
      </top>
      <bottom style="thin">
        <color rgb="FF074F69"/>
      </bottom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rgb="FF074F69"/>
      </left>
      <right/>
      <top/>
      <bottom style="thin">
        <color rgb="FF074F69"/>
      </bottom>
      <diagonal/>
    </border>
    <border>
      <left style="thin">
        <color auto="1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1" borderId="18" applyNumberFormat="0" applyAlignment="0" applyProtection="0">
      <alignment vertical="center"/>
    </xf>
    <xf numFmtId="0" fontId="29" fillId="12" borderId="19" applyNumberFormat="0" applyAlignment="0" applyProtection="0">
      <alignment vertical="center"/>
    </xf>
    <xf numFmtId="0" fontId="30" fillId="12" borderId="18" applyNumberFormat="0" applyAlignment="0" applyProtection="0">
      <alignment vertical="center"/>
    </xf>
    <xf numFmtId="0" fontId="31" fillId="13" borderId="20" applyNumberFormat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9" fillId="0" borderId="0"/>
    <xf numFmtId="0" fontId="39" fillId="0" borderId="0"/>
    <xf numFmtId="0" fontId="40" fillId="0" borderId="0">
      <alignment horizontal="centerContinuous" vertical="center"/>
    </xf>
    <xf numFmtId="0" fontId="41" fillId="0" borderId="0">
      <alignment horizontal="centerContinuous" vertical="center"/>
    </xf>
    <xf numFmtId="1" fontId="42" fillId="41" borderId="23">
      <alignment horizontal="center" vertical="center"/>
    </xf>
    <xf numFmtId="0" fontId="43" fillId="41" borderId="23">
      <alignment horizontal="center" vertical="center" wrapText="1"/>
    </xf>
    <xf numFmtId="0" fontId="44" fillId="41" borderId="23">
      <alignment horizontal="center" vertical="center" wrapText="1"/>
    </xf>
    <xf numFmtId="0" fontId="39" fillId="0" borderId="0"/>
    <xf numFmtId="0" fontId="39" fillId="0" borderId="0"/>
    <xf numFmtId="0" fontId="0" fillId="0" borderId="0"/>
    <xf numFmtId="0" fontId="0" fillId="0" borderId="0"/>
    <xf numFmtId="0" fontId="39" fillId="0" borderId="0"/>
    <xf numFmtId="0" fontId="0" fillId="0" borderId="0"/>
    <xf numFmtId="9" fontId="0" fillId="0" borderId="0"/>
    <xf numFmtId="9" fontId="0" fillId="0" borderId="0"/>
    <xf numFmtId="0" fontId="45" fillId="0" borderId="0">
      <alignment horizontal="right" vertical="center"/>
    </xf>
    <xf numFmtId="0" fontId="39" fillId="0" borderId="0">
      <alignment horizontal="left" vertical="center"/>
    </xf>
  </cellStyleXfs>
  <cellXfs count="53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readingOrder="2"/>
    </xf>
    <xf numFmtId="0" fontId="11" fillId="0" borderId="1" xfId="0" applyFont="1" applyBorder="1" applyAlignment="1">
      <alignment horizontal="right" wrapText="1"/>
    </xf>
    <xf numFmtId="0" fontId="11" fillId="0" borderId="2" xfId="0" applyFont="1" applyBorder="1" applyAlignment="1">
      <alignment horizontal="right" wrapText="1"/>
    </xf>
    <xf numFmtId="0" fontId="11" fillId="0" borderId="1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1" xfId="0" applyFont="1" applyBorder="1" applyAlignment="1">
      <alignment horizontal="center" wrapText="1" indent="2"/>
    </xf>
    <xf numFmtId="0" fontId="11" fillId="0" borderId="1" xfId="0" applyFont="1" applyBorder="1" applyAlignment="1">
      <alignment horizontal="center" wrapText="1" indent="1"/>
    </xf>
    <xf numFmtId="0" fontId="11" fillId="0" borderId="2" xfId="0" applyFont="1" applyBorder="1" applyAlignment="1">
      <alignment horizontal="center" wrapText="1" indent="2"/>
    </xf>
    <xf numFmtId="0" fontId="11" fillId="0" borderId="1" xfId="0" applyFont="1" applyBorder="1" applyAlignment="1">
      <alignment horizontal="left" wrapText="1" indent="2"/>
    </xf>
    <xf numFmtId="0" fontId="11" fillId="0" borderId="2" xfId="0" applyFont="1" applyBorder="1" applyAlignment="1">
      <alignment horizontal="left" wrapText="1" indent="2"/>
    </xf>
    <xf numFmtId="0" fontId="11" fillId="0" borderId="1" xfId="0" applyFont="1" applyBorder="1" applyAlignment="1">
      <alignment horizontal="right" wrapText="1" readingOrder="2"/>
    </xf>
    <xf numFmtId="0" fontId="11" fillId="0" borderId="2" xfId="0" applyFont="1" applyBorder="1" applyAlignment="1">
      <alignment horizontal="right" wrapText="1" readingOrder="2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4" fillId="0" borderId="8" xfId="0" applyFont="1" applyBorder="1" applyAlignment="1" applyProtection="1">
      <alignment horizontal="center" vertical="center"/>
      <protection locked="0"/>
    </xf>
    <xf numFmtId="0" fontId="13" fillId="2" borderId="9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vertical="center"/>
    </xf>
    <xf numFmtId="0" fontId="15" fillId="7" borderId="10" xfId="0" applyFont="1" applyFill="1" applyBorder="1" applyAlignment="1">
      <alignment horizontal="center" vertical="center" readingOrder="2"/>
    </xf>
    <xf numFmtId="0" fontId="13" fillId="8" borderId="11" xfId="0" applyFont="1" applyFill="1" applyBorder="1" applyAlignment="1">
      <alignment horizontal="center" vertical="center" readingOrder="2"/>
    </xf>
    <xf numFmtId="0" fontId="16" fillId="9" borderId="12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 readingOrder="2"/>
    </xf>
    <xf numFmtId="0" fontId="13" fillId="8" borderId="13" xfId="0" applyFont="1" applyFill="1" applyBorder="1" applyAlignment="1">
      <alignment horizontal="center" vertical="center" readingOrder="2"/>
    </xf>
    <xf numFmtId="0" fontId="13" fillId="8" borderId="14" xfId="0" applyFont="1" applyFill="1" applyBorder="1" applyAlignment="1">
      <alignment horizontal="center" vertical="center" readingOrder="2"/>
    </xf>
    <xf numFmtId="0" fontId="17" fillId="8" borderId="14" xfId="0" applyFont="1" applyFill="1" applyBorder="1" applyAlignment="1">
      <alignment horizontal="left" vertical="center" indent="2" readingOrder="2"/>
    </xf>
    <xf numFmtId="0" fontId="14" fillId="0" borderId="14" xfId="0" applyFont="1" applyBorder="1" applyAlignment="1" applyProtection="1">
      <alignment horizontal="center" vertical="center"/>
      <protection locked="0"/>
    </xf>
    <xf numFmtId="0" fontId="18" fillId="8" borderId="14" xfId="0" applyFont="1" applyFill="1" applyBorder="1" applyAlignment="1">
      <alignment horizontal="right" vertical="center" indent="2" readingOrder="2"/>
    </xf>
    <xf numFmtId="0" fontId="19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 wrapText="1"/>
    </xf>
    <xf numFmtId="0" fontId="7" fillId="7" borderId="0" xfId="0" applyFont="1" applyFill="1" applyAlignment="1">
      <alignment horizontal="center" readingOrder="2"/>
    </xf>
    <xf numFmtId="0" fontId="7" fillId="7" borderId="0" xfId="0" applyFont="1" applyFill="1" applyAlignment="1">
      <alignment horizontal="center" vertical="center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4" sqref="B14"/>
    </sheetView>
  </sheetViews>
  <sheetFormatPr defaultColWidth="9" defaultRowHeight="14.25" outlineLevelRow="7" outlineLevelCol="1"/>
  <cols>
    <col min="1" max="1" width="32.5" customWidth="1"/>
    <col min="2" max="2" width="107" customWidth="1"/>
  </cols>
  <sheetData>
    <row r="1" ht="21" customHeight="1" spans="1:2">
      <c r="A1" s="48" t="s">
        <v>0</v>
      </c>
      <c r="B1" s="15" t="s">
        <v>1</v>
      </c>
    </row>
    <row r="2" ht="21" customHeight="1" spans="1:2">
      <c r="A2" s="48" t="s">
        <v>2</v>
      </c>
      <c r="B2" s="15" t="s">
        <v>3</v>
      </c>
    </row>
    <row r="3" ht="21" customHeight="1" spans="1:2">
      <c r="A3" s="48" t="s">
        <v>4</v>
      </c>
      <c r="B3" s="49" t="s">
        <v>5</v>
      </c>
    </row>
    <row r="4" ht="21" customHeight="1" spans="1:2">
      <c r="A4" s="48" t="s">
        <v>6</v>
      </c>
      <c r="B4" s="50" t="s">
        <v>7</v>
      </c>
    </row>
    <row r="5" ht="21" customHeight="1" spans="1:2">
      <c r="A5" s="48" t="s">
        <v>8</v>
      </c>
      <c r="B5" s="51" t="s">
        <v>9</v>
      </c>
    </row>
    <row r="6" ht="21" customHeight="1" spans="1:2">
      <c r="A6" s="48" t="s">
        <v>10</v>
      </c>
      <c r="B6" s="51" t="s">
        <v>11</v>
      </c>
    </row>
    <row r="7" ht="21" customHeight="1" spans="1:2">
      <c r="A7" s="48" t="s">
        <v>12</v>
      </c>
      <c r="B7" s="52" t="s">
        <v>13</v>
      </c>
    </row>
    <row r="8" ht="21" customHeight="1" spans="1:2">
      <c r="A8" s="48" t="s">
        <v>14</v>
      </c>
      <c r="B8" s="52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8"/>
  <sheetViews>
    <sheetView view="pageBreakPreview" zoomScale="70" zoomScaleNormal="100" workbookViewId="0">
      <selection activeCell="D4" sqref="D4"/>
    </sheetView>
  </sheetViews>
  <sheetFormatPr defaultColWidth="16.75" defaultRowHeight="14.25" outlineLevelCol="5"/>
  <cols>
    <col min="2" max="7" width="25.75" customWidth="1"/>
  </cols>
  <sheetData>
    <row r="2" ht="28.15" customHeight="1" spans="2:6">
      <c r="B2" s="31" t="str">
        <f>'Cover Page'!B4</f>
        <v>Lengths of Road Networks by Type of Road and Governorate</v>
      </c>
      <c r="C2" s="32"/>
      <c r="D2" s="32"/>
      <c r="E2" s="32"/>
      <c r="F2" s="32"/>
    </row>
    <row r="3" ht="28.15" customHeight="1" spans="2:6">
      <c r="B3" s="33" t="str">
        <f>'Cover Page'!B3</f>
        <v>أطوال شبكات الطرق الخارجية حسب نوع الطريق والمحافظة</v>
      </c>
      <c r="C3" s="34"/>
      <c r="D3" s="34"/>
      <c r="E3" s="34"/>
      <c r="F3" s="34"/>
    </row>
    <row r="4" ht="28.15" customHeight="1" spans="2:6">
      <c r="B4" s="35" t="s">
        <v>16</v>
      </c>
      <c r="C4" s="36"/>
      <c r="D4" s="37">
        <f>YEAR('Template Data'!B1)</f>
        <v>2024</v>
      </c>
      <c r="E4" s="38"/>
      <c r="F4" s="39" t="s">
        <v>17</v>
      </c>
    </row>
    <row r="5" ht="28.15" customHeight="1" spans="2:6">
      <c r="B5" s="40" t="s">
        <v>18</v>
      </c>
      <c r="C5" s="41" t="s">
        <v>19</v>
      </c>
      <c r="D5" s="42" t="s">
        <v>20</v>
      </c>
      <c r="E5" s="41" t="s">
        <v>21</v>
      </c>
      <c r="F5" s="43" t="s">
        <v>22</v>
      </c>
    </row>
    <row r="6" ht="19.9" customHeight="1" spans="2:6">
      <c r="B6" s="44"/>
      <c r="C6" s="41" t="s">
        <v>23</v>
      </c>
      <c r="D6" s="42" t="s">
        <v>24</v>
      </c>
      <c r="E6" s="41" t="s">
        <v>25</v>
      </c>
      <c r="F6" s="43"/>
    </row>
    <row r="7" ht="22.15" customHeight="1" spans="2:6">
      <c r="B7" s="45" t="s">
        <v>26</v>
      </c>
      <c r="C7" s="46"/>
      <c r="D7" s="46"/>
      <c r="E7" s="46"/>
      <c r="F7" s="47" t="s">
        <v>27</v>
      </c>
    </row>
    <row r="8" ht="22.15" customHeight="1" spans="2:6">
      <c r="B8" s="45" t="s">
        <v>28</v>
      </c>
      <c r="C8" s="46"/>
      <c r="D8" s="46"/>
      <c r="E8" s="46"/>
      <c r="F8" s="47" t="s">
        <v>29</v>
      </c>
    </row>
    <row r="9" ht="22.15" customHeight="1" spans="2:6">
      <c r="B9" s="45" t="s">
        <v>30</v>
      </c>
      <c r="C9" s="46"/>
      <c r="D9" s="46"/>
      <c r="E9" s="46"/>
      <c r="F9" s="47" t="s">
        <v>31</v>
      </c>
    </row>
    <row r="10" ht="22.15" customHeight="1" spans="2:6">
      <c r="B10" s="45" t="s">
        <v>32</v>
      </c>
      <c r="C10" s="46"/>
      <c r="D10" s="46"/>
      <c r="E10" s="46"/>
      <c r="F10" s="47" t="s">
        <v>33</v>
      </c>
    </row>
    <row r="11" ht="22.15" customHeight="1" spans="2:6">
      <c r="B11" s="45" t="s">
        <v>34</v>
      </c>
      <c r="C11" s="46"/>
      <c r="D11" s="46"/>
      <c r="E11" s="46"/>
      <c r="F11" s="47" t="s">
        <v>35</v>
      </c>
    </row>
    <row r="12" ht="22.15" customHeight="1" spans="2:6">
      <c r="B12" s="45" t="s">
        <v>36</v>
      </c>
      <c r="C12" s="46"/>
      <c r="D12" s="46"/>
      <c r="E12" s="46"/>
      <c r="F12" s="47" t="s">
        <v>37</v>
      </c>
    </row>
    <row r="13" ht="22.15" customHeight="1" spans="2:6">
      <c r="B13" s="45" t="s">
        <v>38</v>
      </c>
      <c r="C13" s="46"/>
      <c r="D13" s="46"/>
      <c r="E13" s="46"/>
      <c r="F13" s="47" t="s">
        <v>39</v>
      </c>
    </row>
    <row r="14" ht="22.15" customHeight="1" spans="2:6">
      <c r="B14" s="45" t="s">
        <v>40</v>
      </c>
      <c r="C14" s="46"/>
      <c r="D14" s="46"/>
      <c r="E14" s="46"/>
      <c r="F14" s="47" t="s">
        <v>41</v>
      </c>
    </row>
    <row r="15" ht="22.15" customHeight="1" spans="2:6">
      <c r="B15" s="45" t="s">
        <v>42</v>
      </c>
      <c r="C15" s="46"/>
      <c r="D15" s="46"/>
      <c r="E15" s="46"/>
      <c r="F15" s="47" t="s">
        <v>43</v>
      </c>
    </row>
    <row r="16" ht="22.15" customHeight="1" spans="2:6">
      <c r="B16" s="45" t="s">
        <v>44</v>
      </c>
      <c r="C16" s="46"/>
      <c r="D16" s="46"/>
      <c r="E16" s="46"/>
      <c r="F16" s="47" t="s">
        <v>45</v>
      </c>
    </row>
    <row r="17" ht="22.15" customHeight="1" spans="2:6">
      <c r="B17" s="45" t="s">
        <v>46</v>
      </c>
      <c r="C17" s="46"/>
      <c r="D17" s="46"/>
      <c r="E17" s="46"/>
      <c r="F17" s="47" t="s">
        <v>47</v>
      </c>
    </row>
    <row r="18" ht="22.15" customHeight="1" spans="2:6">
      <c r="B18" s="45" t="s">
        <v>48</v>
      </c>
      <c r="C18" s="46"/>
      <c r="D18" s="46"/>
      <c r="E18" s="46"/>
      <c r="F18" s="47" t="s">
        <v>49</v>
      </c>
    </row>
  </sheetData>
  <sheetProtection password="DEF8" sheet="1" objects="1" scenarios="1"/>
  <mergeCells count="4">
    <mergeCell ref="B2:F2"/>
    <mergeCell ref="B3:F3"/>
    <mergeCell ref="B5:B6"/>
    <mergeCell ref="F5:F6"/>
  </mergeCells>
  <pageMargins left="0.7" right="0.7" top="0.75" bottom="0.75" header="0.3" footer="0.3"/>
  <pageSetup paperSize="1" scale="4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7"/>
  <sheetViews>
    <sheetView tabSelected="1" zoomScale="70" zoomScaleNormal="70" topLeftCell="A293" workbookViewId="0">
      <selection activeCell="J316" sqref="J316:J327"/>
    </sheetView>
  </sheetViews>
  <sheetFormatPr defaultColWidth="9" defaultRowHeight="14.25"/>
  <cols>
    <col min="1" max="1" width="46.25" customWidth="1"/>
    <col min="2" max="2" width="72.5" customWidth="1"/>
    <col min="3" max="3" width="9.75" customWidth="1"/>
    <col min="4" max="5" width="18.125" customWidth="1"/>
    <col min="6" max="6" width="23.375" customWidth="1"/>
    <col min="7" max="7" width="23.75" customWidth="1"/>
    <col min="8" max="8" width="23.875" customWidth="1"/>
    <col min="9" max="9" width="24.75" customWidth="1"/>
    <col min="10" max="10" width="23.375" customWidth="1"/>
    <col min="11" max="11" width="36.5" customWidth="1"/>
    <col min="12" max="14" width="15.5" customWidth="1"/>
  </cols>
  <sheetData>
    <row r="1" ht="20.25" spans="1:1">
      <c r="A1" s="15" t="s">
        <v>50</v>
      </c>
    </row>
    <row r="2" s="10" customFormat="1" ht="18" customHeight="1" spans="1:12">
      <c r="A2" s="13" t="s">
        <v>51</v>
      </c>
      <c r="B2" s="13" t="s">
        <v>52</v>
      </c>
      <c r="C2" s="13" t="s">
        <v>53</v>
      </c>
      <c r="D2" s="13" t="s">
        <v>54</v>
      </c>
      <c r="E2" s="13" t="s">
        <v>55</v>
      </c>
      <c r="F2" s="14" t="s">
        <v>56</v>
      </c>
      <c r="G2" s="14" t="s">
        <v>57</v>
      </c>
      <c r="H2" s="14" t="s">
        <v>58</v>
      </c>
      <c r="I2" s="14" t="s">
        <v>59</v>
      </c>
      <c r="J2" s="13" t="s">
        <v>60</v>
      </c>
      <c r="K2" s="13" t="s">
        <v>61</v>
      </c>
      <c r="L2" s="13" t="s">
        <v>62</v>
      </c>
    </row>
    <row r="3" s="10" customFormat="1" ht="18" customHeight="1" spans="1:12">
      <c r="A3" s="13" t="s">
        <v>63</v>
      </c>
      <c r="B3" s="13" t="s">
        <v>64</v>
      </c>
      <c r="C3" s="13" t="s">
        <v>65</v>
      </c>
      <c r="D3" s="13" t="s">
        <v>66</v>
      </c>
      <c r="E3" s="13" t="s">
        <v>67</v>
      </c>
      <c r="F3" s="14" t="s">
        <v>18</v>
      </c>
      <c r="G3" s="14" t="s">
        <v>22</v>
      </c>
      <c r="H3" s="14" t="s">
        <v>68</v>
      </c>
      <c r="I3" s="14" t="s">
        <v>69</v>
      </c>
      <c r="J3" s="13" t="s">
        <v>70</v>
      </c>
      <c r="K3" s="13" t="s">
        <v>71</v>
      </c>
      <c r="L3" s="13" t="s">
        <v>72</v>
      </c>
    </row>
    <row r="4" ht="15.75" spans="1:11">
      <c r="A4" s="16" t="s">
        <v>73</v>
      </c>
      <c r="B4" s="16" t="s">
        <v>74</v>
      </c>
      <c r="C4" s="17" t="s">
        <v>75</v>
      </c>
      <c r="D4" s="18" t="s">
        <v>76</v>
      </c>
      <c r="E4" s="19" t="s">
        <v>77</v>
      </c>
      <c r="F4" t="str">
        <f>'Source Table'!$B$7</f>
        <v>Amman</v>
      </c>
      <c r="G4" t="str">
        <f>'Source Table'!$F$7</f>
        <v>العاصمة</v>
      </c>
      <c r="H4" t="str">
        <f>'Source Table'!$E$6</f>
        <v>Rural Roads</v>
      </c>
      <c r="I4" t="str">
        <f>'Source Table'!$E$5</f>
        <v>طرق قروية</v>
      </c>
      <c r="J4" s="20">
        <v>529</v>
      </c>
      <c r="K4">
        <v>2023</v>
      </c>
    </row>
    <row r="5" ht="15.75" spans="1:11">
      <c r="A5" s="16" t="s">
        <v>73</v>
      </c>
      <c r="B5" s="16" t="s">
        <v>74</v>
      </c>
      <c r="C5" s="17" t="s">
        <v>75</v>
      </c>
      <c r="D5" s="18" t="s">
        <v>76</v>
      </c>
      <c r="E5" s="19" t="s">
        <v>77</v>
      </c>
      <c r="F5" t="str">
        <f>'Source Table'!$B$8</f>
        <v>Balqa</v>
      </c>
      <c r="G5" t="str">
        <f>'Source Table'!$F$8</f>
        <v>البلقاء</v>
      </c>
      <c r="H5" t="str">
        <f>'Source Table'!$E$6</f>
        <v>Rural Roads</v>
      </c>
      <c r="I5" t="str">
        <f>'Source Table'!$E$5</f>
        <v>طرق قروية</v>
      </c>
      <c r="J5" s="20">
        <v>287</v>
      </c>
      <c r="K5">
        <v>2023</v>
      </c>
    </row>
    <row r="6" ht="15.75" spans="1:11">
      <c r="A6" s="16" t="s">
        <v>73</v>
      </c>
      <c r="B6" s="16" t="s">
        <v>74</v>
      </c>
      <c r="C6" s="17" t="s">
        <v>75</v>
      </c>
      <c r="D6" s="18" t="s">
        <v>76</v>
      </c>
      <c r="E6" s="19" t="s">
        <v>77</v>
      </c>
      <c r="F6" t="str">
        <f>'Source Table'!$B$9</f>
        <v>Zarqa</v>
      </c>
      <c r="G6" t="str">
        <f>'Source Table'!$F$9</f>
        <v>الزرقاء</v>
      </c>
      <c r="H6" t="str">
        <f>'Source Table'!$E$6</f>
        <v>Rural Roads</v>
      </c>
      <c r="I6" t="str">
        <f>'Source Table'!$E$5</f>
        <v>طرق قروية</v>
      </c>
      <c r="J6" s="20">
        <v>154</v>
      </c>
      <c r="K6">
        <v>2023</v>
      </c>
    </row>
    <row r="7" ht="15.75" spans="1:11">
      <c r="A7" s="16" t="s">
        <v>73</v>
      </c>
      <c r="B7" s="16" t="s">
        <v>74</v>
      </c>
      <c r="C7" s="17" t="s">
        <v>75</v>
      </c>
      <c r="D7" s="18" t="s">
        <v>76</v>
      </c>
      <c r="E7" s="19" t="s">
        <v>77</v>
      </c>
      <c r="F7" t="str">
        <f>'Source Table'!$B$10</f>
        <v>Madaba</v>
      </c>
      <c r="G7" t="str">
        <f>'Source Table'!$F$10</f>
        <v>مأدبا</v>
      </c>
      <c r="H7" t="str">
        <f>'Source Table'!$E$6</f>
        <v>Rural Roads</v>
      </c>
      <c r="I7" t="str">
        <f>'Source Table'!$E$5</f>
        <v>طرق قروية</v>
      </c>
      <c r="J7" s="20">
        <v>188</v>
      </c>
      <c r="K7">
        <v>2023</v>
      </c>
    </row>
    <row r="8" ht="15.75" spans="1:11">
      <c r="A8" s="16" t="s">
        <v>73</v>
      </c>
      <c r="B8" s="16" t="s">
        <v>74</v>
      </c>
      <c r="C8" s="17" t="s">
        <v>75</v>
      </c>
      <c r="D8" s="18" t="s">
        <v>76</v>
      </c>
      <c r="E8" s="19" t="s">
        <v>77</v>
      </c>
      <c r="F8" t="str">
        <f>'Source Table'!$B$11</f>
        <v>Irbid</v>
      </c>
      <c r="G8" t="str">
        <f>'Source Table'!$F$11</f>
        <v>إربد</v>
      </c>
      <c r="H8" t="str">
        <f>'Source Table'!$E$6</f>
        <v>Rural Roads</v>
      </c>
      <c r="I8" t="str">
        <f>'Source Table'!$E$5</f>
        <v>طرق قروية</v>
      </c>
      <c r="J8" s="20">
        <v>360</v>
      </c>
      <c r="K8">
        <v>2023</v>
      </c>
    </row>
    <row r="9" ht="15.75" spans="1:11">
      <c r="A9" s="16" t="s">
        <v>73</v>
      </c>
      <c r="B9" s="16" t="s">
        <v>74</v>
      </c>
      <c r="C9" s="17" t="s">
        <v>75</v>
      </c>
      <c r="D9" s="18" t="s">
        <v>76</v>
      </c>
      <c r="E9" s="19" t="s">
        <v>77</v>
      </c>
      <c r="F9" t="str">
        <f>'Source Table'!$B$12</f>
        <v>Mafraq</v>
      </c>
      <c r="G9" t="str">
        <f>'Source Table'!$F$12</f>
        <v>المفرق</v>
      </c>
      <c r="H9" t="str">
        <f>'Source Table'!$E$6</f>
        <v>Rural Roads</v>
      </c>
      <c r="I9" t="str">
        <f>'Source Table'!$E$5</f>
        <v>طرق قروية</v>
      </c>
      <c r="J9" s="20">
        <v>581</v>
      </c>
      <c r="K9">
        <v>2023</v>
      </c>
    </row>
    <row r="10" ht="15.75" spans="1:11">
      <c r="A10" s="16" t="s">
        <v>73</v>
      </c>
      <c r="B10" s="16" t="s">
        <v>74</v>
      </c>
      <c r="C10" s="17" t="s">
        <v>75</v>
      </c>
      <c r="D10" s="18" t="s">
        <v>76</v>
      </c>
      <c r="E10" s="19" t="s">
        <v>77</v>
      </c>
      <c r="F10" t="str">
        <f>'Source Table'!$B$13</f>
        <v>Jarash</v>
      </c>
      <c r="G10" t="str">
        <f>'Source Table'!$F$13</f>
        <v>جرش</v>
      </c>
      <c r="H10" t="str">
        <f>'Source Table'!$E$6</f>
        <v>Rural Roads</v>
      </c>
      <c r="I10" t="str">
        <f>'Source Table'!$E$5</f>
        <v>طرق قروية</v>
      </c>
      <c r="J10" s="20">
        <v>235</v>
      </c>
      <c r="K10">
        <v>2023</v>
      </c>
    </row>
    <row r="11" ht="15.75" spans="1:11">
      <c r="A11" s="16" t="s">
        <v>73</v>
      </c>
      <c r="B11" s="16" t="s">
        <v>74</v>
      </c>
      <c r="C11" s="17" t="s">
        <v>75</v>
      </c>
      <c r="D11" s="18" t="s">
        <v>76</v>
      </c>
      <c r="E11" s="19" t="s">
        <v>77</v>
      </c>
      <c r="F11" t="str">
        <f>'Source Table'!$B$14</f>
        <v>Ajloun</v>
      </c>
      <c r="G11" t="str">
        <f>'Source Table'!$F$14</f>
        <v>عجلون</v>
      </c>
      <c r="H11" t="str">
        <f>'Source Table'!$E$6</f>
        <v>Rural Roads</v>
      </c>
      <c r="I11" t="str">
        <f>'Source Table'!$E$5</f>
        <v>طرق قروية</v>
      </c>
      <c r="J11" s="20">
        <v>56</v>
      </c>
      <c r="K11">
        <v>2023</v>
      </c>
    </row>
    <row r="12" ht="15.75" spans="1:11">
      <c r="A12" s="16" t="s">
        <v>73</v>
      </c>
      <c r="B12" s="16" t="s">
        <v>74</v>
      </c>
      <c r="C12" s="17" t="s">
        <v>75</v>
      </c>
      <c r="D12" s="18" t="s">
        <v>76</v>
      </c>
      <c r="E12" s="19" t="s">
        <v>77</v>
      </c>
      <c r="F12" t="str">
        <f>'Source Table'!$B$15</f>
        <v>Karak</v>
      </c>
      <c r="G12" t="str">
        <f>'Source Table'!$F$15</f>
        <v>الكرك</v>
      </c>
      <c r="H12" t="str">
        <f>'Source Table'!$E$6</f>
        <v>Rural Roads</v>
      </c>
      <c r="I12" t="str">
        <f>'Source Table'!$E$5</f>
        <v>طرق قروية</v>
      </c>
      <c r="J12" s="20">
        <v>207</v>
      </c>
      <c r="K12">
        <v>2023</v>
      </c>
    </row>
    <row r="13" ht="15.75" spans="1:11">
      <c r="A13" s="16" t="s">
        <v>73</v>
      </c>
      <c r="B13" s="16" t="s">
        <v>74</v>
      </c>
      <c r="C13" s="17" t="s">
        <v>75</v>
      </c>
      <c r="D13" s="18" t="s">
        <v>76</v>
      </c>
      <c r="E13" s="19" t="s">
        <v>77</v>
      </c>
      <c r="F13" t="str">
        <f>'Source Table'!$B$16</f>
        <v>Tafiela</v>
      </c>
      <c r="G13" t="str">
        <f>'Source Table'!$F$16</f>
        <v>الطفيله</v>
      </c>
      <c r="H13" t="str">
        <f>'Source Table'!$E$6</f>
        <v>Rural Roads</v>
      </c>
      <c r="I13" t="str">
        <f>'Source Table'!$E$5</f>
        <v>طرق قروية</v>
      </c>
      <c r="J13" s="20">
        <v>171</v>
      </c>
      <c r="K13">
        <v>2023</v>
      </c>
    </row>
    <row r="14" ht="15.75" spans="1:11">
      <c r="A14" s="16" t="s">
        <v>73</v>
      </c>
      <c r="B14" s="16" t="s">
        <v>74</v>
      </c>
      <c r="C14" s="17" t="s">
        <v>75</v>
      </c>
      <c r="D14" s="18" t="s">
        <v>76</v>
      </c>
      <c r="E14" s="19" t="s">
        <v>77</v>
      </c>
      <c r="F14" t="str">
        <f>'Source Table'!$B$17</f>
        <v>Ma'an</v>
      </c>
      <c r="G14" t="str">
        <f>'Source Table'!$F$17</f>
        <v>معان</v>
      </c>
      <c r="H14" t="str">
        <f>'Source Table'!$E$6</f>
        <v>Rural Roads</v>
      </c>
      <c r="I14" t="str">
        <f>'Source Table'!$E$5</f>
        <v>طرق قروية</v>
      </c>
      <c r="J14" s="20">
        <v>80</v>
      </c>
      <c r="K14">
        <v>2023</v>
      </c>
    </row>
    <row r="15" ht="16.5" spans="1:11">
      <c r="A15" s="16" t="s">
        <v>73</v>
      </c>
      <c r="B15" s="16" t="s">
        <v>74</v>
      </c>
      <c r="C15" s="17" t="s">
        <v>75</v>
      </c>
      <c r="D15" s="18" t="s">
        <v>76</v>
      </c>
      <c r="E15" s="19" t="s">
        <v>77</v>
      </c>
      <c r="F15" t="str">
        <f>'Source Table'!$B$18</f>
        <v>Aqaba</v>
      </c>
      <c r="G15" t="str">
        <f>'Source Table'!$F$18</f>
        <v>العقبة</v>
      </c>
      <c r="H15" t="str">
        <f>'Source Table'!$E$6</f>
        <v>Rural Roads</v>
      </c>
      <c r="I15" t="str">
        <f>'Source Table'!$E$5</f>
        <v>طرق قروية</v>
      </c>
      <c r="J15" s="21">
        <v>51</v>
      </c>
      <c r="K15">
        <v>2023</v>
      </c>
    </row>
    <row r="16" ht="15.75" spans="1:11">
      <c r="A16" s="16" t="s">
        <v>73</v>
      </c>
      <c r="B16" s="16" t="s">
        <v>74</v>
      </c>
      <c r="C16" s="17" t="s">
        <v>75</v>
      </c>
      <c r="D16" s="18" t="s">
        <v>76</v>
      </c>
      <c r="E16" s="19" t="s">
        <v>77</v>
      </c>
      <c r="F16" t="str">
        <f>'Source Table'!$B$7</f>
        <v>Amman</v>
      </c>
      <c r="G16" t="str">
        <f>'Source Table'!$F$7</f>
        <v>العاصمة</v>
      </c>
      <c r="H16" t="str">
        <f>'Source Table'!$D$6</f>
        <v>Secondary Roads</v>
      </c>
      <c r="I16" t="str">
        <f>'Source Table'!$D$5</f>
        <v>طرق ثانوية</v>
      </c>
      <c r="J16" s="20">
        <v>190</v>
      </c>
      <c r="K16">
        <v>2023</v>
      </c>
    </row>
    <row r="17" ht="15.75" spans="1:11">
      <c r="A17" s="16" t="s">
        <v>73</v>
      </c>
      <c r="B17" s="16" t="s">
        <v>74</v>
      </c>
      <c r="C17" s="17" t="s">
        <v>75</v>
      </c>
      <c r="D17" s="18" t="s">
        <v>76</v>
      </c>
      <c r="E17" s="19" t="s">
        <v>77</v>
      </c>
      <c r="F17" t="str">
        <f>'Source Table'!$B$8</f>
        <v>Balqa</v>
      </c>
      <c r="G17" t="str">
        <f>'Source Table'!$F$8</f>
        <v>البلقاء</v>
      </c>
      <c r="H17" t="str">
        <f>'Source Table'!$D$6</f>
        <v>Secondary Roads</v>
      </c>
      <c r="I17" t="str">
        <f>'Source Table'!$D$5</f>
        <v>طرق ثانوية</v>
      </c>
      <c r="J17" s="20">
        <v>136</v>
      </c>
      <c r="K17">
        <v>2023</v>
      </c>
    </row>
    <row r="18" ht="15.75" spans="1:11">
      <c r="A18" s="16" t="s">
        <v>73</v>
      </c>
      <c r="B18" s="16" t="s">
        <v>74</v>
      </c>
      <c r="C18" s="17" t="s">
        <v>75</v>
      </c>
      <c r="D18" s="18" t="s">
        <v>76</v>
      </c>
      <c r="E18" s="19" t="s">
        <v>77</v>
      </c>
      <c r="F18" t="str">
        <f>'Source Table'!$B$9</f>
        <v>Zarqa</v>
      </c>
      <c r="G18" t="str">
        <f>'Source Table'!$F$9</f>
        <v>الزرقاء</v>
      </c>
      <c r="H18" t="str">
        <f>'Source Table'!$D$6</f>
        <v>Secondary Roads</v>
      </c>
      <c r="I18" t="str">
        <f>'Source Table'!$D$5</f>
        <v>طرق ثانوية</v>
      </c>
      <c r="J18" s="20">
        <v>153</v>
      </c>
      <c r="K18">
        <v>2023</v>
      </c>
    </row>
    <row r="19" ht="15.75" spans="1:11">
      <c r="A19" s="16" t="s">
        <v>73</v>
      </c>
      <c r="B19" s="16" t="s">
        <v>74</v>
      </c>
      <c r="C19" s="17" t="s">
        <v>75</v>
      </c>
      <c r="D19" s="18" t="s">
        <v>76</v>
      </c>
      <c r="E19" s="19" t="s">
        <v>77</v>
      </c>
      <c r="F19" t="str">
        <f>'Source Table'!$B$10</f>
        <v>Madaba</v>
      </c>
      <c r="G19" t="str">
        <f>'Source Table'!$F$10</f>
        <v>مأدبا</v>
      </c>
      <c r="H19" t="str">
        <f>'Source Table'!$D$6</f>
        <v>Secondary Roads</v>
      </c>
      <c r="I19" t="str">
        <f>'Source Table'!$D$5</f>
        <v>طرق ثانوية</v>
      </c>
      <c r="J19" s="20">
        <v>120</v>
      </c>
      <c r="K19">
        <v>2023</v>
      </c>
    </row>
    <row r="20" ht="15.75" spans="1:11">
      <c r="A20" s="16" t="s">
        <v>73</v>
      </c>
      <c r="B20" s="16" t="s">
        <v>74</v>
      </c>
      <c r="C20" s="17" t="s">
        <v>75</v>
      </c>
      <c r="D20" s="18" t="s">
        <v>76</v>
      </c>
      <c r="E20" s="19" t="s">
        <v>77</v>
      </c>
      <c r="F20" t="str">
        <f>'Source Table'!$B$11</f>
        <v>Irbid</v>
      </c>
      <c r="G20" t="str">
        <f>'Source Table'!$F$11</f>
        <v>إربد</v>
      </c>
      <c r="H20" t="str">
        <f>'Source Table'!$D$6</f>
        <v>Secondary Roads</v>
      </c>
      <c r="I20" t="str">
        <f>'Source Table'!$D$5</f>
        <v>طرق ثانوية</v>
      </c>
      <c r="J20" s="20">
        <v>319</v>
      </c>
      <c r="K20">
        <v>2023</v>
      </c>
    </row>
    <row r="21" ht="15.75" spans="1:11">
      <c r="A21" s="16" t="s">
        <v>73</v>
      </c>
      <c r="B21" s="16" t="s">
        <v>74</v>
      </c>
      <c r="C21" s="17" t="s">
        <v>75</v>
      </c>
      <c r="D21" s="18" t="s">
        <v>76</v>
      </c>
      <c r="E21" s="19" t="s">
        <v>77</v>
      </c>
      <c r="F21" t="str">
        <f>'Source Table'!$B$12</f>
        <v>Mafraq</v>
      </c>
      <c r="G21" t="str">
        <f>'Source Table'!$F$12</f>
        <v>المفرق</v>
      </c>
      <c r="H21" t="str">
        <f>'Source Table'!$D$6</f>
        <v>Secondary Roads</v>
      </c>
      <c r="I21" t="str">
        <f>'Source Table'!$D$5</f>
        <v>طرق ثانوية</v>
      </c>
      <c r="J21" s="20">
        <v>270</v>
      </c>
      <c r="K21">
        <v>2023</v>
      </c>
    </row>
    <row r="22" ht="15.75" spans="1:11">
      <c r="A22" s="16" t="s">
        <v>73</v>
      </c>
      <c r="B22" s="16" t="s">
        <v>74</v>
      </c>
      <c r="C22" s="17" t="s">
        <v>75</v>
      </c>
      <c r="D22" s="18" t="s">
        <v>76</v>
      </c>
      <c r="E22" s="19" t="s">
        <v>77</v>
      </c>
      <c r="F22" t="str">
        <f>'Source Table'!$B$13</f>
        <v>Jarash</v>
      </c>
      <c r="G22" t="str">
        <f>'Source Table'!$F$13</f>
        <v>جرش</v>
      </c>
      <c r="H22" t="str">
        <f>'Source Table'!$D$6</f>
        <v>Secondary Roads</v>
      </c>
      <c r="I22" t="str">
        <f>'Source Table'!$D$5</f>
        <v>طرق ثانوية</v>
      </c>
      <c r="J22" s="20">
        <v>108</v>
      </c>
      <c r="K22">
        <v>2023</v>
      </c>
    </row>
    <row r="23" ht="15.75" spans="1:11">
      <c r="A23" s="16" t="s">
        <v>73</v>
      </c>
      <c r="B23" s="16" t="s">
        <v>74</v>
      </c>
      <c r="C23" s="17" t="s">
        <v>75</v>
      </c>
      <c r="D23" s="18" t="s">
        <v>76</v>
      </c>
      <c r="E23" s="19" t="s">
        <v>77</v>
      </c>
      <c r="F23" t="str">
        <f>'Source Table'!$B$14</f>
        <v>Ajloun</v>
      </c>
      <c r="G23" t="str">
        <f>'Source Table'!$F$14</f>
        <v>عجلون</v>
      </c>
      <c r="H23" t="str">
        <f>'Source Table'!$D$6</f>
        <v>Secondary Roads</v>
      </c>
      <c r="I23" t="str">
        <f>'Source Table'!$D$5</f>
        <v>طرق ثانوية</v>
      </c>
      <c r="J23" s="20">
        <v>142</v>
      </c>
      <c r="K23">
        <v>2023</v>
      </c>
    </row>
    <row r="24" ht="15.75" spans="1:11">
      <c r="A24" s="16" t="s">
        <v>73</v>
      </c>
      <c r="B24" s="16" t="s">
        <v>74</v>
      </c>
      <c r="C24" s="17" t="s">
        <v>75</v>
      </c>
      <c r="D24" s="18" t="s">
        <v>76</v>
      </c>
      <c r="E24" s="19" t="s">
        <v>77</v>
      </c>
      <c r="F24" t="str">
        <f>'Source Table'!$B$15</f>
        <v>Karak</v>
      </c>
      <c r="G24" t="str">
        <f>'Source Table'!$F$15</f>
        <v>الكرك</v>
      </c>
      <c r="H24" t="str">
        <f>'Source Table'!$D$6</f>
        <v>Secondary Roads</v>
      </c>
      <c r="I24" t="str">
        <f>'Source Table'!$D$5</f>
        <v>طرق ثانوية</v>
      </c>
      <c r="J24" s="20">
        <v>190</v>
      </c>
      <c r="K24">
        <v>2023</v>
      </c>
    </row>
    <row r="25" ht="15.75" spans="1:11">
      <c r="A25" s="16" t="s">
        <v>73</v>
      </c>
      <c r="B25" s="16" t="s">
        <v>74</v>
      </c>
      <c r="C25" s="17" t="s">
        <v>75</v>
      </c>
      <c r="D25" s="18" t="s">
        <v>76</v>
      </c>
      <c r="E25" s="19" t="s">
        <v>77</v>
      </c>
      <c r="F25" t="str">
        <f>'Source Table'!$B$16</f>
        <v>Tafiela</v>
      </c>
      <c r="G25" t="str">
        <f>'Source Table'!$F$16</f>
        <v>الطفيله</v>
      </c>
      <c r="H25" t="str">
        <f>'Source Table'!$D$6</f>
        <v>Secondary Roads</v>
      </c>
      <c r="I25" t="str">
        <f>'Source Table'!$D$5</f>
        <v>طرق ثانوية</v>
      </c>
      <c r="J25" s="20">
        <v>165</v>
      </c>
      <c r="K25">
        <v>2023</v>
      </c>
    </row>
    <row r="26" ht="15.75" spans="1:11">
      <c r="A26" s="16" t="s">
        <v>73</v>
      </c>
      <c r="B26" s="16" t="s">
        <v>74</v>
      </c>
      <c r="C26" s="17" t="s">
        <v>75</v>
      </c>
      <c r="D26" s="18" t="s">
        <v>76</v>
      </c>
      <c r="E26" s="19" t="s">
        <v>77</v>
      </c>
      <c r="F26" t="str">
        <f>'Source Table'!$B$17</f>
        <v>Ma'an</v>
      </c>
      <c r="G26" t="str">
        <f>'Source Table'!$F$17</f>
        <v>معان</v>
      </c>
      <c r="H26" t="str">
        <f>'Source Table'!$D$6</f>
        <v>Secondary Roads</v>
      </c>
      <c r="I26" t="str">
        <f>'Source Table'!$D$5</f>
        <v>طرق ثانوية</v>
      </c>
      <c r="J26" s="20">
        <v>339</v>
      </c>
      <c r="K26">
        <v>2023</v>
      </c>
    </row>
    <row r="27" ht="16.5" spans="1:11">
      <c r="A27" s="16" t="s">
        <v>73</v>
      </c>
      <c r="B27" s="16" t="s">
        <v>74</v>
      </c>
      <c r="C27" s="17" t="s">
        <v>75</v>
      </c>
      <c r="D27" s="18" t="s">
        <v>76</v>
      </c>
      <c r="E27" s="19" t="s">
        <v>77</v>
      </c>
      <c r="F27" t="str">
        <f>'Source Table'!$B$18</f>
        <v>Aqaba</v>
      </c>
      <c r="G27" t="str">
        <f>'Source Table'!$F$18</f>
        <v>العقبة</v>
      </c>
      <c r="H27" t="str">
        <f>'Source Table'!$D$6</f>
        <v>Secondary Roads</v>
      </c>
      <c r="I27" t="str">
        <f>'Source Table'!$D$5</f>
        <v>طرق ثانوية</v>
      </c>
      <c r="J27" s="21">
        <v>172</v>
      </c>
      <c r="K27">
        <v>2023</v>
      </c>
    </row>
    <row r="28" ht="15.75" spans="1:11">
      <c r="A28" s="16" t="s">
        <v>73</v>
      </c>
      <c r="B28" s="16" t="s">
        <v>74</v>
      </c>
      <c r="C28" s="17" t="s">
        <v>75</v>
      </c>
      <c r="D28" s="18" t="s">
        <v>76</v>
      </c>
      <c r="E28" s="19" t="s">
        <v>77</v>
      </c>
      <c r="F28" t="str">
        <f>'Source Table'!$B$7</f>
        <v>Amman</v>
      </c>
      <c r="G28" t="str">
        <f>'Source Table'!$F$7</f>
        <v>العاصمة</v>
      </c>
      <c r="H28" t="str">
        <f>'Source Table'!$C$6</f>
        <v>Highways</v>
      </c>
      <c r="I28" t="str">
        <f>'Source Table'!$C$5</f>
        <v>طرق رئيسية</v>
      </c>
      <c r="J28" s="20">
        <v>306</v>
      </c>
      <c r="K28">
        <v>2023</v>
      </c>
    </row>
    <row r="29" ht="15.75" spans="1:11">
      <c r="A29" s="16" t="s">
        <v>73</v>
      </c>
      <c r="B29" s="16" t="s">
        <v>74</v>
      </c>
      <c r="C29" s="17" t="s">
        <v>75</v>
      </c>
      <c r="D29" s="18" t="s">
        <v>76</v>
      </c>
      <c r="E29" s="19" t="s">
        <v>77</v>
      </c>
      <c r="F29" t="str">
        <f>'Source Table'!$B$8</f>
        <v>Balqa</v>
      </c>
      <c r="G29" t="str">
        <f>'Source Table'!$F$8</f>
        <v>البلقاء</v>
      </c>
      <c r="H29" t="str">
        <f>'Source Table'!$C$6</f>
        <v>Highways</v>
      </c>
      <c r="I29" t="str">
        <f>'Source Table'!$C$5</f>
        <v>طرق رئيسية</v>
      </c>
      <c r="J29" s="20">
        <v>227</v>
      </c>
      <c r="K29">
        <v>2023</v>
      </c>
    </row>
    <row r="30" ht="15.75" spans="1:11">
      <c r="A30" s="16" t="s">
        <v>73</v>
      </c>
      <c r="B30" s="16" t="s">
        <v>74</v>
      </c>
      <c r="C30" s="17" t="s">
        <v>75</v>
      </c>
      <c r="D30" s="18" t="s">
        <v>76</v>
      </c>
      <c r="E30" s="19" t="s">
        <v>77</v>
      </c>
      <c r="F30" t="str">
        <f>'Source Table'!$B$9</f>
        <v>Zarqa</v>
      </c>
      <c r="G30" t="str">
        <f>'Source Table'!$F$9</f>
        <v>الزرقاء</v>
      </c>
      <c r="H30" t="str">
        <f>'Source Table'!$C$6</f>
        <v>Highways</v>
      </c>
      <c r="I30" t="str">
        <f>'Source Table'!$C$5</f>
        <v>طرق رئيسية</v>
      </c>
      <c r="J30" s="20">
        <v>350</v>
      </c>
      <c r="K30">
        <v>2023</v>
      </c>
    </row>
    <row r="31" ht="15.75" spans="1:11">
      <c r="A31" s="16" t="s">
        <v>73</v>
      </c>
      <c r="B31" s="16" t="s">
        <v>74</v>
      </c>
      <c r="C31" s="17" t="s">
        <v>75</v>
      </c>
      <c r="D31" s="18" t="s">
        <v>76</v>
      </c>
      <c r="E31" s="19" t="s">
        <v>77</v>
      </c>
      <c r="F31" t="str">
        <f>'Source Table'!$B$10</f>
        <v>Madaba</v>
      </c>
      <c r="G31" t="str">
        <f>'Source Table'!$F$10</f>
        <v>مأدبا</v>
      </c>
      <c r="H31" t="str">
        <f>'Source Table'!$C$6</f>
        <v>Highways</v>
      </c>
      <c r="I31" t="str">
        <f>'Source Table'!$C$5</f>
        <v>طرق رئيسية</v>
      </c>
      <c r="J31" s="20">
        <v>131</v>
      </c>
      <c r="K31">
        <v>2023</v>
      </c>
    </row>
    <row r="32" ht="15.75" spans="1:11">
      <c r="A32" s="16" t="s">
        <v>73</v>
      </c>
      <c r="B32" s="16" t="s">
        <v>74</v>
      </c>
      <c r="C32" s="17" t="s">
        <v>75</v>
      </c>
      <c r="D32" s="18" t="s">
        <v>76</v>
      </c>
      <c r="E32" s="19" t="s">
        <v>77</v>
      </c>
      <c r="F32" t="str">
        <f>'Source Table'!$B$11</f>
        <v>Irbid</v>
      </c>
      <c r="G32" t="str">
        <f>'Source Table'!$F$11</f>
        <v>إربد</v>
      </c>
      <c r="H32" t="str">
        <f>'Source Table'!$C$6</f>
        <v>Highways</v>
      </c>
      <c r="I32" t="str">
        <f>'Source Table'!$C$5</f>
        <v>طرق رئيسية</v>
      </c>
      <c r="J32" s="20">
        <v>238</v>
      </c>
      <c r="K32">
        <v>2023</v>
      </c>
    </row>
    <row r="33" ht="15.75" spans="1:11">
      <c r="A33" s="16" t="s">
        <v>73</v>
      </c>
      <c r="B33" s="16" t="s">
        <v>74</v>
      </c>
      <c r="C33" s="17" t="s">
        <v>75</v>
      </c>
      <c r="D33" s="18" t="s">
        <v>76</v>
      </c>
      <c r="E33" s="19" t="s">
        <v>77</v>
      </c>
      <c r="F33" t="str">
        <f>'Source Table'!$B$12</f>
        <v>Mafraq</v>
      </c>
      <c r="G33" t="str">
        <f>'Source Table'!$F$12</f>
        <v>المفرق</v>
      </c>
      <c r="H33" t="str">
        <f>'Source Table'!$C$6</f>
        <v>Highways</v>
      </c>
      <c r="I33" t="str">
        <f>'Source Table'!$C$5</f>
        <v>طرق رئيسية</v>
      </c>
      <c r="J33" s="20">
        <v>520</v>
      </c>
      <c r="K33">
        <v>2023</v>
      </c>
    </row>
    <row r="34" ht="15.75" spans="1:11">
      <c r="A34" s="16" t="s">
        <v>73</v>
      </c>
      <c r="B34" s="16" t="s">
        <v>74</v>
      </c>
      <c r="C34" s="17" t="s">
        <v>75</v>
      </c>
      <c r="D34" s="18" t="s">
        <v>76</v>
      </c>
      <c r="E34" s="19" t="s">
        <v>77</v>
      </c>
      <c r="F34" t="str">
        <f>'Source Table'!$B$13</f>
        <v>Jarash</v>
      </c>
      <c r="G34" t="str">
        <f>'Source Table'!$F$13</f>
        <v>جرش</v>
      </c>
      <c r="H34" t="str">
        <f>'Source Table'!$C$6</f>
        <v>Highways</v>
      </c>
      <c r="I34" t="str">
        <f>'Source Table'!$C$5</f>
        <v>طرق رئيسية</v>
      </c>
      <c r="J34" s="20">
        <v>97</v>
      </c>
      <c r="K34">
        <v>2023</v>
      </c>
    </row>
    <row r="35" ht="15.75" spans="1:11">
      <c r="A35" s="16" t="s">
        <v>73</v>
      </c>
      <c r="B35" s="16" t="s">
        <v>74</v>
      </c>
      <c r="C35" s="17" t="s">
        <v>75</v>
      </c>
      <c r="D35" s="18" t="s">
        <v>76</v>
      </c>
      <c r="E35" s="19" t="s">
        <v>77</v>
      </c>
      <c r="F35" t="str">
        <f>'Source Table'!$B$14</f>
        <v>Ajloun</v>
      </c>
      <c r="G35" t="str">
        <f>'Source Table'!$F$14</f>
        <v>عجلون</v>
      </c>
      <c r="H35" t="str">
        <f>'Source Table'!$C$6</f>
        <v>Highways</v>
      </c>
      <c r="I35" t="str">
        <f>'Source Table'!$C$5</f>
        <v>طرق رئيسية</v>
      </c>
      <c r="J35" s="20">
        <v>50</v>
      </c>
      <c r="K35">
        <v>2023</v>
      </c>
    </row>
    <row r="36" ht="15.75" spans="1:11">
      <c r="A36" s="16" t="s">
        <v>73</v>
      </c>
      <c r="B36" s="16" t="s">
        <v>74</v>
      </c>
      <c r="C36" s="17" t="s">
        <v>75</v>
      </c>
      <c r="D36" s="18" t="s">
        <v>76</v>
      </c>
      <c r="E36" s="19" t="s">
        <v>77</v>
      </c>
      <c r="F36" t="str">
        <f>'Source Table'!$B$15</f>
        <v>Karak</v>
      </c>
      <c r="G36" t="str">
        <f>'Source Table'!$F$15</f>
        <v>الكرك</v>
      </c>
      <c r="H36" t="str">
        <f>'Source Table'!$C$6</f>
        <v>Highways</v>
      </c>
      <c r="I36" t="str">
        <f>'Source Table'!$C$5</f>
        <v>طرق رئيسية</v>
      </c>
      <c r="J36" s="20">
        <v>295</v>
      </c>
      <c r="K36">
        <v>2023</v>
      </c>
    </row>
    <row r="37" ht="15.75" spans="1:11">
      <c r="A37" s="16" t="s">
        <v>73</v>
      </c>
      <c r="B37" s="16" t="s">
        <v>74</v>
      </c>
      <c r="C37" s="17" t="s">
        <v>75</v>
      </c>
      <c r="D37" s="18" t="s">
        <v>76</v>
      </c>
      <c r="E37" s="19" t="s">
        <v>77</v>
      </c>
      <c r="F37" t="str">
        <f>'Source Table'!$B$16</f>
        <v>Tafiela</v>
      </c>
      <c r="G37" t="str">
        <f>'Source Table'!$F$16</f>
        <v>الطفيله</v>
      </c>
      <c r="H37" t="str">
        <f>'Source Table'!$C$6</f>
        <v>Highways</v>
      </c>
      <c r="I37" t="str">
        <f>'Source Table'!$C$5</f>
        <v>طرق رئيسية</v>
      </c>
      <c r="J37" s="20">
        <v>271</v>
      </c>
      <c r="K37">
        <v>2023</v>
      </c>
    </row>
    <row r="38" ht="15.75" spans="1:11">
      <c r="A38" s="16" t="s">
        <v>73</v>
      </c>
      <c r="B38" s="16" t="s">
        <v>74</v>
      </c>
      <c r="C38" s="17" t="s">
        <v>75</v>
      </c>
      <c r="D38" s="18" t="s">
        <v>76</v>
      </c>
      <c r="E38" s="19" t="s">
        <v>77</v>
      </c>
      <c r="F38" t="str">
        <f>'Source Table'!$B$17</f>
        <v>Ma'an</v>
      </c>
      <c r="G38" t="str">
        <f>'Source Table'!$F$17</f>
        <v>معان</v>
      </c>
      <c r="H38" t="str">
        <f>'Source Table'!$C$6</f>
        <v>Highways</v>
      </c>
      <c r="I38" t="str">
        <f>'Source Table'!$C$5</f>
        <v>طرق رئيسية</v>
      </c>
      <c r="J38" s="20">
        <v>622</v>
      </c>
      <c r="K38">
        <v>2023</v>
      </c>
    </row>
    <row r="39" ht="16.5" spans="1:11">
      <c r="A39" s="16" t="s">
        <v>73</v>
      </c>
      <c r="B39" s="16" t="s">
        <v>74</v>
      </c>
      <c r="C39" s="17" t="s">
        <v>75</v>
      </c>
      <c r="D39" s="18" t="s">
        <v>76</v>
      </c>
      <c r="E39" s="19" t="s">
        <v>77</v>
      </c>
      <c r="F39" t="str">
        <f>'Source Table'!$B$18</f>
        <v>Aqaba</v>
      </c>
      <c r="G39" t="str">
        <f>'Source Table'!$F$18</f>
        <v>العقبة</v>
      </c>
      <c r="H39" t="str">
        <f>'Source Table'!$C$6</f>
        <v>Highways</v>
      </c>
      <c r="I39" t="str">
        <f>'Source Table'!$C$5</f>
        <v>طرق رئيسية</v>
      </c>
      <c r="J39" s="21">
        <v>321</v>
      </c>
      <c r="K39">
        <v>2023</v>
      </c>
    </row>
    <row r="40" ht="15.75" spans="1:11">
      <c r="A40" s="16" t="s">
        <v>73</v>
      </c>
      <c r="B40" s="16" t="s">
        <v>74</v>
      </c>
      <c r="C40" s="17" t="s">
        <v>75</v>
      </c>
      <c r="D40" s="18" t="s">
        <v>76</v>
      </c>
      <c r="E40" s="19" t="s">
        <v>77</v>
      </c>
      <c r="F40" t="str">
        <f>'Source Table'!$B$7</f>
        <v>Amman</v>
      </c>
      <c r="G40" t="str">
        <f>'Source Table'!$F$7</f>
        <v>العاصمة</v>
      </c>
      <c r="H40" t="str">
        <f>'Source Table'!$E$6</f>
        <v>Rural Roads</v>
      </c>
      <c r="I40" t="str">
        <f>'Source Table'!$E$5</f>
        <v>طرق قروية</v>
      </c>
      <c r="J40" s="22">
        <v>529</v>
      </c>
      <c r="K40">
        <v>2022</v>
      </c>
    </row>
    <row r="41" ht="15.75" spans="1:11">
      <c r="A41" s="16" t="s">
        <v>73</v>
      </c>
      <c r="B41" s="16" t="s">
        <v>74</v>
      </c>
      <c r="C41" s="17" t="s">
        <v>75</v>
      </c>
      <c r="D41" s="18" t="s">
        <v>76</v>
      </c>
      <c r="E41" s="19" t="s">
        <v>77</v>
      </c>
      <c r="F41" t="str">
        <f>'Source Table'!$B$8</f>
        <v>Balqa</v>
      </c>
      <c r="G41" t="str">
        <f>'Source Table'!$F$8</f>
        <v>البلقاء</v>
      </c>
      <c r="H41" t="str">
        <f>'Source Table'!$E$6</f>
        <v>Rural Roads</v>
      </c>
      <c r="I41" t="str">
        <f>'Source Table'!$E$5</f>
        <v>طرق قروية</v>
      </c>
      <c r="J41" s="22">
        <v>287</v>
      </c>
      <c r="K41">
        <v>2022</v>
      </c>
    </row>
    <row r="42" ht="15.75" spans="1:11">
      <c r="A42" s="16" t="s">
        <v>73</v>
      </c>
      <c r="B42" s="16" t="s">
        <v>74</v>
      </c>
      <c r="C42" s="17" t="s">
        <v>75</v>
      </c>
      <c r="D42" s="18" t="s">
        <v>76</v>
      </c>
      <c r="E42" s="19" t="s">
        <v>77</v>
      </c>
      <c r="F42" t="str">
        <f>'Source Table'!$B$9</f>
        <v>Zarqa</v>
      </c>
      <c r="G42" t="str">
        <f>'Source Table'!$F$9</f>
        <v>الزرقاء</v>
      </c>
      <c r="H42" t="str">
        <f>'Source Table'!$E$6</f>
        <v>Rural Roads</v>
      </c>
      <c r="I42" t="str">
        <f>'Source Table'!$E$5</f>
        <v>طرق قروية</v>
      </c>
      <c r="J42" s="22">
        <v>154</v>
      </c>
      <c r="K42">
        <v>2022</v>
      </c>
    </row>
    <row r="43" ht="15.75" spans="1:11">
      <c r="A43" s="16" t="s">
        <v>73</v>
      </c>
      <c r="B43" s="16" t="s">
        <v>74</v>
      </c>
      <c r="C43" s="17" t="s">
        <v>75</v>
      </c>
      <c r="D43" s="18" t="s">
        <v>76</v>
      </c>
      <c r="E43" s="19" t="s">
        <v>77</v>
      </c>
      <c r="F43" t="str">
        <f>'Source Table'!$B$10</f>
        <v>Madaba</v>
      </c>
      <c r="G43" t="str">
        <f>'Source Table'!$F$10</f>
        <v>مأدبا</v>
      </c>
      <c r="H43" t="str">
        <f>'Source Table'!$E$6</f>
        <v>Rural Roads</v>
      </c>
      <c r="I43" t="str">
        <f>'Source Table'!$E$5</f>
        <v>طرق قروية</v>
      </c>
      <c r="J43" s="22">
        <v>188</v>
      </c>
      <c r="K43">
        <v>2022</v>
      </c>
    </row>
    <row r="44" ht="15.75" spans="1:11">
      <c r="A44" s="16" t="s">
        <v>73</v>
      </c>
      <c r="B44" s="16" t="s">
        <v>74</v>
      </c>
      <c r="C44" s="17" t="s">
        <v>75</v>
      </c>
      <c r="D44" s="18" t="s">
        <v>76</v>
      </c>
      <c r="E44" s="19" t="s">
        <v>77</v>
      </c>
      <c r="F44" t="str">
        <f>'Source Table'!$B$11</f>
        <v>Irbid</v>
      </c>
      <c r="G44" t="str">
        <f>'Source Table'!$F$11</f>
        <v>إربد</v>
      </c>
      <c r="H44" t="str">
        <f>'Source Table'!$E$6</f>
        <v>Rural Roads</v>
      </c>
      <c r="I44" t="str">
        <f>'Source Table'!$E$5</f>
        <v>طرق قروية</v>
      </c>
      <c r="J44" s="22">
        <v>360</v>
      </c>
      <c r="K44">
        <v>2022</v>
      </c>
    </row>
    <row r="45" ht="15.75" spans="1:11">
      <c r="A45" s="16" t="s">
        <v>73</v>
      </c>
      <c r="B45" s="16" t="s">
        <v>74</v>
      </c>
      <c r="C45" s="17" t="s">
        <v>75</v>
      </c>
      <c r="D45" s="18" t="s">
        <v>76</v>
      </c>
      <c r="E45" s="19" t="s">
        <v>77</v>
      </c>
      <c r="F45" t="str">
        <f>'Source Table'!$B$12</f>
        <v>Mafraq</v>
      </c>
      <c r="G45" t="str">
        <f>'Source Table'!$F$12</f>
        <v>المفرق</v>
      </c>
      <c r="H45" t="str">
        <f>'Source Table'!$E$6</f>
        <v>Rural Roads</v>
      </c>
      <c r="I45" t="str">
        <f>'Source Table'!$E$5</f>
        <v>طرق قروية</v>
      </c>
      <c r="J45" s="22">
        <v>581</v>
      </c>
      <c r="K45">
        <v>2022</v>
      </c>
    </row>
    <row r="46" ht="15.75" spans="1:11">
      <c r="A46" s="16" t="s">
        <v>73</v>
      </c>
      <c r="B46" s="16" t="s">
        <v>74</v>
      </c>
      <c r="C46" s="17" t="s">
        <v>75</v>
      </c>
      <c r="D46" s="18" t="s">
        <v>76</v>
      </c>
      <c r="E46" s="19" t="s">
        <v>77</v>
      </c>
      <c r="F46" t="str">
        <f>'Source Table'!$B$13</f>
        <v>Jarash</v>
      </c>
      <c r="G46" t="str">
        <f>'Source Table'!$F$13</f>
        <v>جرش</v>
      </c>
      <c r="H46" t="str">
        <f>'Source Table'!$E$6</f>
        <v>Rural Roads</v>
      </c>
      <c r="I46" t="str">
        <f>'Source Table'!$E$5</f>
        <v>طرق قروية</v>
      </c>
      <c r="J46" s="22">
        <v>235</v>
      </c>
      <c r="K46">
        <v>2022</v>
      </c>
    </row>
    <row r="47" ht="15.75" spans="1:11">
      <c r="A47" s="16" t="s">
        <v>73</v>
      </c>
      <c r="B47" s="16" t="s">
        <v>74</v>
      </c>
      <c r="C47" s="17" t="s">
        <v>75</v>
      </c>
      <c r="D47" s="18" t="s">
        <v>76</v>
      </c>
      <c r="E47" s="19" t="s">
        <v>77</v>
      </c>
      <c r="F47" t="str">
        <f>'Source Table'!$B$14</f>
        <v>Ajloun</v>
      </c>
      <c r="G47" t="str">
        <f>'Source Table'!$F$14</f>
        <v>عجلون</v>
      </c>
      <c r="H47" t="str">
        <f>'Source Table'!$E$6</f>
        <v>Rural Roads</v>
      </c>
      <c r="I47" t="str">
        <f>'Source Table'!$E$5</f>
        <v>طرق قروية</v>
      </c>
      <c r="J47" s="22">
        <v>56</v>
      </c>
      <c r="K47">
        <v>2022</v>
      </c>
    </row>
    <row r="48" ht="15.75" spans="1:11">
      <c r="A48" s="16" t="s">
        <v>73</v>
      </c>
      <c r="B48" s="16" t="s">
        <v>74</v>
      </c>
      <c r="C48" s="17" t="s">
        <v>75</v>
      </c>
      <c r="D48" s="18" t="s">
        <v>76</v>
      </c>
      <c r="E48" s="19" t="s">
        <v>77</v>
      </c>
      <c r="F48" t="str">
        <f>'Source Table'!$B$15</f>
        <v>Karak</v>
      </c>
      <c r="G48" t="str">
        <f>'Source Table'!$F$15</f>
        <v>الكرك</v>
      </c>
      <c r="H48" t="str">
        <f>'Source Table'!$E$6</f>
        <v>Rural Roads</v>
      </c>
      <c r="I48" t="str">
        <f>'Source Table'!$E$5</f>
        <v>طرق قروية</v>
      </c>
      <c r="J48" s="22">
        <v>207</v>
      </c>
      <c r="K48">
        <v>2022</v>
      </c>
    </row>
    <row r="49" ht="15.75" spans="1:11">
      <c r="A49" s="16" t="s">
        <v>73</v>
      </c>
      <c r="B49" s="16" t="s">
        <v>74</v>
      </c>
      <c r="C49" s="17" t="s">
        <v>75</v>
      </c>
      <c r="D49" s="18" t="s">
        <v>76</v>
      </c>
      <c r="E49" s="19" t="s">
        <v>77</v>
      </c>
      <c r="F49" t="str">
        <f>'Source Table'!$B$16</f>
        <v>Tafiela</v>
      </c>
      <c r="G49" t="str">
        <f>'Source Table'!$F$16</f>
        <v>الطفيله</v>
      </c>
      <c r="H49" t="str">
        <f>'Source Table'!$E$6</f>
        <v>Rural Roads</v>
      </c>
      <c r="I49" t="str">
        <f>'Source Table'!$E$5</f>
        <v>طرق قروية</v>
      </c>
      <c r="J49" s="22">
        <v>171</v>
      </c>
      <c r="K49">
        <v>2022</v>
      </c>
    </row>
    <row r="50" ht="15.75" spans="1:11">
      <c r="A50" s="16" t="s">
        <v>73</v>
      </c>
      <c r="B50" s="16" t="s">
        <v>74</v>
      </c>
      <c r="C50" s="17" t="s">
        <v>75</v>
      </c>
      <c r="D50" s="18" t="s">
        <v>76</v>
      </c>
      <c r="E50" s="19" t="s">
        <v>77</v>
      </c>
      <c r="F50" t="str">
        <f>'Source Table'!$B$17</f>
        <v>Ma'an</v>
      </c>
      <c r="G50" t="str">
        <f>'Source Table'!$F$17</f>
        <v>معان</v>
      </c>
      <c r="H50" t="str">
        <f>'Source Table'!$E$6</f>
        <v>Rural Roads</v>
      </c>
      <c r="I50" t="str">
        <f>'Source Table'!$E$5</f>
        <v>طرق قروية</v>
      </c>
      <c r="J50" s="22">
        <v>87</v>
      </c>
      <c r="K50">
        <v>2022</v>
      </c>
    </row>
    <row r="51" ht="16.5" spans="1:11">
      <c r="A51" s="16" t="s">
        <v>73</v>
      </c>
      <c r="B51" s="16" t="s">
        <v>74</v>
      </c>
      <c r="C51" s="17" t="s">
        <v>75</v>
      </c>
      <c r="D51" s="18" t="s">
        <v>76</v>
      </c>
      <c r="E51" s="19" t="s">
        <v>77</v>
      </c>
      <c r="F51" t="str">
        <f>'Source Table'!$B$18</f>
        <v>Aqaba</v>
      </c>
      <c r="G51" t="str">
        <f>'Source Table'!$F$18</f>
        <v>العقبة</v>
      </c>
      <c r="H51" t="str">
        <f>'Source Table'!$E$6</f>
        <v>Rural Roads</v>
      </c>
      <c r="I51" t="str">
        <f>'Source Table'!$E$5</f>
        <v>طرق قروية</v>
      </c>
      <c r="J51" s="23">
        <v>51</v>
      </c>
      <c r="K51">
        <v>2022</v>
      </c>
    </row>
    <row r="52" ht="15.75" spans="1:11">
      <c r="A52" s="16" t="s">
        <v>73</v>
      </c>
      <c r="B52" s="16" t="s">
        <v>74</v>
      </c>
      <c r="C52" s="17" t="s">
        <v>75</v>
      </c>
      <c r="D52" s="18" t="s">
        <v>76</v>
      </c>
      <c r="E52" s="19" t="s">
        <v>77</v>
      </c>
      <c r="F52" t="str">
        <f>'Source Table'!$B$7</f>
        <v>Amman</v>
      </c>
      <c r="G52" t="str">
        <f>'Source Table'!$F$7</f>
        <v>العاصمة</v>
      </c>
      <c r="H52" t="str">
        <f>'Source Table'!$D$6</f>
        <v>Secondary Roads</v>
      </c>
      <c r="I52" t="str">
        <f>'Source Table'!$D$5</f>
        <v>طرق ثانوية</v>
      </c>
      <c r="J52" s="22">
        <v>190</v>
      </c>
      <c r="K52">
        <v>2022</v>
      </c>
    </row>
    <row r="53" ht="15.75" spans="1:11">
      <c r="A53" s="16" t="s">
        <v>73</v>
      </c>
      <c r="B53" s="16" t="s">
        <v>74</v>
      </c>
      <c r="C53" s="17" t="s">
        <v>75</v>
      </c>
      <c r="D53" s="18" t="s">
        <v>76</v>
      </c>
      <c r="E53" s="19" t="s">
        <v>77</v>
      </c>
      <c r="F53" t="str">
        <f>'Source Table'!$B$8</f>
        <v>Balqa</v>
      </c>
      <c r="G53" t="str">
        <f>'Source Table'!$F$8</f>
        <v>البلقاء</v>
      </c>
      <c r="H53" t="str">
        <f>'Source Table'!$D$6</f>
        <v>Secondary Roads</v>
      </c>
      <c r="I53" t="str">
        <f>'Source Table'!$D$5</f>
        <v>طرق ثانوية</v>
      </c>
      <c r="J53" s="22">
        <v>136</v>
      </c>
      <c r="K53">
        <v>2022</v>
      </c>
    </row>
    <row r="54" ht="15.75" spans="1:11">
      <c r="A54" s="16" t="s">
        <v>73</v>
      </c>
      <c r="B54" s="16" t="s">
        <v>74</v>
      </c>
      <c r="C54" s="17" t="s">
        <v>75</v>
      </c>
      <c r="D54" s="18" t="s">
        <v>76</v>
      </c>
      <c r="E54" s="19" t="s">
        <v>77</v>
      </c>
      <c r="F54" t="str">
        <f>'Source Table'!$B$9</f>
        <v>Zarqa</v>
      </c>
      <c r="G54" t="str">
        <f>'Source Table'!$F$9</f>
        <v>الزرقاء</v>
      </c>
      <c r="H54" t="str">
        <f>'Source Table'!$D$6</f>
        <v>Secondary Roads</v>
      </c>
      <c r="I54" t="str">
        <f>'Source Table'!$D$5</f>
        <v>طرق ثانوية</v>
      </c>
      <c r="J54" s="22">
        <v>153</v>
      </c>
      <c r="K54">
        <v>2022</v>
      </c>
    </row>
    <row r="55" ht="15.75" spans="1:11">
      <c r="A55" s="16" t="s">
        <v>73</v>
      </c>
      <c r="B55" s="16" t="s">
        <v>74</v>
      </c>
      <c r="C55" s="17" t="s">
        <v>75</v>
      </c>
      <c r="D55" s="18" t="s">
        <v>76</v>
      </c>
      <c r="E55" s="19" t="s">
        <v>77</v>
      </c>
      <c r="F55" t="str">
        <f>'Source Table'!$B$10</f>
        <v>Madaba</v>
      </c>
      <c r="G55" t="str">
        <f>'Source Table'!$F$10</f>
        <v>مأدبا</v>
      </c>
      <c r="H55" t="str">
        <f>'Source Table'!$D$6</f>
        <v>Secondary Roads</v>
      </c>
      <c r="I55" t="str">
        <f>'Source Table'!$D$5</f>
        <v>طرق ثانوية</v>
      </c>
      <c r="J55" s="22">
        <v>120</v>
      </c>
      <c r="K55">
        <v>2022</v>
      </c>
    </row>
    <row r="56" ht="15.75" spans="1:11">
      <c r="A56" s="16" t="s">
        <v>73</v>
      </c>
      <c r="B56" s="16" t="s">
        <v>74</v>
      </c>
      <c r="C56" s="17" t="s">
        <v>75</v>
      </c>
      <c r="D56" s="18" t="s">
        <v>76</v>
      </c>
      <c r="E56" s="19" t="s">
        <v>77</v>
      </c>
      <c r="F56" t="str">
        <f>'Source Table'!$B$11</f>
        <v>Irbid</v>
      </c>
      <c r="G56" t="str">
        <f>'Source Table'!$F$11</f>
        <v>إربد</v>
      </c>
      <c r="H56" t="str">
        <f>'Source Table'!$D$6</f>
        <v>Secondary Roads</v>
      </c>
      <c r="I56" t="str">
        <f>'Source Table'!$D$5</f>
        <v>طرق ثانوية</v>
      </c>
      <c r="J56" s="22">
        <v>319</v>
      </c>
      <c r="K56">
        <v>2022</v>
      </c>
    </row>
    <row r="57" ht="15.75" spans="1:11">
      <c r="A57" s="16" t="s">
        <v>73</v>
      </c>
      <c r="B57" s="16" t="s">
        <v>74</v>
      </c>
      <c r="C57" s="17" t="s">
        <v>75</v>
      </c>
      <c r="D57" s="18" t="s">
        <v>76</v>
      </c>
      <c r="E57" s="19" t="s">
        <v>77</v>
      </c>
      <c r="F57" t="str">
        <f>'Source Table'!$B$12</f>
        <v>Mafraq</v>
      </c>
      <c r="G57" t="str">
        <f>'Source Table'!$F$12</f>
        <v>المفرق</v>
      </c>
      <c r="H57" t="str">
        <f>'Source Table'!$D$6</f>
        <v>Secondary Roads</v>
      </c>
      <c r="I57" t="str">
        <f>'Source Table'!$D$5</f>
        <v>طرق ثانوية</v>
      </c>
      <c r="J57" s="22">
        <v>270</v>
      </c>
      <c r="K57">
        <v>2022</v>
      </c>
    </row>
    <row r="58" ht="15.75" spans="1:11">
      <c r="A58" s="16" t="s">
        <v>73</v>
      </c>
      <c r="B58" s="16" t="s">
        <v>74</v>
      </c>
      <c r="C58" s="17" t="s">
        <v>75</v>
      </c>
      <c r="D58" s="18" t="s">
        <v>76</v>
      </c>
      <c r="E58" s="19" t="s">
        <v>77</v>
      </c>
      <c r="F58" t="str">
        <f>'Source Table'!$B$13</f>
        <v>Jarash</v>
      </c>
      <c r="G58" t="str">
        <f>'Source Table'!$F$13</f>
        <v>جرش</v>
      </c>
      <c r="H58" t="str">
        <f>'Source Table'!$D$6</f>
        <v>Secondary Roads</v>
      </c>
      <c r="I58" t="str">
        <f>'Source Table'!$D$5</f>
        <v>طرق ثانوية</v>
      </c>
      <c r="J58" s="22">
        <v>108</v>
      </c>
      <c r="K58">
        <v>2022</v>
      </c>
    </row>
    <row r="59" ht="15.75" spans="1:11">
      <c r="A59" s="16" t="s">
        <v>73</v>
      </c>
      <c r="B59" s="16" t="s">
        <v>74</v>
      </c>
      <c r="C59" s="17" t="s">
        <v>75</v>
      </c>
      <c r="D59" s="18" t="s">
        <v>76</v>
      </c>
      <c r="E59" s="19" t="s">
        <v>77</v>
      </c>
      <c r="F59" t="str">
        <f>'Source Table'!$B$14</f>
        <v>Ajloun</v>
      </c>
      <c r="G59" t="str">
        <f>'Source Table'!$F$14</f>
        <v>عجلون</v>
      </c>
      <c r="H59" t="str">
        <f>'Source Table'!$D$6</f>
        <v>Secondary Roads</v>
      </c>
      <c r="I59" t="str">
        <f>'Source Table'!$D$5</f>
        <v>طرق ثانوية</v>
      </c>
      <c r="J59" s="22">
        <v>142</v>
      </c>
      <c r="K59">
        <v>2022</v>
      </c>
    </row>
    <row r="60" ht="15.75" spans="1:11">
      <c r="A60" s="16" t="s">
        <v>73</v>
      </c>
      <c r="B60" s="16" t="s">
        <v>74</v>
      </c>
      <c r="C60" s="17" t="s">
        <v>75</v>
      </c>
      <c r="D60" s="18" t="s">
        <v>76</v>
      </c>
      <c r="E60" s="19" t="s">
        <v>77</v>
      </c>
      <c r="F60" t="str">
        <f>'Source Table'!$B$15</f>
        <v>Karak</v>
      </c>
      <c r="G60" t="str">
        <f>'Source Table'!$F$15</f>
        <v>الكرك</v>
      </c>
      <c r="H60" t="str">
        <f>'Source Table'!$D$6</f>
        <v>Secondary Roads</v>
      </c>
      <c r="I60" t="str">
        <f>'Source Table'!$D$5</f>
        <v>طرق ثانوية</v>
      </c>
      <c r="J60" s="22">
        <v>190</v>
      </c>
      <c r="K60">
        <v>2022</v>
      </c>
    </row>
    <row r="61" ht="15.75" spans="1:11">
      <c r="A61" s="16" t="s">
        <v>73</v>
      </c>
      <c r="B61" s="16" t="s">
        <v>74</v>
      </c>
      <c r="C61" s="17" t="s">
        <v>75</v>
      </c>
      <c r="D61" s="18" t="s">
        <v>76</v>
      </c>
      <c r="E61" s="19" t="s">
        <v>77</v>
      </c>
      <c r="F61" t="str">
        <f>'Source Table'!$B$16</f>
        <v>Tafiela</v>
      </c>
      <c r="G61" t="str">
        <f>'Source Table'!$F$16</f>
        <v>الطفيله</v>
      </c>
      <c r="H61" t="str">
        <f>'Source Table'!$D$6</f>
        <v>Secondary Roads</v>
      </c>
      <c r="I61" t="str">
        <f>'Source Table'!$D$5</f>
        <v>طرق ثانوية</v>
      </c>
      <c r="J61" s="22">
        <v>165</v>
      </c>
      <c r="K61">
        <v>2022</v>
      </c>
    </row>
    <row r="62" ht="15.75" spans="1:11">
      <c r="A62" s="16" t="s">
        <v>73</v>
      </c>
      <c r="B62" s="16" t="s">
        <v>74</v>
      </c>
      <c r="C62" s="17" t="s">
        <v>75</v>
      </c>
      <c r="D62" s="18" t="s">
        <v>76</v>
      </c>
      <c r="E62" s="19" t="s">
        <v>77</v>
      </c>
      <c r="F62" t="str">
        <f>'Source Table'!$B$17</f>
        <v>Ma'an</v>
      </c>
      <c r="G62" t="str">
        <f>'Source Table'!$F$17</f>
        <v>معان</v>
      </c>
      <c r="H62" t="str">
        <f>'Source Table'!$D$6</f>
        <v>Secondary Roads</v>
      </c>
      <c r="I62" t="str">
        <f>'Source Table'!$D$5</f>
        <v>طرق ثانوية</v>
      </c>
      <c r="J62" s="22">
        <v>266</v>
      </c>
      <c r="K62">
        <v>2022</v>
      </c>
    </row>
    <row r="63" ht="16.5" spans="1:11">
      <c r="A63" s="16" t="s">
        <v>73</v>
      </c>
      <c r="B63" s="16" t="s">
        <v>74</v>
      </c>
      <c r="C63" s="17" t="s">
        <v>75</v>
      </c>
      <c r="D63" s="18" t="s">
        <v>76</v>
      </c>
      <c r="E63" s="19" t="s">
        <v>77</v>
      </c>
      <c r="F63" t="str">
        <f>'Source Table'!$B$18</f>
        <v>Aqaba</v>
      </c>
      <c r="G63" t="str">
        <f>'Source Table'!$F$18</f>
        <v>العقبة</v>
      </c>
      <c r="H63" t="str">
        <f>'Source Table'!$D$6</f>
        <v>Secondary Roads</v>
      </c>
      <c r="I63" t="str">
        <f>'Source Table'!$D$5</f>
        <v>طرق ثانوية</v>
      </c>
      <c r="J63" s="23">
        <v>172</v>
      </c>
      <c r="K63">
        <v>2022</v>
      </c>
    </row>
    <row r="64" ht="15.75" spans="1:11">
      <c r="A64" s="16" t="s">
        <v>73</v>
      </c>
      <c r="B64" s="16" t="s">
        <v>74</v>
      </c>
      <c r="C64" s="17" t="s">
        <v>75</v>
      </c>
      <c r="D64" s="18" t="s">
        <v>76</v>
      </c>
      <c r="E64" s="19" t="s">
        <v>77</v>
      </c>
      <c r="F64" t="str">
        <f>'Source Table'!$B$7</f>
        <v>Amman</v>
      </c>
      <c r="G64" t="str">
        <f>'Source Table'!$F$7</f>
        <v>العاصمة</v>
      </c>
      <c r="H64" t="str">
        <f>'Source Table'!$C$6</f>
        <v>Highways</v>
      </c>
      <c r="I64" t="str">
        <f>'Source Table'!$C$5</f>
        <v>طرق رئيسية</v>
      </c>
      <c r="J64" s="22">
        <v>306</v>
      </c>
      <c r="K64">
        <v>2022</v>
      </c>
    </row>
    <row r="65" ht="15.75" spans="1:11">
      <c r="A65" s="16" t="s">
        <v>73</v>
      </c>
      <c r="B65" s="16" t="s">
        <v>74</v>
      </c>
      <c r="C65" s="17" t="s">
        <v>75</v>
      </c>
      <c r="D65" s="18" t="s">
        <v>76</v>
      </c>
      <c r="E65" s="19" t="s">
        <v>77</v>
      </c>
      <c r="F65" t="str">
        <f>'Source Table'!$B$8</f>
        <v>Balqa</v>
      </c>
      <c r="G65" t="str">
        <f>'Source Table'!$F$8</f>
        <v>البلقاء</v>
      </c>
      <c r="H65" t="str">
        <f>'Source Table'!$C$6</f>
        <v>Highways</v>
      </c>
      <c r="I65" t="str">
        <f>'Source Table'!$C$5</f>
        <v>طرق رئيسية</v>
      </c>
      <c r="J65" s="22">
        <v>227</v>
      </c>
      <c r="K65">
        <v>2022</v>
      </c>
    </row>
    <row r="66" ht="15.75" spans="1:11">
      <c r="A66" s="16" t="s">
        <v>73</v>
      </c>
      <c r="B66" s="16" t="s">
        <v>74</v>
      </c>
      <c r="C66" s="17" t="s">
        <v>75</v>
      </c>
      <c r="D66" s="18" t="s">
        <v>76</v>
      </c>
      <c r="E66" s="19" t="s">
        <v>77</v>
      </c>
      <c r="F66" t="str">
        <f>'Source Table'!$B$9</f>
        <v>Zarqa</v>
      </c>
      <c r="G66" t="str">
        <f>'Source Table'!$F$9</f>
        <v>الزرقاء</v>
      </c>
      <c r="H66" t="str">
        <f>'Source Table'!$C$6</f>
        <v>Highways</v>
      </c>
      <c r="I66" t="str">
        <f>'Source Table'!$C$5</f>
        <v>طرق رئيسية</v>
      </c>
      <c r="J66" s="22">
        <v>350</v>
      </c>
      <c r="K66">
        <v>2022</v>
      </c>
    </row>
    <row r="67" ht="15.75" spans="1:11">
      <c r="A67" s="16" t="s">
        <v>73</v>
      </c>
      <c r="B67" s="16" t="s">
        <v>74</v>
      </c>
      <c r="C67" s="17" t="s">
        <v>75</v>
      </c>
      <c r="D67" s="18" t="s">
        <v>76</v>
      </c>
      <c r="E67" s="19" t="s">
        <v>77</v>
      </c>
      <c r="F67" t="str">
        <f>'Source Table'!$B$10</f>
        <v>Madaba</v>
      </c>
      <c r="G67" t="str">
        <f>'Source Table'!$F$10</f>
        <v>مأدبا</v>
      </c>
      <c r="H67" t="str">
        <f>'Source Table'!$C$6</f>
        <v>Highways</v>
      </c>
      <c r="I67" t="str">
        <f>'Source Table'!$C$5</f>
        <v>طرق رئيسية</v>
      </c>
      <c r="J67" s="22">
        <v>131</v>
      </c>
      <c r="K67">
        <v>2022</v>
      </c>
    </row>
    <row r="68" ht="15.75" spans="1:11">
      <c r="A68" s="16" t="s">
        <v>73</v>
      </c>
      <c r="B68" s="16" t="s">
        <v>74</v>
      </c>
      <c r="C68" s="17" t="s">
        <v>75</v>
      </c>
      <c r="D68" s="18" t="s">
        <v>76</v>
      </c>
      <c r="E68" s="19" t="s">
        <v>77</v>
      </c>
      <c r="F68" t="str">
        <f>'Source Table'!$B$11</f>
        <v>Irbid</v>
      </c>
      <c r="G68" t="str">
        <f>'Source Table'!$F$11</f>
        <v>إربد</v>
      </c>
      <c r="H68" t="str">
        <f>'Source Table'!$C$6</f>
        <v>Highways</v>
      </c>
      <c r="I68" t="str">
        <f>'Source Table'!$C$5</f>
        <v>طرق رئيسية</v>
      </c>
      <c r="J68" s="22">
        <v>237</v>
      </c>
      <c r="K68">
        <v>2022</v>
      </c>
    </row>
    <row r="69" ht="15.75" spans="1:11">
      <c r="A69" s="16" t="s">
        <v>73</v>
      </c>
      <c r="B69" s="16" t="s">
        <v>74</v>
      </c>
      <c r="C69" s="17" t="s">
        <v>75</v>
      </c>
      <c r="D69" s="18" t="s">
        <v>76</v>
      </c>
      <c r="E69" s="19" t="s">
        <v>77</v>
      </c>
      <c r="F69" t="str">
        <f>'Source Table'!$B$12</f>
        <v>Mafraq</v>
      </c>
      <c r="G69" t="str">
        <f>'Source Table'!$F$12</f>
        <v>المفرق</v>
      </c>
      <c r="H69" t="str">
        <f>'Source Table'!$C$6</f>
        <v>Highways</v>
      </c>
      <c r="I69" t="str">
        <f>'Source Table'!$C$5</f>
        <v>طرق رئيسية</v>
      </c>
      <c r="J69" s="22">
        <v>520</v>
      </c>
      <c r="K69">
        <v>2022</v>
      </c>
    </row>
    <row r="70" ht="15.75" spans="1:11">
      <c r="A70" s="16" t="s">
        <v>73</v>
      </c>
      <c r="B70" s="16" t="s">
        <v>74</v>
      </c>
      <c r="C70" s="17" t="s">
        <v>75</v>
      </c>
      <c r="D70" s="18" t="s">
        <v>76</v>
      </c>
      <c r="E70" s="19" t="s">
        <v>77</v>
      </c>
      <c r="F70" t="str">
        <f>'Source Table'!$B$13</f>
        <v>Jarash</v>
      </c>
      <c r="G70" t="str">
        <f>'Source Table'!$F$13</f>
        <v>جرش</v>
      </c>
      <c r="H70" t="str">
        <f>'Source Table'!$C$6</f>
        <v>Highways</v>
      </c>
      <c r="I70" t="str">
        <f>'Source Table'!$C$5</f>
        <v>طرق رئيسية</v>
      </c>
      <c r="J70" s="22">
        <v>97</v>
      </c>
      <c r="K70">
        <v>2022</v>
      </c>
    </row>
    <row r="71" ht="15.75" spans="1:11">
      <c r="A71" s="16" t="s">
        <v>73</v>
      </c>
      <c r="B71" s="16" t="s">
        <v>74</v>
      </c>
      <c r="C71" s="17" t="s">
        <v>75</v>
      </c>
      <c r="D71" s="18" t="s">
        <v>76</v>
      </c>
      <c r="E71" s="19" t="s">
        <v>77</v>
      </c>
      <c r="F71" t="str">
        <f>'Source Table'!$B$14</f>
        <v>Ajloun</v>
      </c>
      <c r="G71" t="str">
        <f>'Source Table'!$F$14</f>
        <v>عجلون</v>
      </c>
      <c r="H71" t="str">
        <f>'Source Table'!$C$6</f>
        <v>Highways</v>
      </c>
      <c r="I71" t="str">
        <f>'Source Table'!$C$5</f>
        <v>طرق رئيسية</v>
      </c>
      <c r="J71" s="22">
        <v>50</v>
      </c>
      <c r="K71">
        <v>2022</v>
      </c>
    </row>
    <row r="72" ht="15.75" spans="1:11">
      <c r="A72" s="16" t="s">
        <v>73</v>
      </c>
      <c r="B72" s="16" t="s">
        <v>74</v>
      </c>
      <c r="C72" s="17" t="s">
        <v>75</v>
      </c>
      <c r="D72" s="18" t="s">
        <v>76</v>
      </c>
      <c r="E72" s="19" t="s">
        <v>77</v>
      </c>
      <c r="F72" t="str">
        <f>'Source Table'!$B$15</f>
        <v>Karak</v>
      </c>
      <c r="G72" t="str">
        <f>'Source Table'!$F$15</f>
        <v>الكرك</v>
      </c>
      <c r="H72" t="str">
        <f>'Source Table'!$C$6</f>
        <v>Highways</v>
      </c>
      <c r="I72" t="str">
        <f>'Source Table'!$C$5</f>
        <v>طرق رئيسية</v>
      </c>
      <c r="J72" s="22">
        <v>295</v>
      </c>
      <c r="K72">
        <v>2022</v>
      </c>
    </row>
    <row r="73" ht="15.75" spans="1:11">
      <c r="A73" s="16" t="s">
        <v>73</v>
      </c>
      <c r="B73" s="16" t="s">
        <v>74</v>
      </c>
      <c r="C73" s="17" t="s">
        <v>75</v>
      </c>
      <c r="D73" s="18" t="s">
        <v>76</v>
      </c>
      <c r="E73" s="19" t="s">
        <v>77</v>
      </c>
      <c r="F73" t="str">
        <f>'Source Table'!$B$16</f>
        <v>Tafiela</v>
      </c>
      <c r="G73" t="str">
        <f>'Source Table'!$F$16</f>
        <v>الطفيله</v>
      </c>
      <c r="H73" t="str">
        <f>'Source Table'!$C$6</f>
        <v>Highways</v>
      </c>
      <c r="I73" t="str">
        <f>'Source Table'!$C$5</f>
        <v>طرق رئيسية</v>
      </c>
      <c r="J73" s="22">
        <v>271</v>
      </c>
      <c r="K73">
        <v>2022</v>
      </c>
    </row>
    <row r="74" ht="15.75" spans="1:11">
      <c r="A74" s="16" t="s">
        <v>73</v>
      </c>
      <c r="B74" s="16" t="s">
        <v>74</v>
      </c>
      <c r="C74" s="17" t="s">
        <v>75</v>
      </c>
      <c r="D74" s="18" t="s">
        <v>76</v>
      </c>
      <c r="E74" s="19" t="s">
        <v>77</v>
      </c>
      <c r="F74" t="str">
        <f>'Source Table'!$B$17</f>
        <v>Ma'an</v>
      </c>
      <c r="G74" t="str">
        <f>'Source Table'!$F$17</f>
        <v>معان</v>
      </c>
      <c r="H74" t="str">
        <f>'Source Table'!$C$6</f>
        <v>Highways</v>
      </c>
      <c r="I74" t="str">
        <f>'Source Table'!$C$5</f>
        <v>طرق رئيسية</v>
      </c>
      <c r="J74" s="22">
        <v>571</v>
      </c>
      <c r="K74">
        <v>2022</v>
      </c>
    </row>
    <row r="75" ht="16.5" spans="1:11">
      <c r="A75" s="16" t="s">
        <v>73</v>
      </c>
      <c r="B75" s="16" t="s">
        <v>74</v>
      </c>
      <c r="C75" s="17" t="s">
        <v>75</v>
      </c>
      <c r="D75" s="18" t="s">
        <v>76</v>
      </c>
      <c r="E75" s="19" t="s">
        <v>77</v>
      </c>
      <c r="F75" t="str">
        <f>'Source Table'!$B$18</f>
        <v>Aqaba</v>
      </c>
      <c r="G75" t="str">
        <f>'Source Table'!$F$18</f>
        <v>العقبة</v>
      </c>
      <c r="H75" t="str">
        <f>'Source Table'!$C$6</f>
        <v>Highways</v>
      </c>
      <c r="I75" t="str">
        <f>'Source Table'!$C$5</f>
        <v>طرق رئيسية</v>
      </c>
      <c r="J75" s="23">
        <v>321</v>
      </c>
      <c r="K75">
        <v>2022</v>
      </c>
    </row>
    <row r="76" ht="15.75" spans="1:11">
      <c r="A76" s="16" t="s">
        <v>73</v>
      </c>
      <c r="B76" s="16" t="s">
        <v>74</v>
      </c>
      <c r="C76" s="17" t="s">
        <v>75</v>
      </c>
      <c r="D76" s="18" t="s">
        <v>76</v>
      </c>
      <c r="E76" s="19" t="s">
        <v>77</v>
      </c>
      <c r="F76" t="str">
        <f>'Source Table'!$B$7</f>
        <v>Amman</v>
      </c>
      <c r="G76" t="str">
        <f>'Source Table'!$F$7</f>
        <v>العاصمة</v>
      </c>
      <c r="H76" t="str">
        <f>'Source Table'!$E$6</f>
        <v>Rural Roads</v>
      </c>
      <c r="I76" t="str">
        <f>'Source Table'!$E$5</f>
        <v>طرق قروية</v>
      </c>
      <c r="J76" s="22">
        <v>529</v>
      </c>
      <c r="K76">
        <v>2021</v>
      </c>
    </row>
    <row r="77" ht="15.75" spans="1:11">
      <c r="A77" s="16" t="s">
        <v>73</v>
      </c>
      <c r="B77" s="16" t="s">
        <v>74</v>
      </c>
      <c r="C77" s="17" t="s">
        <v>75</v>
      </c>
      <c r="D77" s="18" t="s">
        <v>76</v>
      </c>
      <c r="E77" s="19" t="s">
        <v>77</v>
      </c>
      <c r="F77" t="str">
        <f>'Source Table'!$B$8</f>
        <v>Balqa</v>
      </c>
      <c r="G77" t="str">
        <f>'Source Table'!$F$8</f>
        <v>البلقاء</v>
      </c>
      <c r="H77" t="str">
        <f>'Source Table'!$E$6</f>
        <v>Rural Roads</v>
      </c>
      <c r="I77" t="str">
        <f>'Source Table'!$E$5</f>
        <v>طرق قروية</v>
      </c>
      <c r="J77" s="22">
        <v>287</v>
      </c>
      <c r="K77">
        <v>2021</v>
      </c>
    </row>
    <row r="78" ht="15.75" spans="1:11">
      <c r="A78" s="16" t="s">
        <v>73</v>
      </c>
      <c r="B78" s="16" t="s">
        <v>74</v>
      </c>
      <c r="C78" s="17" t="s">
        <v>75</v>
      </c>
      <c r="D78" s="18" t="s">
        <v>76</v>
      </c>
      <c r="E78" s="19" t="s">
        <v>77</v>
      </c>
      <c r="F78" t="str">
        <f>'Source Table'!$B$9</f>
        <v>Zarqa</v>
      </c>
      <c r="G78" t="str">
        <f>'Source Table'!$F$9</f>
        <v>الزرقاء</v>
      </c>
      <c r="H78" t="str">
        <f>'Source Table'!$E$6</f>
        <v>Rural Roads</v>
      </c>
      <c r="I78" t="str">
        <f>'Source Table'!$E$5</f>
        <v>طرق قروية</v>
      </c>
      <c r="J78" s="22">
        <v>154</v>
      </c>
      <c r="K78">
        <v>2021</v>
      </c>
    </row>
    <row r="79" ht="15.75" spans="1:11">
      <c r="A79" s="16" t="s">
        <v>73</v>
      </c>
      <c r="B79" s="16" t="s">
        <v>74</v>
      </c>
      <c r="C79" s="17" t="s">
        <v>75</v>
      </c>
      <c r="D79" s="18" t="s">
        <v>76</v>
      </c>
      <c r="E79" s="19" t="s">
        <v>77</v>
      </c>
      <c r="F79" t="str">
        <f>'Source Table'!$B$10</f>
        <v>Madaba</v>
      </c>
      <c r="G79" t="str">
        <f>'Source Table'!$F$10</f>
        <v>مأدبا</v>
      </c>
      <c r="H79" t="str">
        <f>'Source Table'!$E$6</f>
        <v>Rural Roads</v>
      </c>
      <c r="I79" t="str">
        <f>'Source Table'!$E$5</f>
        <v>طرق قروية</v>
      </c>
      <c r="J79" s="22">
        <v>188</v>
      </c>
      <c r="K79">
        <v>2021</v>
      </c>
    </row>
    <row r="80" ht="15.75" spans="1:11">
      <c r="A80" s="16" t="s">
        <v>73</v>
      </c>
      <c r="B80" s="16" t="s">
        <v>74</v>
      </c>
      <c r="C80" s="17" t="s">
        <v>75</v>
      </c>
      <c r="D80" s="18" t="s">
        <v>76</v>
      </c>
      <c r="E80" s="19" t="s">
        <v>77</v>
      </c>
      <c r="F80" t="str">
        <f>'Source Table'!$B$11</f>
        <v>Irbid</v>
      </c>
      <c r="G80" t="str">
        <f>'Source Table'!$F$11</f>
        <v>إربد</v>
      </c>
      <c r="H80" t="str">
        <f>'Source Table'!$E$6</f>
        <v>Rural Roads</v>
      </c>
      <c r="I80" t="str">
        <f>'Source Table'!$E$5</f>
        <v>طرق قروية</v>
      </c>
      <c r="J80" s="22">
        <v>366</v>
      </c>
      <c r="K80">
        <v>2021</v>
      </c>
    </row>
    <row r="81" ht="15.75" spans="1:11">
      <c r="A81" s="16" t="s">
        <v>73</v>
      </c>
      <c r="B81" s="16" t="s">
        <v>74</v>
      </c>
      <c r="C81" s="17" t="s">
        <v>75</v>
      </c>
      <c r="D81" s="18" t="s">
        <v>76</v>
      </c>
      <c r="E81" s="19" t="s">
        <v>77</v>
      </c>
      <c r="F81" t="str">
        <f>'Source Table'!$B$12</f>
        <v>Mafraq</v>
      </c>
      <c r="G81" t="str">
        <f>'Source Table'!$F$12</f>
        <v>المفرق</v>
      </c>
      <c r="H81" t="str">
        <f>'Source Table'!$E$6</f>
        <v>Rural Roads</v>
      </c>
      <c r="I81" t="str">
        <f>'Source Table'!$E$5</f>
        <v>طرق قروية</v>
      </c>
      <c r="J81" s="22">
        <v>580</v>
      </c>
      <c r="K81">
        <v>2021</v>
      </c>
    </row>
    <row r="82" ht="15.75" spans="1:11">
      <c r="A82" s="16" t="s">
        <v>73</v>
      </c>
      <c r="B82" s="16" t="s">
        <v>74</v>
      </c>
      <c r="C82" s="17" t="s">
        <v>75</v>
      </c>
      <c r="D82" s="18" t="s">
        <v>76</v>
      </c>
      <c r="E82" s="19" t="s">
        <v>77</v>
      </c>
      <c r="F82" t="str">
        <f>'Source Table'!$B$13</f>
        <v>Jarash</v>
      </c>
      <c r="G82" t="str">
        <f>'Source Table'!$F$13</f>
        <v>جرش</v>
      </c>
      <c r="H82" t="str">
        <f>'Source Table'!$E$6</f>
        <v>Rural Roads</v>
      </c>
      <c r="I82" t="str">
        <f>'Source Table'!$E$5</f>
        <v>طرق قروية</v>
      </c>
      <c r="J82" s="22">
        <v>235</v>
      </c>
      <c r="K82">
        <v>2021</v>
      </c>
    </row>
    <row r="83" ht="15.75" spans="1:11">
      <c r="A83" s="16" t="s">
        <v>73</v>
      </c>
      <c r="B83" s="16" t="s">
        <v>74</v>
      </c>
      <c r="C83" s="17" t="s">
        <v>75</v>
      </c>
      <c r="D83" s="18" t="s">
        <v>76</v>
      </c>
      <c r="E83" s="19" t="s">
        <v>77</v>
      </c>
      <c r="F83" t="str">
        <f>'Source Table'!$B$14</f>
        <v>Ajloun</v>
      </c>
      <c r="G83" t="str">
        <f>'Source Table'!$F$14</f>
        <v>عجلون</v>
      </c>
      <c r="H83" t="str">
        <f>'Source Table'!$E$6</f>
        <v>Rural Roads</v>
      </c>
      <c r="I83" t="str">
        <f>'Source Table'!$E$5</f>
        <v>طرق قروية</v>
      </c>
      <c r="J83" s="22">
        <v>56</v>
      </c>
      <c r="K83">
        <v>2021</v>
      </c>
    </row>
    <row r="84" ht="15.75" spans="1:11">
      <c r="A84" s="16" t="s">
        <v>73</v>
      </c>
      <c r="B84" s="16" t="s">
        <v>74</v>
      </c>
      <c r="C84" s="17" t="s">
        <v>75</v>
      </c>
      <c r="D84" s="18" t="s">
        <v>76</v>
      </c>
      <c r="E84" s="19" t="s">
        <v>77</v>
      </c>
      <c r="F84" t="str">
        <f>'Source Table'!$B$15</f>
        <v>Karak</v>
      </c>
      <c r="G84" t="str">
        <f>'Source Table'!$F$15</f>
        <v>الكرك</v>
      </c>
      <c r="H84" t="str">
        <f>'Source Table'!$E$6</f>
        <v>Rural Roads</v>
      </c>
      <c r="I84" t="str">
        <f>'Source Table'!$E$5</f>
        <v>طرق قروية</v>
      </c>
      <c r="J84" s="22">
        <v>207</v>
      </c>
      <c r="K84">
        <v>2021</v>
      </c>
    </row>
    <row r="85" ht="15.75" spans="1:11">
      <c r="A85" s="16" t="s">
        <v>73</v>
      </c>
      <c r="B85" s="16" t="s">
        <v>74</v>
      </c>
      <c r="C85" s="17" t="s">
        <v>75</v>
      </c>
      <c r="D85" s="18" t="s">
        <v>76</v>
      </c>
      <c r="E85" s="19" t="s">
        <v>77</v>
      </c>
      <c r="F85" t="str">
        <f>'Source Table'!$B$16</f>
        <v>Tafiela</v>
      </c>
      <c r="G85" t="str">
        <f>'Source Table'!$F$16</f>
        <v>الطفيله</v>
      </c>
      <c r="H85" t="str">
        <f>'Source Table'!$E$6</f>
        <v>Rural Roads</v>
      </c>
      <c r="I85" t="str">
        <f>'Source Table'!$E$5</f>
        <v>طرق قروية</v>
      </c>
      <c r="J85" s="22">
        <v>165</v>
      </c>
      <c r="K85">
        <v>2021</v>
      </c>
    </row>
    <row r="86" ht="15.75" spans="1:11">
      <c r="A86" s="16" t="s">
        <v>73</v>
      </c>
      <c r="B86" s="16" t="s">
        <v>74</v>
      </c>
      <c r="C86" s="17" t="s">
        <v>75</v>
      </c>
      <c r="D86" s="18" t="s">
        <v>76</v>
      </c>
      <c r="E86" s="19" t="s">
        <v>77</v>
      </c>
      <c r="F86" t="str">
        <f>'Source Table'!$B$17</f>
        <v>Ma'an</v>
      </c>
      <c r="G86" t="str">
        <f>'Source Table'!$F$17</f>
        <v>معان</v>
      </c>
      <c r="H86" t="str">
        <f>'Source Table'!$E$6</f>
        <v>Rural Roads</v>
      </c>
      <c r="I86" t="str">
        <f>'Source Table'!$E$5</f>
        <v>طرق قروية</v>
      </c>
      <c r="J86" s="22">
        <v>90</v>
      </c>
      <c r="K86">
        <v>2021</v>
      </c>
    </row>
    <row r="87" ht="16.5" spans="1:11">
      <c r="A87" s="16" t="s">
        <v>73</v>
      </c>
      <c r="B87" s="16" t="s">
        <v>74</v>
      </c>
      <c r="C87" s="17" t="s">
        <v>75</v>
      </c>
      <c r="D87" s="18" t="s">
        <v>76</v>
      </c>
      <c r="E87" s="19" t="s">
        <v>77</v>
      </c>
      <c r="F87" t="str">
        <f>'Source Table'!$B$18</f>
        <v>Aqaba</v>
      </c>
      <c r="G87" t="str">
        <f>'Source Table'!$F$18</f>
        <v>العقبة</v>
      </c>
      <c r="H87" t="str">
        <f>'Source Table'!$E$6</f>
        <v>Rural Roads</v>
      </c>
      <c r="I87" t="str">
        <f>'Source Table'!$E$5</f>
        <v>طرق قروية</v>
      </c>
      <c r="J87" s="23">
        <v>51</v>
      </c>
      <c r="K87">
        <v>2021</v>
      </c>
    </row>
    <row r="88" ht="15.75" spans="1:11">
      <c r="A88" s="16" t="s">
        <v>73</v>
      </c>
      <c r="B88" s="16" t="s">
        <v>74</v>
      </c>
      <c r="C88" s="17" t="s">
        <v>75</v>
      </c>
      <c r="D88" s="18" t="s">
        <v>76</v>
      </c>
      <c r="E88" s="19" t="s">
        <v>77</v>
      </c>
      <c r="F88" t="str">
        <f>'Source Table'!$B$7</f>
        <v>Amman</v>
      </c>
      <c r="G88" t="str">
        <f>'Source Table'!$F$7</f>
        <v>العاصمة</v>
      </c>
      <c r="H88" t="str">
        <f>'Source Table'!$D$6</f>
        <v>Secondary Roads</v>
      </c>
      <c r="I88" t="str">
        <f>'Source Table'!$D$5</f>
        <v>طرق ثانوية</v>
      </c>
      <c r="J88" s="22">
        <v>190</v>
      </c>
      <c r="K88">
        <v>2021</v>
      </c>
    </row>
    <row r="89" ht="15.75" spans="1:11">
      <c r="A89" s="16" t="s">
        <v>73</v>
      </c>
      <c r="B89" s="16" t="s">
        <v>74</v>
      </c>
      <c r="C89" s="17" t="s">
        <v>75</v>
      </c>
      <c r="D89" s="18" t="s">
        <v>76</v>
      </c>
      <c r="E89" s="19" t="s">
        <v>77</v>
      </c>
      <c r="F89" t="str">
        <f>'Source Table'!$B$8</f>
        <v>Balqa</v>
      </c>
      <c r="G89" t="str">
        <f>'Source Table'!$F$8</f>
        <v>البلقاء</v>
      </c>
      <c r="H89" t="str">
        <f>'Source Table'!$D$6</f>
        <v>Secondary Roads</v>
      </c>
      <c r="I89" t="str">
        <f>'Source Table'!$D$5</f>
        <v>طرق ثانوية</v>
      </c>
      <c r="J89" s="22">
        <v>136</v>
      </c>
      <c r="K89">
        <v>2021</v>
      </c>
    </row>
    <row r="90" ht="15.75" spans="1:11">
      <c r="A90" s="16" t="s">
        <v>73</v>
      </c>
      <c r="B90" s="16" t="s">
        <v>74</v>
      </c>
      <c r="C90" s="17" t="s">
        <v>75</v>
      </c>
      <c r="D90" s="18" t="s">
        <v>76</v>
      </c>
      <c r="E90" s="19" t="s">
        <v>77</v>
      </c>
      <c r="F90" t="str">
        <f>'Source Table'!$B$9</f>
        <v>Zarqa</v>
      </c>
      <c r="G90" t="str">
        <f>'Source Table'!$F$9</f>
        <v>الزرقاء</v>
      </c>
      <c r="H90" t="str">
        <f>'Source Table'!$D$6</f>
        <v>Secondary Roads</v>
      </c>
      <c r="I90" t="str">
        <f>'Source Table'!$D$5</f>
        <v>طرق ثانوية</v>
      </c>
      <c r="J90" s="22">
        <v>153</v>
      </c>
      <c r="K90">
        <v>2021</v>
      </c>
    </row>
    <row r="91" ht="15.75" spans="1:11">
      <c r="A91" s="16" t="s">
        <v>73</v>
      </c>
      <c r="B91" s="16" t="s">
        <v>74</v>
      </c>
      <c r="C91" s="17" t="s">
        <v>75</v>
      </c>
      <c r="D91" s="18" t="s">
        <v>76</v>
      </c>
      <c r="E91" s="19" t="s">
        <v>77</v>
      </c>
      <c r="F91" t="str">
        <f>'Source Table'!$B$10</f>
        <v>Madaba</v>
      </c>
      <c r="G91" t="str">
        <f>'Source Table'!$F$10</f>
        <v>مأدبا</v>
      </c>
      <c r="H91" t="str">
        <f>'Source Table'!$D$6</f>
        <v>Secondary Roads</v>
      </c>
      <c r="I91" t="str">
        <f>'Source Table'!$D$5</f>
        <v>طرق ثانوية</v>
      </c>
      <c r="J91" s="22">
        <v>120</v>
      </c>
      <c r="K91">
        <v>2021</v>
      </c>
    </row>
    <row r="92" ht="15.75" spans="1:11">
      <c r="A92" s="16" t="s">
        <v>73</v>
      </c>
      <c r="B92" s="16" t="s">
        <v>74</v>
      </c>
      <c r="C92" s="17" t="s">
        <v>75</v>
      </c>
      <c r="D92" s="18" t="s">
        <v>76</v>
      </c>
      <c r="E92" s="19" t="s">
        <v>77</v>
      </c>
      <c r="F92" t="str">
        <f>'Source Table'!$B$11</f>
        <v>Irbid</v>
      </c>
      <c r="G92" t="str">
        <f>'Source Table'!$F$11</f>
        <v>إربد</v>
      </c>
      <c r="H92" t="str">
        <f>'Source Table'!$D$6</f>
        <v>Secondary Roads</v>
      </c>
      <c r="I92" t="str">
        <f>'Source Table'!$D$5</f>
        <v>طرق ثانوية</v>
      </c>
      <c r="J92" s="22">
        <v>390</v>
      </c>
      <c r="K92">
        <v>2021</v>
      </c>
    </row>
    <row r="93" ht="15.75" spans="1:11">
      <c r="A93" s="16" t="s">
        <v>73</v>
      </c>
      <c r="B93" s="16" t="s">
        <v>74</v>
      </c>
      <c r="C93" s="17" t="s">
        <v>75</v>
      </c>
      <c r="D93" s="18" t="s">
        <v>76</v>
      </c>
      <c r="E93" s="19" t="s">
        <v>77</v>
      </c>
      <c r="F93" t="str">
        <f>'Source Table'!$B$12</f>
        <v>Mafraq</v>
      </c>
      <c r="G93" t="str">
        <f>'Source Table'!$F$12</f>
        <v>المفرق</v>
      </c>
      <c r="H93" t="str">
        <f>'Source Table'!$D$6</f>
        <v>Secondary Roads</v>
      </c>
      <c r="I93" t="str">
        <f>'Source Table'!$D$5</f>
        <v>طرق ثانوية</v>
      </c>
      <c r="J93" s="22">
        <v>270</v>
      </c>
      <c r="K93">
        <v>2021</v>
      </c>
    </row>
    <row r="94" ht="15.75" spans="1:11">
      <c r="A94" s="16" t="s">
        <v>73</v>
      </c>
      <c r="B94" s="16" t="s">
        <v>74</v>
      </c>
      <c r="C94" s="17" t="s">
        <v>75</v>
      </c>
      <c r="D94" s="18" t="s">
        <v>76</v>
      </c>
      <c r="E94" s="19" t="s">
        <v>77</v>
      </c>
      <c r="F94" t="str">
        <f>'Source Table'!$B$13</f>
        <v>Jarash</v>
      </c>
      <c r="G94" t="str">
        <f>'Source Table'!$F$13</f>
        <v>جرش</v>
      </c>
      <c r="H94" t="str">
        <f>'Source Table'!$D$6</f>
        <v>Secondary Roads</v>
      </c>
      <c r="I94" t="str">
        <f>'Source Table'!$D$5</f>
        <v>طرق ثانوية</v>
      </c>
      <c r="J94" s="22">
        <v>108</v>
      </c>
      <c r="K94">
        <v>2021</v>
      </c>
    </row>
    <row r="95" ht="15.75" spans="1:11">
      <c r="A95" s="16" t="s">
        <v>73</v>
      </c>
      <c r="B95" s="16" t="s">
        <v>74</v>
      </c>
      <c r="C95" s="17" t="s">
        <v>75</v>
      </c>
      <c r="D95" s="18" t="s">
        <v>76</v>
      </c>
      <c r="E95" s="19" t="s">
        <v>77</v>
      </c>
      <c r="F95" t="str">
        <f>'Source Table'!$B$14</f>
        <v>Ajloun</v>
      </c>
      <c r="G95" t="str">
        <f>'Source Table'!$F$14</f>
        <v>عجلون</v>
      </c>
      <c r="H95" t="str">
        <f>'Source Table'!$D$6</f>
        <v>Secondary Roads</v>
      </c>
      <c r="I95" t="str">
        <f>'Source Table'!$D$5</f>
        <v>طرق ثانوية</v>
      </c>
      <c r="J95" s="22">
        <v>142</v>
      </c>
      <c r="K95">
        <v>2021</v>
      </c>
    </row>
    <row r="96" ht="15.75" spans="1:11">
      <c r="A96" s="16" t="s">
        <v>73</v>
      </c>
      <c r="B96" s="16" t="s">
        <v>74</v>
      </c>
      <c r="C96" s="17" t="s">
        <v>75</v>
      </c>
      <c r="D96" s="18" t="s">
        <v>76</v>
      </c>
      <c r="E96" s="19" t="s">
        <v>77</v>
      </c>
      <c r="F96" t="str">
        <f>'Source Table'!$B$15</f>
        <v>Karak</v>
      </c>
      <c r="G96" t="str">
        <f>'Source Table'!$F$15</f>
        <v>الكرك</v>
      </c>
      <c r="H96" t="str">
        <f>'Source Table'!$D$6</f>
        <v>Secondary Roads</v>
      </c>
      <c r="I96" t="str">
        <f>'Source Table'!$D$5</f>
        <v>طرق ثانوية</v>
      </c>
      <c r="J96" s="22">
        <v>175</v>
      </c>
      <c r="K96">
        <v>2021</v>
      </c>
    </row>
    <row r="97" ht="15.75" spans="1:11">
      <c r="A97" s="16" t="s">
        <v>73</v>
      </c>
      <c r="B97" s="16" t="s">
        <v>74</v>
      </c>
      <c r="C97" s="17" t="s">
        <v>75</v>
      </c>
      <c r="D97" s="18" t="s">
        <v>76</v>
      </c>
      <c r="E97" s="19" t="s">
        <v>77</v>
      </c>
      <c r="F97" t="str">
        <f>'Source Table'!$B$16</f>
        <v>Tafiela</v>
      </c>
      <c r="G97" t="str">
        <f>'Source Table'!$F$16</f>
        <v>الطفيله</v>
      </c>
      <c r="H97" t="str">
        <f>'Source Table'!$D$6</f>
        <v>Secondary Roads</v>
      </c>
      <c r="I97" t="str">
        <f>'Source Table'!$D$5</f>
        <v>طرق ثانوية</v>
      </c>
      <c r="J97" s="22">
        <v>166</v>
      </c>
      <c r="K97">
        <v>2021</v>
      </c>
    </row>
    <row r="98" ht="15.75" spans="1:11">
      <c r="A98" s="16" t="s">
        <v>73</v>
      </c>
      <c r="B98" s="16" t="s">
        <v>74</v>
      </c>
      <c r="C98" s="17" t="s">
        <v>75</v>
      </c>
      <c r="D98" s="18" t="s">
        <v>76</v>
      </c>
      <c r="E98" s="19" t="s">
        <v>77</v>
      </c>
      <c r="F98" t="str">
        <f>'Source Table'!$B$17</f>
        <v>Ma'an</v>
      </c>
      <c r="G98" t="str">
        <f>'Source Table'!$F$17</f>
        <v>معان</v>
      </c>
      <c r="H98" t="str">
        <f>'Source Table'!$D$6</f>
        <v>Secondary Roads</v>
      </c>
      <c r="I98" t="str">
        <f>'Source Table'!$D$5</f>
        <v>طرق ثانوية</v>
      </c>
      <c r="J98" s="22">
        <v>339</v>
      </c>
      <c r="K98">
        <v>2021</v>
      </c>
    </row>
    <row r="99" ht="16.5" spans="1:11">
      <c r="A99" s="16" t="s">
        <v>73</v>
      </c>
      <c r="B99" s="16" t="s">
        <v>74</v>
      </c>
      <c r="C99" s="17" t="s">
        <v>75</v>
      </c>
      <c r="D99" s="18" t="s">
        <v>76</v>
      </c>
      <c r="E99" s="19" t="s">
        <v>77</v>
      </c>
      <c r="F99" t="str">
        <f>'Source Table'!$B$18</f>
        <v>Aqaba</v>
      </c>
      <c r="G99" t="str">
        <f>'Source Table'!$F$18</f>
        <v>العقبة</v>
      </c>
      <c r="H99" t="str">
        <f>'Source Table'!$D$6</f>
        <v>Secondary Roads</v>
      </c>
      <c r="I99" t="str">
        <f>'Source Table'!$D$5</f>
        <v>طرق ثانوية</v>
      </c>
      <c r="J99" s="23">
        <v>172</v>
      </c>
      <c r="K99">
        <v>2021</v>
      </c>
    </row>
    <row r="100" ht="15.75" spans="1:11">
      <c r="A100" s="16" t="s">
        <v>73</v>
      </c>
      <c r="B100" s="16" t="s">
        <v>74</v>
      </c>
      <c r="C100" s="17" t="s">
        <v>75</v>
      </c>
      <c r="D100" s="18" t="s">
        <v>76</v>
      </c>
      <c r="E100" s="19" t="s">
        <v>77</v>
      </c>
      <c r="F100" t="str">
        <f>'Source Table'!$B$7</f>
        <v>Amman</v>
      </c>
      <c r="G100" t="str">
        <f>'Source Table'!$F$7</f>
        <v>العاصمة</v>
      </c>
      <c r="H100" t="str">
        <f>'Source Table'!$C$6</f>
        <v>Highways</v>
      </c>
      <c r="I100" t="str">
        <f>'Source Table'!$C$5</f>
        <v>طرق رئيسية</v>
      </c>
      <c r="J100" s="22">
        <v>306</v>
      </c>
      <c r="K100">
        <v>2021</v>
      </c>
    </row>
    <row r="101" ht="15.75" spans="1:11">
      <c r="A101" s="16" t="s">
        <v>73</v>
      </c>
      <c r="B101" s="16" t="s">
        <v>74</v>
      </c>
      <c r="C101" s="17" t="s">
        <v>75</v>
      </c>
      <c r="D101" s="18" t="s">
        <v>76</v>
      </c>
      <c r="E101" s="19" t="s">
        <v>77</v>
      </c>
      <c r="F101" t="str">
        <f>'Source Table'!$B$8</f>
        <v>Balqa</v>
      </c>
      <c r="G101" t="str">
        <f>'Source Table'!$F$8</f>
        <v>البلقاء</v>
      </c>
      <c r="H101" t="str">
        <f>'Source Table'!$C$6</f>
        <v>Highways</v>
      </c>
      <c r="I101" t="str">
        <f>'Source Table'!$C$5</f>
        <v>طرق رئيسية</v>
      </c>
      <c r="J101" s="22">
        <v>227</v>
      </c>
      <c r="K101">
        <v>2021</v>
      </c>
    </row>
    <row r="102" ht="15.75" spans="1:11">
      <c r="A102" s="16" t="s">
        <v>73</v>
      </c>
      <c r="B102" s="16" t="s">
        <v>74</v>
      </c>
      <c r="C102" s="17" t="s">
        <v>75</v>
      </c>
      <c r="D102" s="18" t="s">
        <v>76</v>
      </c>
      <c r="E102" s="19" t="s">
        <v>77</v>
      </c>
      <c r="F102" t="str">
        <f>'Source Table'!$B$9</f>
        <v>Zarqa</v>
      </c>
      <c r="G102" t="str">
        <f>'Source Table'!$F$9</f>
        <v>الزرقاء</v>
      </c>
      <c r="H102" t="str">
        <f>'Source Table'!$C$6</f>
        <v>Highways</v>
      </c>
      <c r="I102" t="str">
        <f>'Source Table'!$C$5</f>
        <v>طرق رئيسية</v>
      </c>
      <c r="J102" s="22">
        <v>350</v>
      </c>
      <c r="K102">
        <v>2021</v>
      </c>
    </row>
    <row r="103" ht="15.75" spans="1:11">
      <c r="A103" s="16" t="s">
        <v>73</v>
      </c>
      <c r="B103" s="16" t="s">
        <v>74</v>
      </c>
      <c r="C103" s="17" t="s">
        <v>75</v>
      </c>
      <c r="D103" s="18" t="s">
        <v>76</v>
      </c>
      <c r="E103" s="19" t="s">
        <v>77</v>
      </c>
      <c r="F103" t="str">
        <f>'Source Table'!$B$10</f>
        <v>Madaba</v>
      </c>
      <c r="G103" t="str">
        <f>'Source Table'!$F$10</f>
        <v>مأدبا</v>
      </c>
      <c r="H103" t="str">
        <f>'Source Table'!$C$6</f>
        <v>Highways</v>
      </c>
      <c r="I103" t="str">
        <f>'Source Table'!$C$5</f>
        <v>طرق رئيسية</v>
      </c>
      <c r="J103" s="22">
        <v>131</v>
      </c>
      <c r="K103">
        <v>2021</v>
      </c>
    </row>
    <row r="104" ht="15.75" spans="1:11">
      <c r="A104" s="16" t="s">
        <v>73</v>
      </c>
      <c r="B104" s="16" t="s">
        <v>74</v>
      </c>
      <c r="C104" s="17" t="s">
        <v>75</v>
      </c>
      <c r="D104" s="18" t="s">
        <v>76</v>
      </c>
      <c r="E104" s="19" t="s">
        <v>77</v>
      </c>
      <c r="F104" t="str">
        <f>'Source Table'!$B$11</f>
        <v>Irbid</v>
      </c>
      <c r="G104" t="str">
        <f>'Source Table'!$F$11</f>
        <v>إربد</v>
      </c>
      <c r="H104" t="str">
        <f>'Source Table'!$C$6</f>
        <v>Highways</v>
      </c>
      <c r="I104" t="str">
        <f>'Source Table'!$C$5</f>
        <v>طرق رئيسية</v>
      </c>
      <c r="J104" s="22">
        <v>277</v>
      </c>
      <c r="K104">
        <v>2021</v>
      </c>
    </row>
    <row r="105" ht="15.75" spans="1:11">
      <c r="A105" s="16" t="s">
        <v>73</v>
      </c>
      <c r="B105" s="16" t="s">
        <v>74</v>
      </c>
      <c r="C105" s="17" t="s">
        <v>75</v>
      </c>
      <c r="D105" s="18" t="s">
        <v>76</v>
      </c>
      <c r="E105" s="19" t="s">
        <v>77</v>
      </c>
      <c r="F105" t="str">
        <f>'Source Table'!$B$12</f>
        <v>Mafraq</v>
      </c>
      <c r="G105" t="str">
        <f>'Source Table'!$F$12</f>
        <v>المفرق</v>
      </c>
      <c r="H105" t="str">
        <f>'Source Table'!$C$6</f>
        <v>Highways</v>
      </c>
      <c r="I105" t="str">
        <f>'Source Table'!$C$5</f>
        <v>طرق رئيسية</v>
      </c>
      <c r="J105" s="22">
        <v>520</v>
      </c>
      <c r="K105">
        <v>2021</v>
      </c>
    </row>
    <row r="106" ht="15.75" spans="1:11">
      <c r="A106" s="16" t="s">
        <v>73</v>
      </c>
      <c r="B106" s="16" t="s">
        <v>74</v>
      </c>
      <c r="C106" s="17" t="s">
        <v>75</v>
      </c>
      <c r="D106" s="18" t="s">
        <v>76</v>
      </c>
      <c r="E106" s="19" t="s">
        <v>77</v>
      </c>
      <c r="F106" t="str">
        <f>'Source Table'!$B$13</f>
        <v>Jarash</v>
      </c>
      <c r="G106" t="str">
        <f>'Source Table'!$F$13</f>
        <v>جرش</v>
      </c>
      <c r="H106" t="str">
        <f>'Source Table'!$C$6</f>
        <v>Highways</v>
      </c>
      <c r="I106" t="str">
        <f>'Source Table'!$C$5</f>
        <v>طرق رئيسية</v>
      </c>
      <c r="J106" s="22">
        <v>95</v>
      </c>
      <c r="K106">
        <v>2021</v>
      </c>
    </row>
    <row r="107" ht="15.75" spans="1:11">
      <c r="A107" s="16" t="s">
        <v>73</v>
      </c>
      <c r="B107" s="16" t="s">
        <v>74</v>
      </c>
      <c r="C107" s="17" t="s">
        <v>75</v>
      </c>
      <c r="D107" s="18" t="s">
        <v>76</v>
      </c>
      <c r="E107" s="19" t="s">
        <v>77</v>
      </c>
      <c r="F107" t="str">
        <f>'Source Table'!$B$14</f>
        <v>Ajloun</v>
      </c>
      <c r="G107" t="str">
        <f>'Source Table'!$F$14</f>
        <v>عجلون</v>
      </c>
      <c r="H107" t="str">
        <f>'Source Table'!$C$6</f>
        <v>Highways</v>
      </c>
      <c r="I107" t="str">
        <f>'Source Table'!$C$5</f>
        <v>طرق رئيسية</v>
      </c>
      <c r="J107" s="22">
        <v>50</v>
      </c>
      <c r="K107">
        <v>2021</v>
      </c>
    </row>
    <row r="108" ht="15.75" spans="1:11">
      <c r="A108" s="16" t="s">
        <v>73</v>
      </c>
      <c r="B108" s="16" t="s">
        <v>74</v>
      </c>
      <c r="C108" s="17" t="s">
        <v>75</v>
      </c>
      <c r="D108" s="18" t="s">
        <v>76</v>
      </c>
      <c r="E108" s="19" t="s">
        <v>77</v>
      </c>
      <c r="F108" t="str">
        <f>'Source Table'!$B$15</f>
        <v>Karak</v>
      </c>
      <c r="G108" t="str">
        <f>'Source Table'!$F$15</f>
        <v>الكرك</v>
      </c>
      <c r="H108" t="str">
        <f>'Source Table'!$C$6</f>
        <v>Highways</v>
      </c>
      <c r="I108" t="str">
        <f>'Source Table'!$C$5</f>
        <v>طرق رئيسية</v>
      </c>
      <c r="J108" s="22">
        <v>295</v>
      </c>
      <c r="K108">
        <v>2021</v>
      </c>
    </row>
    <row r="109" ht="15.75" spans="1:11">
      <c r="A109" s="16" t="s">
        <v>73</v>
      </c>
      <c r="B109" s="16" t="s">
        <v>74</v>
      </c>
      <c r="C109" s="17" t="s">
        <v>75</v>
      </c>
      <c r="D109" s="18" t="s">
        <v>76</v>
      </c>
      <c r="E109" s="19" t="s">
        <v>77</v>
      </c>
      <c r="F109" t="str">
        <f>'Source Table'!$B$16</f>
        <v>Tafiela</v>
      </c>
      <c r="G109" t="str">
        <f>'Source Table'!$F$16</f>
        <v>الطفيله</v>
      </c>
      <c r="H109" t="str">
        <f>'Source Table'!$C$6</f>
        <v>Highways</v>
      </c>
      <c r="I109" t="str">
        <f>'Source Table'!$C$5</f>
        <v>طرق رئيسية</v>
      </c>
      <c r="J109" s="22">
        <v>260</v>
      </c>
      <c r="K109">
        <v>2021</v>
      </c>
    </row>
    <row r="110" ht="15.75" spans="1:11">
      <c r="A110" s="16" t="s">
        <v>73</v>
      </c>
      <c r="B110" s="16" t="s">
        <v>74</v>
      </c>
      <c r="C110" s="17" t="s">
        <v>75</v>
      </c>
      <c r="D110" s="18" t="s">
        <v>76</v>
      </c>
      <c r="E110" s="19" t="s">
        <v>77</v>
      </c>
      <c r="F110" t="str">
        <f>'Source Table'!$B$17</f>
        <v>Ma'an</v>
      </c>
      <c r="G110" t="str">
        <f>'Source Table'!$F$17</f>
        <v>معان</v>
      </c>
      <c r="H110" t="str">
        <f>'Source Table'!$C$6</f>
        <v>Highways</v>
      </c>
      <c r="I110" t="str">
        <f>'Source Table'!$C$5</f>
        <v>طرق رئيسية</v>
      </c>
      <c r="J110" s="22">
        <v>571</v>
      </c>
      <c r="K110">
        <v>2021</v>
      </c>
    </row>
    <row r="111" ht="16.5" spans="1:11">
      <c r="A111" s="16" t="s">
        <v>73</v>
      </c>
      <c r="B111" s="16" t="s">
        <v>74</v>
      </c>
      <c r="C111" s="17" t="s">
        <v>75</v>
      </c>
      <c r="D111" s="18" t="s">
        <v>76</v>
      </c>
      <c r="E111" s="19" t="s">
        <v>77</v>
      </c>
      <c r="F111" t="str">
        <f>'Source Table'!$B$18</f>
        <v>Aqaba</v>
      </c>
      <c r="G111" t="str">
        <f>'Source Table'!$F$18</f>
        <v>العقبة</v>
      </c>
      <c r="H111" t="str">
        <f>'Source Table'!$C$6</f>
        <v>Highways</v>
      </c>
      <c r="I111" t="str">
        <f>'Source Table'!$C$5</f>
        <v>طرق رئيسية</v>
      </c>
      <c r="J111" s="23">
        <v>321</v>
      </c>
      <c r="K111">
        <v>2021</v>
      </c>
    </row>
    <row r="112" ht="15.75" spans="1:11">
      <c r="A112" s="16" t="s">
        <v>73</v>
      </c>
      <c r="B112" s="16" t="s">
        <v>74</v>
      </c>
      <c r="C112" s="17" t="s">
        <v>75</v>
      </c>
      <c r="D112" s="18" t="s">
        <v>76</v>
      </c>
      <c r="E112" s="19" t="s">
        <v>77</v>
      </c>
      <c r="F112" t="str">
        <f>'Source Table'!$B$7</f>
        <v>Amman</v>
      </c>
      <c r="G112" t="str">
        <f>'Source Table'!$F$7</f>
        <v>العاصمة</v>
      </c>
      <c r="H112" t="str">
        <f>'Source Table'!$E$6</f>
        <v>Rural Roads</v>
      </c>
      <c r="I112" t="str">
        <f>'Source Table'!$E$5</f>
        <v>طرق قروية</v>
      </c>
      <c r="J112" s="24">
        <v>529</v>
      </c>
      <c r="K112">
        <v>2020</v>
      </c>
    </row>
    <row r="113" ht="15.75" spans="1:11">
      <c r="A113" s="16" t="s">
        <v>73</v>
      </c>
      <c r="B113" s="16" t="s">
        <v>74</v>
      </c>
      <c r="C113" s="17" t="s">
        <v>75</v>
      </c>
      <c r="D113" s="18" t="s">
        <v>76</v>
      </c>
      <c r="E113" s="19" t="s">
        <v>77</v>
      </c>
      <c r="F113" t="str">
        <f>'Source Table'!$B$8</f>
        <v>Balqa</v>
      </c>
      <c r="G113" t="str">
        <f>'Source Table'!$F$8</f>
        <v>البلقاء</v>
      </c>
      <c r="H113" t="str">
        <f>'Source Table'!$E$6</f>
        <v>Rural Roads</v>
      </c>
      <c r="I113" t="str">
        <f>'Source Table'!$E$5</f>
        <v>طرق قروية</v>
      </c>
      <c r="J113" s="24">
        <v>287</v>
      </c>
      <c r="K113">
        <v>2020</v>
      </c>
    </row>
    <row r="114" ht="15.75" spans="1:11">
      <c r="A114" s="16" t="s">
        <v>73</v>
      </c>
      <c r="B114" s="16" t="s">
        <v>74</v>
      </c>
      <c r="C114" s="17" t="s">
        <v>75</v>
      </c>
      <c r="D114" s="18" t="s">
        <v>76</v>
      </c>
      <c r="E114" s="19" t="s">
        <v>77</v>
      </c>
      <c r="F114" t="str">
        <f>'Source Table'!$B$9</f>
        <v>Zarqa</v>
      </c>
      <c r="G114" t="str">
        <f>'Source Table'!$F$9</f>
        <v>الزرقاء</v>
      </c>
      <c r="H114" t="str">
        <f>'Source Table'!$E$6</f>
        <v>Rural Roads</v>
      </c>
      <c r="I114" t="str">
        <f>'Source Table'!$E$5</f>
        <v>طرق قروية</v>
      </c>
      <c r="J114" s="24">
        <v>154</v>
      </c>
      <c r="K114">
        <v>2020</v>
      </c>
    </row>
    <row r="115" ht="15.75" spans="1:11">
      <c r="A115" s="16" t="s">
        <v>73</v>
      </c>
      <c r="B115" s="16" t="s">
        <v>74</v>
      </c>
      <c r="C115" s="17" t="s">
        <v>75</v>
      </c>
      <c r="D115" s="18" t="s">
        <v>76</v>
      </c>
      <c r="E115" s="19" t="s">
        <v>77</v>
      </c>
      <c r="F115" t="str">
        <f>'Source Table'!$B$10</f>
        <v>Madaba</v>
      </c>
      <c r="G115" t="str">
        <f>'Source Table'!$F$10</f>
        <v>مأدبا</v>
      </c>
      <c r="H115" t="str">
        <f>'Source Table'!$E$6</f>
        <v>Rural Roads</v>
      </c>
      <c r="I115" t="str">
        <f>'Source Table'!$E$5</f>
        <v>طرق قروية</v>
      </c>
      <c r="J115" s="24">
        <v>188</v>
      </c>
      <c r="K115">
        <v>2020</v>
      </c>
    </row>
    <row r="116" ht="15.75" spans="1:11">
      <c r="A116" s="16" t="s">
        <v>73</v>
      </c>
      <c r="B116" s="16" t="s">
        <v>74</v>
      </c>
      <c r="C116" s="17" t="s">
        <v>75</v>
      </c>
      <c r="D116" s="18" t="s">
        <v>76</v>
      </c>
      <c r="E116" s="19" t="s">
        <v>77</v>
      </c>
      <c r="F116" t="str">
        <f>'Source Table'!$B$11</f>
        <v>Irbid</v>
      </c>
      <c r="G116" t="str">
        <f>'Source Table'!$F$11</f>
        <v>إربد</v>
      </c>
      <c r="H116" t="str">
        <f>'Source Table'!$E$6</f>
        <v>Rural Roads</v>
      </c>
      <c r="I116" t="str">
        <f>'Source Table'!$E$5</f>
        <v>طرق قروية</v>
      </c>
      <c r="J116" s="24">
        <v>437</v>
      </c>
      <c r="K116">
        <v>2020</v>
      </c>
    </row>
    <row r="117" ht="15.75" spans="1:11">
      <c r="A117" s="16" t="s">
        <v>73</v>
      </c>
      <c r="B117" s="16" t="s">
        <v>74</v>
      </c>
      <c r="C117" s="17" t="s">
        <v>75</v>
      </c>
      <c r="D117" s="18" t="s">
        <v>76</v>
      </c>
      <c r="E117" s="19" t="s">
        <v>77</v>
      </c>
      <c r="F117" t="str">
        <f>'Source Table'!$B$12</f>
        <v>Mafraq</v>
      </c>
      <c r="G117" t="str">
        <f>'Source Table'!$F$12</f>
        <v>المفرق</v>
      </c>
      <c r="H117" t="str">
        <f>'Source Table'!$E$6</f>
        <v>Rural Roads</v>
      </c>
      <c r="I117" t="str">
        <f>'Source Table'!$E$5</f>
        <v>طرق قروية</v>
      </c>
      <c r="J117" s="24">
        <v>580</v>
      </c>
      <c r="K117">
        <v>2020</v>
      </c>
    </row>
    <row r="118" ht="15.75" spans="1:11">
      <c r="A118" s="16" t="s">
        <v>73</v>
      </c>
      <c r="B118" s="16" t="s">
        <v>74</v>
      </c>
      <c r="C118" s="17" t="s">
        <v>75</v>
      </c>
      <c r="D118" s="18" t="s">
        <v>76</v>
      </c>
      <c r="E118" s="19" t="s">
        <v>77</v>
      </c>
      <c r="F118" t="str">
        <f>'Source Table'!$B$13</f>
        <v>Jarash</v>
      </c>
      <c r="G118" t="str">
        <f>'Source Table'!$F$13</f>
        <v>جرش</v>
      </c>
      <c r="H118" t="str">
        <f>'Source Table'!$E$6</f>
        <v>Rural Roads</v>
      </c>
      <c r="I118" t="str">
        <f>'Source Table'!$E$5</f>
        <v>طرق قروية</v>
      </c>
      <c r="J118" s="24">
        <v>235</v>
      </c>
      <c r="K118">
        <v>2020</v>
      </c>
    </row>
    <row r="119" ht="15.75" spans="1:11">
      <c r="A119" s="16" t="s">
        <v>73</v>
      </c>
      <c r="B119" s="16" t="s">
        <v>74</v>
      </c>
      <c r="C119" s="17" t="s">
        <v>75</v>
      </c>
      <c r="D119" s="18" t="s">
        <v>76</v>
      </c>
      <c r="E119" s="19" t="s">
        <v>77</v>
      </c>
      <c r="F119" t="str">
        <f>'Source Table'!$B$14</f>
        <v>Ajloun</v>
      </c>
      <c r="G119" t="str">
        <f>'Source Table'!$F$14</f>
        <v>عجلون</v>
      </c>
      <c r="H119" t="str">
        <f>'Source Table'!$E$6</f>
        <v>Rural Roads</v>
      </c>
      <c r="I119" t="str">
        <f>'Source Table'!$E$5</f>
        <v>طرق قروية</v>
      </c>
      <c r="J119" s="25">
        <v>56</v>
      </c>
      <c r="K119">
        <v>2020</v>
      </c>
    </row>
    <row r="120" ht="15.75" spans="1:11">
      <c r="A120" s="16" t="s">
        <v>73</v>
      </c>
      <c r="B120" s="16" t="s">
        <v>74</v>
      </c>
      <c r="C120" s="17" t="s">
        <v>75</v>
      </c>
      <c r="D120" s="18" t="s">
        <v>76</v>
      </c>
      <c r="E120" s="19" t="s">
        <v>77</v>
      </c>
      <c r="F120" t="str">
        <f>'Source Table'!$B$15</f>
        <v>Karak</v>
      </c>
      <c r="G120" t="str">
        <f>'Source Table'!$F$15</f>
        <v>الكرك</v>
      </c>
      <c r="H120" t="str">
        <f>'Source Table'!$E$6</f>
        <v>Rural Roads</v>
      </c>
      <c r="I120" t="str">
        <f>'Source Table'!$E$5</f>
        <v>طرق قروية</v>
      </c>
      <c r="J120" s="24">
        <v>207</v>
      </c>
      <c r="K120">
        <v>2020</v>
      </c>
    </row>
    <row r="121" ht="15.75" spans="1:11">
      <c r="A121" s="16" t="s">
        <v>73</v>
      </c>
      <c r="B121" s="16" t="s">
        <v>74</v>
      </c>
      <c r="C121" s="17" t="s">
        <v>75</v>
      </c>
      <c r="D121" s="18" t="s">
        <v>76</v>
      </c>
      <c r="E121" s="19" t="s">
        <v>77</v>
      </c>
      <c r="F121" t="str">
        <f>'Source Table'!$B$16</f>
        <v>Tafiela</v>
      </c>
      <c r="G121" t="str">
        <f>'Source Table'!$F$16</f>
        <v>الطفيله</v>
      </c>
      <c r="H121" t="str">
        <f>'Source Table'!$E$6</f>
        <v>Rural Roads</v>
      </c>
      <c r="I121" t="str">
        <f>'Source Table'!$E$5</f>
        <v>طرق قروية</v>
      </c>
      <c r="J121" s="24">
        <v>165</v>
      </c>
      <c r="K121">
        <v>2020</v>
      </c>
    </row>
    <row r="122" ht="15.75" spans="1:11">
      <c r="A122" s="16" t="s">
        <v>73</v>
      </c>
      <c r="B122" s="16" t="s">
        <v>74</v>
      </c>
      <c r="C122" s="17" t="s">
        <v>75</v>
      </c>
      <c r="D122" s="18" t="s">
        <v>76</v>
      </c>
      <c r="E122" s="19" t="s">
        <v>77</v>
      </c>
      <c r="F122" t="str">
        <f>'Source Table'!$B$17</f>
        <v>Ma'an</v>
      </c>
      <c r="G122" t="str">
        <f>'Source Table'!$F$17</f>
        <v>معان</v>
      </c>
      <c r="H122" t="str">
        <f>'Source Table'!$E$6</f>
        <v>Rural Roads</v>
      </c>
      <c r="I122" t="str">
        <f>'Source Table'!$E$5</f>
        <v>طرق قروية</v>
      </c>
      <c r="J122" s="24">
        <v>627</v>
      </c>
      <c r="K122">
        <v>2020</v>
      </c>
    </row>
    <row r="123" ht="16.5" spans="1:11">
      <c r="A123" s="16" t="s">
        <v>73</v>
      </c>
      <c r="B123" s="16" t="s">
        <v>74</v>
      </c>
      <c r="C123" s="17" t="s">
        <v>75</v>
      </c>
      <c r="D123" s="18" t="s">
        <v>76</v>
      </c>
      <c r="E123" s="19" t="s">
        <v>77</v>
      </c>
      <c r="F123" t="str">
        <f>'Source Table'!$B$18</f>
        <v>Aqaba</v>
      </c>
      <c r="G123" t="str">
        <f>'Source Table'!$F$18</f>
        <v>العقبة</v>
      </c>
      <c r="H123" t="str">
        <f>'Source Table'!$E$6</f>
        <v>Rural Roads</v>
      </c>
      <c r="I123" t="str">
        <f>'Source Table'!$E$5</f>
        <v>طرق قروية</v>
      </c>
      <c r="J123" s="26">
        <v>51</v>
      </c>
      <c r="K123">
        <v>2020</v>
      </c>
    </row>
    <row r="124" ht="15.75" spans="1:11">
      <c r="A124" s="16" t="s">
        <v>73</v>
      </c>
      <c r="B124" s="16" t="s">
        <v>74</v>
      </c>
      <c r="C124" s="17" t="s">
        <v>75</v>
      </c>
      <c r="D124" s="18" t="s">
        <v>76</v>
      </c>
      <c r="E124" s="19" t="s">
        <v>77</v>
      </c>
      <c r="F124" t="str">
        <f>'Source Table'!$B$7</f>
        <v>Amman</v>
      </c>
      <c r="G124" t="str">
        <f>'Source Table'!$F$7</f>
        <v>العاصمة</v>
      </c>
      <c r="H124" t="str">
        <f>'Source Table'!$D$6</f>
        <v>Secondary Roads</v>
      </c>
      <c r="I124" t="str">
        <f>'Source Table'!$D$5</f>
        <v>طرق ثانوية</v>
      </c>
      <c r="J124" s="24">
        <v>190</v>
      </c>
      <c r="K124">
        <v>2020</v>
      </c>
    </row>
    <row r="125" ht="15.75" spans="1:11">
      <c r="A125" s="16" t="s">
        <v>73</v>
      </c>
      <c r="B125" s="16" t="s">
        <v>74</v>
      </c>
      <c r="C125" s="17" t="s">
        <v>75</v>
      </c>
      <c r="D125" s="18" t="s">
        <v>76</v>
      </c>
      <c r="E125" s="19" t="s">
        <v>77</v>
      </c>
      <c r="F125" t="str">
        <f>'Source Table'!$B$8</f>
        <v>Balqa</v>
      </c>
      <c r="G125" t="str">
        <f>'Source Table'!$F$8</f>
        <v>البلقاء</v>
      </c>
      <c r="H125" t="str">
        <f>'Source Table'!$D$6</f>
        <v>Secondary Roads</v>
      </c>
      <c r="I125" t="str">
        <f>'Source Table'!$D$5</f>
        <v>طرق ثانوية</v>
      </c>
      <c r="J125" s="24">
        <v>136</v>
      </c>
      <c r="K125">
        <v>2020</v>
      </c>
    </row>
    <row r="126" ht="15.75" spans="1:11">
      <c r="A126" s="16" t="s">
        <v>73</v>
      </c>
      <c r="B126" s="16" t="s">
        <v>74</v>
      </c>
      <c r="C126" s="17" t="s">
        <v>75</v>
      </c>
      <c r="D126" s="18" t="s">
        <v>76</v>
      </c>
      <c r="E126" s="19" t="s">
        <v>77</v>
      </c>
      <c r="F126" t="str">
        <f>'Source Table'!$B$9</f>
        <v>Zarqa</v>
      </c>
      <c r="G126" t="str">
        <f>'Source Table'!$F$9</f>
        <v>الزرقاء</v>
      </c>
      <c r="H126" t="str">
        <f>'Source Table'!$D$6</f>
        <v>Secondary Roads</v>
      </c>
      <c r="I126" t="str">
        <f>'Source Table'!$D$5</f>
        <v>طرق ثانوية</v>
      </c>
      <c r="J126" s="24">
        <v>53</v>
      </c>
      <c r="K126">
        <v>2020</v>
      </c>
    </row>
    <row r="127" ht="15.75" spans="1:11">
      <c r="A127" s="16" t="s">
        <v>73</v>
      </c>
      <c r="B127" s="16" t="s">
        <v>74</v>
      </c>
      <c r="C127" s="17" t="s">
        <v>75</v>
      </c>
      <c r="D127" s="18" t="s">
        <v>76</v>
      </c>
      <c r="E127" s="19" t="s">
        <v>77</v>
      </c>
      <c r="F127" t="str">
        <f>'Source Table'!$B$10</f>
        <v>Madaba</v>
      </c>
      <c r="G127" t="str">
        <f>'Source Table'!$F$10</f>
        <v>مأدبا</v>
      </c>
      <c r="H127" t="str">
        <f>'Source Table'!$D$6</f>
        <v>Secondary Roads</v>
      </c>
      <c r="I127" t="str">
        <f>'Source Table'!$D$5</f>
        <v>طرق ثانوية</v>
      </c>
      <c r="J127" s="24">
        <v>120</v>
      </c>
      <c r="K127">
        <v>2020</v>
      </c>
    </row>
    <row r="128" ht="15.75" spans="1:11">
      <c r="A128" s="16" t="s">
        <v>73</v>
      </c>
      <c r="B128" s="16" t="s">
        <v>74</v>
      </c>
      <c r="C128" s="17" t="s">
        <v>75</v>
      </c>
      <c r="D128" s="18" t="s">
        <v>76</v>
      </c>
      <c r="E128" s="19" t="s">
        <v>77</v>
      </c>
      <c r="F128" t="str">
        <f>'Source Table'!$B$11</f>
        <v>Irbid</v>
      </c>
      <c r="G128" t="str">
        <f>'Source Table'!$F$11</f>
        <v>إربد</v>
      </c>
      <c r="H128" t="str">
        <f>'Source Table'!$D$6</f>
        <v>Secondary Roads</v>
      </c>
      <c r="I128" t="str">
        <f>'Source Table'!$D$5</f>
        <v>طرق ثانوية</v>
      </c>
      <c r="J128" s="24">
        <v>390</v>
      </c>
      <c r="K128">
        <v>2020</v>
      </c>
    </row>
    <row r="129" ht="15.75" spans="1:11">
      <c r="A129" s="16" t="s">
        <v>73</v>
      </c>
      <c r="B129" s="16" t="s">
        <v>74</v>
      </c>
      <c r="C129" s="17" t="s">
        <v>75</v>
      </c>
      <c r="D129" s="18" t="s">
        <v>76</v>
      </c>
      <c r="E129" s="19" t="s">
        <v>77</v>
      </c>
      <c r="F129" t="str">
        <f>'Source Table'!$B$12</f>
        <v>Mafraq</v>
      </c>
      <c r="G129" t="str">
        <f>'Source Table'!$F$12</f>
        <v>المفرق</v>
      </c>
      <c r="H129" t="str">
        <f>'Source Table'!$D$6</f>
        <v>Secondary Roads</v>
      </c>
      <c r="I129" t="str">
        <f>'Source Table'!$D$5</f>
        <v>طرق ثانوية</v>
      </c>
      <c r="J129" s="24">
        <v>260</v>
      </c>
      <c r="K129">
        <v>2020</v>
      </c>
    </row>
    <row r="130" ht="15.75" spans="1:11">
      <c r="A130" s="16" t="s">
        <v>73</v>
      </c>
      <c r="B130" s="16" t="s">
        <v>74</v>
      </c>
      <c r="C130" s="17" t="s">
        <v>75</v>
      </c>
      <c r="D130" s="18" t="s">
        <v>76</v>
      </c>
      <c r="E130" s="19" t="s">
        <v>77</v>
      </c>
      <c r="F130" t="str">
        <f>'Source Table'!$B$13</f>
        <v>Jarash</v>
      </c>
      <c r="G130" t="str">
        <f>'Source Table'!$F$13</f>
        <v>جرش</v>
      </c>
      <c r="H130" t="str">
        <f>'Source Table'!$D$6</f>
        <v>Secondary Roads</v>
      </c>
      <c r="I130" t="str">
        <f>'Source Table'!$D$5</f>
        <v>طرق ثانوية</v>
      </c>
      <c r="J130" s="24">
        <v>108</v>
      </c>
      <c r="K130">
        <v>2020</v>
      </c>
    </row>
    <row r="131" ht="15.75" spans="1:11">
      <c r="A131" s="16" t="s">
        <v>73</v>
      </c>
      <c r="B131" s="16" t="s">
        <v>74</v>
      </c>
      <c r="C131" s="17" t="s">
        <v>75</v>
      </c>
      <c r="D131" s="18" t="s">
        <v>76</v>
      </c>
      <c r="E131" s="19" t="s">
        <v>77</v>
      </c>
      <c r="F131" t="str">
        <f>'Source Table'!$B$14</f>
        <v>Ajloun</v>
      </c>
      <c r="G131" t="str">
        <f>'Source Table'!$F$14</f>
        <v>عجلون</v>
      </c>
      <c r="H131" t="str">
        <f>'Source Table'!$D$6</f>
        <v>Secondary Roads</v>
      </c>
      <c r="I131" t="str">
        <f>'Source Table'!$D$5</f>
        <v>طرق ثانوية</v>
      </c>
      <c r="J131" s="24">
        <v>142</v>
      </c>
      <c r="K131">
        <v>2020</v>
      </c>
    </row>
    <row r="132" ht="15.75" spans="1:11">
      <c r="A132" s="16" t="s">
        <v>73</v>
      </c>
      <c r="B132" s="16" t="s">
        <v>74</v>
      </c>
      <c r="C132" s="17" t="s">
        <v>75</v>
      </c>
      <c r="D132" s="18" t="s">
        <v>76</v>
      </c>
      <c r="E132" s="19" t="s">
        <v>77</v>
      </c>
      <c r="F132" t="str">
        <f>'Source Table'!$B$15</f>
        <v>Karak</v>
      </c>
      <c r="G132" t="str">
        <f>'Source Table'!$F$15</f>
        <v>الكرك</v>
      </c>
      <c r="H132" t="str">
        <f>'Source Table'!$D$6</f>
        <v>Secondary Roads</v>
      </c>
      <c r="I132" t="str">
        <f>'Source Table'!$D$5</f>
        <v>طرق ثانوية</v>
      </c>
      <c r="J132" s="24">
        <v>175</v>
      </c>
      <c r="K132">
        <v>2020</v>
      </c>
    </row>
    <row r="133" ht="15.75" spans="1:11">
      <c r="A133" s="16" t="s">
        <v>73</v>
      </c>
      <c r="B133" s="16" t="s">
        <v>74</v>
      </c>
      <c r="C133" s="17" t="s">
        <v>75</v>
      </c>
      <c r="D133" s="18" t="s">
        <v>76</v>
      </c>
      <c r="E133" s="19" t="s">
        <v>77</v>
      </c>
      <c r="F133" t="str">
        <f>'Source Table'!$B$16</f>
        <v>Tafiela</v>
      </c>
      <c r="G133" t="str">
        <f>'Source Table'!$F$16</f>
        <v>الطفيله</v>
      </c>
      <c r="H133" t="str">
        <f>'Source Table'!$D$6</f>
        <v>Secondary Roads</v>
      </c>
      <c r="I133" t="str">
        <f>'Source Table'!$D$5</f>
        <v>طرق ثانوية</v>
      </c>
      <c r="J133" s="24">
        <v>166</v>
      </c>
      <c r="K133">
        <v>2020</v>
      </c>
    </row>
    <row r="134" ht="15.75" spans="1:11">
      <c r="A134" s="16" t="s">
        <v>73</v>
      </c>
      <c r="B134" s="16" t="s">
        <v>74</v>
      </c>
      <c r="C134" s="17" t="s">
        <v>75</v>
      </c>
      <c r="D134" s="18" t="s">
        <v>76</v>
      </c>
      <c r="E134" s="19" t="s">
        <v>77</v>
      </c>
      <c r="F134" t="str">
        <f>'Source Table'!$B$17</f>
        <v>Ma'an</v>
      </c>
      <c r="G134" t="str">
        <f>'Source Table'!$F$17</f>
        <v>معان</v>
      </c>
      <c r="H134" t="str">
        <f>'Source Table'!$D$6</f>
        <v>Secondary Roads</v>
      </c>
      <c r="I134" t="str">
        <f>'Source Table'!$D$5</f>
        <v>طرق ثانوية</v>
      </c>
      <c r="J134" s="24">
        <v>266</v>
      </c>
      <c r="K134">
        <v>2020</v>
      </c>
    </row>
    <row r="135" ht="16.5" spans="1:11">
      <c r="A135" s="16" t="s">
        <v>73</v>
      </c>
      <c r="B135" s="16" t="s">
        <v>74</v>
      </c>
      <c r="C135" s="17" t="s">
        <v>75</v>
      </c>
      <c r="D135" s="18" t="s">
        <v>76</v>
      </c>
      <c r="E135" s="19" t="s">
        <v>77</v>
      </c>
      <c r="F135" t="str">
        <f>'Source Table'!$B$18</f>
        <v>Aqaba</v>
      </c>
      <c r="G135" t="str">
        <f>'Source Table'!$F$18</f>
        <v>العقبة</v>
      </c>
      <c r="H135" t="str">
        <f>'Source Table'!$D$6</f>
        <v>Secondary Roads</v>
      </c>
      <c r="I135" t="str">
        <f>'Source Table'!$D$5</f>
        <v>طرق ثانوية</v>
      </c>
      <c r="J135" s="26">
        <v>172</v>
      </c>
      <c r="K135">
        <v>2020</v>
      </c>
    </row>
    <row r="136" ht="15.75" spans="1:11">
      <c r="A136" s="16" t="s">
        <v>73</v>
      </c>
      <c r="B136" s="16" t="s">
        <v>74</v>
      </c>
      <c r="C136" s="17" t="s">
        <v>75</v>
      </c>
      <c r="D136" s="18" t="s">
        <v>76</v>
      </c>
      <c r="E136" s="19" t="s">
        <v>77</v>
      </c>
      <c r="F136" t="str">
        <f>'Source Table'!$B$7</f>
        <v>Amman</v>
      </c>
      <c r="G136" t="str">
        <f>'Source Table'!$F$7</f>
        <v>العاصمة</v>
      </c>
      <c r="H136" t="str">
        <f>'Source Table'!$C$6</f>
        <v>Highways</v>
      </c>
      <c r="I136" t="str">
        <f>'Source Table'!$C$5</f>
        <v>طرق رئيسية</v>
      </c>
      <c r="J136" s="24">
        <v>306</v>
      </c>
      <c r="K136">
        <v>2020</v>
      </c>
    </row>
    <row r="137" ht="15.75" spans="1:11">
      <c r="A137" s="16" t="s">
        <v>73</v>
      </c>
      <c r="B137" s="16" t="s">
        <v>74</v>
      </c>
      <c r="C137" s="17" t="s">
        <v>75</v>
      </c>
      <c r="D137" s="18" t="s">
        <v>76</v>
      </c>
      <c r="E137" s="19" t="s">
        <v>77</v>
      </c>
      <c r="F137" t="str">
        <f>'Source Table'!$B$8</f>
        <v>Balqa</v>
      </c>
      <c r="G137" t="str">
        <f>'Source Table'!$F$8</f>
        <v>البلقاء</v>
      </c>
      <c r="H137" t="str">
        <f>'Source Table'!$C$6</f>
        <v>Highways</v>
      </c>
      <c r="I137" t="str">
        <f>'Source Table'!$C$5</f>
        <v>طرق رئيسية</v>
      </c>
      <c r="J137" s="24">
        <v>277</v>
      </c>
      <c r="K137">
        <v>2020</v>
      </c>
    </row>
    <row r="138" ht="15.75" spans="1:11">
      <c r="A138" s="16" t="s">
        <v>73</v>
      </c>
      <c r="B138" s="16" t="s">
        <v>74</v>
      </c>
      <c r="C138" s="17" t="s">
        <v>75</v>
      </c>
      <c r="D138" s="18" t="s">
        <v>76</v>
      </c>
      <c r="E138" s="19" t="s">
        <v>77</v>
      </c>
      <c r="F138" t="str">
        <f>'Source Table'!$B$9</f>
        <v>Zarqa</v>
      </c>
      <c r="G138" t="str">
        <f>'Source Table'!$F$9</f>
        <v>الزرقاء</v>
      </c>
      <c r="H138" t="str">
        <f>'Source Table'!$C$6</f>
        <v>Highways</v>
      </c>
      <c r="I138" t="str">
        <f>'Source Table'!$C$5</f>
        <v>طرق رئيسية</v>
      </c>
      <c r="J138" s="24">
        <v>351</v>
      </c>
      <c r="K138">
        <v>2020</v>
      </c>
    </row>
    <row r="139" ht="15.75" spans="1:11">
      <c r="A139" s="16" t="s">
        <v>73</v>
      </c>
      <c r="B139" s="16" t="s">
        <v>74</v>
      </c>
      <c r="C139" s="17" t="s">
        <v>75</v>
      </c>
      <c r="D139" s="18" t="s">
        <v>76</v>
      </c>
      <c r="E139" s="19" t="s">
        <v>77</v>
      </c>
      <c r="F139" t="str">
        <f>'Source Table'!$B$10</f>
        <v>Madaba</v>
      </c>
      <c r="G139" t="str">
        <f>'Source Table'!$F$10</f>
        <v>مأدبا</v>
      </c>
      <c r="H139" t="str">
        <f>'Source Table'!$C$6</f>
        <v>Highways</v>
      </c>
      <c r="I139" t="str">
        <f>'Source Table'!$C$5</f>
        <v>طرق رئيسية</v>
      </c>
      <c r="J139" s="24">
        <v>131</v>
      </c>
      <c r="K139">
        <v>2020</v>
      </c>
    </row>
    <row r="140" ht="15.75" spans="1:11">
      <c r="A140" s="16" t="s">
        <v>73</v>
      </c>
      <c r="B140" s="16" t="s">
        <v>74</v>
      </c>
      <c r="C140" s="17" t="s">
        <v>75</v>
      </c>
      <c r="D140" s="18" t="s">
        <v>76</v>
      </c>
      <c r="E140" s="19" t="s">
        <v>77</v>
      </c>
      <c r="F140" t="str">
        <f>'Source Table'!$B$11</f>
        <v>Irbid</v>
      </c>
      <c r="G140" t="str">
        <f>'Source Table'!$F$11</f>
        <v>إربد</v>
      </c>
      <c r="H140" t="str">
        <f>'Source Table'!$C$6</f>
        <v>Highways</v>
      </c>
      <c r="I140" t="str">
        <f>'Source Table'!$C$5</f>
        <v>طرق رئيسية</v>
      </c>
      <c r="J140" s="24">
        <v>277</v>
      </c>
      <c r="K140">
        <v>2020</v>
      </c>
    </row>
    <row r="141" ht="15.75" spans="1:11">
      <c r="A141" s="16" t="s">
        <v>73</v>
      </c>
      <c r="B141" s="16" t="s">
        <v>74</v>
      </c>
      <c r="C141" s="17" t="s">
        <v>75</v>
      </c>
      <c r="D141" s="18" t="s">
        <v>76</v>
      </c>
      <c r="E141" s="19" t="s">
        <v>77</v>
      </c>
      <c r="F141" t="str">
        <f>'Source Table'!$B$12</f>
        <v>Mafraq</v>
      </c>
      <c r="G141" t="str">
        <f>'Source Table'!$F$12</f>
        <v>المفرق</v>
      </c>
      <c r="H141" t="str">
        <f>'Source Table'!$C$6</f>
        <v>Highways</v>
      </c>
      <c r="I141" t="str">
        <f>'Source Table'!$C$5</f>
        <v>طرق رئيسية</v>
      </c>
      <c r="J141" s="24">
        <v>520</v>
      </c>
      <c r="K141">
        <v>2020</v>
      </c>
    </row>
    <row r="142" ht="15.75" spans="1:11">
      <c r="A142" s="16" t="s">
        <v>73</v>
      </c>
      <c r="B142" s="16" t="s">
        <v>74</v>
      </c>
      <c r="C142" s="17" t="s">
        <v>75</v>
      </c>
      <c r="D142" s="18" t="s">
        <v>76</v>
      </c>
      <c r="E142" s="19" t="s">
        <v>77</v>
      </c>
      <c r="F142" t="str">
        <f>'Source Table'!$B$13</f>
        <v>Jarash</v>
      </c>
      <c r="G142" t="str">
        <f>'Source Table'!$F$13</f>
        <v>جرش</v>
      </c>
      <c r="H142" t="str">
        <f>'Source Table'!$C$6</f>
        <v>Highways</v>
      </c>
      <c r="I142" t="str">
        <f>'Source Table'!$C$5</f>
        <v>طرق رئيسية</v>
      </c>
      <c r="J142" s="24">
        <v>95</v>
      </c>
      <c r="K142">
        <v>2020</v>
      </c>
    </row>
    <row r="143" ht="15.75" spans="1:11">
      <c r="A143" s="16" t="s">
        <v>73</v>
      </c>
      <c r="B143" s="16" t="s">
        <v>74</v>
      </c>
      <c r="C143" s="17" t="s">
        <v>75</v>
      </c>
      <c r="D143" s="18" t="s">
        <v>76</v>
      </c>
      <c r="E143" s="19" t="s">
        <v>77</v>
      </c>
      <c r="F143" t="str">
        <f>'Source Table'!$B$14</f>
        <v>Ajloun</v>
      </c>
      <c r="G143" t="str">
        <f>'Source Table'!$F$14</f>
        <v>عجلون</v>
      </c>
      <c r="H143" t="str">
        <f>'Source Table'!$C$6</f>
        <v>Highways</v>
      </c>
      <c r="I143" t="str">
        <f>'Source Table'!$C$5</f>
        <v>طرق رئيسية</v>
      </c>
      <c r="J143" s="24">
        <v>50</v>
      </c>
      <c r="K143">
        <v>2020</v>
      </c>
    </row>
    <row r="144" ht="15.75" spans="1:11">
      <c r="A144" s="16" t="s">
        <v>73</v>
      </c>
      <c r="B144" s="16" t="s">
        <v>74</v>
      </c>
      <c r="C144" s="17" t="s">
        <v>75</v>
      </c>
      <c r="D144" s="18" t="s">
        <v>76</v>
      </c>
      <c r="E144" s="19" t="s">
        <v>77</v>
      </c>
      <c r="F144" t="str">
        <f>'Source Table'!$B$15</f>
        <v>Karak</v>
      </c>
      <c r="G144" t="str">
        <f>'Source Table'!$F$15</f>
        <v>الكرك</v>
      </c>
      <c r="H144" t="str">
        <f>'Source Table'!$C$6</f>
        <v>Highways</v>
      </c>
      <c r="I144" t="str">
        <f>'Source Table'!$C$5</f>
        <v>طرق رئيسية</v>
      </c>
      <c r="J144" s="24">
        <v>295</v>
      </c>
      <c r="K144">
        <v>2020</v>
      </c>
    </row>
    <row r="145" ht="15.75" spans="1:11">
      <c r="A145" s="16" t="s">
        <v>73</v>
      </c>
      <c r="B145" s="16" t="s">
        <v>74</v>
      </c>
      <c r="C145" s="17" t="s">
        <v>75</v>
      </c>
      <c r="D145" s="18" t="s">
        <v>76</v>
      </c>
      <c r="E145" s="19" t="s">
        <v>77</v>
      </c>
      <c r="F145" t="str">
        <f>'Source Table'!$B$16</f>
        <v>Tafiela</v>
      </c>
      <c r="G145" t="str">
        <f>'Source Table'!$F$16</f>
        <v>الطفيله</v>
      </c>
      <c r="H145" t="str">
        <f>'Source Table'!$C$6</f>
        <v>Highways</v>
      </c>
      <c r="I145" t="str">
        <f>'Source Table'!$C$5</f>
        <v>طرق رئيسية</v>
      </c>
      <c r="J145" s="24">
        <v>264</v>
      </c>
      <c r="K145">
        <v>2020</v>
      </c>
    </row>
    <row r="146" ht="15.75" spans="1:11">
      <c r="A146" s="16" t="s">
        <v>73</v>
      </c>
      <c r="B146" s="16" t="s">
        <v>74</v>
      </c>
      <c r="C146" s="17" t="s">
        <v>75</v>
      </c>
      <c r="D146" s="18" t="s">
        <v>76</v>
      </c>
      <c r="E146" s="19" t="s">
        <v>77</v>
      </c>
      <c r="F146" t="str">
        <f>'Source Table'!$B$17</f>
        <v>Ma'an</v>
      </c>
      <c r="G146" t="str">
        <f>'Source Table'!$F$17</f>
        <v>معان</v>
      </c>
      <c r="H146" t="str">
        <f>'Source Table'!$C$6</f>
        <v>Highways</v>
      </c>
      <c r="I146" t="str">
        <f>'Source Table'!$C$5</f>
        <v>طرق رئيسية</v>
      </c>
      <c r="J146" s="24">
        <v>571</v>
      </c>
      <c r="K146">
        <v>2020</v>
      </c>
    </row>
    <row r="147" ht="16.5" spans="1:11">
      <c r="A147" s="16" t="s">
        <v>73</v>
      </c>
      <c r="B147" s="16" t="s">
        <v>74</v>
      </c>
      <c r="C147" s="17" t="s">
        <v>75</v>
      </c>
      <c r="D147" s="18" t="s">
        <v>76</v>
      </c>
      <c r="E147" s="19" t="s">
        <v>77</v>
      </c>
      <c r="F147" t="str">
        <f>'Source Table'!$B$18</f>
        <v>Aqaba</v>
      </c>
      <c r="G147" t="str">
        <f>'Source Table'!$F$18</f>
        <v>العقبة</v>
      </c>
      <c r="H147" t="str">
        <f>'Source Table'!$C$6</f>
        <v>Highways</v>
      </c>
      <c r="I147" t="str">
        <f>'Source Table'!$C$5</f>
        <v>طرق رئيسية</v>
      </c>
      <c r="J147" s="26">
        <v>321</v>
      </c>
      <c r="K147">
        <v>2020</v>
      </c>
    </row>
    <row r="148" ht="15.75" spans="1:11">
      <c r="A148" s="16" t="s">
        <v>73</v>
      </c>
      <c r="B148" s="16" t="s">
        <v>74</v>
      </c>
      <c r="C148" s="17" t="s">
        <v>75</v>
      </c>
      <c r="D148" s="18" t="s">
        <v>76</v>
      </c>
      <c r="E148" s="19" t="s">
        <v>77</v>
      </c>
      <c r="F148" t="str">
        <f>'Source Table'!$B$7</f>
        <v>Amman</v>
      </c>
      <c r="G148" t="str">
        <f>'Source Table'!$F$7</f>
        <v>العاصمة</v>
      </c>
      <c r="H148" t="str">
        <f>'Source Table'!$E$6</f>
        <v>Rural Roads</v>
      </c>
      <c r="I148" t="str">
        <f>'Source Table'!$E$5</f>
        <v>طرق قروية</v>
      </c>
      <c r="J148" s="24">
        <v>529</v>
      </c>
      <c r="K148">
        <v>2019</v>
      </c>
    </row>
    <row r="149" ht="15.75" spans="1:11">
      <c r="A149" s="16" t="s">
        <v>73</v>
      </c>
      <c r="B149" s="16" t="s">
        <v>74</v>
      </c>
      <c r="C149" s="17" t="s">
        <v>75</v>
      </c>
      <c r="D149" s="18" t="s">
        <v>76</v>
      </c>
      <c r="E149" s="19" t="s">
        <v>77</v>
      </c>
      <c r="F149" t="str">
        <f>'Source Table'!$B$8</f>
        <v>Balqa</v>
      </c>
      <c r="G149" t="str">
        <f>'Source Table'!$F$8</f>
        <v>البلقاء</v>
      </c>
      <c r="H149" t="str">
        <f>'Source Table'!$E$6</f>
        <v>Rural Roads</v>
      </c>
      <c r="I149" t="str">
        <f>'Source Table'!$E$5</f>
        <v>طرق قروية</v>
      </c>
      <c r="J149" s="24">
        <v>287</v>
      </c>
      <c r="K149">
        <v>2019</v>
      </c>
    </row>
    <row r="150" ht="15.75" spans="1:11">
      <c r="A150" s="16" t="s">
        <v>73</v>
      </c>
      <c r="B150" s="16" t="s">
        <v>74</v>
      </c>
      <c r="C150" s="17" t="s">
        <v>75</v>
      </c>
      <c r="D150" s="18" t="s">
        <v>76</v>
      </c>
      <c r="E150" s="19" t="s">
        <v>77</v>
      </c>
      <c r="F150" t="str">
        <f>'Source Table'!$B$9</f>
        <v>Zarqa</v>
      </c>
      <c r="G150" t="str">
        <f>'Source Table'!$F$9</f>
        <v>الزرقاء</v>
      </c>
      <c r="H150" t="str">
        <f>'Source Table'!$E$6</f>
        <v>Rural Roads</v>
      </c>
      <c r="I150" t="str">
        <f>'Source Table'!$E$5</f>
        <v>طرق قروية</v>
      </c>
      <c r="J150" s="24">
        <v>154</v>
      </c>
      <c r="K150">
        <v>2019</v>
      </c>
    </row>
    <row r="151" ht="15.75" spans="1:11">
      <c r="A151" s="16" t="s">
        <v>73</v>
      </c>
      <c r="B151" s="16" t="s">
        <v>74</v>
      </c>
      <c r="C151" s="17" t="s">
        <v>75</v>
      </c>
      <c r="D151" s="18" t="s">
        <v>76</v>
      </c>
      <c r="E151" s="19" t="s">
        <v>77</v>
      </c>
      <c r="F151" t="str">
        <f>'Source Table'!$B$10</f>
        <v>Madaba</v>
      </c>
      <c r="G151" t="str">
        <f>'Source Table'!$F$10</f>
        <v>مأدبا</v>
      </c>
      <c r="H151" t="str">
        <f>'Source Table'!$E$6</f>
        <v>Rural Roads</v>
      </c>
      <c r="I151" t="str">
        <f>'Source Table'!$E$5</f>
        <v>طرق قروية</v>
      </c>
      <c r="J151" s="24">
        <v>188</v>
      </c>
      <c r="K151">
        <v>2019</v>
      </c>
    </row>
    <row r="152" ht="15.75" spans="1:11">
      <c r="A152" s="16" t="s">
        <v>73</v>
      </c>
      <c r="B152" s="16" t="s">
        <v>74</v>
      </c>
      <c r="C152" s="17" t="s">
        <v>75</v>
      </c>
      <c r="D152" s="18" t="s">
        <v>76</v>
      </c>
      <c r="E152" s="19" t="s">
        <v>77</v>
      </c>
      <c r="F152" t="str">
        <f>'Source Table'!$B$11</f>
        <v>Irbid</v>
      </c>
      <c r="G152" t="str">
        <f>'Source Table'!$F$11</f>
        <v>إربد</v>
      </c>
      <c r="H152" t="str">
        <f>'Source Table'!$E$6</f>
        <v>Rural Roads</v>
      </c>
      <c r="I152" t="str">
        <f>'Source Table'!$E$5</f>
        <v>طرق قروية</v>
      </c>
      <c r="J152" s="24">
        <v>366</v>
      </c>
      <c r="K152">
        <v>2019</v>
      </c>
    </row>
    <row r="153" ht="15.75" spans="1:11">
      <c r="A153" s="16" t="s">
        <v>73</v>
      </c>
      <c r="B153" s="16" t="s">
        <v>74</v>
      </c>
      <c r="C153" s="17" t="s">
        <v>75</v>
      </c>
      <c r="D153" s="18" t="s">
        <v>76</v>
      </c>
      <c r="E153" s="19" t="s">
        <v>77</v>
      </c>
      <c r="F153" t="str">
        <f>'Source Table'!$B$12</f>
        <v>Mafraq</v>
      </c>
      <c r="G153" t="str">
        <f>'Source Table'!$F$12</f>
        <v>المفرق</v>
      </c>
      <c r="H153" t="str">
        <f>'Source Table'!$E$6</f>
        <v>Rural Roads</v>
      </c>
      <c r="I153" t="str">
        <f>'Source Table'!$E$5</f>
        <v>طرق قروية</v>
      </c>
      <c r="J153" s="24">
        <v>580</v>
      </c>
      <c r="K153">
        <v>2019</v>
      </c>
    </row>
    <row r="154" ht="15.75" spans="1:11">
      <c r="A154" s="16" t="s">
        <v>73</v>
      </c>
      <c r="B154" s="16" t="s">
        <v>74</v>
      </c>
      <c r="C154" s="17" t="s">
        <v>75</v>
      </c>
      <c r="D154" s="18" t="s">
        <v>76</v>
      </c>
      <c r="E154" s="19" t="s">
        <v>77</v>
      </c>
      <c r="F154" t="str">
        <f>'Source Table'!$B$13</f>
        <v>Jarash</v>
      </c>
      <c r="G154" t="str">
        <f>'Source Table'!$F$13</f>
        <v>جرش</v>
      </c>
      <c r="H154" t="str">
        <f>'Source Table'!$E$6</f>
        <v>Rural Roads</v>
      </c>
      <c r="I154" t="str">
        <f>'Source Table'!$E$5</f>
        <v>طرق قروية</v>
      </c>
      <c r="J154" s="24">
        <v>235</v>
      </c>
      <c r="K154">
        <v>2019</v>
      </c>
    </row>
    <row r="155" ht="15.75" spans="1:11">
      <c r="A155" s="16" t="s">
        <v>73</v>
      </c>
      <c r="B155" s="16" t="s">
        <v>74</v>
      </c>
      <c r="C155" s="17" t="s">
        <v>75</v>
      </c>
      <c r="D155" s="18" t="s">
        <v>76</v>
      </c>
      <c r="E155" s="19" t="s">
        <v>77</v>
      </c>
      <c r="F155" t="str">
        <f>'Source Table'!$B$14</f>
        <v>Ajloun</v>
      </c>
      <c r="G155" t="str">
        <f>'Source Table'!$F$14</f>
        <v>عجلون</v>
      </c>
      <c r="H155" t="str">
        <f>'Source Table'!$E$6</f>
        <v>Rural Roads</v>
      </c>
      <c r="I155" t="str">
        <f>'Source Table'!$E$5</f>
        <v>طرق قروية</v>
      </c>
      <c r="J155" s="25">
        <v>56</v>
      </c>
      <c r="K155">
        <v>2019</v>
      </c>
    </row>
    <row r="156" ht="15.75" spans="1:11">
      <c r="A156" s="16" t="s">
        <v>73</v>
      </c>
      <c r="B156" s="16" t="s">
        <v>74</v>
      </c>
      <c r="C156" s="17" t="s">
        <v>75</v>
      </c>
      <c r="D156" s="18" t="s">
        <v>76</v>
      </c>
      <c r="E156" s="19" t="s">
        <v>77</v>
      </c>
      <c r="F156" t="str">
        <f>'Source Table'!$B$15</f>
        <v>Karak</v>
      </c>
      <c r="G156" t="str">
        <f>'Source Table'!$F$15</f>
        <v>الكرك</v>
      </c>
      <c r="H156" t="str">
        <f>'Source Table'!$E$6</f>
        <v>Rural Roads</v>
      </c>
      <c r="I156" t="str">
        <f>'Source Table'!$E$5</f>
        <v>طرق قروية</v>
      </c>
      <c r="J156" s="24">
        <v>207</v>
      </c>
      <c r="K156">
        <v>2019</v>
      </c>
    </row>
    <row r="157" ht="15.75" spans="1:11">
      <c r="A157" s="16" t="s">
        <v>73</v>
      </c>
      <c r="B157" s="16" t="s">
        <v>74</v>
      </c>
      <c r="C157" s="17" t="s">
        <v>75</v>
      </c>
      <c r="D157" s="18" t="s">
        <v>76</v>
      </c>
      <c r="E157" s="19" t="s">
        <v>77</v>
      </c>
      <c r="F157" t="str">
        <f>'Source Table'!$B$16</f>
        <v>Tafiela</v>
      </c>
      <c r="G157" t="str">
        <f>'Source Table'!$F$16</f>
        <v>الطفيله</v>
      </c>
      <c r="H157" t="str">
        <f>'Source Table'!$E$6</f>
        <v>Rural Roads</v>
      </c>
      <c r="I157" t="str">
        <f>'Source Table'!$E$5</f>
        <v>طرق قروية</v>
      </c>
      <c r="J157" s="24">
        <v>165</v>
      </c>
      <c r="K157">
        <v>2019</v>
      </c>
    </row>
    <row r="158" ht="15.75" spans="1:11">
      <c r="A158" s="16" t="s">
        <v>73</v>
      </c>
      <c r="B158" s="16" t="s">
        <v>74</v>
      </c>
      <c r="C158" s="17" t="s">
        <v>75</v>
      </c>
      <c r="D158" s="18" t="s">
        <v>76</v>
      </c>
      <c r="E158" s="19" t="s">
        <v>77</v>
      </c>
      <c r="F158" t="str">
        <f>'Source Table'!$B$17</f>
        <v>Ma'an</v>
      </c>
      <c r="G158" t="str">
        <f>'Source Table'!$F$17</f>
        <v>معان</v>
      </c>
      <c r="H158" t="str">
        <f>'Source Table'!$E$6</f>
        <v>Rural Roads</v>
      </c>
      <c r="I158" t="str">
        <f>'Source Table'!$E$5</f>
        <v>طرق قروية</v>
      </c>
      <c r="J158" s="24">
        <v>627</v>
      </c>
      <c r="K158">
        <v>2019</v>
      </c>
    </row>
    <row r="159" ht="16.5" spans="1:11">
      <c r="A159" s="16" t="s">
        <v>73</v>
      </c>
      <c r="B159" s="16" t="s">
        <v>74</v>
      </c>
      <c r="C159" s="17" t="s">
        <v>75</v>
      </c>
      <c r="D159" s="18" t="s">
        <v>76</v>
      </c>
      <c r="E159" s="19" t="s">
        <v>77</v>
      </c>
      <c r="F159" t="str">
        <f>'Source Table'!$B$18</f>
        <v>Aqaba</v>
      </c>
      <c r="G159" t="str">
        <f>'Source Table'!$F$18</f>
        <v>العقبة</v>
      </c>
      <c r="H159" t="str">
        <f>'Source Table'!$E$6</f>
        <v>Rural Roads</v>
      </c>
      <c r="I159" t="str">
        <f>'Source Table'!$E$5</f>
        <v>طرق قروية</v>
      </c>
      <c r="J159" s="26">
        <v>51</v>
      </c>
      <c r="K159">
        <v>2019</v>
      </c>
    </row>
    <row r="160" ht="15.75" spans="1:11">
      <c r="A160" s="16" t="s">
        <v>73</v>
      </c>
      <c r="B160" s="16" t="s">
        <v>74</v>
      </c>
      <c r="C160" s="17" t="s">
        <v>75</v>
      </c>
      <c r="D160" s="18" t="s">
        <v>76</v>
      </c>
      <c r="E160" s="19" t="s">
        <v>77</v>
      </c>
      <c r="F160" t="str">
        <f>'Source Table'!$B$7</f>
        <v>Amman</v>
      </c>
      <c r="G160" t="str">
        <f>'Source Table'!$F$7</f>
        <v>العاصمة</v>
      </c>
      <c r="H160" t="str">
        <f>'Source Table'!$D$6</f>
        <v>Secondary Roads</v>
      </c>
      <c r="I160" t="str">
        <f>'Source Table'!$D$5</f>
        <v>طرق ثانوية</v>
      </c>
      <c r="J160" s="24">
        <v>190</v>
      </c>
      <c r="K160">
        <v>2019</v>
      </c>
    </row>
    <row r="161" ht="15.75" spans="1:11">
      <c r="A161" s="16" t="s">
        <v>73</v>
      </c>
      <c r="B161" s="16" t="s">
        <v>74</v>
      </c>
      <c r="C161" s="17" t="s">
        <v>75</v>
      </c>
      <c r="D161" s="18" t="s">
        <v>76</v>
      </c>
      <c r="E161" s="19" t="s">
        <v>77</v>
      </c>
      <c r="F161" t="str">
        <f>'Source Table'!$B$8</f>
        <v>Balqa</v>
      </c>
      <c r="G161" t="str">
        <f>'Source Table'!$F$8</f>
        <v>البلقاء</v>
      </c>
      <c r="H161" t="str">
        <f>'Source Table'!$D$6</f>
        <v>Secondary Roads</v>
      </c>
      <c r="I161" t="str">
        <f>'Source Table'!$D$5</f>
        <v>طرق ثانوية</v>
      </c>
      <c r="J161" s="24">
        <v>136</v>
      </c>
      <c r="K161">
        <v>2019</v>
      </c>
    </row>
    <row r="162" ht="15.75" spans="1:11">
      <c r="A162" s="16" t="s">
        <v>73</v>
      </c>
      <c r="B162" s="16" t="s">
        <v>74</v>
      </c>
      <c r="C162" s="17" t="s">
        <v>75</v>
      </c>
      <c r="D162" s="18" t="s">
        <v>76</v>
      </c>
      <c r="E162" s="19" t="s">
        <v>77</v>
      </c>
      <c r="F162" t="str">
        <f>'Source Table'!$B$9</f>
        <v>Zarqa</v>
      </c>
      <c r="G162" t="str">
        <f>'Source Table'!$F$9</f>
        <v>الزرقاء</v>
      </c>
      <c r="H162" t="str">
        <f>'Source Table'!$D$6</f>
        <v>Secondary Roads</v>
      </c>
      <c r="I162" t="str">
        <f>'Source Table'!$D$5</f>
        <v>طرق ثانوية</v>
      </c>
      <c r="J162" s="24">
        <v>53</v>
      </c>
      <c r="K162">
        <v>2019</v>
      </c>
    </row>
    <row r="163" ht="15.75" spans="1:11">
      <c r="A163" s="16" t="s">
        <v>73</v>
      </c>
      <c r="B163" s="16" t="s">
        <v>74</v>
      </c>
      <c r="C163" s="17" t="s">
        <v>75</v>
      </c>
      <c r="D163" s="18" t="s">
        <v>76</v>
      </c>
      <c r="E163" s="19" t="s">
        <v>77</v>
      </c>
      <c r="F163" t="str">
        <f>'Source Table'!$B$10</f>
        <v>Madaba</v>
      </c>
      <c r="G163" t="str">
        <f>'Source Table'!$F$10</f>
        <v>مأدبا</v>
      </c>
      <c r="H163" t="str">
        <f>'Source Table'!$D$6</f>
        <v>Secondary Roads</v>
      </c>
      <c r="I163" t="str">
        <f>'Source Table'!$D$5</f>
        <v>طرق ثانوية</v>
      </c>
      <c r="J163" s="24">
        <v>120</v>
      </c>
      <c r="K163">
        <v>2019</v>
      </c>
    </row>
    <row r="164" ht="15.75" spans="1:11">
      <c r="A164" s="16" t="s">
        <v>73</v>
      </c>
      <c r="B164" s="16" t="s">
        <v>74</v>
      </c>
      <c r="C164" s="17" t="s">
        <v>75</v>
      </c>
      <c r="D164" s="18" t="s">
        <v>76</v>
      </c>
      <c r="E164" s="19" t="s">
        <v>77</v>
      </c>
      <c r="F164" t="str">
        <f>'Source Table'!$B$11</f>
        <v>Irbid</v>
      </c>
      <c r="G164" t="str">
        <f>'Source Table'!$F$11</f>
        <v>إربد</v>
      </c>
      <c r="H164" t="str">
        <f>'Source Table'!$D$6</f>
        <v>Secondary Roads</v>
      </c>
      <c r="I164" t="str">
        <f>'Source Table'!$D$5</f>
        <v>طرق ثانوية</v>
      </c>
      <c r="J164" s="24">
        <v>365</v>
      </c>
      <c r="K164">
        <v>2019</v>
      </c>
    </row>
    <row r="165" ht="15.75" spans="1:11">
      <c r="A165" s="16" t="s">
        <v>73</v>
      </c>
      <c r="B165" s="16" t="s">
        <v>74</v>
      </c>
      <c r="C165" s="17" t="s">
        <v>75</v>
      </c>
      <c r="D165" s="18" t="s">
        <v>76</v>
      </c>
      <c r="E165" s="19" t="s">
        <v>77</v>
      </c>
      <c r="F165" t="str">
        <f>'Source Table'!$B$12</f>
        <v>Mafraq</v>
      </c>
      <c r="G165" t="str">
        <f>'Source Table'!$F$12</f>
        <v>المفرق</v>
      </c>
      <c r="H165" t="str">
        <f>'Source Table'!$D$6</f>
        <v>Secondary Roads</v>
      </c>
      <c r="I165" t="str">
        <f>'Source Table'!$D$5</f>
        <v>طرق ثانوية</v>
      </c>
      <c r="J165" s="24">
        <v>260</v>
      </c>
      <c r="K165">
        <v>2019</v>
      </c>
    </row>
    <row r="166" ht="15.75" spans="1:11">
      <c r="A166" s="16" t="s">
        <v>73</v>
      </c>
      <c r="B166" s="16" t="s">
        <v>74</v>
      </c>
      <c r="C166" s="17" t="s">
        <v>75</v>
      </c>
      <c r="D166" s="18" t="s">
        <v>76</v>
      </c>
      <c r="E166" s="19" t="s">
        <v>77</v>
      </c>
      <c r="F166" t="str">
        <f>'Source Table'!$B$13</f>
        <v>Jarash</v>
      </c>
      <c r="G166" t="str">
        <f>'Source Table'!$F$13</f>
        <v>جرش</v>
      </c>
      <c r="H166" t="str">
        <f>'Source Table'!$D$6</f>
        <v>Secondary Roads</v>
      </c>
      <c r="I166" t="str">
        <f>'Source Table'!$D$5</f>
        <v>طرق ثانوية</v>
      </c>
      <c r="J166" s="24">
        <v>108</v>
      </c>
      <c r="K166">
        <v>2019</v>
      </c>
    </row>
    <row r="167" ht="15.75" spans="1:11">
      <c r="A167" s="16" t="s">
        <v>73</v>
      </c>
      <c r="B167" s="16" t="s">
        <v>74</v>
      </c>
      <c r="C167" s="17" t="s">
        <v>75</v>
      </c>
      <c r="D167" s="18" t="s">
        <v>76</v>
      </c>
      <c r="E167" s="19" t="s">
        <v>77</v>
      </c>
      <c r="F167" t="str">
        <f>'Source Table'!$B$14</f>
        <v>Ajloun</v>
      </c>
      <c r="G167" t="str">
        <f>'Source Table'!$F$14</f>
        <v>عجلون</v>
      </c>
      <c r="H167" t="str">
        <f>'Source Table'!$D$6</f>
        <v>Secondary Roads</v>
      </c>
      <c r="I167" t="str">
        <f>'Source Table'!$D$5</f>
        <v>طرق ثانوية</v>
      </c>
      <c r="J167" s="24">
        <v>142</v>
      </c>
      <c r="K167">
        <v>2019</v>
      </c>
    </row>
    <row r="168" ht="15.75" spans="1:11">
      <c r="A168" s="16" t="s">
        <v>73</v>
      </c>
      <c r="B168" s="16" t="s">
        <v>74</v>
      </c>
      <c r="C168" s="17" t="s">
        <v>75</v>
      </c>
      <c r="D168" s="18" t="s">
        <v>76</v>
      </c>
      <c r="E168" s="19" t="s">
        <v>77</v>
      </c>
      <c r="F168" t="str">
        <f>'Source Table'!$B$15</f>
        <v>Karak</v>
      </c>
      <c r="G168" t="str">
        <f>'Source Table'!$F$15</f>
        <v>الكرك</v>
      </c>
      <c r="H168" t="str">
        <f>'Source Table'!$D$6</f>
        <v>Secondary Roads</v>
      </c>
      <c r="I168" t="str">
        <f>'Source Table'!$D$5</f>
        <v>طرق ثانوية</v>
      </c>
      <c r="J168" s="24">
        <v>175</v>
      </c>
      <c r="K168">
        <v>2019</v>
      </c>
    </row>
    <row r="169" ht="15.75" spans="1:11">
      <c r="A169" s="16" t="s">
        <v>73</v>
      </c>
      <c r="B169" s="16" t="s">
        <v>74</v>
      </c>
      <c r="C169" s="17" t="s">
        <v>75</v>
      </c>
      <c r="D169" s="18" t="s">
        <v>76</v>
      </c>
      <c r="E169" s="19" t="s">
        <v>77</v>
      </c>
      <c r="F169" t="str">
        <f>'Source Table'!$B$16</f>
        <v>Tafiela</v>
      </c>
      <c r="G169" t="str">
        <f>'Source Table'!$F$16</f>
        <v>الطفيله</v>
      </c>
      <c r="H169" t="str">
        <f>'Source Table'!$D$6</f>
        <v>Secondary Roads</v>
      </c>
      <c r="I169" t="str">
        <f>'Source Table'!$D$5</f>
        <v>طرق ثانوية</v>
      </c>
      <c r="J169" s="24">
        <v>163</v>
      </c>
      <c r="K169">
        <v>2019</v>
      </c>
    </row>
    <row r="170" ht="15.75" spans="1:11">
      <c r="A170" s="16" t="s">
        <v>73</v>
      </c>
      <c r="B170" s="16" t="s">
        <v>74</v>
      </c>
      <c r="C170" s="17" t="s">
        <v>75</v>
      </c>
      <c r="D170" s="18" t="s">
        <v>76</v>
      </c>
      <c r="E170" s="19" t="s">
        <v>77</v>
      </c>
      <c r="F170" t="str">
        <f>'Source Table'!$B$17</f>
        <v>Ma'an</v>
      </c>
      <c r="G170" t="str">
        <f>'Source Table'!$F$17</f>
        <v>معان</v>
      </c>
      <c r="H170" t="str">
        <f>'Source Table'!$D$6</f>
        <v>Secondary Roads</v>
      </c>
      <c r="I170" t="str">
        <f>'Source Table'!$D$5</f>
        <v>طرق ثانوية</v>
      </c>
      <c r="J170" s="24">
        <v>266</v>
      </c>
      <c r="K170">
        <v>2019</v>
      </c>
    </row>
    <row r="171" ht="16.5" spans="1:11">
      <c r="A171" s="16" t="s">
        <v>73</v>
      </c>
      <c r="B171" s="16" t="s">
        <v>74</v>
      </c>
      <c r="C171" s="17" t="s">
        <v>75</v>
      </c>
      <c r="D171" s="18" t="s">
        <v>76</v>
      </c>
      <c r="E171" s="19" t="s">
        <v>77</v>
      </c>
      <c r="F171" t="str">
        <f>'Source Table'!$B$18</f>
        <v>Aqaba</v>
      </c>
      <c r="G171" t="str">
        <f>'Source Table'!$F$18</f>
        <v>العقبة</v>
      </c>
      <c r="H171" t="str">
        <f>'Source Table'!$D$6</f>
        <v>Secondary Roads</v>
      </c>
      <c r="I171" t="str">
        <f>'Source Table'!$D$5</f>
        <v>طرق ثانوية</v>
      </c>
      <c r="J171" s="26">
        <v>172</v>
      </c>
      <c r="K171">
        <v>2019</v>
      </c>
    </row>
    <row r="172" ht="15.75" spans="1:11">
      <c r="A172" s="16" t="s">
        <v>73</v>
      </c>
      <c r="B172" s="16" t="s">
        <v>74</v>
      </c>
      <c r="C172" s="17" t="s">
        <v>75</v>
      </c>
      <c r="D172" s="18" t="s">
        <v>76</v>
      </c>
      <c r="E172" s="19" t="s">
        <v>77</v>
      </c>
      <c r="F172" t="str">
        <f>'Source Table'!$B$7</f>
        <v>Amman</v>
      </c>
      <c r="G172" t="str">
        <f>'Source Table'!$F$7</f>
        <v>العاصمة</v>
      </c>
      <c r="H172" t="str">
        <f>'Source Table'!$C$6</f>
        <v>Highways</v>
      </c>
      <c r="I172" t="str">
        <f>'Source Table'!$C$5</f>
        <v>طرق رئيسية</v>
      </c>
      <c r="J172" s="24">
        <v>306</v>
      </c>
      <c r="K172">
        <v>2019</v>
      </c>
    </row>
    <row r="173" ht="15.75" spans="1:11">
      <c r="A173" s="16" t="s">
        <v>73</v>
      </c>
      <c r="B173" s="16" t="s">
        <v>74</v>
      </c>
      <c r="C173" s="17" t="s">
        <v>75</v>
      </c>
      <c r="D173" s="18" t="s">
        <v>76</v>
      </c>
      <c r="E173" s="19" t="s">
        <v>77</v>
      </c>
      <c r="F173" t="str">
        <f>'Source Table'!$B$8</f>
        <v>Balqa</v>
      </c>
      <c r="G173" t="str">
        <f>'Source Table'!$F$8</f>
        <v>البلقاء</v>
      </c>
      <c r="H173" t="str">
        <f>'Source Table'!$C$6</f>
        <v>Highways</v>
      </c>
      <c r="I173" t="str">
        <f>'Source Table'!$C$5</f>
        <v>طرق رئيسية</v>
      </c>
      <c r="J173" s="24">
        <v>227</v>
      </c>
      <c r="K173">
        <v>2019</v>
      </c>
    </row>
    <row r="174" ht="15.75" spans="1:11">
      <c r="A174" s="16" t="s">
        <v>73</v>
      </c>
      <c r="B174" s="16" t="s">
        <v>74</v>
      </c>
      <c r="C174" s="17" t="s">
        <v>75</v>
      </c>
      <c r="D174" s="18" t="s">
        <v>76</v>
      </c>
      <c r="E174" s="19" t="s">
        <v>77</v>
      </c>
      <c r="F174" t="str">
        <f>'Source Table'!$B$9</f>
        <v>Zarqa</v>
      </c>
      <c r="G174" t="str">
        <f>'Source Table'!$F$9</f>
        <v>الزرقاء</v>
      </c>
      <c r="H174" t="str">
        <f>'Source Table'!$C$6</f>
        <v>Highways</v>
      </c>
      <c r="I174" t="str">
        <f>'Source Table'!$C$5</f>
        <v>طرق رئيسية</v>
      </c>
      <c r="J174" s="24">
        <v>303</v>
      </c>
      <c r="K174">
        <v>2019</v>
      </c>
    </row>
    <row r="175" ht="15.75" spans="1:11">
      <c r="A175" s="16" t="s">
        <v>73</v>
      </c>
      <c r="B175" s="16" t="s">
        <v>74</v>
      </c>
      <c r="C175" s="17" t="s">
        <v>75</v>
      </c>
      <c r="D175" s="18" t="s">
        <v>76</v>
      </c>
      <c r="E175" s="19" t="s">
        <v>77</v>
      </c>
      <c r="F175" t="str">
        <f>'Source Table'!$B$10</f>
        <v>Madaba</v>
      </c>
      <c r="G175" t="str">
        <f>'Source Table'!$F$10</f>
        <v>مأدبا</v>
      </c>
      <c r="H175" t="str">
        <f>'Source Table'!$C$6</f>
        <v>Highways</v>
      </c>
      <c r="I175" t="str">
        <f>'Source Table'!$C$5</f>
        <v>طرق رئيسية</v>
      </c>
      <c r="J175" s="24">
        <v>131</v>
      </c>
      <c r="K175">
        <v>2019</v>
      </c>
    </row>
    <row r="176" ht="15.75" spans="1:11">
      <c r="A176" s="16" t="s">
        <v>73</v>
      </c>
      <c r="B176" s="16" t="s">
        <v>74</v>
      </c>
      <c r="C176" s="17" t="s">
        <v>75</v>
      </c>
      <c r="D176" s="18" t="s">
        <v>76</v>
      </c>
      <c r="E176" s="19" t="s">
        <v>77</v>
      </c>
      <c r="F176" t="str">
        <f>'Source Table'!$B$11</f>
        <v>Irbid</v>
      </c>
      <c r="G176" t="str">
        <f>'Source Table'!$F$11</f>
        <v>إربد</v>
      </c>
      <c r="H176" t="str">
        <f>'Source Table'!$C$6</f>
        <v>Highways</v>
      </c>
      <c r="I176" t="str">
        <f>'Source Table'!$C$5</f>
        <v>طرق رئيسية</v>
      </c>
      <c r="J176" s="24">
        <v>367</v>
      </c>
      <c r="K176">
        <v>2019</v>
      </c>
    </row>
    <row r="177" ht="15.75" spans="1:11">
      <c r="A177" s="16" t="s">
        <v>73</v>
      </c>
      <c r="B177" s="16" t="s">
        <v>74</v>
      </c>
      <c r="C177" s="17" t="s">
        <v>75</v>
      </c>
      <c r="D177" s="18" t="s">
        <v>76</v>
      </c>
      <c r="E177" s="19" t="s">
        <v>77</v>
      </c>
      <c r="F177" t="str">
        <f>'Source Table'!$B$12</f>
        <v>Mafraq</v>
      </c>
      <c r="G177" t="str">
        <f>'Source Table'!$F$12</f>
        <v>المفرق</v>
      </c>
      <c r="H177" t="str">
        <f>'Source Table'!$C$6</f>
        <v>Highways</v>
      </c>
      <c r="I177" t="str">
        <f>'Source Table'!$C$5</f>
        <v>طرق رئيسية</v>
      </c>
      <c r="J177" s="24">
        <v>520</v>
      </c>
      <c r="K177">
        <v>2019</v>
      </c>
    </row>
    <row r="178" ht="15.75" spans="1:11">
      <c r="A178" s="16" t="s">
        <v>73</v>
      </c>
      <c r="B178" s="16" t="s">
        <v>74</v>
      </c>
      <c r="C178" s="17" t="s">
        <v>75</v>
      </c>
      <c r="D178" s="18" t="s">
        <v>76</v>
      </c>
      <c r="E178" s="19" t="s">
        <v>77</v>
      </c>
      <c r="F178" t="str">
        <f>'Source Table'!$B$13</f>
        <v>Jarash</v>
      </c>
      <c r="G178" t="str">
        <f>'Source Table'!$F$13</f>
        <v>جرش</v>
      </c>
      <c r="H178" t="str">
        <f>'Source Table'!$C$6</f>
        <v>Highways</v>
      </c>
      <c r="I178" t="str">
        <f>'Source Table'!$C$5</f>
        <v>طرق رئيسية</v>
      </c>
      <c r="J178" s="24">
        <v>95</v>
      </c>
      <c r="K178">
        <v>2019</v>
      </c>
    </row>
    <row r="179" ht="15.75" spans="1:11">
      <c r="A179" s="16" t="s">
        <v>73</v>
      </c>
      <c r="B179" s="16" t="s">
        <v>74</v>
      </c>
      <c r="C179" s="17" t="s">
        <v>75</v>
      </c>
      <c r="D179" s="18" t="s">
        <v>76</v>
      </c>
      <c r="E179" s="19" t="s">
        <v>77</v>
      </c>
      <c r="F179" t="str">
        <f>'Source Table'!$B$14</f>
        <v>Ajloun</v>
      </c>
      <c r="G179" t="str">
        <f>'Source Table'!$F$14</f>
        <v>عجلون</v>
      </c>
      <c r="H179" t="str">
        <f>'Source Table'!$C$6</f>
        <v>Highways</v>
      </c>
      <c r="I179" t="str">
        <f>'Source Table'!$C$5</f>
        <v>طرق رئيسية</v>
      </c>
      <c r="J179" s="24">
        <v>50</v>
      </c>
      <c r="K179">
        <v>2019</v>
      </c>
    </row>
    <row r="180" ht="15.75" spans="1:11">
      <c r="A180" s="16" t="s">
        <v>73</v>
      </c>
      <c r="B180" s="16" t="s">
        <v>74</v>
      </c>
      <c r="C180" s="17" t="s">
        <v>75</v>
      </c>
      <c r="D180" s="18" t="s">
        <v>76</v>
      </c>
      <c r="E180" s="19" t="s">
        <v>77</v>
      </c>
      <c r="F180" t="str">
        <f>'Source Table'!$B$15</f>
        <v>Karak</v>
      </c>
      <c r="G180" t="str">
        <f>'Source Table'!$F$15</f>
        <v>الكرك</v>
      </c>
      <c r="H180" t="str">
        <f>'Source Table'!$C$6</f>
        <v>Highways</v>
      </c>
      <c r="I180" t="str">
        <f>'Source Table'!$C$5</f>
        <v>طرق رئيسية</v>
      </c>
      <c r="J180" s="24">
        <v>295</v>
      </c>
      <c r="K180">
        <v>2019</v>
      </c>
    </row>
    <row r="181" ht="15.75" spans="1:11">
      <c r="A181" s="16" t="s">
        <v>73</v>
      </c>
      <c r="B181" s="16" t="s">
        <v>74</v>
      </c>
      <c r="C181" s="17" t="s">
        <v>75</v>
      </c>
      <c r="D181" s="18" t="s">
        <v>76</v>
      </c>
      <c r="E181" s="19" t="s">
        <v>77</v>
      </c>
      <c r="F181" t="str">
        <f>'Source Table'!$B$16</f>
        <v>Tafiela</v>
      </c>
      <c r="G181" t="str">
        <f>'Source Table'!$F$16</f>
        <v>الطفيله</v>
      </c>
      <c r="H181" t="str">
        <f>'Source Table'!$C$6</f>
        <v>Highways</v>
      </c>
      <c r="I181" t="str">
        <f>'Source Table'!$C$5</f>
        <v>طرق رئيسية</v>
      </c>
      <c r="J181" s="24">
        <v>260</v>
      </c>
      <c r="K181">
        <v>2019</v>
      </c>
    </row>
    <row r="182" ht="15.75" spans="1:11">
      <c r="A182" s="16" t="s">
        <v>73</v>
      </c>
      <c r="B182" s="16" t="s">
        <v>74</v>
      </c>
      <c r="C182" s="17" t="s">
        <v>75</v>
      </c>
      <c r="D182" s="18" t="s">
        <v>76</v>
      </c>
      <c r="E182" s="19" t="s">
        <v>77</v>
      </c>
      <c r="F182" t="str">
        <f>'Source Table'!$B$17</f>
        <v>Ma'an</v>
      </c>
      <c r="G182" t="str">
        <f>'Source Table'!$F$17</f>
        <v>معان</v>
      </c>
      <c r="H182" t="str">
        <f>'Source Table'!$C$6</f>
        <v>Highways</v>
      </c>
      <c r="I182" t="str">
        <f>'Source Table'!$C$5</f>
        <v>طرق رئيسية</v>
      </c>
      <c r="J182" s="24">
        <v>571</v>
      </c>
      <c r="K182">
        <v>2019</v>
      </c>
    </row>
    <row r="183" ht="16.5" spans="1:11">
      <c r="A183" s="16" t="s">
        <v>73</v>
      </c>
      <c r="B183" s="16" t="s">
        <v>74</v>
      </c>
      <c r="C183" s="17" t="s">
        <v>75</v>
      </c>
      <c r="D183" s="18" t="s">
        <v>76</v>
      </c>
      <c r="E183" s="19" t="s">
        <v>77</v>
      </c>
      <c r="F183" t="str">
        <f>'Source Table'!$B$18</f>
        <v>Aqaba</v>
      </c>
      <c r="G183" t="str">
        <f>'Source Table'!$F$18</f>
        <v>العقبة</v>
      </c>
      <c r="H183" t="str">
        <f>'Source Table'!$C$6</f>
        <v>Highways</v>
      </c>
      <c r="I183" t="str">
        <f>'Source Table'!$C$5</f>
        <v>طرق رئيسية</v>
      </c>
      <c r="J183" s="26">
        <v>322</v>
      </c>
      <c r="K183">
        <v>2019</v>
      </c>
    </row>
    <row r="184" ht="15.75" spans="1:11">
      <c r="A184" s="16" t="s">
        <v>73</v>
      </c>
      <c r="B184" s="16" t="s">
        <v>74</v>
      </c>
      <c r="C184" s="17" t="s">
        <v>75</v>
      </c>
      <c r="D184" s="18" t="s">
        <v>76</v>
      </c>
      <c r="E184" s="19" t="s">
        <v>77</v>
      </c>
      <c r="F184" t="str">
        <f>'Source Table'!$B$7</f>
        <v>Amman</v>
      </c>
      <c r="G184" t="str">
        <f>'Source Table'!$F$7</f>
        <v>العاصمة</v>
      </c>
      <c r="H184" t="str">
        <f>'Source Table'!$E$6</f>
        <v>Rural Roads</v>
      </c>
      <c r="I184" t="str">
        <f>'Source Table'!$E$5</f>
        <v>طرق قروية</v>
      </c>
      <c r="J184" s="27">
        <v>529</v>
      </c>
      <c r="K184">
        <v>2018</v>
      </c>
    </row>
    <row r="185" ht="15.75" spans="1:11">
      <c r="A185" s="16" t="s">
        <v>73</v>
      </c>
      <c r="B185" s="16" t="s">
        <v>74</v>
      </c>
      <c r="C185" s="17" t="s">
        <v>75</v>
      </c>
      <c r="D185" s="18" t="s">
        <v>76</v>
      </c>
      <c r="E185" s="19" t="s">
        <v>77</v>
      </c>
      <c r="F185" t="str">
        <f>'Source Table'!$B$8</f>
        <v>Balqa</v>
      </c>
      <c r="G185" t="str">
        <f>'Source Table'!$F$8</f>
        <v>البلقاء</v>
      </c>
      <c r="H185" t="str">
        <f>'Source Table'!$E$6</f>
        <v>Rural Roads</v>
      </c>
      <c r="I185" t="str">
        <f>'Source Table'!$E$5</f>
        <v>طرق قروية</v>
      </c>
      <c r="J185" s="27">
        <v>218</v>
      </c>
      <c r="K185">
        <v>2018</v>
      </c>
    </row>
    <row r="186" ht="15.75" spans="1:11">
      <c r="A186" s="16" t="s">
        <v>73</v>
      </c>
      <c r="B186" s="16" t="s">
        <v>74</v>
      </c>
      <c r="C186" s="17" t="s">
        <v>75</v>
      </c>
      <c r="D186" s="18" t="s">
        <v>76</v>
      </c>
      <c r="E186" s="19" t="s">
        <v>77</v>
      </c>
      <c r="F186" t="str">
        <f>'Source Table'!$B$9</f>
        <v>Zarqa</v>
      </c>
      <c r="G186" t="str">
        <f>'Source Table'!$F$9</f>
        <v>الزرقاء</v>
      </c>
      <c r="H186" t="str">
        <f>'Source Table'!$E$6</f>
        <v>Rural Roads</v>
      </c>
      <c r="I186" t="str">
        <f>'Source Table'!$E$5</f>
        <v>طرق قروية</v>
      </c>
      <c r="J186" s="27">
        <v>137</v>
      </c>
      <c r="K186">
        <v>2018</v>
      </c>
    </row>
    <row r="187" ht="15.75" spans="1:11">
      <c r="A187" s="16" t="s">
        <v>73</v>
      </c>
      <c r="B187" s="16" t="s">
        <v>74</v>
      </c>
      <c r="C187" s="17" t="s">
        <v>75</v>
      </c>
      <c r="D187" s="18" t="s">
        <v>76</v>
      </c>
      <c r="E187" s="19" t="s">
        <v>77</v>
      </c>
      <c r="F187" t="str">
        <f>'Source Table'!$B$10</f>
        <v>Madaba</v>
      </c>
      <c r="G187" t="str">
        <f>'Source Table'!$F$10</f>
        <v>مأدبا</v>
      </c>
      <c r="H187" t="str">
        <f>'Source Table'!$E$6</f>
        <v>Rural Roads</v>
      </c>
      <c r="I187" t="str">
        <f>'Source Table'!$E$5</f>
        <v>طرق قروية</v>
      </c>
      <c r="J187" s="27">
        <v>202</v>
      </c>
      <c r="K187">
        <v>2018</v>
      </c>
    </row>
    <row r="188" ht="15.75" spans="1:11">
      <c r="A188" s="16" t="s">
        <v>73</v>
      </c>
      <c r="B188" s="16" t="s">
        <v>74</v>
      </c>
      <c r="C188" s="17" t="s">
        <v>75</v>
      </c>
      <c r="D188" s="18" t="s">
        <v>76</v>
      </c>
      <c r="E188" s="19" t="s">
        <v>77</v>
      </c>
      <c r="F188" t="str">
        <f>'Source Table'!$B$11</f>
        <v>Irbid</v>
      </c>
      <c r="G188" t="str">
        <f>'Source Table'!$F$11</f>
        <v>إربد</v>
      </c>
      <c r="H188" t="str">
        <f>'Source Table'!$E$6</f>
        <v>Rural Roads</v>
      </c>
      <c r="I188" t="str">
        <f>'Source Table'!$E$5</f>
        <v>طرق قروية</v>
      </c>
      <c r="J188" s="27">
        <v>347</v>
      </c>
      <c r="K188">
        <v>2018</v>
      </c>
    </row>
    <row r="189" ht="15.75" spans="1:11">
      <c r="A189" s="16" t="s">
        <v>73</v>
      </c>
      <c r="B189" s="16" t="s">
        <v>74</v>
      </c>
      <c r="C189" s="17" t="s">
        <v>75</v>
      </c>
      <c r="D189" s="18" t="s">
        <v>76</v>
      </c>
      <c r="E189" s="19" t="s">
        <v>77</v>
      </c>
      <c r="F189" t="str">
        <f>'Source Table'!$B$12</f>
        <v>Mafraq</v>
      </c>
      <c r="G189" t="str">
        <f>'Source Table'!$F$12</f>
        <v>المفرق</v>
      </c>
      <c r="H189" t="str">
        <f>'Source Table'!$E$6</f>
        <v>Rural Roads</v>
      </c>
      <c r="I189" t="str">
        <f>'Source Table'!$E$5</f>
        <v>طرق قروية</v>
      </c>
      <c r="J189" s="27">
        <v>378</v>
      </c>
      <c r="K189">
        <v>2018</v>
      </c>
    </row>
    <row r="190" ht="15.75" spans="1:11">
      <c r="A190" s="16" t="s">
        <v>73</v>
      </c>
      <c r="B190" s="16" t="s">
        <v>74</v>
      </c>
      <c r="C190" s="17" t="s">
        <v>75</v>
      </c>
      <c r="D190" s="18" t="s">
        <v>76</v>
      </c>
      <c r="E190" s="19" t="s">
        <v>77</v>
      </c>
      <c r="F190" t="str">
        <f>'Source Table'!$B$13</f>
        <v>Jarash</v>
      </c>
      <c r="G190" t="str">
        <f>'Source Table'!$F$13</f>
        <v>جرش</v>
      </c>
      <c r="H190" t="str">
        <f>'Source Table'!$E$6</f>
        <v>Rural Roads</v>
      </c>
      <c r="I190" t="str">
        <f>'Source Table'!$E$5</f>
        <v>طرق قروية</v>
      </c>
      <c r="J190" s="27">
        <v>241</v>
      </c>
      <c r="K190">
        <v>2018</v>
      </c>
    </row>
    <row r="191" ht="15.75" spans="1:11">
      <c r="A191" s="16" t="s">
        <v>73</v>
      </c>
      <c r="B191" s="16" t="s">
        <v>74</v>
      </c>
      <c r="C191" s="17" t="s">
        <v>75</v>
      </c>
      <c r="D191" s="18" t="s">
        <v>76</v>
      </c>
      <c r="E191" s="19" t="s">
        <v>77</v>
      </c>
      <c r="F191" t="str">
        <f>'Source Table'!$B$14</f>
        <v>Ajloun</v>
      </c>
      <c r="G191" t="str">
        <f>'Source Table'!$F$14</f>
        <v>عجلون</v>
      </c>
      <c r="H191" t="str">
        <f>'Source Table'!$E$6</f>
        <v>Rural Roads</v>
      </c>
      <c r="I191" t="str">
        <f>'Source Table'!$E$5</f>
        <v>طرق قروية</v>
      </c>
      <c r="J191" s="27">
        <v>135</v>
      </c>
      <c r="K191">
        <v>2018</v>
      </c>
    </row>
    <row r="192" ht="15.75" spans="1:11">
      <c r="A192" s="16" t="s">
        <v>73</v>
      </c>
      <c r="B192" s="16" t="s">
        <v>74</v>
      </c>
      <c r="C192" s="17" t="s">
        <v>75</v>
      </c>
      <c r="D192" s="18" t="s">
        <v>76</v>
      </c>
      <c r="E192" s="19" t="s">
        <v>77</v>
      </c>
      <c r="F192" t="str">
        <f>'Source Table'!$B$15</f>
        <v>Karak</v>
      </c>
      <c r="G192" t="str">
        <f>'Source Table'!$F$15</f>
        <v>الكرك</v>
      </c>
      <c r="H192" t="str">
        <f>'Source Table'!$E$6</f>
        <v>Rural Roads</v>
      </c>
      <c r="I192" t="str">
        <f>'Source Table'!$E$5</f>
        <v>طرق قروية</v>
      </c>
      <c r="J192" s="27">
        <v>207</v>
      </c>
      <c r="K192">
        <v>2018</v>
      </c>
    </row>
    <row r="193" ht="15.75" spans="1:11">
      <c r="A193" s="16" t="s">
        <v>73</v>
      </c>
      <c r="B193" s="16" t="s">
        <v>74</v>
      </c>
      <c r="C193" s="17" t="s">
        <v>75</v>
      </c>
      <c r="D193" s="18" t="s">
        <v>76</v>
      </c>
      <c r="E193" s="19" t="s">
        <v>77</v>
      </c>
      <c r="F193" t="str">
        <f>'Source Table'!$B$16</f>
        <v>Tafiela</v>
      </c>
      <c r="G193" t="str">
        <f>'Source Table'!$F$16</f>
        <v>الطفيله</v>
      </c>
      <c r="H193" t="str">
        <f>'Source Table'!$E$6</f>
        <v>Rural Roads</v>
      </c>
      <c r="I193" t="str">
        <f>'Source Table'!$E$5</f>
        <v>طرق قروية</v>
      </c>
      <c r="J193" s="27">
        <v>44</v>
      </c>
      <c r="K193">
        <v>2018</v>
      </c>
    </row>
    <row r="194" ht="15.75" spans="1:11">
      <c r="A194" s="16" t="s">
        <v>73</v>
      </c>
      <c r="B194" s="16" t="s">
        <v>74</v>
      </c>
      <c r="C194" s="17" t="s">
        <v>75</v>
      </c>
      <c r="D194" s="18" t="s">
        <v>76</v>
      </c>
      <c r="E194" s="19" t="s">
        <v>77</v>
      </c>
      <c r="F194" t="str">
        <f>'Source Table'!$B$17</f>
        <v>Ma'an</v>
      </c>
      <c r="G194" t="str">
        <f>'Source Table'!$F$17</f>
        <v>معان</v>
      </c>
      <c r="H194" t="str">
        <f>'Source Table'!$E$6</f>
        <v>Rural Roads</v>
      </c>
      <c r="I194" t="str">
        <f>'Source Table'!$E$5</f>
        <v>طرق قروية</v>
      </c>
      <c r="J194" s="27">
        <v>44</v>
      </c>
      <c r="K194">
        <v>2018</v>
      </c>
    </row>
    <row r="195" ht="16.5" spans="1:11">
      <c r="A195" s="16" t="s">
        <v>73</v>
      </c>
      <c r="B195" s="16" t="s">
        <v>74</v>
      </c>
      <c r="C195" s="17" t="s">
        <v>75</v>
      </c>
      <c r="D195" s="18" t="s">
        <v>76</v>
      </c>
      <c r="E195" s="19" t="s">
        <v>77</v>
      </c>
      <c r="F195" t="str">
        <f>'Source Table'!$B$18</f>
        <v>Aqaba</v>
      </c>
      <c r="G195" t="str">
        <f>'Source Table'!$F$18</f>
        <v>العقبة</v>
      </c>
      <c r="H195" t="str">
        <f>'Source Table'!$E$6</f>
        <v>Rural Roads</v>
      </c>
      <c r="I195" t="str">
        <f>'Source Table'!$E$5</f>
        <v>طرق قروية</v>
      </c>
      <c r="J195" s="28">
        <v>81</v>
      </c>
      <c r="K195">
        <v>2018</v>
      </c>
    </row>
    <row r="196" ht="15.75" spans="1:11">
      <c r="A196" s="16" t="s">
        <v>73</v>
      </c>
      <c r="B196" s="16" t="s">
        <v>74</v>
      </c>
      <c r="C196" s="17" t="s">
        <v>75</v>
      </c>
      <c r="D196" s="18" t="s">
        <v>76</v>
      </c>
      <c r="E196" s="19" t="s">
        <v>77</v>
      </c>
      <c r="F196" t="str">
        <f>'Source Table'!$B$7</f>
        <v>Amman</v>
      </c>
      <c r="G196" t="str">
        <f>'Source Table'!$F$7</f>
        <v>العاصمة</v>
      </c>
      <c r="H196" t="str">
        <f>'Source Table'!$D$6</f>
        <v>Secondary Roads</v>
      </c>
      <c r="I196" t="str">
        <f>'Source Table'!$D$5</f>
        <v>طرق ثانوية</v>
      </c>
      <c r="J196" s="24">
        <v>190</v>
      </c>
      <c r="K196">
        <v>2018</v>
      </c>
    </row>
    <row r="197" ht="15.75" spans="1:11">
      <c r="A197" s="16" t="s">
        <v>73</v>
      </c>
      <c r="B197" s="16" t="s">
        <v>74</v>
      </c>
      <c r="C197" s="17" t="s">
        <v>75</v>
      </c>
      <c r="D197" s="18" t="s">
        <v>76</v>
      </c>
      <c r="E197" s="19" t="s">
        <v>77</v>
      </c>
      <c r="F197" t="str">
        <f>'Source Table'!$B$8</f>
        <v>Balqa</v>
      </c>
      <c r="G197" t="str">
        <f>'Source Table'!$F$8</f>
        <v>البلقاء</v>
      </c>
      <c r="H197" t="str">
        <f>'Source Table'!$D$6</f>
        <v>Secondary Roads</v>
      </c>
      <c r="I197" t="str">
        <f>'Source Table'!$D$5</f>
        <v>طرق ثانوية</v>
      </c>
      <c r="J197" s="24">
        <v>136</v>
      </c>
      <c r="K197">
        <v>2018</v>
      </c>
    </row>
    <row r="198" ht="15.75" spans="1:11">
      <c r="A198" s="16" t="s">
        <v>73</v>
      </c>
      <c r="B198" s="16" t="s">
        <v>74</v>
      </c>
      <c r="C198" s="17" t="s">
        <v>75</v>
      </c>
      <c r="D198" s="18" t="s">
        <v>76</v>
      </c>
      <c r="E198" s="19" t="s">
        <v>77</v>
      </c>
      <c r="F198" t="str">
        <f>'Source Table'!$B$9</f>
        <v>Zarqa</v>
      </c>
      <c r="G198" t="str">
        <f>'Source Table'!$F$9</f>
        <v>الزرقاء</v>
      </c>
      <c r="H198" t="str">
        <f>'Source Table'!$D$6</f>
        <v>Secondary Roads</v>
      </c>
      <c r="I198" t="str">
        <f>'Source Table'!$D$5</f>
        <v>طرق ثانوية</v>
      </c>
      <c r="J198" s="24">
        <v>104</v>
      </c>
      <c r="K198">
        <v>2018</v>
      </c>
    </row>
    <row r="199" ht="15.75" spans="1:11">
      <c r="A199" s="16" t="s">
        <v>73</v>
      </c>
      <c r="B199" s="16" t="s">
        <v>74</v>
      </c>
      <c r="C199" s="17" t="s">
        <v>75</v>
      </c>
      <c r="D199" s="18" t="s">
        <v>76</v>
      </c>
      <c r="E199" s="19" t="s">
        <v>77</v>
      </c>
      <c r="F199" t="str">
        <f>'Source Table'!$B$10</f>
        <v>Madaba</v>
      </c>
      <c r="G199" t="str">
        <f>'Source Table'!$F$10</f>
        <v>مأدبا</v>
      </c>
      <c r="H199" t="str">
        <f>'Source Table'!$D$6</f>
        <v>Secondary Roads</v>
      </c>
      <c r="I199" t="str">
        <f>'Source Table'!$D$5</f>
        <v>طرق ثانوية</v>
      </c>
      <c r="J199" s="24">
        <v>120</v>
      </c>
      <c r="K199">
        <v>2018</v>
      </c>
    </row>
    <row r="200" ht="15.75" spans="1:11">
      <c r="A200" s="16" t="s">
        <v>73</v>
      </c>
      <c r="B200" s="16" t="s">
        <v>74</v>
      </c>
      <c r="C200" s="17" t="s">
        <v>75</v>
      </c>
      <c r="D200" s="18" t="s">
        <v>76</v>
      </c>
      <c r="E200" s="19" t="s">
        <v>77</v>
      </c>
      <c r="F200" t="str">
        <f>'Source Table'!$B$11</f>
        <v>Irbid</v>
      </c>
      <c r="G200" t="str">
        <f>'Source Table'!$F$11</f>
        <v>إربد</v>
      </c>
      <c r="H200" t="str">
        <f>'Source Table'!$D$6</f>
        <v>Secondary Roads</v>
      </c>
      <c r="I200" t="str">
        <f>'Source Table'!$D$5</f>
        <v>طرق ثانوية</v>
      </c>
      <c r="J200" s="24">
        <v>383</v>
      </c>
      <c r="K200">
        <v>2018</v>
      </c>
    </row>
    <row r="201" ht="15.75" spans="1:11">
      <c r="A201" s="16" t="s">
        <v>73</v>
      </c>
      <c r="B201" s="16" t="s">
        <v>74</v>
      </c>
      <c r="C201" s="17" t="s">
        <v>75</v>
      </c>
      <c r="D201" s="18" t="s">
        <v>76</v>
      </c>
      <c r="E201" s="19" t="s">
        <v>77</v>
      </c>
      <c r="F201" t="str">
        <f>'Source Table'!$B$12</f>
        <v>Mafraq</v>
      </c>
      <c r="G201" t="str">
        <f>'Source Table'!$F$12</f>
        <v>المفرق</v>
      </c>
      <c r="H201" t="str">
        <f>'Source Table'!$D$6</f>
        <v>Secondary Roads</v>
      </c>
      <c r="I201" t="str">
        <f>'Source Table'!$D$5</f>
        <v>طرق ثانوية</v>
      </c>
      <c r="J201" s="24">
        <v>305</v>
      </c>
      <c r="K201">
        <v>2018</v>
      </c>
    </row>
    <row r="202" ht="15.75" spans="1:11">
      <c r="A202" s="16" t="s">
        <v>73</v>
      </c>
      <c r="B202" s="16" t="s">
        <v>74</v>
      </c>
      <c r="C202" s="17" t="s">
        <v>75</v>
      </c>
      <c r="D202" s="18" t="s">
        <v>76</v>
      </c>
      <c r="E202" s="19" t="s">
        <v>77</v>
      </c>
      <c r="F202" t="str">
        <f>'Source Table'!$B$13</f>
        <v>Jarash</v>
      </c>
      <c r="G202" t="str">
        <f>'Source Table'!$F$13</f>
        <v>جرش</v>
      </c>
      <c r="H202" t="str">
        <f>'Source Table'!$D$6</f>
        <v>Secondary Roads</v>
      </c>
      <c r="I202" t="str">
        <f>'Source Table'!$D$5</f>
        <v>طرق ثانوية</v>
      </c>
      <c r="J202" s="24">
        <v>94</v>
      </c>
      <c r="K202">
        <v>2018</v>
      </c>
    </row>
    <row r="203" ht="15.75" spans="1:11">
      <c r="A203" s="16" t="s">
        <v>73</v>
      </c>
      <c r="B203" s="16" t="s">
        <v>74</v>
      </c>
      <c r="C203" s="17" t="s">
        <v>75</v>
      </c>
      <c r="D203" s="18" t="s">
        <v>76</v>
      </c>
      <c r="E203" s="19" t="s">
        <v>77</v>
      </c>
      <c r="F203" t="str">
        <f>'Source Table'!$B$14</f>
        <v>Ajloun</v>
      </c>
      <c r="G203" t="str">
        <f>'Source Table'!$F$14</f>
        <v>عجلون</v>
      </c>
      <c r="H203" t="str">
        <f>'Source Table'!$D$6</f>
        <v>Secondary Roads</v>
      </c>
      <c r="I203" t="str">
        <f>'Source Table'!$D$5</f>
        <v>طرق ثانوية</v>
      </c>
      <c r="J203" s="24">
        <v>128</v>
      </c>
      <c r="K203">
        <v>2018</v>
      </c>
    </row>
    <row r="204" ht="15.75" spans="1:11">
      <c r="A204" s="16" t="s">
        <v>73</v>
      </c>
      <c r="B204" s="16" t="s">
        <v>74</v>
      </c>
      <c r="C204" s="17" t="s">
        <v>75</v>
      </c>
      <c r="D204" s="18" t="s">
        <v>76</v>
      </c>
      <c r="E204" s="19" t="s">
        <v>77</v>
      </c>
      <c r="F204" t="str">
        <f>'Source Table'!$B$15</f>
        <v>Karak</v>
      </c>
      <c r="G204" t="str">
        <f>'Source Table'!$F$15</f>
        <v>الكرك</v>
      </c>
      <c r="H204" t="str">
        <f>'Source Table'!$D$6</f>
        <v>Secondary Roads</v>
      </c>
      <c r="I204" t="str">
        <f>'Source Table'!$D$5</f>
        <v>طرق ثانوية</v>
      </c>
      <c r="J204" s="24">
        <v>175</v>
      </c>
      <c r="K204">
        <v>2018</v>
      </c>
    </row>
    <row r="205" ht="15.75" spans="1:11">
      <c r="A205" s="16" t="s">
        <v>73</v>
      </c>
      <c r="B205" s="16" t="s">
        <v>74</v>
      </c>
      <c r="C205" s="17" t="s">
        <v>75</v>
      </c>
      <c r="D205" s="18" t="s">
        <v>76</v>
      </c>
      <c r="E205" s="19" t="s">
        <v>77</v>
      </c>
      <c r="F205" t="str">
        <f>'Source Table'!$B$16</f>
        <v>Tafiela</v>
      </c>
      <c r="G205" t="str">
        <f>'Source Table'!$F$16</f>
        <v>الطفيله</v>
      </c>
      <c r="H205" t="str">
        <f>'Source Table'!$D$6</f>
        <v>Secondary Roads</v>
      </c>
      <c r="I205" t="str">
        <f>'Source Table'!$D$5</f>
        <v>طرق ثانوية</v>
      </c>
      <c r="J205" s="24">
        <v>40</v>
      </c>
      <c r="K205">
        <v>2018</v>
      </c>
    </row>
    <row r="206" ht="15.75" spans="1:11">
      <c r="A206" s="16" t="s">
        <v>73</v>
      </c>
      <c r="B206" s="16" t="s">
        <v>74</v>
      </c>
      <c r="C206" s="17" t="s">
        <v>75</v>
      </c>
      <c r="D206" s="18" t="s">
        <v>76</v>
      </c>
      <c r="E206" s="19" t="s">
        <v>77</v>
      </c>
      <c r="F206" t="str">
        <f>'Source Table'!$B$17</f>
        <v>Ma'an</v>
      </c>
      <c r="G206" t="str">
        <f>'Source Table'!$F$17</f>
        <v>معان</v>
      </c>
      <c r="H206" t="str">
        <f>'Source Table'!$D$6</f>
        <v>Secondary Roads</v>
      </c>
      <c r="I206" t="str">
        <f>'Source Table'!$D$5</f>
        <v>طرق ثانوية</v>
      </c>
      <c r="J206" s="24">
        <v>228</v>
      </c>
      <c r="K206">
        <v>2018</v>
      </c>
    </row>
    <row r="207" ht="16.5" spans="1:11">
      <c r="A207" s="16" t="s">
        <v>73</v>
      </c>
      <c r="B207" s="16" t="s">
        <v>74</v>
      </c>
      <c r="C207" s="17" t="s">
        <v>75</v>
      </c>
      <c r="D207" s="18" t="s">
        <v>76</v>
      </c>
      <c r="E207" s="19" t="s">
        <v>77</v>
      </c>
      <c r="F207" t="str">
        <f>'Source Table'!$B$18</f>
        <v>Aqaba</v>
      </c>
      <c r="G207" t="str">
        <f>'Source Table'!$F$18</f>
        <v>العقبة</v>
      </c>
      <c r="H207" t="str">
        <f>'Source Table'!$D$6</f>
        <v>Secondary Roads</v>
      </c>
      <c r="I207" t="str">
        <f>'Source Table'!$D$5</f>
        <v>طرق ثانوية</v>
      </c>
      <c r="J207" s="26">
        <v>51</v>
      </c>
      <c r="K207">
        <v>2018</v>
      </c>
    </row>
    <row r="208" ht="15.75" spans="1:11">
      <c r="A208" s="16" t="s">
        <v>73</v>
      </c>
      <c r="B208" s="16" t="s">
        <v>74</v>
      </c>
      <c r="C208" s="17" t="s">
        <v>75</v>
      </c>
      <c r="D208" s="18" t="s">
        <v>76</v>
      </c>
      <c r="E208" s="19" t="s">
        <v>77</v>
      </c>
      <c r="F208" t="str">
        <f>'Source Table'!$B$7</f>
        <v>Amman</v>
      </c>
      <c r="G208" t="str">
        <f>'Source Table'!$F$7</f>
        <v>العاصمة</v>
      </c>
      <c r="H208" t="str">
        <f>'Source Table'!$C$6</f>
        <v>Highways</v>
      </c>
      <c r="I208" t="str">
        <f>'Source Table'!$C$5</f>
        <v>طرق رئيسية</v>
      </c>
      <c r="J208" s="24">
        <v>306</v>
      </c>
      <c r="K208">
        <v>2018</v>
      </c>
    </row>
    <row r="209" ht="15.75" spans="1:11">
      <c r="A209" s="16" t="s">
        <v>73</v>
      </c>
      <c r="B209" s="16" t="s">
        <v>74</v>
      </c>
      <c r="C209" s="17" t="s">
        <v>75</v>
      </c>
      <c r="D209" s="18" t="s">
        <v>76</v>
      </c>
      <c r="E209" s="19" t="s">
        <v>77</v>
      </c>
      <c r="F209" t="str">
        <f>'Source Table'!$B$8</f>
        <v>Balqa</v>
      </c>
      <c r="G209" t="str">
        <f>'Source Table'!$F$8</f>
        <v>البلقاء</v>
      </c>
      <c r="H209" t="str">
        <f>'Source Table'!$C$6</f>
        <v>Highways</v>
      </c>
      <c r="I209" t="str">
        <f>'Source Table'!$C$5</f>
        <v>طرق رئيسية</v>
      </c>
      <c r="J209" s="24">
        <v>198</v>
      </c>
      <c r="K209">
        <v>2018</v>
      </c>
    </row>
    <row r="210" ht="15.75" spans="1:11">
      <c r="A210" s="16" t="s">
        <v>73</v>
      </c>
      <c r="B210" s="16" t="s">
        <v>74</v>
      </c>
      <c r="C210" s="17" t="s">
        <v>75</v>
      </c>
      <c r="D210" s="18" t="s">
        <v>76</v>
      </c>
      <c r="E210" s="19" t="s">
        <v>77</v>
      </c>
      <c r="F210" t="str">
        <f>'Source Table'!$B$9</f>
        <v>Zarqa</v>
      </c>
      <c r="G210" t="str">
        <f>'Source Table'!$F$9</f>
        <v>الزرقاء</v>
      </c>
      <c r="H210" t="str">
        <f>'Source Table'!$C$6</f>
        <v>Highways</v>
      </c>
      <c r="I210" t="str">
        <f>'Source Table'!$C$5</f>
        <v>طرق رئيسية</v>
      </c>
      <c r="J210" s="24">
        <v>272</v>
      </c>
      <c r="K210">
        <v>2018</v>
      </c>
    </row>
    <row r="211" ht="15.75" spans="1:11">
      <c r="A211" s="16" t="s">
        <v>73</v>
      </c>
      <c r="B211" s="16" t="s">
        <v>74</v>
      </c>
      <c r="C211" s="17" t="s">
        <v>75</v>
      </c>
      <c r="D211" s="18" t="s">
        <v>76</v>
      </c>
      <c r="E211" s="19" t="s">
        <v>77</v>
      </c>
      <c r="F211" t="str">
        <f>'Source Table'!$B$10</f>
        <v>Madaba</v>
      </c>
      <c r="G211" t="str">
        <f>'Source Table'!$F$10</f>
        <v>مأدبا</v>
      </c>
      <c r="H211" t="str">
        <f>'Source Table'!$C$6</f>
        <v>Highways</v>
      </c>
      <c r="I211" t="str">
        <f>'Source Table'!$C$5</f>
        <v>طرق رئيسية</v>
      </c>
      <c r="J211" s="24">
        <v>131</v>
      </c>
      <c r="K211">
        <v>2018</v>
      </c>
    </row>
    <row r="212" ht="15.75" spans="1:11">
      <c r="A212" s="16" t="s">
        <v>73</v>
      </c>
      <c r="B212" s="16" t="s">
        <v>74</v>
      </c>
      <c r="C212" s="17" t="s">
        <v>75</v>
      </c>
      <c r="D212" s="18" t="s">
        <v>76</v>
      </c>
      <c r="E212" s="19" t="s">
        <v>77</v>
      </c>
      <c r="F212" t="str">
        <f>'Source Table'!$B$11</f>
        <v>Irbid</v>
      </c>
      <c r="G212" t="str">
        <f>'Source Table'!$F$11</f>
        <v>إربد</v>
      </c>
      <c r="H212" t="str">
        <f>'Source Table'!$C$6</f>
        <v>Highways</v>
      </c>
      <c r="I212" t="str">
        <f>'Source Table'!$C$5</f>
        <v>طرق رئيسية</v>
      </c>
      <c r="J212" s="24">
        <v>162</v>
      </c>
      <c r="K212">
        <v>2018</v>
      </c>
    </row>
    <row r="213" ht="15.75" spans="1:11">
      <c r="A213" s="16" t="s">
        <v>73</v>
      </c>
      <c r="B213" s="16" t="s">
        <v>74</v>
      </c>
      <c r="C213" s="17" t="s">
        <v>75</v>
      </c>
      <c r="D213" s="18" t="s">
        <v>76</v>
      </c>
      <c r="E213" s="19" t="s">
        <v>77</v>
      </c>
      <c r="F213" t="str">
        <f>'Source Table'!$B$12</f>
        <v>Mafraq</v>
      </c>
      <c r="G213" t="str">
        <f>'Source Table'!$F$12</f>
        <v>المفرق</v>
      </c>
      <c r="H213" t="str">
        <f>'Source Table'!$C$6</f>
        <v>Highways</v>
      </c>
      <c r="I213" t="str">
        <f>'Source Table'!$C$5</f>
        <v>طرق رئيسية</v>
      </c>
      <c r="J213" s="24">
        <v>450</v>
      </c>
      <c r="K213">
        <v>2018</v>
      </c>
    </row>
    <row r="214" ht="15.75" spans="1:11">
      <c r="A214" s="16" t="s">
        <v>73</v>
      </c>
      <c r="B214" s="16" t="s">
        <v>74</v>
      </c>
      <c r="C214" s="17" t="s">
        <v>75</v>
      </c>
      <c r="D214" s="18" t="s">
        <v>76</v>
      </c>
      <c r="E214" s="19" t="s">
        <v>77</v>
      </c>
      <c r="F214" t="str">
        <f>'Source Table'!$B$13</f>
        <v>Jarash</v>
      </c>
      <c r="G214" t="str">
        <f>'Source Table'!$F$13</f>
        <v>جرش</v>
      </c>
      <c r="H214" t="str">
        <f>'Source Table'!$C$6</f>
        <v>Highways</v>
      </c>
      <c r="I214" t="str">
        <f>'Source Table'!$C$5</f>
        <v>طرق رئيسية</v>
      </c>
      <c r="J214" s="24">
        <v>86</v>
      </c>
      <c r="K214">
        <v>2018</v>
      </c>
    </row>
    <row r="215" ht="15.75" spans="1:11">
      <c r="A215" s="16" t="s">
        <v>73</v>
      </c>
      <c r="B215" s="16" t="s">
        <v>74</v>
      </c>
      <c r="C215" s="17" t="s">
        <v>75</v>
      </c>
      <c r="D215" s="18" t="s">
        <v>76</v>
      </c>
      <c r="E215" s="19" t="s">
        <v>77</v>
      </c>
      <c r="F215" t="str">
        <f>'Source Table'!$B$14</f>
        <v>Ajloun</v>
      </c>
      <c r="G215" t="str">
        <f>'Source Table'!$F$14</f>
        <v>عجلون</v>
      </c>
      <c r="H215" t="str">
        <f>'Source Table'!$C$6</f>
        <v>Highways</v>
      </c>
      <c r="I215" t="str">
        <f>'Source Table'!$C$5</f>
        <v>طرق رئيسية</v>
      </c>
      <c r="J215" s="24">
        <v>56</v>
      </c>
      <c r="K215">
        <v>2018</v>
      </c>
    </row>
    <row r="216" ht="15.75" spans="1:11">
      <c r="A216" s="16" t="s">
        <v>73</v>
      </c>
      <c r="B216" s="16" t="s">
        <v>74</v>
      </c>
      <c r="C216" s="17" t="s">
        <v>75</v>
      </c>
      <c r="D216" s="18" t="s">
        <v>76</v>
      </c>
      <c r="E216" s="19" t="s">
        <v>77</v>
      </c>
      <c r="F216" t="str">
        <f>'Source Table'!$B$15</f>
        <v>Karak</v>
      </c>
      <c r="G216" t="str">
        <f>'Source Table'!$F$15</f>
        <v>الكرك</v>
      </c>
      <c r="H216" t="str">
        <f>'Source Table'!$C$6</f>
        <v>Highways</v>
      </c>
      <c r="I216" t="str">
        <f>'Source Table'!$C$5</f>
        <v>طرق رئيسية</v>
      </c>
      <c r="J216" s="24">
        <v>295</v>
      </c>
      <c r="K216">
        <v>2018</v>
      </c>
    </row>
    <row r="217" ht="15.75" spans="1:11">
      <c r="A217" s="16" t="s">
        <v>73</v>
      </c>
      <c r="B217" s="16" t="s">
        <v>74</v>
      </c>
      <c r="C217" s="17" t="s">
        <v>75</v>
      </c>
      <c r="D217" s="18" t="s">
        <v>76</v>
      </c>
      <c r="E217" s="19" t="s">
        <v>77</v>
      </c>
      <c r="F217" t="str">
        <f>'Source Table'!$B$16</f>
        <v>Tafiela</v>
      </c>
      <c r="G217" t="str">
        <f>'Source Table'!$F$16</f>
        <v>الطفيله</v>
      </c>
      <c r="H217" t="str">
        <f>'Source Table'!$C$6</f>
        <v>Highways</v>
      </c>
      <c r="I217" t="str">
        <f>'Source Table'!$C$5</f>
        <v>طرق رئيسية</v>
      </c>
      <c r="J217" s="24">
        <v>179</v>
      </c>
      <c r="K217">
        <v>2018</v>
      </c>
    </row>
    <row r="218" ht="15.75" spans="1:11">
      <c r="A218" s="16" t="s">
        <v>73</v>
      </c>
      <c r="B218" s="16" t="s">
        <v>74</v>
      </c>
      <c r="C218" s="17" t="s">
        <v>75</v>
      </c>
      <c r="D218" s="18" t="s">
        <v>76</v>
      </c>
      <c r="E218" s="19" t="s">
        <v>77</v>
      </c>
      <c r="F218" t="str">
        <f>'Source Table'!$B$17</f>
        <v>Ma'an</v>
      </c>
      <c r="G218" t="str">
        <f>'Source Table'!$F$17</f>
        <v>معان</v>
      </c>
      <c r="H218" t="str">
        <f>'Source Table'!$C$6</f>
        <v>Highways</v>
      </c>
      <c r="I218" t="str">
        <f>'Source Table'!$C$5</f>
        <v>طرق رئيسية</v>
      </c>
      <c r="J218" s="24">
        <v>535</v>
      </c>
      <c r="K218">
        <v>2018</v>
      </c>
    </row>
    <row r="219" ht="16.5" spans="1:11">
      <c r="A219" s="16" t="s">
        <v>73</v>
      </c>
      <c r="B219" s="16" t="s">
        <v>74</v>
      </c>
      <c r="C219" s="17" t="s">
        <v>75</v>
      </c>
      <c r="D219" s="18" t="s">
        <v>76</v>
      </c>
      <c r="E219" s="19" t="s">
        <v>77</v>
      </c>
      <c r="F219" t="str">
        <f>'Source Table'!$B$18</f>
        <v>Aqaba</v>
      </c>
      <c r="G219" t="str">
        <f>'Source Table'!$F$18</f>
        <v>العقبة</v>
      </c>
      <c r="H219" t="str">
        <f>'Source Table'!$C$6</f>
        <v>Highways</v>
      </c>
      <c r="I219" t="str">
        <f>'Source Table'!$C$5</f>
        <v>طرق رئيسية</v>
      </c>
      <c r="J219" s="28">
        <v>312</v>
      </c>
      <c r="K219">
        <v>2018</v>
      </c>
    </row>
    <row r="220" ht="15.75" spans="1:11">
      <c r="A220" s="16" t="s">
        <v>73</v>
      </c>
      <c r="B220" s="16" t="s">
        <v>74</v>
      </c>
      <c r="C220" s="17" t="s">
        <v>75</v>
      </c>
      <c r="D220" s="18" t="s">
        <v>76</v>
      </c>
      <c r="E220" s="19" t="s">
        <v>77</v>
      </c>
      <c r="F220" t="str">
        <f>'Source Table'!$B$7</f>
        <v>Amman</v>
      </c>
      <c r="G220" t="str">
        <f>'Source Table'!$F$7</f>
        <v>العاصمة</v>
      </c>
      <c r="H220" t="str">
        <f>'Source Table'!$E$6</f>
        <v>Rural Roads</v>
      </c>
      <c r="I220" t="str">
        <f>'Source Table'!$E$5</f>
        <v>طرق قروية</v>
      </c>
      <c r="J220" s="27">
        <v>564</v>
      </c>
      <c r="K220">
        <v>2017</v>
      </c>
    </row>
    <row r="221" ht="15.75" spans="1:11">
      <c r="A221" s="16" t="s">
        <v>73</v>
      </c>
      <c r="B221" s="16" t="s">
        <v>74</v>
      </c>
      <c r="C221" s="17" t="s">
        <v>75</v>
      </c>
      <c r="D221" s="18" t="s">
        <v>76</v>
      </c>
      <c r="E221" s="19" t="s">
        <v>77</v>
      </c>
      <c r="F221" t="str">
        <f>'Source Table'!$B$8</f>
        <v>Balqa</v>
      </c>
      <c r="G221" t="str">
        <f>'Source Table'!$F$8</f>
        <v>البلقاء</v>
      </c>
      <c r="H221" t="str">
        <f>'Source Table'!$E$6</f>
        <v>Rural Roads</v>
      </c>
      <c r="I221" t="str">
        <f>'Source Table'!$E$5</f>
        <v>طرق قروية</v>
      </c>
      <c r="J221" s="27">
        <v>292</v>
      </c>
      <c r="K221">
        <v>2017</v>
      </c>
    </row>
    <row r="222" ht="15.75" spans="1:11">
      <c r="A222" s="16" t="s">
        <v>73</v>
      </c>
      <c r="B222" s="16" t="s">
        <v>74</v>
      </c>
      <c r="C222" s="17" t="s">
        <v>75</v>
      </c>
      <c r="D222" s="18" t="s">
        <v>76</v>
      </c>
      <c r="E222" s="19" t="s">
        <v>77</v>
      </c>
      <c r="F222" t="str">
        <f>'Source Table'!$B$9</f>
        <v>Zarqa</v>
      </c>
      <c r="G222" t="str">
        <f>'Source Table'!$F$9</f>
        <v>الزرقاء</v>
      </c>
      <c r="H222" t="str">
        <f>'Source Table'!$E$6</f>
        <v>Rural Roads</v>
      </c>
      <c r="I222" t="str">
        <f>'Source Table'!$E$5</f>
        <v>طرق قروية</v>
      </c>
      <c r="J222" s="27">
        <v>129</v>
      </c>
      <c r="K222">
        <v>2017</v>
      </c>
    </row>
    <row r="223" ht="15.75" spans="1:11">
      <c r="A223" s="16" t="s">
        <v>73</v>
      </c>
      <c r="B223" s="16" t="s">
        <v>74</v>
      </c>
      <c r="C223" s="17" t="s">
        <v>75</v>
      </c>
      <c r="D223" s="18" t="s">
        <v>76</v>
      </c>
      <c r="E223" s="19" t="s">
        <v>77</v>
      </c>
      <c r="F223" t="str">
        <f>'Source Table'!$B$10</f>
        <v>Madaba</v>
      </c>
      <c r="G223" t="str">
        <f>'Source Table'!$F$10</f>
        <v>مأدبا</v>
      </c>
      <c r="H223" t="str">
        <f>'Source Table'!$E$6</f>
        <v>Rural Roads</v>
      </c>
      <c r="I223" t="str">
        <f>'Source Table'!$E$5</f>
        <v>طرق قروية</v>
      </c>
      <c r="J223" s="27">
        <v>235</v>
      </c>
      <c r="K223">
        <v>2017</v>
      </c>
    </row>
    <row r="224" ht="15.75" spans="1:11">
      <c r="A224" s="16" t="s">
        <v>73</v>
      </c>
      <c r="B224" s="16" t="s">
        <v>74</v>
      </c>
      <c r="C224" s="17" t="s">
        <v>75</v>
      </c>
      <c r="D224" s="18" t="s">
        <v>76</v>
      </c>
      <c r="E224" s="19" t="s">
        <v>77</v>
      </c>
      <c r="F224" t="str">
        <f>'Source Table'!$B$11</f>
        <v>Irbid</v>
      </c>
      <c r="G224" t="str">
        <f>'Source Table'!$F$11</f>
        <v>إربد</v>
      </c>
      <c r="H224" t="str">
        <f>'Source Table'!$E$6</f>
        <v>Rural Roads</v>
      </c>
      <c r="I224" t="str">
        <f>'Source Table'!$E$5</f>
        <v>طرق قروية</v>
      </c>
      <c r="J224" s="27">
        <v>335</v>
      </c>
      <c r="K224">
        <v>2017</v>
      </c>
    </row>
    <row r="225" ht="15.75" spans="1:11">
      <c r="A225" s="16" t="s">
        <v>73</v>
      </c>
      <c r="B225" s="16" t="s">
        <v>74</v>
      </c>
      <c r="C225" s="17" t="s">
        <v>75</v>
      </c>
      <c r="D225" s="18" t="s">
        <v>76</v>
      </c>
      <c r="E225" s="19" t="s">
        <v>77</v>
      </c>
      <c r="F225" t="str">
        <f>'Source Table'!$B$12</f>
        <v>Mafraq</v>
      </c>
      <c r="G225" t="str">
        <f>'Source Table'!$F$12</f>
        <v>المفرق</v>
      </c>
      <c r="H225" t="str">
        <f>'Source Table'!$E$6</f>
        <v>Rural Roads</v>
      </c>
      <c r="I225" t="str">
        <f>'Source Table'!$E$5</f>
        <v>طرق قروية</v>
      </c>
      <c r="J225" s="27">
        <v>348</v>
      </c>
      <c r="K225">
        <v>2017</v>
      </c>
    </row>
    <row r="226" ht="15.75" spans="1:11">
      <c r="A226" s="16" t="s">
        <v>73</v>
      </c>
      <c r="B226" s="16" t="s">
        <v>74</v>
      </c>
      <c r="C226" s="17" t="s">
        <v>75</v>
      </c>
      <c r="D226" s="18" t="s">
        <v>76</v>
      </c>
      <c r="E226" s="19" t="s">
        <v>77</v>
      </c>
      <c r="F226" t="str">
        <f>'Source Table'!$B$13</f>
        <v>Jarash</v>
      </c>
      <c r="G226" t="str">
        <f>'Source Table'!$F$13</f>
        <v>جرش</v>
      </c>
      <c r="H226" t="str">
        <f>'Source Table'!$E$6</f>
        <v>Rural Roads</v>
      </c>
      <c r="I226" t="str">
        <f>'Source Table'!$E$5</f>
        <v>طرق قروية</v>
      </c>
      <c r="J226" s="27">
        <v>241</v>
      </c>
      <c r="K226">
        <v>2017</v>
      </c>
    </row>
    <row r="227" ht="15.75" spans="1:11">
      <c r="A227" s="16" t="s">
        <v>73</v>
      </c>
      <c r="B227" s="16" t="s">
        <v>74</v>
      </c>
      <c r="C227" s="17" t="s">
        <v>75</v>
      </c>
      <c r="D227" s="18" t="s">
        <v>76</v>
      </c>
      <c r="E227" s="19" t="s">
        <v>77</v>
      </c>
      <c r="F227" t="str">
        <f>'Source Table'!$B$14</f>
        <v>Ajloun</v>
      </c>
      <c r="G227" t="str">
        <f>'Source Table'!$F$14</f>
        <v>عجلون</v>
      </c>
      <c r="H227" t="str">
        <f>'Source Table'!$E$6</f>
        <v>Rural Roads</v>
      </c>
      <c r="I227" t="str">
        <f>'Source Table'!$E$5</f>
        <v>طرق قروية</v>
      </c>
      <c r="J227" s="27">
        <v>132</v>
      </c>
      <c r="K227">
        <v>2017</v>
      </c>
    </row>
    <row r="228" ht="15.75" spans="1:11">
      <c r="A228" s="16" t="s">
        <v>73</v>
      </c>
      <c r="B228" s="16" t="s">
        <v>74</v>
      </c>
      <c r="C228" s="17" t="s">
        <v>75</v>
      </c>
      <c r="D228" s="18" t="s">
        <v>76</v>
      </c>
      <c r="E228" s="19" t="s">
        <v>77</v>
      </c>
      <c r="F228" t="str">
        <f>'Source Table'!$B$15</f>
        <v>Karak</v>
      </c>
      <c r="G228" t="str">
        <f>'Source Table'!$F$15</f>
        <v>الكرك</v>
      </c>
      <c r="H228" t="str">
        <f>'Source Table'!$E$6</f>
        <v>Rural Roads</v>
      </c>
      <c r="I228" t="str">
        <f>'Source Table'!$E$5</f>
        <v>طرق قروية</v>
      </c>
      <c r="J228" s="27">
        <v>234</v>
      </c>
      <c r="K228">
        <v>2017</v>
      </c>
    </row>
    <row r="229" ht="15.75" spans="1:11">
      <c r="A229" s="16" t="s">
        <v>73</v>
      </c>
      <c r="B229" s="16" t="s">
        <v>74</v>
      </c>
      <c r="C229" s="17" t="s">
        <v>75</v>
      </c>
      <c r="D229" s="18" t="s">
        <v>76</v>
      </c>
      <c r="E229" s="19" t="s">
        <v>77</v>
      </c>
      <c r="F229" t="str">
        <f>'Source Table'!$B$16</f>
        <v>Tafiela</v>
      </c>
      <c r="G229" t="str">
        <f>'Source Table'!$F$16</f>
        <v>الطفيله</v>
      </c>
      <c r="H229" t="str">
        <f>'Source Table'!$E$6</f>
        <v>Rural Roads</v>
      </c>
      <c r="I229" t="str">
        <f>'Source Table'!$E$5</f>
        <v>طرق قروية</v>
      </c>
      <c r="J229" s="27">
        <v>44</v>
      </c>
      <c r="K229">
        <v>2017</v>
      </c>
    </row>
    <row r="230" ht="15.75" spans="1:11">
      <c r="A230" s="16" t="s">
        <v>73</v>
      </c>
      <c r="B230" s="16" t="s">
        <v>74</v>
      </c>
      <c r="C230" s="17" t="s">
        <v>75</v>
      </c>
      <c r="D230" s="18" t="s">
        <v>76</v>
      </c>
      <c r="E230" s="19" t="s">
        <v>77</v>
      </c>
      <c r="F230" t="str">
        <f>'Source Table'!$B$17</f>
        <v>Ma'an</v>
      </c>
      <c r="G230" t="str">
        <f>'Source Table'!$F$17</f>
        <v>معان</v>
      </c>
      <c r="H230" t="str">
        <f>'Source Table'!$E$6</f>
        <v>Rural Roads</v>
      </c>
      <c r="I230" t="str">
        <f>'Source Table'!$E$5</f>
        <v>طرق قروية</v>
      </c>
      <c r="J230" s="27">
        <v>44</v>
      </c>
      <c r="K230">
        <v>2017</v>
      </c>
    </row>
    <row r="231" ht="16.5" spans="1:11">
      <c r="A231" s="16" t="s">
        <v>73</v>
      </c>
      <c r="B231" s="16" t="s">
        <v>74</v>
      </c>
      <c r="C231" s="17" t="s">
        <v>75</v>
      </c>
      <c r="D231" s="18" t="s">
        <v>76</v>
      </c>
      <c r="E231" s="19" t="s">
        <v>77</v>
      </c>
      <c r="F231" t="str">
        <f>'Source Table'!$B$18</f>
        <v>Aqaba</v>
      </c>
      <c r="G231" t="str">
        <f>'Source Table'!$F$18</f>
        <v>العقبة</v>
      </c>
      <c r="H231" t="str">
        <f>'Source Table'!$E$6</f>
        <v>Rural Roads</v>
      </c>
      <c r="I231" t="str">
        <f>'Source Table'!$E$5</f>
        <v>طرق قروية</v>
      </c>
      <c r="J231" s="28">
        <v>81</v>
      </c>
      <c r="K231">
        <v>2017</v>
      </c>
    </row>
    <row r="232" ht="15.75" spans="1:11">
      <c r="A232" s="16" t="s">
        <v>73</v>
      </c>
      <c r="B232" s="16" t="s">
        <v>74</v>
      </c>
      <c r="C232" s="17" t="s">
        <v>75</v>
      </c>
      <c r="D232" s="18" t="s">
        <v>76</v>
      </c>
      <c r="E232" s="19" t="s">
        <v>77</v>
      </c>
      <c r="F232" t="str">
        <f>'Source Table'!$B$7</f>
        <v>Amman</v>
      </c>
      <c r="G232" t="str">
        <f>'Source Table'!$F$7</f>
        <v>العاصمة</v>
      </c>
      <c r="H232" t="str">
        <f>'Source Table'!$D$6</f>
        <v>Secondary Roads</v>
      </c>
      <c r="I232" t="str">
        <f>'Source Table'!$D$5</f>
        <v>طرق ثانوية</v>
      </c>
      <c r="J232" s="27">
        <v>271</v>
      </c>
      <c r="K232">
        <v>2017</v>
      </c>
    </row>
    <row r="233" ht="15.75" spans="1:11">
      <c r="A233" s="16" t="s">
        <v>73</v>
      </c>
      <c r="B233" s="16" t="s">
        <v>74</v>
      </c>
      <c r="C233" s="17" t="s">
        <v>75</v>
      </c>
      <c r="D233" s="18" t="s">
        <v>76</v>
      </c>
      <c r="E233" s="19" t="s">
        <v>77</v>
      </c>
      <c r="F233" t="str">
        <f>'Source Table'!$B$8</f>
        <v>Balqa</v>
      </c>
      <c r="G233" t="str">
        <f>'Source Table'!$F$8</f>
        <v>البلقاء</v>
      </c>
      <c r="H233" t="str">
        <f>'Source Table'!$D$6</f>
        <v>Secondary Roads</v>
      </c>
      <c r="I233" t="str">
        <f>'Source Table'!$D$5</f>
        <v>طرق ثانوية</v>
      </c>
      <c r="J233" s="27">
        <v>143</v>
      </c>
      <c r="K233">
        <v>2017</v>
      </c>
    </row>
    <row r="234" ht="15.75" spans="1:11">
      <c r="A234" s="16" t="s">
        <v>73</v>
      </c>
      <c r="B234" s="16" t="s">
        <v>74</v>
      </c>
      <c r="C234" s="17" t="s">
        <v>75</v>
      </c>
      <c r="D234" s="18" t="s">
        <v>76</v>
      </c>
      <c r="E234" s="19" t="s">
        <v>77</v>
      </c>
      <c r="F234" t="str">
        <f>'Source Table'!$B$9</f>
        <v>Zarqa</v>
      </c>
      <c r="G234" t="str">
        <f>'Source Table'!$F$9</f>
        <v>الزرقاء</v>
      </c>
      <c r="H234" t="str">
        <f>'Source Table'!$D$6</f>
        <v>Secondary Roads</v>
      </c>
      <c r="I234" t="str">
        <f>'Source Table'!$D$5</f>
        <v>طرق ثانوية</v>
      </c>
      <c r="J234" s="27">
        <v>98</v>
      </c>
      <c r="K234">
        <v>2017</v>
      </c>
    </row>
    <row r="235" ht="15.75" spans="1:11">
      <c r="A235" s="16" t="s">
        <v>73</v>
      </c>
      <c r="B235" s="16" t="s">
        <v>74</v>
      </c>
      <c r="C235" s="17" t="s">
        <v>75</v>
      </c>
      <c r="D235" s="18" t="s">
        <v>76</v>
      </c>
      <c r="E235" s="19" t="s">
        <v>77</v>
      </c>
      <c r="F235" t="str">
        <f>'Source Table'!$B$10</f>
        <v>Madaba</v>
      </c>
      <c r="G235" t="str">
        <f>'Source Table'!$F$10</f>
        <v>مأدبا</v>
      </c>
      <c r="H235" t="str">
        <f>'Source Table'!$D$6</f>
        <v>Secondary Roads</v>
      </c>
      <c r="I235" t="str">
        <f>'Source Table'!$D$5</f>
        <v>طرق ثانوية</v>
      </c>
      <c r="J235" s="27">
        <v>107</v>
      </c>
      <c r="K235">
        <v>2017</v>
      </c>
    </row>
    <row r="236" ht="15.75" spans="1:11">
      <c r="A236" s="16" t="s">
        <v>73</v>
      </c>
      <c r="B236" s="16" t="s">
        <v>74</v>
      </c>
      <c r="C236" s="17" t="s">
        <v>75</v>
      </c>
      <c r="D236" s="18" t="s">
        <v>76</v>
      </c>
      <c r="E236" s="19" t="s">
        <v>77</v>
      </c>
      <c r="F236" t="str">
        <f>'Source Table'!$B$11</f>
        <v>Irbid</v>
      </c>
      <c r="G236" t="str">
        <f>'Source Table'!$F$11</f>
        <v>إربد</v>
      </c>
      <c r="H236" t="str">
        <f>'Source Table'!$D$6</f>
        <v>Secondary Roads</v>
      </c>
      <c r="I236" t="str">
        <f>'Source Table'!$D$5</f>
        <v>طرق ثانوية</v>
      </c>
      <c r="J236" s="27">
        <v>380</v>
      </c>
      <c r="K236">
        <v>2017</v>
      </c>
    </row>
    <row r="237" ht="15.75" spans="1:11">
      <c r="A237" s="16" t="s">
        <v>73</v>
      </c>
      <c r="B237" s="16" t="s">
        <v>74</v>
      </c>
      <c r="C237" s="17" t="s">
        <v>75</v>
      </c>
      <c r="D237" s="18" t="s">
        <v>76</v>
      </c>
      <c r="E237" s="19" t="s">
        <v>77</v>
      </c>
      <c r="F237" t="str">
        <f>'Source Table'!$B$12</f>
        <v>Mafraq</v>
      </c>
      <c r="G237" t="str">
        <f>'Source Table'!$F$12</f>
        <v>المفرق</v>
      </c>
      <c r="H237" t="str">
        <f>'Source Table'!$D$6</f>
        <v>Secondary Roads</v>
      </c>
      <c r="I237" t="str">
        <f>'Source Table'!$D$5</f>
        <v>طرق ثانوية</v>
      </c>
      <c r="J237" s="27">
        <v>297</v>
      </c>
      <c r="K237">
        <v>2017</v>
      </c>
    </row>
    <row r="238" ht="15.75" spans="1:11">
      <c r="A238" s="16" t="s">
        <v>73</v>
      </c>
      <c r="B238" s="16" t="s">
        <v>74</v>
      </c>
      <c r="C238" s="17" t="s">
        <v>75</v>
      </c>
      <c r="D238" s="18" t="s">
        <v>76</v>
      </c>
      <c r="E238" s="19" t="s">
        <v>77</v>
      </c>
      <c r="F238" t="str">
        <f>'Source Table'!$B$13</f>
        <v>Jarash</v>
      </c>
      <c r="G238" t="str">
        <f>'Source Table'!$F$13</f>
        <v>جرش</v>
      </c>
      <c r="H238" t="str">
        <f>'Source Table'!$D$6</f>
        <v>Secondary Roads</v>
      </c>
      <c r="I238" t="str">
        <f>'Source Table'!$D$5</f>
        <v>طرق ثانوية</v>
      </c>
      <c r="J238" s="27">
        <v>94</v>
      </c>
      <c r="K238">
        <v>2017</v>
      </c>
    </row>
    <row r="239" ht="15.75" spans="1:11">
      <c r="A239" s="16" t="s">
        <v>73</v>
      </c>
      <c r="B239" s="16" t="s">
        <v>74</v>
      </c>
      <c r="C239" s="17" t="s">
        <v>75</v>
      </c>
      <c r="D239" s="18" t="s">
        <v>76</v>
      </c>
      <c r="E239" s="19" t="s">
        <v>77</v>
      </c>
      <c r="F239" t="str">
        <f>'Source Table'!$B$14</f>
        <v>Ajloun</v>
      </c>
      <c r="G239" t="str">
        <f>'Source Table'!$F$14</f>
        <v>عجلون</v>
      </c>
      <c r="H239" t="str">
        <f>'Source Table'!$D$6</f>
        <v>Secondary Roads</v>
      </c>
      <c r="I239" t="str">
        <f>'Source Table'!$D$5</f>
        <v>طرق ثانوية</v>
      </c>
      <c r="J239" s="27">
        <v>128</v>
      </c>
      <c r="K239">
        <v>2017</v>
      </c>
    </row>
    <row r="240" ht="15.75" spans="1:11">
      <c r="A240" s="16" t="s">
        <v>73</v>
      </c>
      <c r="B240" s="16" t="s">
        <v>74</v>
      </c>
      <c r="C240" s="17" t="s">
        <v>75</v>
      </c>
      <c r="D240" s="18" t="s">
        <v>76</v>
      </c>
      <c r="E240" s="19" t="s">
        <v>77</v>
      </c>
      <c r="F240" t="str">
        <f>'Source Table'!$B$15</f>
        <v>Karak</v>
      </c>
      <c r="G240" t="str">
        <f>'Source Table'!$F$15</f>
        <v>الكرك</v>
      </c>
      <c r="H240" t="str">
        <f>'Source Table'!$D$6</f>
        <v>Secondary Roads</v>
      </c>
      <c r="I240" t="str">
        <f>'Source Table'!$D$5</f>
        <v>طرق ثانوية</v>
      </c>
      <c r="J240" s="27">
        <v>164</v>
      </c>
      <c r="K240">
        <v>2017</v>
      </c>
    </row>
    <row r="241" ht="15.75" spans="1:11">
      <c r="A241" s="16" t="s">
        <v>73</v>
      </c>
      <c r="B241" s="16" t="s">
        <v>74</v>
      </c>
      <c r="C241" s="17" t="s">
        <v>75</v>
      </c>
      <c r="D241" s="18" t="s">
        <v>76</v>
      </c>
      <c r="E241" s="19" t="s">
        <v>77</v>
      </c>
      <c r="F241" t="str">
        <f>'Source Table'!$B$16</f>
        <v>Tafiela</v>
      </c>
      <c r="G241" t="str">
        <f>'Source Table'!$F$16</f>
        <v>الطفيله</v>
      </c>
      <c r="H241" t="str">
        <f>'Source Table'!$D$6</f>
        <v>Secondary Roads</v>
      </c>
      <c r="I241" t="str">
        <f>'Source Table'!$D$5</f>
        <v>طرق ثانوية</v>
      </c>
      <c r="J241" s="27">
        <v>39</v>
      </c>
      <c r="K241">
        <v>2017</v>
      </c>
    </row>
    <row r="242" ht="15.75" spans="1:11">
      <c r="A242" s="16" t="s">
        <v>73</v>
      </c>
      <c r="B242" s="16" t="s">
        <v>74</v>
      </c>
      <c r="C242" s="17" t="s">
        <v>75</v>
      </c>
      <c r="D242" s="18" t="s">
        <v>76</v>
      </c>
      <c r="E242" s="19" t="s">
        <v>77</v>
      </c>
      <c r="F242" t="str">
        <f>'Source Table'!$B$17</f>
        <v>Ma'an</v>
      </c>
      <c r="G242" t="str">
        <f>'Source Table'!$F$17</f>
        <v>معان</v>
      </c>
      <c r="H242" t="str">
        <f>'Source Table'!$D$6</f>
        <v>Secondary Roads</v>
      </c>
      <c r="I242" t="str">
        <f>'Source Table'!$D$5</f>
        <v>طرق ثانوية</v>
      </c>
      <c r="J242" s="27">
        <v>227</v>
      </c>
      <c r="K242">
        <v>2017</v>
      </c>
    </row>
    <row r="243" ht="16.5" spans="1:11">
      <c r="A243" s="16" t="s">
        <v>73</v>
      </c>
      <c r="B243" s="16" t="s">
        <v>74</v>
      </c>
      <c r="C243" s="17" t="s">
        <v>75</v>
      </c>
      <c r="D243" s="18" t="s">
        <v>76</v>
      </c>
      <c r="E243" s="19" t="s">
        <v>77</v>
      </c>
      <c r="F243" t="str">
        <f>'Source Table'!$B$18</f>
        <v>Aqaba</v>
      </c>
      <c r="G243" t="str">
        <f>'Source Table'!$F$18</f>
        <v>العقبة</v>
      </c>
      <c r="H243" t="str">
        <f>'Source Table'!$D$6</f>
        <v>Secondary Roads</v>
      </c>
      <c r="I243" t="str">
        <f>'Source Table'!$D$5</f>
        <v>طرق ثانوية</v>
      </c>
      <c r="J243" s="28">
        <v>51</v>
      </c>
      <c r="K243">
        <v>2017</v>
      </c>
    </row>
    <row r="244" ht="15.75" spans="1:11">
      <c r="A244" s="16" t="s">
        <v>73</v>
      </c>
      <c r="B244" s="16" t="s">
        <v>74</v>
      </c>
      <c r="C244" s="17" t="s">
        <v>75</v>
      </c>
      <c r="D244" s="18" t="s">
        <v>76</v>
      </c>
      <c r="E244" s="19" t="s">
        <v>77</v>
      </c>
      <c r="F244" t="str">
        <f>'Source Table'!$B$7</f>
        <v>Amman</v>
      </c>
      <c r="G244" t="str">
        <f>'Source Table'!$F$7</f>
        <v>العاصمة</v>
      </c>
      <c r="H244" t="str">
        <f>'Source Table'!$C$6</f>
        <v>Highways</v>
      </c>
      <c r="I244" t="str">
        <f>'Source Table'!$C$5</f>
        <v>طرق رئيسية</v>
      </c>
      <c r="J244" s="27">
        <v>277</v>
      </c>
      <c r="K244">
        <v>2017</v>
      </c>
    </row>
    <row r="245" ht="15.75" spans="1:11">
      <c r="A245" s="16" t="s">
        <v>73</v>
      </c>
      <c r="B245" s="16" t="s">
        <v>74</v>
      </c>
      <c r="C245" s="17" t="s">
        <v>75</v>
      </c>
      <c r="D245" s="18" t="s">
        <v>76</v>
      </c>
      <c r="E245" s="19" t="s">
        <v>77</v>
      </c>
      <c r="F245" t="str">
        <f>'Source Table'!$B$8</f>
        <v>Balqa</v>
      </c>
      <c r="G245" t="str">
        <f>'Source Table'!$F$8</f>
        <v>البلقاء</v>
      </c>
      <c r="H245" t="str">
        <f>'Source Table'!$C$6</f>
        <v>Highways</v>
      </c>
      <c r="I245" t="str">
        <f>'Source Table'!$C$5</f>
        <v>طرق رئيسية</v>
      </c>
      <c r="J245" s="27">
        <v>140</v>
      </c>
      <c r="K245">
        <v>2017</v>
      </c>
    </row>
    <row r="246" ht="15.75" spans="1:11">
      <c r="A246" s="16" t="s">
        <v>73</v>
      </c>
      <c r="B246" s="16" t="s">
        <v>74</v>
      </c>
      <c r="C246" s="17" t="s">
        <v>75</v>
      </c>
      <c r="D246" s="18" t="s">
        <v>76</v>
      </c>
      <c r="E246" s="19" t="s">
        <v>77</v>
      </c>
      <c r="F246" t="str">
        <f>'Source Table'!$B$9</f>
        <v>Zarqa</v>
      </c>
      <c r="G246" t="str">
        <f>'Source Table'!$F$9</f>
        <v>الزرقاء</v>
      </c>
      <c r="H246" t="str">
        <f>'Source Table'!$C$6</f>
        <v>Highways</v>
      </c>
      <c r="I246" t="str">
        <f>'Source Table'!$C$5</f>
        <v>طرق رئيسية</v>
      </c>
      <c r="J246" s="27">
        <v>257</v>
      </c>
      <c r="K246">
        <v>2017</v>
      </c>
    </row>
    <row r="247" ht="15.75" spans="1:11">
      <c r="A247" s="16" t="s">
        <v>73</v>
      </c>
      <c r="B247" s="16" t="s">
        <v>74</v>
      </c>
      <c r="C247" s="17" t="s">
        <v>75</v>
      </c>
      <c r="D247" s="18" t="s">
        <v>76</v>
      </c>
      <c r="E247" s="19" t="s">
        <v>77</v>
      </c>
      <c r="F247" t="str">
        <f>'Source Table'!$B$10</f>
        <v>Madaba</v>
      </c>
      <c r="G247" t="str">
        <f>'Source Table'!$F$10</f>
        <v>مأدبا</v>
      </c>
      <c r="H247" t="str">
        <f>'Source Table'!$C$6</f>
        <v>Highways</v>
      </c>
      <c r="I247" t="str">
        <f>'Source Table'!$C$5</f>
        <v>طرق رئيسية</v>
      </c>
      <c r="J247" s="27">
        <v>52</v>
      </c>
      <c r="K247">
        <v>2017</v>
      </c>
    </row>
    <row r="248" ht="15.75" spans="1:11">
      <c r="A248" s="16" t="s">
        <v>73</v>
      </c>
      <c r="B248" s="16" t="s">
        <v>74</v>
      </c>
      <c r="C248" s="17" t="s">
        <v>75</v>
      </c>
      <c r="D248" s="18" t="s">
        <v>76</v>
      </c>
      <c r="E248" s="19" t="s">
        <v>77</v>
      </c>
      <c r="F248" t="str">
        <f>'Source Table'!$B$11</f>
        <v>Irbid</v>
      </c>
      <c r="G248" t="str">
        <f>'Source Table'!$F$11</f>
        <v>إربد</v>
      </c>
      <c r="H248" t="str">
        <f>'Source Table'!$C$6</f>
        <v>Highways</v>
      </c>
      <c r="I248" t="str">
        <f>'Source Table'!$C$5</f>
        <v>طرق رئيسية</v>
      </c>
      <c r="J248" s="27">
        <v>162</v>
      </c>
      <c r="K248">
        <v>2017</v>
      </c>
    </row>
    <row r="249" ht="15.75" spans="1:11">
      <c r="A249" s="16" t="s">
        <v>73</v>
      </c>
      <c r="B249" s="16" t="s">
        <v>74</v>
      </c>
      <c r="C249" s="17" t="s">
        <v>75</v>
      </c>
      <c r="D249" s="18" t="s">
        <v>76</v>
      </c>
      <c r="E249" s="19" t="s">
        <v>77</v>
      </c>
      <c r="F249" t="str">
        <f>'Source Table'!$B$12</f>
        <v>Mafraq</v>
      </c>
      <c r="G249" t="str">
        <f>'Source Table'!$F$12</f>
        <v>المفرق</v>
      </c>
      <c r="H249" t="str">
        <f>'Source Table'!$C$6</f>
        <v>Highways</v>
      </c>
      <c r="I249" t="str">
        <f>'Source Table'!$C$5</f>
        <v>طرق رئيسية</v>
      </c>
      <c r="J249" s="27">
        <v>450</v>
      </c>
      <c r="K249">
        <v>2017</v>
      </c>
    </row>
    <row r="250" ht="15.75" spans="1:11">
      <c r="A250" s="16" t="s">
        <v>73</v>
      </c>
      <c r="B250" s="16" t="s">
        <v>74</v>
      </c>
      <c r="C250" s="17" t="s">
        <v>75</v>
      </c>
      <c r="D250" s="18" t="s">
        <v>76</v>
      </c>
      <c r="E250" s="19" t="s">
        <v>77</v>
      </c>
      <c r="F250" t="str">
        <f>'Source Table'!$B$13</f>
        <v>Jarash</v>
      </c>
      <c r="G250" t="str">
        <f>'Source Table'!$F$13</f>
        <v>جرش</v>
      </c>
      <c r="H250" t="str">
        <f>'Source Table'!$C$6</f>
        <v>Highways</v>
      </c>
      <c r="I250" t="str">
        <f>'Source Table'!$C$5</f>
        <v>طرق رئيسية</v>
      </c>
      <c r="J250" s="27">
        <v>86</v>
      </c>
      <c r="K250">
        <v>2017</v>
      </c>
    </row>
    <row r="251" ht="15.75" spans="1:11">
      <c r="A251" s="16" t="s">
        <v>73</v>
      </c>
      <c r="B251" s="16" t="s">
        <v>74</v>
      </c>
      <c r="C251" s="17" t="s">
        <v>75</v>
      </c>
      <c r="D251" s="18" t="s">
        <v>76</v>
      </c>
      <c r="E251" s="19" t="s">
        <v>77</v>
      </c>
      <c r="F251" t="str">
        <f>'Source Table'!$B$14</f>
        <v>Ajloun</v>
      </c>
      <c r="G251" t="str">
        <f>'Source Table'!$F$14</f>
        <v>عجلون</v>
      </c>
      <c r="H251" t="str">
        <f>'Source Table'!$C$6</f>
        <v>Highways</v>
      </c>
      <c r="I251" t="str">
        <f>'Source Table'!$C$5</f>
        <v>طرق رئيسية</v>
      </c>
      <c r="J251" s="27">
        <v>56</v>
      </c>
      <c r="K251">
        <v>2017</v>
      </c>
    </row>
    <row r="252" ht="15.75" spans="1:11">
      <c r="A252" s="16" t="s">
        <v>73</v>
      </c>
      <c r="B252" s="16" t="s">
        <v>74</v>
      </c>
      <c r="C252" s="17" t="s">
        <v>75</v>
      </c>
      <c r="D252" s="18" t="s">
        <v>76</v>
      </c>
      <c r="E252" s="19" t="s">
        <v>77</v>
      </c>
      <c r="F252" t="str">
        <f>'Source Table'!$B$15</f>
        <v>Karak</v>
      </c>
      <c r="G252" t="str">
        <f>'Source Table'!$F$15</f>
        <v>الكرك</v>
      </c>
      <c r="H252" t="str">
        <f>'Source Table'!$C$6</f>
        <v>Highways</v>
      </c>
      <c r="I252" t="str">
        <f>'Source Table'!$C$5</f>
        <v>طرق رئيسية</v>
      </c>
      <c r="J252" s="27">
        <v>299</v>
      </c>
      <c r="K252">
        <v>2017</v>
      </c>
    </row>
    <row r="253" ht="15.75" spans="1:11">
      <c r="A253" s="16" t="s">
        <v>73</v>
      </c>
      <c r="B253" s="16" t="s">
        <v>74</v>
      </c>
      <c r="C253" s="17" t="s">
        <v>75</v>
      </c>
      <c r="D253" s="18" t="s">
        <v>76</v>
      </c>
      <c r="E253" s="19" t="s">
        <v>77</v>
      </c>
      <c r="F253" t="str">
        <f>'Source Table'!$B$16</f>
        <v>Tafiela</v>
      </c>
      <c r="G253" t="str">
        <f>'Source Table'!$F$16</f>
        <v>الطفيله</v>
      </c>
      <c r="H253" t="str">
        <f>'Source Table'!$C$6</f>
        <v>Highways</v>
      </c>
      <c r="I253" t="str">
        <f>'Source Table'!$C$5</f>
        <v>طرق رئيسية</v>
      </c>
      <c r="J253" s="27">
        <v>179</v>
      </c>
      <c r="K253">
        <v>2017</v>
      </c>
    </row>
    <row r="254" ht="15.75" spans="1:11">
      <c r="A254" s="16" t="s">
        <v>73</v>
      </c>
      <c r="B254" s="16" t="s">
        <v>74</v>
      </c>
      <c r="C254" s="17" t="s">
        <v>75</v>
      </c>
      <c r="D254" s="18" t="s">
        <v>76</v>
      </c>
      <c r="E254" s="19" t="s">
        <v>77</v>
      </c>
      <c r="F254" t="str">
        <f>'Source Table'!$B$17</f>
        <v>Ma'an</v>
      </c>
      <c r="G254" t="str">
        <f>'Source Table'!$F$17</f>
        <v>معان</v>
      </c>
      <c r="H254" t="str">
        <f>'Source Table'!$C$6</f>
        <v>Highways</v>
      </c>
      <c r="I254" t="str">
        <f>'Source Table'!$C$5</f>
        <v>طرق رئيسية</v>
      </c>
      <c r="J254" s="27">
        <v>535</v>
      </c>
      <c r="K254">
        <v>2017</v>
      </c>
    </row>
    <row r="255" ht="16.5" spans="1:11">
      <c r="A255" s="16" t="s">
        <v>73</v>
      </c>
      <c r="B255" s="16" t="s">
        <v>74</v>
      </c>
      <c r="C255" s="17" t="s">
        <v>75</v>
      </c>
      <c r="D255" s="18" t="s">
        <v>76</v>
      </c>
      <c r="E255" s="19" t="s">
        <v>77</v>
      </c>
      <c r="F255" t="str">
        <f>'Source Table'!$B$18</f>
        <v>Aqaba</v>
      </c>
      <c r="G255" t="str">
        <f>'Source Table'!$F$18</f>
        <v>العقبة</v>
      </c>
      <c r="H255" t="str">
        <f>'Source Table'!$C$6</f>
        <v>Highways</v>
      </c>
      <c r="I255" t="str">
        <f>'Source Table'!$C$5</f>
        <v>طرق رئيسية</v>
      </c>
      <c r="J255" s="28">
        <v>312</v>
      </c>
      <c r="K255">
        <v>2017</v>
      </c>
    </row>
    <row r="256" ht="15.75" spans="1:11">
      <c r="A256" s="16" t="s">
        <v>73</v>
      </c>
      <c r="B256" s="16" t="s">
        <v>74</v>
      </c>
      <c r="C256" s="17" t="s">
        <v>75</v>
      </c>
      <c r="D256" s="18" t="s">
        <v>76</v>
      </c>
      <c r="E256" s="19" t="s">
        <v>77</v>
      </c>
      <c r="F256" t="str">
        <f>'Source Table'!$B$7</f>
        <v>Amman</v>
      </c>
      <c r="G256" t="str">
        <f>'Source Table'!$F$7</f>
        <v>العاصمة</v>
      </c>
      <c r="H256" t="str">
        <f>'Source Table'!$E$6</f>
        <v>Rural Roads</v>
      </c>
      <c r="I256" t="str">
        <f>'Source Table'!$E$5</f>
        <v>طرق قروية</v>
      </c>
      <c r="J256" s="29">
        <v>564</v>
      </c>
      <c r="K256">
        <v>2016</v>
      </c>
    </row>
    <row r="257" ht="15.75" spans="1:11">
      <c r="A257" s="16" t="s">
        <v>73</v>
      </c>
      <c r="B257" s="16" t="s">
        <v>74</v>
      </c>
      <c r="C257" s="17" t="s">
        <v>75</v>
      </c>
      <c r="D257" s="18" t="s">
        <v>76</v>
      </c>
      <c r="E257" s="19" t="s">
        <v>77</v>
      </c>
      <c r="F257" t="str">
        <f>'Source Table'!$B$8</f>
        <v>Balqa</v>
      </c>
      <c r="G257" t="str">
        <f>'Source Table'!$F$8</f>
        <v>البلقاء</v>
      </c>
      <c r="H257" t="str">
        <f>'Source Table'!$E$6</f>
        <v>Rural Roads</v>
      </c>
      <c r="I257" t="str">
        <f>'Source Table'!$E$5</f>
        <v>طرق قروية</v>
      </c>
      <c r="J257" s="29">
        <v>292</v>
      </c>
      <c r="K257">
        <v>2016</v>
      </c>
    </row>
    <row r="258" ht="15.75" spans="1:11">
      <c r="A258" s="16" t="s">
        <v>73</v>
      </c>
      <c r="B258" s="16" t="s">
        <v>74</v>
      </c>
      <c r="C258" s="17" t="s">
        <v>75</v>
      </c>
      <c r="D258" s="18" t="s">
        <v>76</v>
      </c>
      <c r="E258" s="19" t="s">
        <v>77</v>
      </c>
      <c r="F258" t="str">
        <f>'Source Table'!$B$9</f>
        <v>Zarqa</v>
      </c>
      <c r="G258" t="str">
        <f>'Source Table'!$F$9</f>
        <v>الزرقاء</v>
      </c>
      <c r="H258" t="str">
        <f>'Source Table'!$E$6</f>
        <v>Rural Roads</v>
      </c>
      <c r="I258" t="str">
        <f>'Source Table'!$E$5</f>
        <v>طرق قروية</v>
      </c>
      <c r="J258" s="29">
        <v>129</v>
      </c>
      <c r="K258">
        <v>2016</v>
      </c>
    </row>
    <row r="259" ht="15.75" spans="1:11">
      <c r="A259" s="16" t="s">
        <v>73</v>
      </c>
      <c r="B259" s="16" t="s">
        <v>74</v>
      </c>
      <c r="C259" s="17" t="s">
        <v>75</v>
      </c>
      <c r="D259" s="18" t="s">
        <v>76</v>
      </c>
      <c r="E259" s="19" t="s">
        <v>77</v>
      </c>
      <c r="F259" t="str">
        <f>'Source Table'!$B$10</f>
        <v>Madaba</v>
      </c>
      <c r="G259" t="str">
        <f>'Source Table'!$F$10</f>
        <v>مأدبا</v>
      </c>
      <c r="H259" t="str">
        <f>'Source Table'!$E$6</f>
        <v>Rural Roads</v>
      </c>
      <c r="I259" t="str">
        <f>'Source Table'!$E$5</f>
        <v>طرق قروية</v>
      </c>
      <c r="J259" s="29">
        <v>235</v>
      </c>
      <c r="K259">
        <v>2016</v>
      </c>
    </row>
    <row r="260" ht="15.75" spans="1:11">
      <c r="A260" s="16" t="s">
        <v>73</v>
      </c>
      <c r="B260" s="16" t="s">
        <v>74</v>
      </c>
      <c r="C260" s="17" t="s">
        <v>75</v>
      </c>
      <c r="D260" s="18" t="s">
        <v>76</v>
      </c>
      <c r="E260" s="19" t="s">
        <v>77</v>
      </c>
      <c r="F260" t="str">
        <f>'Source Table'!$B$11</f>
        <v>Irbid</v>
      </c>
      <c r="G260" t="str">
        <f>'Source Table'!$F$11</f>
        <v>إربد</v>
      </c>
      <c r="H260" t="str">
        <f>'Source Table'!$E$6</f>
        <v>Rural Roads</v>
      </c>
      <c r="I260" t="str">
        <f>'Source Table'!$E$5</f>
        <v>طرق قروية</v>
      </c>
      <c r="J260" s="29">
        <v>334.5</v>
      </c>
      <c r="K260">
        <v>2016</v>
      </c>
    </row>
    <row r="261" ht="15.75" spans="1:11">
      <c r="A261" s="16" t="s">
        <v>73</v>
      </c>
      <c r="B261" s="16" t="s">
        <v>74</v>
      </c>
      <c r="C261" s="17" t="s">
        <v>75</v>
      </c>
      <c r="D261" s="18" t="s">
        <v>76</v>
      </c>
      <c r="E261" s="19" t="s">
        <v>77</v>
      </c>
      <c r="F261" t="str">
        <f>'Source Table'!$B$12</f>
        <v>Mafraq</v>
      </c>
      <c r="G261" t="str">
        <f>'Source Table'!$F$12</f>
        <v>المفرق</v>
      </c>
      <c r="H261" t="str">
        <f>'Source Table'!$E$6</f>
        <v>Rural Roads</v>
      </c>
      <c r="I261" t="str">
        <f>'Source Table'!$E$5</f>
        <v>طرق قروية</v>
      </c>
      <c r="J261" s="29">
        <v>335</v>
      </c>
      <c r="K261">
        <v>2016</v>
      </c>
    </row>
    <row r="262" ht="15.75" spans="1:11">
      <c r="A262" s="16" t="s">
        <v>73</v>
      </c>
      <c r="B262" s="16" t="s">
        <v>74</v>
      </c>
      <c r="C262" s="17" t="s">
        <v>75</v>
      </c>
      <c r="D262" s="18" t="s">
        <v>76</v>
      </c>
      <c r="E262" s="19" t="s">
        <v>77</v>
      </c>
      <c r="F262" t="str">
        <f>'Source Table'!$B$13</f>
        <v>Jarash</v>
      </c>
      <c r="G262" t="str">
        <f>'Source Table'!$F$13</f>
        <v>جرش</v>
      </c>
      <c r="H262" t="str">
        <f>'Source Table'!$E$6</f>
        <v>Rural Roads</v>
      </c>
      <c r="I262" t="str">
        <f>'Source Table'!$E$5</f>
        <v>طرق قروية</v>
      </c>
      <c r="J262" s="29">
        <v>241</v>
      </c>
      <c r="K262">
        <v>2016</v>
      </c>
    </row>
    <row r="263" ht="15.75" spans="1:11">
      <c r="A263" s="16" t="s">
        <v>73</v>
      </c>
      <c r="B263" s="16" t="s">
        <v>74</v>
      </c>
      <c r="C263" s="17" t="s">
        <v>75</v>
      </c>
      <c r="D263" s="18" t="s">
        <v>76</v>
      </c>
      <c r="E263" s="19" t="s">
        <v>77</v>
      </c>
      <c r="F263" t="str">
        <f>'Source Table'!$B$14</f>
        <v>Ajloun</v>
      </c>
      <c r="G263" t="str">
        <f>'Source Table'!$F$14</f>
        <v>عجلون</v>
      </c>
      <c r="H263" t="str">
        <f>'Source Table'!$E$6</f>
        <v>Rural Roads</v>
      </c>
      <c r="I263" t="str">
        <f>'Source Table'!$E$5</f>
        <v>طرق قروية</v>
      </c>
      <c r="J263" s="29">
        <v>132</v>
      </c>
      <c r="K263">
        <v>2016</v>
      </c>
    </row>
    <row r="264" ht="15.75" spans="1:11">
      <c r="A264" s="16" t="s">
        <v>73</v>
      </c>
      <c r="B264" s="16" t="s">
        <v>74</v>
      </c>
      <c r="C264" s="17" t="s">
        <v>75</v>
      </c>
      <c r="D264" s="18" t="s">
        <v>76</v>
      </c>
      <c r="E264" s="19" t="s">
        <v>77</v>
      </c>
      <c r="F264" t="str">
        <f>'Source Table'!$B$15</f>
        <v>Karak</v>
      </c>
      <c r="G264" t="str">
        <f>'Source Table'!$F$15</f>
        <v>الكرك</v>
      </c>
      <c r="H264" t="str">
        <f>'Source Table'!$E$6</f>
        <v>Rural Roads</v>
      </c>
      <c r="I264" t="str">
        <f>'Source Table'!$E$5</f>
        <v>طرق قروية</v>
      </c>
      <c r="J264" s="29">
        <v>234</v>
      </c>
      <c r="K264">
        <v>2016</v>
      </c>
    </row>
    <row r="265" ht="15.75" spans="1:11">
      <c r="A265" s="16" t="s">
        <v>73</v>
      </c>
      <c r="B265" s="16" t="s">
        <v>74</v>
      </c>
      <c r="C265" s="17" t="s">
        <v>75</v>
      </c>
      <c r="D265" s="18" t="s">
        <v>76</v>
      </c>
      <c r="E265" s="19" t="s">
        <v>77</v>
      </c>
      <c r="F265" t="str">
        <f>'Source Table'!$B$16</f>
        <v>Tafiela</v>
      </c>
      <c r="G265" t="str">
        <f>'Source Table'!$F$16</f>
        <v>الطفيله</v>
      </c>
      <c r="H265" t="str">
        <f>'Source Table'!$E$6</f>
        <v>Rural Roads</v>
      </c>
      <c r="I265" t="str">
        <f>'Source Table'!$E$5</f>
        <v>طرق قروية</v>
      </c>
      <c r="J265" s="29">
        <v>44</v>
      </c>
      <c r="K265">
        <v>2016</v>
      </c>
    </row>
    <row r="266" ht="15.75" spans="1:11">
      <c r="A266" s="16" t="s">
        <v>73</v>
      </c>
      <c r="B266" s="16" t="s">
        <v>74</v>
      </c>
      <c r="C266" s="17" t="s">
        <v>75</v>
      </c>
      <c r="D266" s="18" t="s">
        <v>76</v>
      </c>
      <c r="E266" s="19" t="s">
        <v>77</v>
      </c>
      <c r="F266" t="str">
        <f>'Source Table'!$B$17</f>
        <v>Ma'an</v>
      </c>
      <c r="G266" t="str">
        <f>'Source Table'!$F$17</f>
        <v>معان</v>
      </c>
      <c r="H266" t="str">
        <f>'Source Table'!$E$6</f>
        <v>Rural Roads</v>
      </c>
      <c r="I266" t="str">
        <f>'Source Table'!$E$5</f>
        <v>طرق قروية</v>
      </c>
      <c r="J266" s="29">
        <v>44</v>
      </c>
      <c r="K266">
        <v>2016</v>
      </c>
    </row>
    <row r="267" ht="16.5" spans="1:11">
      <c r="A267" s="16" t="s">
        <v>73</v>
      </c>
      <c r="B267" s="16" t="s">
        <v>74</v>
      </c>
      <c r="C267" s="17" t="s">
        <v>75</v>
      </c>
      <c r="D267" s="18" t="s">
        <v>76</v>
      </c>
      <c r="E267" s="19" t="s">
        <v>77</v>
      </c>
      <c r="F267" t="str">
        <f>'Source Table'!$B$18</f>
        <v>Aqaba</v>
      </c>
      <c r="G267" t="str">
        <f>'Source Table'!$F$18</f>
        <v>العقبة</v>
      </c>
      <c r="H267" t="str">
        <f>'Source Table'!$E$6</f>
        <v>Rural Roads</v>
      </c>
      <c r="I267" t="str">
        <f>'Source Table'!$E$5</f>
        <v>طرق قروية</v>
      </c>
      <c r="J267" s="30">
        <v>80.9</v>
      </c>
      <c r="K267">
        <v>2016</v>
      </c>
    </row>
    <row r="268" ht="15.75" spans="1:11">
      <c r="A268" s="16" t="s">
        <v>73</v>
      </c>
      <c r="B268" s="16" t="s">
        <v>74</v>
      </c>
      <c r="C268" s="17" t="s">
        <v>75</v>
      </c>
      <c r="D268" s="18" t="s">
        <v>76</v>
      </c>
      <c r="E268" s="19" t="s">
        <v>77</v>
      </c>
      <c r="F268" t="str">
        <f>'Source Table'!$B$7</f>
        <v>Amman</v>
      </c>
      <c r="G268" t="str">
        <f>'Source Table'!$F$7</f>
        <v>العاصمة</v>
      </c>
      <c r="H268" t="str">
        <f>'Source Table'!$D$6</f>
        <v>Secondary Roads</v>
      </c>
      <c r="I268" t="str">
        <f>'Source Table'!$D$5</f>
        <v>طرق ثانوية</v>
      </c>
      <c r="J268" s="29">
        <v>231</v>
      </c>
      <c r="K268">
        <v>2016</v>
      </c>
    </row>
    <row r="269" ht="15.75" spans="1:11">
      <c r="A269" s="16" t="s">
        <v>73</v>
      </c>
      <c r="B269" s="16" t="s">
        <v>74</v>
      </c>
      <c r="C269" s="17" t="s">
        <v>75</v>
      </c>
      <c r="D269" s="18" t="s">
        <v>76</v>
      </c>
      <c r="E269" s="19" t="s">
        <v>77</v>
      </c>
      <c r="F269" t="str">
        <f>'Source Table'!$B$8</f>
        <v>Balqa</v>
      </c>
      <c r="G269" t="str">
        <f>'Source Table'!$F$8</f>
        <v>البلقاء</v>
      </c>
      <c r="H269" t="str">
        <f>'Source Table'!$D$6</f>
        <v>Secondary Roads</v>
      </c>
      <c r="I269" t="str">
        <f>'Source Table'!$D$5</f>
        <v>طرق ثانوية</v>
      </c>
      <c r="J269" s="29">
        <v>143</v>
      </c>
      <c r="K269">
        <v>2016</v>
      </c>
    </row>
    <row r="270" ht="15.75" spans="1:11">
      <c r="A270" s="16" t="s">
        <v>73</v>
      </c>
      <c r="B270" s="16" t="s">
        <v>74</v>
      </c>
      <c r="C270" s="17" t="s">
        <v>75</v>
      </c>
      <c r="D270" s="18" t="s">
        <v>76</v>
      </c>
      <c r="E270" s="19" t="s">
        <v>77</v>
      </c>
      <c r="F270" t="str">
        <f>'Source Table'!$B$9</f>
        <v>Zarqa</v>
      </c>
      <c r="G270" t="str">
        <f>'Source Table'!$F$9</f>
        <v>الزرقاء</v>
      </c>
      <c r="H270" t="str">
        <f>'Source Table'!$D$6</f>
        <v>Secondary Roads</v>
      </c>
      <c r="I270" t="str">
        <f>'Source Table'!$D$5</f>
        <v>طرق ثانوية</v>
      </c>
      <c r="J270" s="29">
        <v>98</v>
      </c>
      <c r="K270">
        <v>2016</v>
      </c>
    </row>
    <row r="271" ht="15.75" spans="1:11">
      <c r="A271" s="16" t="s">
        <v>73</v>
      </c>
      <c r="B271" s="16" t="s">
        <v>74</v>
      </c>
      <c r="C271" s="17" t="s">
        <v>75</v>
      </c>
      <c r="D271" s="18" t="s">
        <v>76</v>
      </c>
      <c r="E271" s="19" t="s">
        <v>77</v>
      </c>
      <c r="F271" t="str">
        <f>'Source Table'!$B$10</f>
        <v>Madaba</v>
      </c>
      <c r="G271" t="str">
        <f>'Source Table'!$F$10</f>
        <v>مأدبا</v>
      </c>
      <c r="H271" t="str">
        <f>'Source Table'!$D$6</f>
        <v>Secondary Roads</v>
      </c>
      <c r="I271" t="str">
        <f>'Source Table'!$D$5</f>
        <v>طرق ثانوية</v>
      </c>
      <c r="J271" s="29">
        <v>107</v>
      </c>
      <c r="K271">
        <v>2016</v>
      </c>
    </row>
    <row r="272" ht="15.75" spans="1:11">
      <c r="A272" s="16" t="s">
        <v>73</v>
      </c>
      <c r="B272" s="16" t="s">
        <v>74</v>
      </c>
      <c r="C272" s="17" t="s">
        <v>75</v>
      </c>
      <c r="D272" s="18" t="s">
        <v>76</v>
      </c>
      <c r="E272" s="19" t="s">
        <v>77</v>
      </c>
      <c r="F272" t="str">
        <f>'Source Table'!$B$11</f>
        <v>Irbid</v>
      </c>
      <c r="G272" t="str">
        <f>'Source Table'!$F$11</f>
        <v>إربد</v>
      </c>
      <c r="H272" t="str">
        <f>'Source Table'!$D$6</f>
        <v>Secondary Roads</v>
      </c>
      <c r="I272" t="str">
        <f>'Source Table'!$D$5</f>
        <v>طرق ثانوية</v>
      </c>
      <c r="J272" s="29">
        <v>380</v>
      </c>
      <c r="K272">
        <v>2016</v>
      </c>
    </row>
    <row r="273" ht="15.75" spans="1:11">
      <c r="A273" s="16" t="s">
        <v>73</v>
      </c>
      <c r="B273" s="16" t="s">
        <v>74</v>
      </c>
      <c r="C273" s="17" t="s">
        <v>75</v>
      </c>
      <c r="D273" s="18" t="s">
        <v>76</v>
      </c>
      <c r="E273" s="19" t="s">
        <v>77</v>
      </c>
      <c r="F273" t="str">
        <f>'Source Table'!$B$12</f>
        <v>Mafraq</v>
      </c>
      <c r="G273" t="str">
        <f>'Source Table'!$F$12</f>
        <v>المفرق</v>
      </c>
      <c r="H273" t="str">
        <f>'Source Table'!$D$6</f>
        <v>Secondary Roads</v>
      </c>
      <c r="I273" t="str">
        <f>'Source Table'!$D$5</f>
        <v>طرق ثانوية</v>
      </c>
      <c r="J273" s="29">
        <v>295</v>
      </c>
      <c r="K273">
        <v>2016</v>
      </c>
    </row>
    <row r="274" ht="15.75" spans="1:11">
      <c r="A274" s="16" t="s">
        <v>73</v>
      </c>
      <c r="B274" s="16" t="s">
        <v>74</v>
      </c>
      <c r="C274" s="17" t="s">
        <v>75</v>
      </c>
      <c r="D274" s="18" t="s">
        <v>76</v>
      </c>
      <c r="E274" s="19" t="s">
        <v>77</v>
      </c>
      <c r="F274" t="str">
        <f>'Source Table'!$B$13</f>
        <v>Jarash</v>
      </c>
      <c r="G274" t="str">
        <f>'Source Table'!$F$13</f>
        <v>جرش</v>
      </c>
      <c r="H274" t="str">
        <f>'Source Table'!$D$6</f>
        <v>Secondary Roads</v>
      </c>
      <c r="I274" t="str">
        <f>'Source Table'!$D$5</f>
        <v>طرق ثانوية</v>
      </c>
      <c r="J274" s="29">
        <v>94</v>
      </c>
      <c r="K274">
        <v>2016</v>
      </c>
    </row>
    <row r="275" ht="15.75" spans="1:11">
      <c r="A275" s="16" t="s">
        <v>73</v>
      </c>
      <c r="B275" s="16" t="s">
        <v>74</v>
      </c>
      <c r="C275" s="17" t="s">
        <v>75</v>
      </c>
      <c r="D275" s="18" t="s">
        <v>76</v>
      </c>
      <c r="E275" s="19" t="s">
        <v>77</v>
      </c>
      <c r="F275" t="str">
        <f>'Source Table'!$B$14</f>
        <v>Ajloun</v>
      </c>
      <c r="G275" t="str">
        <f>'Source Table'!$F$14</f>
        <v>عجلون</v>
      </c>
      <c r="H275" t="str">
        <f>'Source Table'!$D$6</f>
        <v>Secondary Roads</v>
      </c>
      <c r="I275" t="str">
        <f>'Source Table'!$D$5</f>
        <v>طرق ثانوية</v>
      </c>
      <c r="J275" s="29">
        <v>118.5</v>
      </c>
      <c r="K275">
        <v>2016</v>
      </c>
    </row>
    <row r="276" ht="15.75" spans="1:11">
      <c r="A276" s="16" t="s">
        <v>73</v>
      </c>
      <c r="B276" s="16" t="s">
        <v>74</v>
      </c>
      <c r="C276" s="17" t="s">
        <v>75</v>
      </c>
      <c r="D276" s="18" t="s">
        <v>76</v>
      </c>
      <c r="E276" s="19" t="s">
        <v>77</v>
      </c>
      <c r="F276" t="str">
        <f>'Source Table'!$B$15</f>
        <v>Karak</v>
      </c>
      <c r="G276" t="str">
        <f>'Source Table'!$F$15</f>
        <v>الكرك</v>
      </c>
      <c r="H276" t="str">
        <f>'Source Table'!$D$6</f>
        <v>Secondary Roads</v>
      </c>
      <c r="I276" t="str">
        <f>'Source Table'!$D$5</f>
        <v>طرق ثانوية</v>
      </c>
      <c r="J276" s="29">
        <v>164</v>
      </c>
      <c r="K276">
        <v>2016</v>
      </c>
    </row>
    <row r="277" ht="15.75" spans="1:11">
      <c r="A277" s="16" t="s">
        <v>73</v>
      </c>
      <c r="B277" s="16" t="s">
        <v>74</v>
      </c>
      <c r="C277" s="17" t="s">
        <v>75</v>
      </c>
      <c r="D277" s="18" t="s">
        <v>76</v>
      </c>
      <c r="E277" s="19" t="s">
        <v>77</v>
      </c>
      <c r="F277" t="str">
        <f>'Source Table'!$B$16</f>
        <v>Tafiela</v>
      </c>
      <c r="G277" t="str">
        <f>'Source Table'!$F$16</f>
        <v>الطفيله</v>
      </c>
      <c r="H277" t="str">
        <f>'Source Table'!$D$6</f>
        <v>Secondary Roads</v>
      </c>
      <c r="I277" t="str">
        <f>'Source Table'!$D$5</f>
        <v>طرق ثانوية</v>
      </c>
      <c r="J277" s="29">
        <v>39.5</v>
      </c>
      <c r="K277">
        <v>2016</v>
      </c>
    </row>
    <row r="278" ht="15.75" spans="1:11">
      <c r="A278" s="16" t="s">
        <v>73</v>
      </c>
      <c r="B278" s="16" t="s">
        <v>74</v>
      </c>
      <c r="C278" s="17" t="s">
        <v>75</v>
      </c>
      <c r="D278" s="18" t="s">
        <v>76</v>
      </c>
      <c r="E278" s="19" t="s">
        <v>77</v>
      </c>
      <c r="F278" t="str">
        <f>'Source Table'!$B$17</f>
        <v>Ma'an</v>
      </c>
      <c r="G278" t="str">
        <f>'Source Table'!$F$17</f>
        <v>معان</v>
      </c>
      <c r="H278" t="str">
        <f>'Source Table'!$D$6</f>
        <v>Secondary Roads</v>
      </c>
      <c r="I278" t="str">
        <f>'Source Table'!$D$5</f>
        <v>طرق ثانوية</v>
      </c>
      <c r="J278" s="29">
        <v>227</v>
      </c>
      <c r="K278">
        <v>2016</v>
      </c>
    </row>
    <row r="279" ht="16.5" spans="1:11">
      <c r="A279" s="16" t="s">
        <v>73</v>
      </c>
      <c r="B279" s="16" t="s">
        <v>74</v>
      </c>
      <c r="C279" s="17" t="s">
        <v>75</v>
      </c>
      <c r="D279" s="18" t="s">
        <v>76</v>
      </c>
      <c r="E279" s="19" t="s">
        <v>77</v>
      </c>
      <c r="F279" t="str">
        <f>'Source Table'!$B$18</f>
        <v>Aqaba</v>
      </c>
      <c r="G279" t="str">
        <f>'Source Table'!$F$18</f>
        <v>العقبة</v>
      </c>
      <c r="H279" t="str">
        <f>'Source Table'!$D$6</f>
        <v>Secondary Roads</v>
      </c>
      <c r="I279" t="str">
        <f>'Source Table'!$D$5</f>
        <v>طرق ثانوية</v>
      </c>
      <c r="J279" s="30">
        <v>51</v>
      </c>
      <c r="K279">
        <v>2016</v>
      </c>
    </row>
    <row r="280" ht="15.75" spans="1:11">
      <c r="A280" s="16" t="s">
        <v>73</v>
      </c>
      <c r="B280" s="16" t="s">
        <v>74</v>
      </c>
      <c r="C280" s="17" t="s">
        <v>75</v>
      </c>
      <c r="D280" s="18" t="s">
        <v>76</v>
      </c>
      <c r="E280" s="19" t="s">
        <v>77</v>
      </c>
      <c r="F280" t="str">
        <f>'Source Table'!$B$7</f>
        <v>Amman</v>
      </c>
      <c r="G280" t="str">
        <f>'Source Table'!$F$7</f>
        <v>العاصمة</v>
      </c>
      <c r="H280" t="str">
        <f>'Source Table'!$C$6</f>
        <v>Highways</v>
      </c>
      <c r="I280" t="str">
        <f>'Source Table'!$C$5</f>
        <v>طرق رئيسية</v>
      </c>
      <c r="J280" s="29">
        <v>277</v>
      </c>
      <c r="K280">
        <v>2016</v>
      </c>
    </row>
    <row r="281" ht="15.75" spans="1:11">
      <c r="A281" s="16" t="s">
        <v>73</v>
      </c>
      <c r="B281" s="16" t="s">
        <v>74</v>
      </c>
      <c r="C281" s="17" t="s">
        <v>75</v>
      </c>
      <c r="D281" s="18" t="s">
        <v>76</v>
      </c>
      <c r="E281" s="19" t="s">
        <v>77</v>
      </c>
      <c r="F281" t="str">
        <f>'Source Table'!$B$8</f>
        <v>Balqa</v>
      </c>
      <c r="G281" t="str">
        <f>'Source Table'!$F$8</f>
        <v>البلقاء</v>
      </c>
      <c r="H281" t="str">
        <f>'Source Table'!$C$6</f>
        <v>Highways</v>
      </c>
      <c r="I281" t="str">
        <f>'Source Table'!$C$5</f>
        <v>طرق رئيسية</v>
      </c>
      <c r="J281" s="29">
        <v>137</v>
      </c>
      <c r="K281">
        <v>2016</v>
      </c>
    </row>
    <row r="282" ht="15.75" spans="1:11">
      <c r="A282" s="16" t="s">
        <v>73</v>
      </c>
      <c r="B282" s="16" t="s">
        <v>74</v>
      </c>
      <c r="C282" s="17" t="s">
        <v>75</v>
      </c>
      <c r="D282" s="18" t="s">
        <v>76</v>
      </c>
      <c r="E282" s="19" t="s">
        <v>77</v>
      </c>
      <c r="F282" t="str">
        <f>'Source Table'!$B$9</f>
        <v>Zarqa</v>
      </c>
      <c r="G282" t="str">
        <f>'Source Table'!$F$9</f>
        <v>الزرقاء</v>
      </c>
      <c r="H282" t="str">
        <f>'Source Table'!$C$6</f>
        <v>Highways</v>
      </c>
      <c r="I282" t="str">
        <f>'Source Table'!$C$5</f>
        <v>طرق رئيسية</v>
      </c>
      <c r="J282" s="29">
        <v>249</v>
      </c>
      <c r="K282">
        <v>2016</v>
      </c>
    </row>
    <row r="283" ht="15.75" spans="1:11">
      <c r="A283" s="16" t="s">
        <v>73</v>
      </c>
      <c r="B283" s="16" t="s">
        <v>74</v>
      </c>
      <c r="C283" s="17" t="s">
        <v>75</v>
      </c>
      <c r="D283" s="18" t="s">
        <v>76</v>
      </c>
      <c r="E283" s="19" t="s">
        <v>77</v>
      </c>
      <c r="F283" t="str">
        <f>'Source Table'!$B$10</f>
        <v>Madaba</v>
      </c>
      <c r="G283" t="str">
        <f>'Source Table'!$F$10</f>
        <v>مأدبا</v>
      </c>
      <c r="H283" t="str">
        <f>'Source Table'!$C$6</f>
        <v>Highways</v>
      </c>
      <c r="I283" t="str">
        <f>'Source Table'!$C$5</f>
        <v>طرق رئيسية</v>
      </c>
      <c r="J283" s="29">
        <v>52</v>
      </c>
      <c r="K283">
        <v>2016</v>
      </c>
    </row>
    <row r="284" ht="15.75" spans="1:11">
      <c r="A284" s="16" t="s">
        <v>73</v>
      </c>
      <c r="B284" s="16" t="s">
        <v>74</v>
      </c>
      <c r="C284" s="17" t="s">
        <v>75</v>
      </c>
      <c r="D284" s="18" t="s">
        <v>76</v>
      </c>
      <c r="E284" s="19" t="s">
        <v>77</v>
      </c>
      <c r="F284" t="str">
        <f>'Source Table'!$B$11</f>
        <v>Irbid</v>
      </c>
      <c r="G284" t="str">
        <f>'Source Table'!$F$11</f>
        <v>إربد</v>
      </c>
      <c r="H284" t="str">
        <f>'Source Table'!$C$6</f>
        <v>Highways</v>
      </c>
      <c r="I284" t="str">
        <f>'Source Table'!$C$5</f>
        <v>طرق رئيسية</v>
      </c>
      <c r="J284" s="29">
        <v>162</v>
      </c>
      <c r="K284">
        <v>2016</v>
      </c>
    </row>
    <row r="285" ht="15.75" spans="1:11">
      <c r="A285" s="16" t="s">
        <v>73</v>
      </c>
      <c r="B285" s="16" t="s">
        <v>74</v>
      </c>
      <c r="C285" s="17" t="s">
        <v>75</v>
      </c>
      <c r="D285" s="18" t="s">
        <v>76</v>
      </c>
      <c r="E285" s="19" t="s">
        <v>77</v>
      </c>
      <c r="F285" t="str">
        <f>'Source Table'!$B$12</f>
        <v>Mafraq</v>
      </c>
      <c r="G285" t="str">
        <f>'Source Table'!$F$12</f>
        <v>المفرق</v>
      </c>
      <c r="H285" t="str">
        <f>'Source Table'!$C$6</f>
        <v>Highways</v>
      </c>
      <c r="I285" t="str">
        <f>'Source Table'!$C$5</f>
        <v>طرق رئيسية</v>
      </c>
      <c r="J285" s="29">
        <v>450</v>
      </c>
      <c r="K285">
        <v>2016</v>
      </c>
    </row>
    <row r="286" ht="15.75" spans="1:11">
      <c r="A286" s="16" t="s">
        <v>73</v>
      </c>
      <c r="B286" s="16" t="s">
        <v>74</v>
      </c>
      <c r="C286" s="17" t="s">
        <v>75</v>
      </c>
      <c r="D286" s="18" t="s">
        <v>76</v>
      </c>
      <c r="E286" s="19" t="s">
        <v>77</v>
      </c>
      <c r="F286" t="str">
        <f>'Source Table'!$B$13</f>
        <v>Jarash</v>
      </c>
      <c r="G286" t="str">
        <f>'Source Table'!$F$13</f>
        <v>جرش</v>
      </c>
      <c r="H286" t="str">
        <f>'Source Table'!$C$6</f>
        <v>Highways</v>
      </c>
      <c r="I286" t="str">
        <f>'Source Table'!$C$5</f>
        <v>طرق رئيسية</v>
      </c>
      <c r="J286" s="29">
        <v>83</v>
      </c>
      <c r="K286">
        <v>2016</v>
      </c>
    </row>
    <row r="287" ht="15.75" spans="1:11">
      <c r="A287" s="16" t="s">
        <v>73</v>
      </c>
      <c r="B287" s="16" t="s">
        <v>74</v>
      </c>
      <c r="C287" s="17" t="s">
        <v>75</v>
      </c>
      <c r="D287" s="18" t="s">
        <v>76</v>
      </c>
      <c r="E287" s="19" t="s">
        <v>77</v>
      </c>
      <c r="F287" t="str">
        <f>'Source Table'!$B$14</f>
        <v>Ajloun</v>
      </c>
      <c r="G287" t="str">
        <f>'Source Table'!$F$14</f>
        <v>عجلون</v>
      </c>
      <c r="H287" t="str">
        <f>'Source Table'!$C$6</f>
        <v>Highways</v>
      </c>
      <c r="I287" t="str">
        <f>'Source Table'!$C$5</f>
        <v>طرق رئيسية</v>
      </c>
      <c r="J287" s="29">
        <v>56</v>
      </c>
      <c r="K287">
        <v>2016</v>
      </c>
    </row>
    <row r="288" ht="15.75" spans="1:11">
      <c r="A288" s="16" t="s">
        <v>73</v>
      </c>
      <c r="B288" s="16" t="s">
        <v>74</v>
      </c>
      <c r="C288" s="17" t="s">
        <v>75</v>
      </c>
      <c r="D288" s="18" t="s">
        <v>76</v>
      </c>
      <c r="E288" s="19" t="s">
        <v>77</v>
      </c>
      <c r="F288" t="str">
        <f>'Source Table'!$B$15</f>
        <v>Karak</v>
      </c>
      <c r="G288" t="str">
        <f>'Source Table'!$F$15</f>
        <v>الكرك</v>
      </c>
      <c r="H288" t="str">
        <f>'Source Table'!$C$6</f>
        <v>Highways</v>
      </c>
      <c r="I288" t="str">
        <f>'Source Table'!$C$5</f>
        <v>طرق رئيسية</v>
      </c>
      <c r="J288" s="29">
        <v>298</v>
      </c>
      <c r="K288">
        <v>2016</v>
      </c>
    </row>
    <row r="289" ht="15.75" spans="1:11">
      <c r="A289" s="16" t="s">
        <v>73</v>
      </c>
      <c r="B289" s="16" t="s">
        <v>74</v>
      </c>
      <c r="C289" s="17" t="s">
        <v>75</v>
      </c>
      <c r="D289" s="18" t="s">
        <v>76</v>
      </c>
      <c r="E289" s="19" t="s">
        <v>77</v>
      </c>
      <c r="F289" t="str">
        <f>'Source Table'!$B$16</f>
        <v>Tafiela</v>
      </c>
      <c r="G289" t="str">
        <f>'Source Table'!$F$16</f>
        <v>الطفيله</v>
      </c>
      <c r="H289" t="str">
        <f>'Source Table'!$C$6</f>
        <v>Highways</v>
      </c>
      <c r="I289" t="str">
        <f>'Source Table'!$C$5</f>
        <v>طرق رئيسية</v>
      </c>
      <c r="J289" s="29">
        <v>171</v>
      </c>
      <c r="K289">
        <v>2016</v>
      </c>
    </row>
    <row r="290" ht="15.75" spans="1:11">
      <c r="A290" s="16" t="s">
        <v>73</v>
      </c>
      <c r="B290" s="16" t="s">
        <v>74</v>
      </c>
      <c r="C290" s="17" t="s">
        <v>75</v>
      </c>
      <c r="D290" s="18" t="s">
        <v>76</v>
      </c>
      <c r="E290" s="19" t="s">
        <v>77</v>
      </c>
      <c r="F290" t="str">
        <f>'Source Table'!$B$17</f>
        <v>Ma'an</v>
      </c>
      <c r="G290" t="str">
        <f>'Source Table'!$F$17</f>
        <v>معان</v>
      </c>
      <c r="H290" t="str">
        <f>'Source Table'!$C$6</f>
        <v>Highways</v>
      </c>
      <c r="I290" t="str">
        <f>'Source Table'!$C$5</f>
        <v>طرق رئيسية</v>
      </c>
      <c r="J290" s="29">
        <v>522</v>
      </c>
      <c r="K290">
        <v>2016</v>
      </c>
    </row>
    <row r="291" ht="16.5" spans="1:11">
      <c r="A291" s="16" t="s">
        <v>73</v>
      </c>
      <c r="B291" s="16" t="s">
        <v>74</v>
      </c>
      <c r="C291" s="17" t="s">
        <v>75</v>
      </c>
      <c r="D291" s="18" t="s">
        <v>76</v>
      </c>
      <c r="E291" s="19" t="s">
        <v>77</v>
      </c>
      <c r="F291" t="str">
        <f>'Source Table'!$B$18</f>
        <v>Aqaba</v>
      </c>
      <c r="G291" t="str">
        <f>'Source Table'!$F$18</f>
        <v>العقبة</v>
      </c>
      <c r="H291" t="str">
        <f>'Source Table'!$C$6</f>
        <v>Highways</v>
      </c>
      <c r="I291" t="str">
        <f>'Source Table'!$C$5</f>
        <v>طرق رئيسية</v>
      </c>
      <c r="J291" s="30">
        <v>307</v>
      </c>
      <c r="K291">
        <v>2016</v>
      </c>
    </row>
    <row r="292" ht="15.75" spans="1:11">
      <c r="A292" s="16" t="s">
        <v>73</v>
      </c>
      <c r="B292" s="16" t="s">
        <v>74</v>
      </c>
      <c r="C292" s="17" t="s">
        <v>75</v>
      </c>
      <c r="D292" s="18" t="s">
        <v>76</v>
      </c>
      <c r="E292" s="19" t="s">
        <v>77</v>
      </c>
      <c r="F292" t="str">
        <f>'Source Table'!$B$7</f>
        <v>Amman</v>
      </c>
      <c r="G292" t="str">
        <f>'Source Table'!$F$7</f>
        <v>العاصمة</v>
      </c>
      <c r="H292" t="str">
        <f>'Source Table'!$E$6</f>
        <v>Rural Roads</v>
      </c>
      <c r="I292" t="str">
        <f>'Source Table'!$E$5</f>
        <v>طرق قروية</v>
      </c>
      <c r="J292" s="29">
        <v>564</v>
      </c>
      <c r="K292">
        <v>2015</v>
      </c>
    </row>
    <row r="293" ht="15.75" spans="1:11">
      <c r="A293" s="16" t="s">
        <v>73</v>
      </c>
      <c r="B293" s="16" t="s">
        <v>74</v>
      </c>
      <c r="C293" s="17" t="s">
        <v>75</v>
      </c>
      <c r="D293" s="18" t="s">
        <v>76</v>
      </c>
      <c r="E293" s="19" t="s">
        <v>77</v>
      </c>
      <c r="F293" t="str">
        <f>'Source Table'!$B$8</f>
        <v>Balqa</v>
      </c>
      <c r="G293" t="str">
        <f>'Source Table'!$F$8</f>
        <v>البلقاء</v>
      </c>
      <c r="H293" t="str">
        <f>'Source Table'!$E$6</f>
        <v>Rural Roads</v>
      </c>
      <c r="I293" t="str">
        <f>'Source Table'!$E$5</f>
        <v>طرق قروية</v>
      </c>
      <c r="J293" s="29">
        <v>292</v>
      </c>
      <c r="K293">
        <v>2015</v>
      </c>
    </row>
    <row r="294" ht="15.75" spans="1:11">
      <c r="A294" s="16" t="s">
        <v>73</v>
      </c>
      <c r="B294" s="16" t="s">
        <v>74</v>
      </c>
      <c r="C294" s="17" t="s">
        <v>75</v>
      </c>
      <c r="D294" s="18" t="s">
        <v>76</v>
      </c>
      <c r="E294" s="19" t="s">
        <v>77</v>
      </c>
      <c r="F294" t="str">
        <f>'Source Table'!$B$9</f>
        <v>Zarqa</v>
      </c>
      <c r="G294" t="str">
        <f>'Source Table'!$F$9</f>
        <v>الزرقاء</v>
      </c>
      <c r="H294" t="str">
        <f>'Source Table'!$E$6</f>
        <v>Rural Roads</v>
      </c>
      <c r="I294" t="str">
        <f>'Source Table'!$E$5</f>
        <v>طرق قروية</v>
      </c>
      <c r="J294" s="29">
        <v>129</v>
      </c>
      <c r="K294">
        <v>2015</v>
      </c>
    </row>
    <row r="295" ht="15.75" spans="1:11">
      <c r="A295" s="16" t="s">
        <v>73</v>
      </c>
      <c r="B295" s="16" t="s">
        <v>74</v>
      </c>
      <c r="C295" s="17" t="s">
        <v>75</v>
      </c>
      <c r="D295" s="18" t="s">
        <v>76</v>
      </c>
      <c r="E295" s="19" t="s">
        <v>77</v>
      </c>
      <c r="F295" t="str">
        <f>'Source Table'!$B$10</f>
        <v>Madaba</v>
      </c>
      <c r="G295" t="str">
        <f>'Source Table'!$F$10</f>
        <v>مأدبا</v>
      </c>
      <c r="H295" t="str">
        <f>'Source Table'!$E$6</f>
        <v>Rural Roads</v>
      </c>
      <c r="I295" t="str">
        <f>'Source Table'!$E$5</f>
        <v>طرق قروية</v>
      </c>
      <c r="J295" s="29">
        <v>234</v>
      </c>
      <c r="K295">
        <v>2015</v>
      </c>
    </row>
    <row r="296" ht="15.75" spans="1:11">
      <c r="A296" s="16" t="s">
        <v>73</v>
      </c>
      <c r="B296" s="16" t="s">
        <v>74</v>
      </c>
      <c r="C296" s="17" t="s">
        <v>75</v>
      </c>
      <c r="D296" s="18" t="s">
        <v>76</v>
      </c>
      <c r="E296" s="19" t="s">
        <v>77</v>
      </c>
      <c r="F296" t="str">
        <f>'Source Table'!$B$11</f>
        <v>Irbid</v>
      </c>
      <c r="G296" t="str">
        <f>'Source Table'!$F$11</f>
        <v>إربد</v>
      </c>
      <c r="H296" t="str">
        <f>'Source Table'!$E$6</f>
        <v>Rural Roads</v>
      </c>
      <c r="I296" t="str">
        <f>'Source Table'!$E$5</f>
        <v>طرق قروية</v>
      </c>
      <c r="J296" s="29">
        <v>329</v>
      </c>
      <c r="K296">
        <v>2015</v>
      </c>
    </row>
    <row r="297" ht="15.75" spans="1:11">
      <c r="A297" s="16" t="s">
        <v>73</v>
      </c>
      <c r="B297" s="16" t="s">
        <v>74</v>
      </c>
      <c r="C297" s="17" t="s">
        <v>75</v>
      </c>
      <c r="D297" s="18" t="s">
        <v>76</v>
      </c>
      <c r="E297" s="19" t="s">
        <v>77</v>
      </c>
      <c r="F297" t="str">
        <f>'Source Table'!$B$12</f>
        <v>Mafraq</v>
      </c>
      <c r="G297" t="str">
        <f>'Source Table'!$F$12</f>
        <v>المفرق</v>
      </c>
      <c r="H297" t="str">
        <f>'Source Table'!$E$6</f>
        <v>Rural Roads</v>
      </c>
      <c r="I297" t="str">
        <f>'Source Table'!$E$5</f>
        <v>طرق قروية</v>
      </c>
      <c r="J297" s="29">
        <v>335</v>
      </c>
      <c r="K297">
        <v>2015</v>
      </c>
    </row>
    <row r="298" ht="15.75" spans="1:11">
      <c r="A298" s="16" t="s">
        <v>73</v>
      </c>
      <c r="B298" s="16" t="s">
        <v>74</v>
      </c>
      <c r="C298" s="17" t="s">
        <v>75</v>
      </c>
      <c r="D298" s="18" t="s">
        <v>76</v>
      </c>
      <c r="E298" s="19" t="s">
        <v>77</v>
      </c>
      <c r="F298" t="str">
        <f>'Source Table'!$B$13</f>
        <v>Jarash</v>
      </c>
      <c r="G298" t="str">
        <f>'Source Table'!$F$13</f>
        <v>جرش</v>
      </c>
      <c r="H298" t="str">
        <f>'Source Table'!$E$6</f>
        <v>Rural Roads</v>
      </c>
      <c r="I298" t="str">
        <f>'Source Table'!$E$5</f>
        <v>طرق قروية</v>
      </c>
      <c r="J298" s="29">
        <v>241</v>
      </c>
      <c r="K298">
        <v>2015</v>
      </c>
    </row>
    <row r="299" ht="15.75" spans="1:11">
      <c r="A299" s="16" t="s">
        <v>73</v>
      </c>
      <c r="B299" s="16" t="s">
        <v>74</v>
      </c>
      <c r="C299" s="17" t="s">
        <v>75</v>
      </c>
      <c r="D299" s="18" t="s">
        <v>76</v>
      </c>
      <c r="E299" s="19" t="s">
        <v>77</v>
      </c>
      <c r="F299" t="str">
        <f>'Source Table'!$B$14</f>
        <v>Ajloun</v>
      </c>
      <c r="G299" t="str">
        <f>'Source Table'!$F$14</f>
        <v>عجلون</v>
      </c>
      <c r="H299" t="str">
        <f>'Source Table'!$E$6</f>
        <v>Rural Roads</v>
      </c>
      <c r="I299" t="str">
        <f>'Source Table'!$E$5</f>
        <v>طرق قروية</v>
      </c>
      <c r="J299" s="29">
        <v>132</v>
      </c>
      <c r="K299">
        <v>2015</v>
      </c>
    </row>
    <row r="300" ht="15.75" spans="1:11">
      <c r="A300" s="16" t="s">
        <v>73</v>
      </c>
      <c r="B300" s="16" t="s">
        <v>74</v>
      </c>
      <c r="C300" s="17" t="s">
        <v>75</v>
      </c>
      <c r="D300" s="18" t="s">
        <v>76</v>
      </c>
      <c r="E300" s="19" t="s">
        <v>77</v>
      </c>
      <c r="F300" t="str">
        <f>'Source Table'!$B$15</f>
        <v>Karak</v>
      </c>
      <c r="G300" t="str">
        <f>'Source Table'!$F$15</f>
        <v>الكرك</v>
      </c>
      <c r="H300" t="str">
        <f>'Source Table'!$E$6</f>
        <v>Rural Roads</v>
      </c>
      <c r="I300" t="str">
        <f>'Source Table'!$E$5</f>
        <v>طرق قروية</v>
      </c>
      <c r="J300" s="29">
        <v>234</v>
      </c>
      <c r="K300">
        <v>2015</v>
      </c>
    </row>
    <row r="301" ht="15.75" spans="1:11">
      <c r="A301" s="16" t="s">
        <v>73</v>
      </c>
      <c r="B301" s="16" t="s">
        <v>74</v>
      </c>
      <c r="C301" s="17" t="s">
        <v>75</v>
      </c>
      <c r="D301" s="18" t="s">
        <v>76</v>
      </c>
      <c r="E301" s="19" t="s">
        <v>77</v>
      </c>
      <c r="F301" t="str">
        <f>'Source Table'!$B$16</f>
        <v>Tafiela</v>
      </c>
      <c r="G301" t="str">
        <f>'Source Table'!$F$16</f>
        <v>الطفيله</v>
      </c>
      <c r="H301" t="str">
        <f>'Source Table'!$E$6</f>
        <v>Rural Roads</v>
      </c>
      <c r="I301" t="str">
        <f>'Source Table'!$E$5</f>
        <v>طرق قروية</v>
      </c>
      <c r="J301" s="29">
        <v>44</v>
      </c>
      <c r="K301">
        <v>2015</v>
      </c>
    </row>
    <row r="302" ht="15.75" spans="1:11">
      <c r="A302" s="16" t="s">
        <v>73</v>
      </c>
      <c r="B302" s="16" t="s">
        <v>74</v>
      </c>
      <c r="C302" s="17" t="s">
        <v>75</v>
      </c>
      <c r="D302" s="18" t="s">
        <v>76</v>
      </c>
      <c r="E302" s="19" t="s">
        <v>77</v>
      </c>
      <c r="F302" t="str">
        <f>'Source Table'!$B$17</f>
        <v>Ma'an</v>
      </c>
      <c r="G302" t="str">
        <f>'Source Table'!$F$17</f>
        <v>معان</v>
      </c>
      <c r="H302" t="str">
        <f>'Source Table'!$E$6</f>
        <v>Rural Roads</v>
      </c>
      <c r="I302" t="str">
        <f>'Source Table'!$E$5</f>
        <v>طرق قروية</v>
      </c>
      <c r="J302" s="29">
        <v>44</v>
      </c>
      <c r="K302">
        <v>2015</v>
      </c>
    </row>
    <row r="303" ht="16.5" spans="1:11">
      <c r="A303" s="16" t="s">
        <v>73</v>
      </c>
      <c r="B303" s="16" t="s">
        <v>74</v>
      </c>
      <c r="C303" s="17" t="s">
        <v>75</v>
      </c>
      <c r="D303" s="18" t="s">
        <v>76</v>
      </c>
      <c r="E303" s="19" t="s">
        <v>77</v>
      </c>
      <c r="F303" t="str">
        <f>'Source Table'!$B$18</f>
        <v>Aqaba</v>
      </c>
      <c r="G303" t="str">
        <f>'Source Table'!$F$18</f>
        <v>العقبة</v>
      </c>
      <c r="H303" t="str">
        <f>'Source Table'!$E$6</f>
        <v>Rural Roads</v>
      </c>
      <c r="I303" t="str">
        <f>'Source Table'!$E$5</f>
        <v>طرق قروية</v>
      </c>
      <c r="J303" s="30">
        <v>78</v>
      </c>
      <c r="K303">
        <v>2015</v>
      </c>
    </row>
    <row r="304" ht="15.75" spans="1:11">
      <c r="A304" s="16" t="s">
        <v>73</v>
      </c>
      <c r="B304" s="16" t="s">
        <v>74</v>
      </c>
      <c r="C304" s="17" t="s">
        <v>75</v>
      </c>
      <c r="D304" s="18" t="s">
        <v>76</v>
      </c>
      <c r="E304" s="19" t="s">
        <v>77</v>
      </c>
      <c r="F304" t="str">
        <f>'Source Table'!$B$7</f>
        <v>Amman</v>
      </c>
      <c r="G304" t="str">
        <f>'Source Table'!$F$7</f>
        <v>العاصمة</v>
      </c>
      <c r="H304" t="str">
        <f>'Source Table'!$D$6</f>
        <v>Secondary Roads</v>
      </c>
      <c r="I304" t="str">
        <f>'Source Table'!$D$5</f>
        <v>طرق ثانوية</v>
      </c>
      <c r="J304" s="29">
        <v>231</v>
      </c>
      <c r="K304">
        <v>2015</v>
      </c>
    </row>
    <row r="305" ht="15.75" spans="1:11">
      <c r="A305" s="16" t="s">
        <v>73</v>
      </c>
      <c r="B305" s="16" t="s">
        <v>74</v>
      </c>
      <c r="C305" s="17" t="s">
        <v>75</v>
      </c>
      <c r="D305" s="18" t="s">
        <v>76</v>
      </c>
      <c r="E305" s="19" t="s">
        <v>77</v>
      </c>
      <c r="F305" t="str">
        <f>'Source Table'!$B$8</f>
        <v>Balqa</v>
      </c>
      <c r="G305" t="str">
        <f>'Source Table'!$F$8</f>
        <v>البلقاء</v>
      </c>
      <c r="H305" t="str">
        <f>'Source Table'!$D$6</f>
        <v>Secondary Roads</v>
      </c>
      <c r="I305" t="str">
        <f>'Source Table'!$D$5</f>
        <v>طرق ثانوية</v>
      </c>
      <c r="J305" s="29">
        <v>143</v>
      </c>
      <c r="K305">
        <v>2015</v>
      </c>
    </row>
    <row r="306" ht="15.75" spans="1:11">
      <c r="A306" s="16" t="s">
        <v>73</v>
      </c>
      <c r="B306" s="16" t="s">
        <v>74</v>
      </c>
      <c r="C306" s="17" t="s">
        <v>75</v>
      </c>
      <c r="D306" s="18" t="s">
        <v>76</v>
      </c>
      <c r="E306" s="19" t="s">
        <v>77</v>
      </c>
      <c r="F306" t="str">
        <f>'Source Table'!$B$9</f>
        <v>Zarqa</v>
      </c>
      <c r="G306" t="str">
        <f>'Source Table'!$F$9</f>
        <v>الزرقاء</v>
      </c>
      <c r="H306" t="str">
        <f>'Source Table'!$D$6</f>
        <v>Secondary Roads</v>
      </c>
      <c r="I306" t="str">
        <f>'Source Table'!$D$5</f>
        <v>طرق ثانوية</v>
      </c>
      <c r="J306" s="29">
        <v>98</v>
      </c>
      <c r="K306">
        <v>2015</v>
      </c>
    </row>
    <row r="307" ht="15.75" spans="1:11">
      <c r="A307" s="16" t="s">
        <v>73</v>
      </c>
      <c r="B307" s="16" t="s">
        <v>74</v>
      </c>
      <c r="C307" s="17" t="s">
        <v>75</v>
      </c>
      <c r="D307" s="18" t="s">
        <v>76</v>
      </c>
      <c r="E307" s="19" t="s">
        <v>77</v>
      </c>
      <c r="F307" t="str">
        <f>'Source Table'!$B$10</f>
        <v>Madaba</v>
      </c>
      <c r="G307" t="str">
        <f>'Source Table'!$F$10</f>
        <v>مأدبا</v>
      </c>
      <c r="H307" t="str">
        <f>'Source Table'!$D$6</f>
        <v>Secondary Roads</v>
      </c>
      <c r="I307" t="str">
        <f>'Source Table'!$D$5</f>
        <v>طرق ثانوية</v>
      </c>
      <c r="J307" s="29">
        <v>106</v>
      </c>
      <c r="K307">
        <v>2015</v>
      </c>
    </row>
    <row r="308" ht="15.75" spans="1:11">
      <c r="A308" s="16" t="s">
        <v>73</v>
      </c>
      <c r="B308" s="16" t="s">
        <v>74</v>
      </c>
      <c r="C308" s="17" t="s">
        <v>75</v>
      </c>
      <c r="D308" s="18" t="s">
        <v>76</v>
      </c>
      <c r="E308" s="19" t="s">
        <v>77</v>
      </c>
      <c r="F308" t="str">
        <f>'Source Table'!$B$11</f>
        <v>Irbid</v>
      </c>
      <c r="G308" t="str">
        <f>'Source Table'!$F$11</f>
        <v>إربد</v>
      </c>
      <c r="H308" t="str">
        <f>'Source Table'!$D$6</f>
        <v>Secondary Roads</v>
      </c>
      <c r="I308" t="str">
        <f>'Source Table'!$D$5</f>
        <v>طرق ثانوية</v>
      </c>
      <c r="J308" s="29">
        <v>378</v>
      </c>
      <c r="K308">
        <v>2015</v>
      </c>
    </row>
    <row r="309" ht="15.75" spans="1:11">
      <c r="A309" s="16" t="s">
        <v>73</v>
      </c>
      <c r="B309" s="16" t="s">
        <v>74</v>
      </c>
      <c r="C309" s="17" t="s">
        <v>75</v>
      </c>
      <c r="D309" s="18" t="s">
        <v>76</v>
      </c>
      <c r="E309" s="19" t="s">
        <v>77</v>
      </c>
      <c r="F309" t="str">
        <f>'Source Table'!$B$12</f>
        <v>Mafraq</v>
      </c>
      <c r="G309" t="str">
        <f>'Source Table'!$F$12</f>
        <v>المفرق</v>
      </c>
      <c r="H309" t="str">
        <f>'Source Table'!$D$6</f>
        <v>Secondary Roads</v>
      </c>
      <c r="I309" t="str">
        <f>'Source Table'!$D$5</f>
        <v>طرق ثانوية</v>
      </c>
      <c r="J309" s="29">
        <v>295</v>
      </c>
      <c r="K309">
        <v>2015</v>
      </c>
    </row>
    <row r="310" ht="15.75" spans="1:11">
      <c r="A310" s="16" t="s">
        <v>73</v>
      </c>
      <c r="B310" s="16" t="s">
        <v>74</v>
      </c>
      <c r="C310" s="17" t="s">
        <v>75</v>
      </c>
      <c r="D310" s="18" t="s">
        <v>76</v>
      </c>
      <c r="E310" s="19" t="s">
        <v>77</v>
      </c>
      <c r="F310" t="str">
        <f>'Source Table'!$B$13</f>
        <v>Jarash</v>
      </c>
      <c r="G310" t="str">
        <f>'Source Table'!$F$13</f>
        <v>جرش</v>
      </c>
      <c r="H310" t="str">
        <f>'Source Table'!$D$6</f>
        <v>Secondary Roads</v>
      </c>
      <c r="I310" t="str">
        <f>'Source Table'!$D$5</f>
        <v>طرق ثانوية</v>
      </c>
      <c r="J310" s="29">
        <v>94</v>
      </c>
      <c r="K310">
        <v>2015</v>
      </c>
    </row>
    <row r="311" ht="15.75" spans="1:11">
      <c r="A311" s="16" t="s">
        <v>73</v>
      </c>
      <c r="B311" s="16" t="s">
        <v>74</v>
      </c>
      <c r="C311" s="17" t="s">
        <v>75</v>
      </c>
      <c r="D311" s="18" t="s">
        <v>76</v>
      </c>
      <c r="E311" s="19" t="s">
        <v>77</v>
      </c>
      <c r="F311" t="str">
        <f>'Source Table'!$B$14</f>
        <v>Ajloun</v>
      </c>
      <c r="G311" t="str">
        <f>'Source Table'!$F$14</f>
        <v>عجلون</v>
      </c>
      <c r="H311" t="str">
        <f>'Source Table'!$D$6</f>
        <v>Secondary Roads</v>
      </c>
      <c r="I311" t="str">
        <f>'Source Table'!$D$5</f>
        <v>طرق ثانوية</v>
      </c>
      <c r="J311" s="29">
        <v>112</v>
      </c>
      <c r="K311">
        <v>2015</v>
      </c>
    </row>
    <row r="312" ht="15.75" spans="1:11">
      <c r="A312" s="16" t="s">
        <v>73</v>
      </c>
      <c r="B312" s="16" t="s">
        <v>74</v>
      </c>
      <c r="C312" s="17" t="s">
        <v>75</v>
      </c>
      <c r="D312" s="18" t="s">
        <v>76</v>
      </c>
      <c r="E312" s="19" t="s">
        <v>77</v>
      </c>
      <c r="F312" t="str">
        <f>'Source Table'!$B$15</f>
        <v>Karak</v>
      </c>
      <c r="G312" t="str">
        <f>'Source Table'!$F$15</f>
        <v>الكرك</v>
      </c>
      <c r="H312" t="str">
        <f>'Source Table'!$D$6</f>
        <v>Secondary Roads</v>
      </c>
      <c r="I312" t="str">
        <f>'Source Table'!$D$5</f>
        <v>طرق ثانوية</v>
      </c>
      <c r="J312" s="29">
        <v>164</v>
      </c>
      <c r="K312">
        <v>2015</v>
      </c>
    </row>
    <row r="313" ht="15.75" spans="1:11">
      <c r="A313" s="16" t="s">
        <v>73</v>
      </c>
      <c r="B313" s="16" t="s">
        <v>74</v>
      </c>
      <c r="C313" s="17" t="s">
        <v>75</v>
      </c>
      <c r="D313" s="18" t="s">
        <v>76</v>
      </c>
      <c r="E313" s="19" t="s">
        <v>77</v>
      </c>
      <c r="F313" t="str">
        <f>'Source Table'!$B$16</f>
        <v>Tafiela</v>
      </c>
      <c r="G313" t="str">
        <f>'Source Table'!$F$16</f>
        <v>الطفيله</v>
      </c>
      <c r="H313" t="str">
        <f>'Source Table'!$D$6</f>
        <v>Secondary Roads</v>
      </c>
      <c r="I313" t="str">
        <f>'Source Table'!$D$5</f>
        <v>طرق ثانوية</v>
      </c>
      <c r="J313" s="29">
        <v>35</v>
      </c>
      <c r="K313">
        <v>2015</v>
      </c>
    </row>
    <row r="314" ht="15.75" spans="1:11">
      <c r="A314" s="16" t="s">
        <v>73</v>
      </c>
      <c r="B314" s="16" t="s">
        <v>74</v>
      </c>
      <c r="C314" s="17" t="s">
        <v>75</v>
      </c>
      <c r="D314" s="18" t="s">
        <v>76</v>
      </c>
      <c r="E314" s="19" t="s">
        <v>77</v>
      </c>
      <c r="F314" t="str">
        <f>'Source Table'!$B$17</f>
        <v>Ma'an</v>
      </c>
      <c r="G314" t="str">
        <f>'Source Table'!$F$17</f>
        <v>معان</v>
      </c>
      <c r="H314" t="str">
        <f>'Source Table'!$D$6</f>
        <v>Secondary Roads</v>
      </c>
      <c r="I314" t="str">
        <f>'Source Table'!$D$5</f>
        <v>طرق ثانوية</v>
      </c>
      <c r="J314" s="29">
        <v>227</v>
      </c>
      <c r="K314">
        <v>2015</v>
      </c>
    </row>
    <row r="315" ht="16.5" spans="1:11">
      <c r="A315" s="16" t="s">
        <v>73</v>
      </c>
      <c r="B315" s="16" t="s">
        <v>74</v>
      </c>
      <c r="C315" s="17" t="s">
        <v>75</v>
      </c>
      <c r="D315" s="18" t="s">
        <v>76</v>
      </c>
      <c r="E315" s="19" t="s">
        <v>77</v>
      </c>
      <c r="F315" t="str">
        <f>'Source Table'!$B$18</f>
        <v>Aqaba</v>
      </c>
      <c r="G315" t="str">
        <f>'Source Table'!$F$18</f>
        <v>العقبة</v>
      </c>
      <c r="H315" t="str">
        <f>'Source Table'!$D$6</f>
        <v>Secondary Roads</v>
      </c>
      <c r="I315" t="str">
        <f>'Source Table'!$D$5</f>
        <v>طرق ثانوية</v>
      </c>
      <c r="J315" s="30">
        <v>51</v>
      </c>
      <c r="K315">
        <v>2015</v>
      </c>
    </row>
    <row r="316" ht="15.75" spans="1:11">
      <c r="A316" s="16" t="s">
        <v>73</v>
      </c>
      <c r="B316" s="16" t="s">
        <v>74</v>
      </c>
      <c r="C316" s="17" t="s">
        <v>75</v>
      </c>
      <c r="D316" s="18" t="s">
        <v>76</v>
      </c>
      <c r="E316" s="19" t="s">
        <v>77</v>
      </c>
      <c r="F316" t="str">
        <f>'Source Table'!$B$7</f>
        <v>Amman</v>
      </c>
      <c r="G316" t="str">
        <f>'Source Table'!$F$7</f>
        <v>العاصمة</v>
      </c>
      <c r="H316" t="str">
        <f>'Source Table'!$C$6</f>
        <v>Highways</v>
      </c>
      <c r="I316" t="str">
        <f>'Source Table'!$C$5</f>
        <v>طرق رئيسية</v>
      </c>
      <c r="J316" s="29">
        <v>277</v>
      </c>
      <c r="K316">
        <v>2015</v>
      </c>
    </row>
    <row r="317" ht="15.75" spans="1:11">
      <c r="A317" s="16" t="s">
        <v>73</v>
      </c>
      <c r="B317" s="16" t="s">
        <v>74</v>
      </c>
      <c r="C317" s="17" t="s">
        <v>75</v>
      </c>
      <c r="D317" s="18" t="s">
        <v>76</v>
      </c>
      <c r="E317" s="19" t="s">
        <v>77</v>
      </c>
      <c r="F317" t="str">
        <f>'Source Table'!$B$8</f>
        <v>Balqa</v>
      </c>
      <c r="G317" t="str">
        <f>'Source Table'!$F$8</f>
        <v>البلقاء</v>
      </c>
      <c r="H317" t="str">
        <f>'Source Table'!$C$6</f>
        <v>Highways</v>
      </c>
      <c r="I317" t="str">
        <f>'Source Table'!$C$5</f>
        <v>طرق رئيسية</v>
      </c>
      <c r="J317" s="29">
        <v>137</v>
      </c>
      <c r="K317">
        <v>2015</v>
      </c>
    </row>
    <row r="318" ht="15.75" spans="1:11">
      <c r="A318" s="16" t="s">
        <v>73</v>
      </c>
      <c r="B318" s="16" t="s">
        <v>74</v>
      </c>
      <c r="C318" s="17" t="s">
        <v>75</v>
      </c>
      <c r="D318" s="18" t="s">
        <v>76</v>
      </c>
      <c r="E318" s="19" t="s">
        <v>77</v>
      </c>
      <c r="F318" t="str">
        <f>'Source Table'!$B$9</f>
        <v>Zarqa</v>
      </c>
      <c r="G318" t="str">
        <f>'Source Table'!$F$9</f>
        <v>الزرقاء</v>
      </c>
      <c r="H318" t="str">
        <f>'Source Table'!$C$6</f>
        <v>Highways</v>
      </c>
      <c r="I318" t="str">
        <f>'Source Table'!$C$5</f>
        <v>طرق رئيسية</v>
      </c>
      <c r="J318" s="29">
        <v>249</v>
      </c>
      <c r="K318">
        <v>2015</v>
      </c>
    </row>
    <row r="319" ht="15.75" spans="1:11">
      <c r="A319" s="16" t="s">
        <v>73</v>
      </c>
      <c r="B319" s="16" t="s">
        <v>74</v>
      </c>
      <c r="C319" s="17" t="s">
        <v>75</v>
      </c>
      <c r="D319" s="18" t="s">
        <v>76</v>
      </c>
      <c r="E319" s="19" t="s">
        <v>77</v>
      </c>
      <c r="F319" t="str">
        <f>'Source Table'!$B$10</f>
        <v>Madaba</v>
      </c>
      <c r="G319" t="str">
        <f>'Source Table'!$F$10</f>
        <v>مأدبا</v>
      </c>
      <c r="H319" t="str">
        <f>'Source Table'!$C$6</f>
        <v>Highways</v>
      </c>
      <c r="I319" t="str">
        <f>'Source Table'!$C$5</f>
        <v>طرق رئيسية</v>
      </c>
      <c r="J319" s="29">
        <v>52</v>
      </c>
      <c r="K319">
        <v>2015</v>
      </c>
    </row>
    <row r="320" ht="15.75" spans="1:11">
      <c r="A320" s="16" t="s">
        <v>73</v>
      </c>
      <c r="B320" s="16" t="s">
        <v>74</v>
      </c>
      <c r="C320" s="17" t="s">
        <v>75</v>
      </c>
      <c r="D320" s="18" t="s">
        <v>76</v>
      </c>
      <c r="E320" s="19" t="s">
        <v>77</v>
      </c>
      <c r="F320" t="str">
        <f>'Source Table'!$B$11</f>
        <v>Irbid</v>
      </c>
      <c r="G320" t="str">
        <f>'Source Table'!$F$11</f>
        <v>إربد</v>
      </c>
      <c r="H320" t="str">
        <f>'Source Table'!$C$6</f>
        <v>Highways</v>
      </c>
      <c r="I320" t="str">
        <f>'Source Table'!$C$5</f>
        <v>طرق رئيسية</v>
      </c>
      <c r="J320" s="29">
        <v>162</v>
      </c>
      <c r="K320">
        <v>2015</v>
      </c>
    </row>
    <row r="321" ht="15.75" spans="1:11">
      <c r="A321" s="16" t="s">
        <v>73</v>
      </c>
      <c r="B321" s="16" t="s">
        <v>74</v>
      </c>
      <c r="C321" s="17" t="s">
        <v>75</v>
      </c>
      <c r="D321" s="18" t="s">
        <v>76</v>
      </c>
      <c r="E321" s="19" t="s">
        <v>77</v>
      </c>
      <c r="F321" t="str">
        <f>'Source Table'!$B$12</f>
        <v>Mafraq</v>
      </c>
      <c r="G321" t="str">
        <f>'Source Table'!$F$12</f>
        <v>المفرق</v>
      </c>
      <c r="H321" t="str">
        <f>'Source Table'!$C$6</f>
        <v>Highways</v>
      </c>
      <c r="I321" t="str">
        <f>'Source Table'!$C$5</f>
        <v>طرق رئيسية</v>
      </c>
      <c r="J321" s="29">
        <v>450</v>
      </c>
      <c r="K321">
        <v>2015</v>
      </c>
    </row>
    <row r="322" ht="15.75" spans="1:11">
      <c r="A322" s="16" t="s">
        <v>73</v>
      </c>
      <c r="B322" s="16" t="s">
        <v>74</v>
      </c>
      <c r="C322" s="17" t="s">
        <v>75</v>
      </c>
      <c r="D322" s="18" t="s">
        <v>76</v>
      </c>
      <c r="E322" s="19" t="s">
        <v>77</v>
      </c>
      <c r="F322" t="str">
        <f>'Source Table'!$B$13</f>
        <v>Jarash</v>
      </c>
      <c r="G322" t="str">
        <f>'Source Table'!$F$13</f>
        <v>جرش</v>
      </c>
      <c r="H322" t="str">
        <f>'Source Table'!$C$6</f>
        <v>Highways</v>
      </c>
      <c r="I322" t="str">
        <f>'Source Table'!$C$5</f>
        <v>طرق رئيسية</v>
      </c>
      <c r="J322" s="29">
        <v>83</v>
      </c>
      <c r="K322">
        <v>2015</v>
      </c>
    </row>
    <row r="323" ht="15.75" spans="1:11">
      <c r="A323" s="16" t="s">
        <v>73</v>
      </c>
      <c r="B323" s="16" t="s">
        <v>74</v>
      </c>
      <c r="C323" s="17" t="s">
        <v>75</v>
      </c>
      <c r="D323" s="18" t="s">
        <v>76</v>
      </c>
      <c r="E323" s="19" t="s">
        <v>77</v>
      </c>
      <c r="F323" t="str">
        <f>'Source Table'!$B$14</f>
        <v>Ajloun</v>
      </c>
      <c r="G323" t="str">
        <f>'Source Table'!$F$14</f>
        <v>عجلون</v>
      </c>
      <c r="H323" t="str">
        <f>'Source Table'!$C$6</f>
        <v>Highways</v>
      </c>
      <c r="I323" t="str">
        <f>'Source Table'!$C$5</f>
        <v>طرق رئيسية</v>
      </c>
      <c r="J323" s="29">
        <v>56</v>
      </c>
      <c r="K323">
        <v>2015</v>
      </c>
    </row>
    <row r="324" ht="15.75" spans="1:11">
      <c r="A324" s="16" t="s">
        <v>73</v>
      </c>
      <c r="B324" s="16" t="s">
        <v>74</v>
      </c>
      <c r="C324" s="17" t="s">
        <v>75</v>
      </c>
      <c r="D324" s="18" t="s">
        <v>76</v>
      </c>
      <c r="E324" s="19" t="s">
        <v>77</v>
      </c>
      <c r="F324" t="str">
        <f>'Source Table'!$B$15</f>
        <v>Karak</v>
      </c>
      <c r="G324" t="str">
        <f>'Source Table'!$F$15</f>
        <v>الكرك</v>
      </c>
      <c r="H324" t="str">
        <f>'Source Table'!$C$6</f>
        <v>Highways</v>
      </c>
      <c r="I324" t="str">
        <f>'Source Table'!$C$5</f>
        <v>طرق رئيسية</v>
      </c>
      <c r="J324" s="29">
        <v>298</v>
      </c>
      <c r="K324">
        <v>2015</v>
      </c>
    </row>
    <row r="325" ht="15.75" spans="1:11">
      <c r="A325" s="16" t="s">
        <v>73</v>
      </c>
      <c r="B325" s="16" t="s">
        <v>74</v>
      </c>
      <c r="C325" s="17" t="s">
        <v>75</v>
      </c>
      <c r="D325" s="18" t="s">
        <v>76</v>
      </c>
      <c r="E325" s="19" t="s">
        <v>77</v>
      </c>
      <c r="F325" t="str">
        <f>'Source Table'!$B$16</f>
        <v>Tafiela</v>
      </c>
      <c r="G325" t="str">
        <f>'Source Table'!$F$16</f>
        <v>الطفيله</v>
      </c>
      <c r="H325" t="str">
        <f>'Source Table'!$C$6</f>
        <v>Highways</v>
      </c>
      <c r="I325" t="str">
        <f>'Source Table'!$C$5</f>
        <v>طرق رئيسية</v>
      </c>
      <c r="J325" s="29">
        <v>165</v>
      </c>
      <c r="K325">
        <v>2015</v>
      </c>
    </row>
    <row r="326" ht="15.75" spans="1:11">
      <c r="A326" s="16" t="s">
        <v>73</v>
      </c>
      <c r="B326" s="16" t="s">
        <v>74</v>
      </c>
      <c r="C326" s="17" t="s">
        <v>75</v>
      </c>
      <c r="D326" s="18" t="s">
        <v>76</v>
      </c>
      <c r="E326" s="19" t="s">
        <v>77</v>
      </c>
      <c r="F326" t="str">
        <f>'Source Table'!$B$17</f>
        <v>Ma'an</v>
      </c>
      <c r="G326" t="str">
        <f>'Source Table'!$F$17</f>
        <v>معان</v>
      </c>
      <c r="H326" t="str">
        <f>'Source Table'!$C$6</f>
        <v>Highways</v>
      </c>
      <c r="I326" t="str">
        <f>'Source Table'!$C$5</f>
        <v>طرق رئيسية</v>
      </c>
      <c r="J326" s="29">
        <v>522</v>
      </c>
      <c r="K326">
        <v>2015</v>
      </c>
    </row>
    <row r="327" ht="16.5" spans="1:11">
      <c r="A327" s="16" t="s">
        <v>73</v>
      </c>
      <c r="B327" s="16" t="s">
        <v>74</v>
      </c>
      <c r="C327" s="17" t="s">
        <v>75</v>
      </c>
      <c r="D327" s="18" t="s">
        <v>76</v>
      </c>
      <c r="E327" s="19" t="s">
        <v>77</v>
      </c>
      <c r="F327" t="str">
        <f>'Source Table'!$B$18</f>
        <v>Aqaba</v>
      </c>
      <c r="G327" t="str">
        <f>'Source Table'!$F$18</f>
        <v>العقبة</v>
      </c>
      <c r="H327" t="str">
        <f>'Source Table'!$C$6</f>
        <v>Highways</v>
      </c>
      <c r="I327" t="str">
        <f>'Source Table'!$C$5</f>
        <v>طرق رئيسية</v>
      </c>
      <c r="J327" s="30">
        <v>307</v>
      </c>
      <c r="K327">
        <v>2015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zoomScale="70" zoomScaleNormal="70" workbookViewId="0">
      <selection activeCell="A18" sqref="A18"/>
    </sheetView>
  </sheetViews>
  <sheetFormatPr defaultColWidth="9" defaultRowHeight="14.25" outlineLevelRow="4"/>
  <cols>
    <col min="1" max="12" width="24.5" customWidth="1"/>
    <col min="13" max="14" width="15" customWidth="1"/>
    <col min="15" max="15" width="8.75" customWidth="1"/>
    <col min="16" max="16" width="11.5" customWidth="1"/>
    <col min="17" max="17" width="12" customWidth="1"/>
    <col min="18" max="18" width="9.875" customWidth="1"/>
    <col min="19" max="19" width="7.5" customWidth="1"/>
  </cols>
  <sheetData>
    <row r="1" ht="15" spans="1:2">
      <c r="A1" s="11" t="s">
        <v>78</v>
      </c>
      <c r="B1" s="12">
        <f>DATE(B2,B3,1)</f>
        <v>45292</v>
      </c>
    </row>
    <row r="2" ht="15" spans="1:4">
      <c r="A2" s="11" t="s">
        <v>16</v>
      </c>
      <c r="B2">
        <v>2024</v>
      </c>
      <c r="D2" s="12"/>
    </row>
    <row r="3" ht="15" spans="1:2">
      <c r="A3" s="11" t="s">
        <v>79</v>
      </c>
      <c r="B3">
        <v>1</v>
      </c>
    </row>
    <row r="4" s="10" customFormat="1" ht="18" customHeight="1" spans="1:12">
      <c r="A4" s="13" t="s">
        <v>51</v>
      </c>
      <c r="B4" s="13" t="s">
        <v>52</v>
      </c>
      <c r="C4" s="13" t="s">
        <v>53</v>
      </c>
      <c r="D4" s="13" t="s">
        <v>54</v>
      </c>
      <c r="E4" s="13" t="s">
        <v>55</v>
      </c>
      <c r="F4" s="14" t="s">
        <v>56</v>
      </c>
      <c r="G4" s="14" t="s">
        <v>57</v>
      </c>
      <c r="H4" s="14" t="s">
        <v>58</v>
      </c>
      <c r="I4" s="14" t="s">
        <v>59</v>
      </c>
      <c r="J4" s="13" t="s">
        <v>60</v>
      </c>
      <c r="K4" s="13" t="s">
        <v>61</v>
      </c>
      <c r="L4" s="13" t="s">
        <v>62</v>
      </c>
    </row>
    <row r="5" s="10" customFormat="1" ht="18" customHeight="1" spans="1:12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67</v>
      </c>
      <c r="F5" s="14" t="s">
        <v>18</v>
      </c>
      <c r="G5" s="14" t="s">
        <v>22</v>
      </c>
      <c r="H5" s="14" t="s">
        <v>68</v>
      </c>
      <c r="I5" s="14" t="s">
        <v>69</v>
      </c>
      <c r="J5" s="13" t="s">
        <v>70</v>
      </c>
      <c r="K5" s="13" t="s">
        <v>71</v>
      </c>
      <c r="L5" s="13" t="s">
        <v>72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20" workbookViewId="0">
      <selection activeCell="A20" sqref="B7 A20"/>
    </sheetView>
  </sheetViews>
  <sheetFormatPr defaultColWidth="8.875" defaultRowHeight="14.25" outlineLevelCol="2"/>
  <cols>
    <col min="1" max="1" width="90" style="1" customWidth="1"/>
    <col min="2" max="2" width="2.5" style="2" customWidth="1"/>
    <col min="3" max="3" width="87.375" style="3" customWidth="1"/>
    <col min="4" max="16384" width="8.875" style="4"/>
  </cols>
  <sheetData>
    <row r="2" ht="17.25" spans="1:3">
      <c r="A2" s="5" t="s">
        <v>80</v>
      </c>
      <c r="C2" s="6" t="s">
        <v>81</v>
      </c>
    </row>
    <row r="3" spans="1:1">
      <c r="A3" s="7"/>
    </row>
    <row r="4" ht="28.5" spans="1:3">
      <c r="A4" s="7" t="s">
        <v>82</v>
      </c>
      <c r="C4" s="3" t="s">
        <v>83</v>
      </c>
    </row>
    <row r="6" ht="17.25" spans="1:3">
      <c r="A6" s="5" t="s">
        <v>84</v>
      </c>
      <c r="C6" s="6" t="s">
        <v>85</v>
      </c>
    </row>
    <row r="7" spans="1:1">
      <c r="A7" s="7"/>
    </row>
    <row r="8" ht="30" spans="1:3">
      <c r="A8" s="8" t="s">
        <v>86</v>
      </c>
      <c r="C8" s="3" t="s">
        <v>87</v>
      </c>
    </row>
    <row r="10" ht="17.25" spans="1:3">
      <c r="A10" s="5" t="s">
        <v>88</v>
      </c>
      <c r="C10" s="6" t="s">
        <v>89</v>
      </c>
    </row>
    <row r="11" spans="1:1">
      <c r="A11" s="7"/>
    </row>
    <row r="12" spans="1:3">
      <c r="A12" s="7" t="s">
        <v>90</v>
      </c>
      <c r="C12" s="3" t="s">
        <v>91</v>
      </c>
    </row>
    <row r="13" ht="15" spans="1:3">
      <c r="A13" s="8" t="s">
        <v>92</v>
      </c>
      <c r="C13" s="9" t="s">
        <v>93</v>
      </c>
    </row>
    <row r="14" ht="29.25" spans="1:3">
      <c r="A14" s="8" t="s">
        <v>94</v>
      </c>
      <c r="C14" s="9" t="s">
        <v>95</v>
      </c>
    </row>
    <row r="15" ht="15" spans="1:3">
      <c r="A15" s="8" t="s">
        <v>96</v>
      </c>
      <c r="C15" s="9" t="s">
        <v>97</v>
      </c>
    </row>
    <row r="16" ht="15" spans="1:3">
      <c r="A16" s="8" t="s">
        <v>98</v>
      </c>
      <c r="C16" s="9" t="s">
        <v>99</v>
      </c>
    </row>
    <row r="17" ht="15" spans="1:3">
      <c r="A17" s="8" t="s">
        <v>100</v>
      </c>
      <c r="C17" s="9" t="s">
        <v>101</v>
      </c>
    </row>
    <row r="18" spans="1:3">
      <c r="A18" s="7" t="s">
        <v>102</v>
      </c>
      <c r="C18" s="3" t="s">
        <v>103</v>
      </c>
    </row>
    <row r="19" spans="1:3">
      <c r="A19" s="7" t="s">
        <v>104</v>
      </c>
      <c r="C19" s="3" t="s">
        <v>105</v>
      </c>
    </row>
    <row r="20" ht="29.25" spans="1:3">
      <c r="A20" s="8" t="s">
        <v>106</v>
      </c>
      <c r="C20" s="9" t="s">
        <v>107</v>
      </c>
    </row>
    <row r="22" ht="17.25" spans="1:3">
      <c r="A22" s="5" t="s">
        <v>108</v>
      </c>
      <c r="C22" s="6" t="s">
        <v>109</v>
      </c>
    </row>
    <row r="23" spans="1:1">
      <c r="A23" s="7"/>
    </row>
    <row r="24" ht="29.25" spans="1:3">
      <c r="A24" s="7" t="s">
        <v>110</v>
      </c>
      <c r="C24" s="3" t="s">
        <v>111</v>
      </c>
    </row>
    <row r="25" ht="30" spans="1:3">
      <c r="A25" s="7" t="s">
        <v>112</v>
      </c>
      <c r="C25" s="3" t="s">
        <v>113</v>
      </c>
    </row>
    <row r="27" ht="17.25" spans="1:3">
      <c r="A27" s="5" t="s">
        <v>114</v>
      </c>
      <c r="C27" s="6" t="s">
        <v>115</v>
      </c>
    </row>
    <row r="28" spans="1:1">
      <c r="A28" s="7"/>
    </row>
    <row r="29" ht="15" spans="1:3">
      <c r="A29" s="7" t="s">
        <v>116</v>
      </c>
      <c r="C29" s="3" t="s">
        <v>117</v>
      </c>
    </row>
    <row r="30" spans="1:3">
      <c r="A30" s="7" t="s">
        <v>118</v>
      </c>
      <c r="C30" s="3" t="s">
        <v>119</v>
      </c>
    </row>
    <row r="32" ht="17.25" spans="1:3">
      <c r="A32" s="5" t="s">
        <v>120</v>
      </c>
      <c r="C32" s="6" t="s">
        <v>121</v>
      </c>
    </row>
    <row r="33" spans="1:1">
      <c r="A33" s="7"/>
    </row>
    <row r="34" ht="15" spans="1:3">
      <c r="A34" s="8" t="s">
        <v>122</v>
      </c>
      <c r="C34" s="3" t="s">
        <v>123</v>
      </c>
    </row>
    <row r="36" ht="17.25" spans="1:3">
      <c r="A36" s="5" t="s">
        <v>124</v>
      </c>
      <c r="C36" s="6" t="s">
        <v>125</v>
      </c>
    </row>
    <row r="37" spans="1:1">
      <c r="A37" s="7"/>
    </row>
    <row r="38" spans="1:3">
      <c r="A38" s="7" t="s">
        <v>126</v>
      </c>
      <c r="C38" s="3" t="s">
        <v>127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6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CEFB3727-0098-41DB-9DEB-08A099D40A76}">
  <ds:schemaRefs/>
</ds:datastoreItem>
</file>

<file path=customXml/itemProps3.xml><?xml version="1.0" encoding="utf-8"?>
<ds:datastoreItem xmlns:ds="http://schemas.openxmlformats.org/officeDocument/2006/customXml" ds:itemID="{2B69E51F-8050-470A-8899-CD75CA9C3B53}">
  <ds:schemaRefs/>
</ds:datastoreItem>
</file>

<file path=customXml/itemProps4.xml><?xml version="1.0" encoding="utf-8"?>
<ds:datastoreItem xmlns:ds="http://schemas.openxmlformats.org/officeDocument/2006/customXml" ds:itemID="{376B0781-3F54-40BC-A068-7F5A2310E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2025-03-12T09:23:12Z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0x0101000B85009966E43949B185D693F3D86775</vt:lpwstr>
  </property>
  <property fmtid="{D5CDD505-2E9C-101B-9397-08002B2CF9AE}" pid="3" name="MediaServiceImageTags">
    <vt:lpwstr/>
  </property>
  <property fmtid="{D5CDD505-2E9C-101B-9397-08002B2CF9AE}" pid="4" name="ICV">
    <vt:lpwstr>D90E15735F71491AA832502B847B53F6_13</vt:lpwstr>
  </property>
  <property fmtid="{D5CDD505-2E9C-101B-9397-08002B2CF9AE}" pid="5" name="KSOProductBuildVer">
    <vt:lpwstr>1033-12.2.0.19805</vt:lpwstr>
  </property>
</Properties>
</file>