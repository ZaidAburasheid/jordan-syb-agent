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4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1403" localSheetId="1">'Source Table'!$F$7</definedName>
    <definedName name="_Toc175801404" localSheetId="1">'Source Table'!$F$8</definedName>
    <definedName name="_Toc175801406" localSheetId="1">'Source Table'!$B$7</definedName>
    <definedName name="_Toc175801407" localSheetId="1">'Source Table'!$B$8</definedName>
    <definedName name="_xlnm.Print_Area" localSheetId="1">'Source Table'!$B$2:$F$8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<sst xmlns="http://schemas.openxmlformats.org/spreadsheetml/2006/main" count="400" uniqueCount="109">
  <si>
    <t>Code</t>
  </si>
  <si>
    <t>SYB_11_3_1</t>
  </si>
  <si>
    <t>Version</t>
  </si>
  <si>
    <t>V1</t>
  </si>
  <si>
    <t>اسم القالب</t>
  </si>
  <si>
    <t>البريد الداخلي والخارجي</t>
  </si>
  <si>
    <t>Template Name</t>
  </si>
  <si>
    <t>Local and External Mail</t>
  </si>
  <si>
    <t>دورية البيانات</t>
  </si>
  <si>
    <t>سنوي</t>
  </si>
  <si>
    <t>Data Frequency</t>
  </si>
  <si>
    <t>Annual</t>
  </si>
  <si>
    <t>الجهة المصدرية</t>
  </si>
  <si>
    <t>شركة البريد الأردني</t>
  </si>
  <si>
    <t>Data Source</t>
  </si>
  <si>
    <t>Jordan Post Company</t>
  </si>
  <si>
    <t>Year</t>
  </si>
  <si>
    <t>السنة</t>
  </si>
  <si>
    <t>Mail Activity</t>
  </si>
  <si>
    <t>البريد الخارجي الصادر</t>
  </si>
  <si>
    <t>البريد الخارجي  لوارد</t>
  </si>
  <si>
    <t>البريد الداخلي</t>
  </si>
  <si>
    <t>الحركة البريدية</t>
  </si>
  <si>
    <t xml:space="preserve">External Mail Out  </t>
  </si>
  <si>
    <t>External Mail In</t>
  </si>
  <si>
    <t>Local Mail</t>
  </si>
  <si>
    <t>Ordinary Mail</t>
  </si>
  <si>
    <t>البريد العادي</t>
  </si>
  <si>
    <t>Registered Mail</t>
  </si>
  <si>
    <t xml:space="preserve">البريد المسجل </t>
  </si>
  <si>
    <t>Relational Sheet</t>
  </si>
  <si>
    <t>Measure_Name_Ar</t>
  </si>
  <si>
    <t>Measure_Name_En</t>
  </si>
  <si>
    <t>Measure_ID</t>
  </si>
  <si>
    <t>Unit_EN</t>
  </si>
  <si>
    <t>Unit_AR</t>
  </si>
  <si>
    <t>CL_MAIL_ACTIVITY_EN_V1</t>
  </si>
  <si>
    <t>CL_MAIL_ACTIVITY_AR_V1</t>
  </si>
  <si>
    <t>CL_MAIL_TYPE_EN_V1</t>
  </si>
  <si>
    <t>CL_MAIL_TYPE_AR_V1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</si>
  <si>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</si>
  <si>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</si>
  <si>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</si>
  <si>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</si>
  <si>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</si>
  <si>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</si>
  <si>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</si>
  <si>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</si>
  <si>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Mail Avtivity</t>
  </si>
  <si>
    <t>Mail Type</t>
  </si>
  <si>
    <t>نوع البريد</t>
  </si>
  <si>
    <t>قيمة المؤشر</t>
  </si>
  <si>
    <t>سنة فترة القياس</t>
  </si>
  <si>
    <t>شهر فترة القياس</t>
  </si>
  <si>
    <t>M1</t>
  </si>
  <si>
    <t>000</t>
  </si>
  <si>
    <t>ألف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</si>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</sst>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9"/>
      <color theme="1"/>
      <name val="Times New Roman"/>
      <charset val="134"/>
    </font>
    <font>
      <b/>
      <sz val="11"/>
      <color rgb="FF000000"/>
      <name val="Calibri"/>
      <charset val="134"/>
    </font>
    <font>
      <b/>
      <sz val="12"/>
      <color theme="1"/>
      <name val="Traditional Arabic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>
      <alignment horizontal="centerContinuous" vertical="center"/>
    </xf>
    <xf numFmtId="0" fontId="37" fillId="0" borderId="0">
      <alignment horizontal="centerContinuous" vertical="center"/>
    </xf>
    <xf numFmtId="1" fontId="38" fillId="39" borderId="12">
      <alignment horizontal="center" vertical="center"/>
    </xf>
    <xf numFmtId="0" fontId="39" fillId="39" borderId="12">
      <alignment horizontal="center" vertical="center" wrapText="1"/>
    </xf>
    <xf numFmtId="0" fontId="40" fillId="39" borderId="12">
      <alignment horizontal="center" vertical="center" wrapText="1"/>
    </xf>
    <xf numFmtId="0" fontId="35" fillId="0" borderId="0"/>
    <xf numFmtId="0" fontId="35" fillId="0" borderId="0"/>
    <xf numFmtId="0" fontId="0" fillId="0" borderId="0"/>
    <xf numFmtId="0" fontId="0" fillId="0" borderId="0"/>
    <xf numFmtId="0" fontId="35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35" fillId="0" borderId="0">
      <alignment horizontal="left" vertical="center"/>
    </xf>
  </cellStyleXfs>
  <cellXfs count="40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readingOrder="2"/>
    </xf>
    <xf numFmtId="0" fontId="9" fillId="0" borderId="0" xfId="0" applyFont="1" applyBorder="1" applyAlignment="1">
      <alignment horizontal="right" wrapText="1"/>
    </xf>
    <xf numFmtId="0" fontId="9" fillId="0" borderId="0" xfId="0" applyFont="1" applyBorder="1" applyAlignment="1">
      <alignment horizontal="center" wrapText="1"/>
    </xf>
    <xf numFmtId="4" fontId="9" fillId="0" borderId="0" xfId="0" applyNumberFormat="1" applyFont="1" applyBorder="1" applyAlignment="1">
      <alignment horizontal="center"/>
    </xf>
    <xf numFmtId="0" fontId="9" fillId="0" borderId="0" xfId="0" applyFont="1" applyBorder="1"/>
    <xf numFmtId="4" fontId="9" fillId="0" borderId="0" xfId="0" applyNumberFormat="1" applyFont="1" applyBorder="1" applyAlignment="1">
      <alignment horizontal="center" wrapText="1"/>
    </xf>
    <xf numFmtId="0" fontId="10" fillId="5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readingOrder="2"/>
    </xf>
    <xf numFmtId="0" fontId="11" fillId="6" borderId="1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readingOrder="2"/>
    </xf>
    <xf numFmtId="0" fontId="11" fillId="6" borderId="1" xfId="0" applyFont="1" applyFill="1" applyBorder="1" applyAlignment="1">
      <alignment vertical="center"/>
    </xf>
    <xf numFmtId="0" fontId="12" fillId="0" borderId="1" xfId="0" applyFont="1" applyBorder="1"/>
    <xf numFmtId="0" fontId="13" fillId="0" borderId="1" xfId="56" applyFont="1" applyFill="1" applyBorder="1" applyProtection="1"/>
    <xf numFmtId="0" fontId="14" fillId="0" borderId="0" xfId="0" applyFont="1"/>
    <xf numFmtId="0" fontId="0" fillId="0" borderId="0" xfId="0" applyBorder="1"/>
    <xf numFmtId="0" fontId="0" fillId="0" borderId="1" xfId="0" applyBorder="1"/>
    <xf numFmtId="0" fontId="15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readingOrder="2"/>
    </xf>
    <xf numFmtId="0" fontId="0" fillId="0" borderId="0" xfId="0" applyAlignment="1" quotePrefix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35" t="s">
        <v>0</v>
      </c>
      <c r="B1" s="36" t="s">
        <v>1</v>
      </c>
    </row>
    <row r="2" ht="21" customHeight="1" spans="1:2">
      <c r="A2" s="35" t="s">
        <v>2</v>
      </c>
      <c r="B2" s="36" t="s">
        <v>3</v>
      </c>
    </row>
    <row r="3" ht="21" customHeight="1" spans="1:2">
      <c r="A3" s="35" t="s">
        <v>4</v>
      </c>
      <c r="B3" s="37" t="s">
        <v>5</v>
      </c>
    </row>
    <row r="4" ht="21" customHeight="1" spans="1:2">
      <c r="A4" s="35" t="s">
        <v>6</v>
      </c>
      <c r="B4" s="38" t="s">
        <v>7</v>
      </c>
    </row>
    <row r="5" ht="21" customHeight="1" spans="1:2">
      <c r="A5" s="35" t="s">
        <v>8</v>
      </c>
      <c r="B5" s="39" t="s">
        <v>9</v>
      </c>
    </row>
    <row r="6" ht="21" customHeight="1" spans="1:2">
      <c r="A6" s="35" t="s">
        <v>10</v>
      </c>
      <c r="B6" s="39" t="s">
        <v>11</v>
      </c>
    </row>
    <row r="7" ht="21" customHeight="1" spans="1:2">
      <c r="A7" s="35" t="s">
        <v>12</v>
      </c>
      <c r="B7" s="36" t="s">
        <v>13</v>
      </c>
    </row>
    <row r="8" ht="21" customHeight="1" spans="1:2">
      <c r="A8" s="35" t="s">
        <v>14</v>
      </c>
      <c r="B8" s="36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view="pageBreakPreview" zoomScale="80" zoomScaleNormal="100" workbookViewId="0">
      <selection activeCell="C7" sqref="C7:E8"/>
    </sheetView>
  </sheetViews>
  <sheetFormatPr defaultColWidth="16.75" defaultRowHeight="14.25" outlineLevelRow="7" outlineLevelCol="5"/>
  <cols>
    <col min="2" max="2" width="35.125" customWidth="1"/>
    <col min="3" max="5" width="17.25" customWidth="1"/>
    <col min="6" max="6" width="34.375" customWidth="1"/>
  </cols>
  <sheetData>
    <row r="2" ht="28.15" customHeight="1" spans="2:6">
      <c r="B2" s="23" t="str">
        <f>'Cover Page'!B4</f>
        <v>Local and External Mail</v>
      </c>
      <c r="C2" s="23"/>
      <c r="D2" s="23"/>
      <c r="E2" s="23"/>
      <c r="F2" s="23"/>
    </row>
    <row r="3" ht="28.15" customHeight="1" spans="2:6">
      <c r="B3" s="23" t="str">
        <f>'Cover Page'!B3</f>
        <v>البريد الداخلي والخارجي</v>
      </c>
      <c r="C3" s="23"/>
      <c r="D3" s="23"/>
      <c r="E3" s="23"/>
      <c r="F3" s="23"/>
    </row>
    <row r="4" ht="28.15" customHeight="1" spans="2:6">
      <c r="B4" s="24" t="s">
        <v>16</v>
      </c>
      <c r="C4" s="25"/>
      <c r="D4" s="25">
        <f>YEAR('Template Data'!B1)</f>
        <v>2024</v>
      </c>
      <c r="E4" s="25"/>
      <c r="F4" s="24" t="s">
        <v>17</v>
      </c>
    </row>
    <row r="5" ht="28.15" customHeight="1" spans="2:6">
      <c r="B5" s="26" t="s">
        <v>18</v>
      </c>
      <c r="C5" s="27" t="s">
        <v>19</v>
      </c>
      <c r="D5" s="27" t="s">
        <v>20</v>
      </c>
      <c r="E5" s="27" t="s">
        <v>21</v>
      </c>
      <c r="F5" s="26" t="s">
        <v>22</v>
      </c>
    </row>
    <row r="6" ht="28.15" customHeight="1" spans="2:6">
      <c r="B6" s="28"/>
      <c r="C6" s="29" t="s">
        <v>23</v>
      </c>
      <c r="D6" s="29" t="s">
        <v>24</v>
      </c>
      <c r="E6" s="29" t="s">
        <v>25</v>
      </c>
      <c r="F6" s="28"/>
    </row>
    <row r="7" ht="22.15" customHeight="1" spans="2:6">
      <c r="B7" s="30" t="s">
        <v>26</v>
      </c>
      <c r="C7" s="31"/>
      <c r="D7" s="31"/>
      <c r="E7" s="31"/>
      <c r="F7" s="30" t="s">
        <v>27</v>
      </c>
    </row>
    <row r="8" ht="18.75" spans="2:6">
      <c r="B8" s="32" t="s">
        <v>28</v>
      </c>
      <c r="C8" s="31"/>
      <c r="D8" s="33"/>
      <c r="E8" s="34"/>
      <c r="F8" s="32" t="s">
        <v>29</v>
      </c>
    </row>
  </sheetData>
  <mergeCells count="4">
    <mergeCell ref="B2:F2"/>
    <mergeCell ref="B3:F3"/>
    <mergeCell ref="B5:B6"/>
    <mergeCell ref="F5:F6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zoomScale="70" zoomScaleNormal="70" topLeftCell="A21" workbookViewId="0">
      <selection activeCell="C27" sqref="C27"/>
    </sheetView>
  </sheetViews>
  <sheetFormatPr defaultColWidth="9" defaultRowHeight="14.25"/>
  <cols>
    <col min="1" max="1" width="24.75" customWidth="1"/>
    <col min="2" max="2" width="51.125" customWidth="1"/>
    <col min="3" max="3" width="9.75" customWidth="1"/>
    <col min="4" max="9" width="18.125" customWidth="1"/>
    <col min="10" max="12" width="15.375" customWidth="1"/>
  </cols>
  <sheetData>
    <row r="1" ht="20.25" spans="1:1">
      <c r="A1" s="15" t="s">
        <v>30</v>
      </c>
    </row>
    <row r="2" s="10" customFormat="1" ht="18" customHeight="1" spans="1:12">
      <c r="A2" s="13" t="s">
        <v>31</v>
      </c>
      <c r="B2" s="13" t="s">
        <v>32</v>
      </c>
      <c r="C2" s="13" t="s">
        <v>33</v>
      </c>
      <c r="D2" s="13" t="s">
        <v>34</v>
      </c>
      <c r="E2" s="13" t="s">
        <v>35</v>
      </c>
      <c r="F2" s="14" t="s">
        <v>36</v>
      </c>
      <c r="G2" s="14" t="s">
        <v>37</v>
      </c>
      <c r="H2" s="14" t="s">
        <v>38</v>
      </c>
      <c r="I2" s="14" t="s">
        <v>39</v>
      </c>
      <c r="J2" s="13" t="s">
        <v>40</v>
      </c>
      <c r="K2" s="13" t="s">
        <v>41</v>
      </c>
      <c r="L2" s="13" t="s">
        <v>42</v>
      </c>
    </row>
    <row r="3" s="10" customFormat="1" ht="18" customHeight="1" spans="1:12">
      <c r="A3" s="13" t="s">
        <v>43</v>
      </c>
      <c r="B3" s="13" t="s">
        <v>44</v>
      </c>
      <c r="C3" s="13" t="s">
        <v>45</v>
      </c>
      <c r="D3" s="13" t="s">
        <v>46</v>
      </c>
      <c r="E3" s="13" t="s">
        <v>47</v>
      </c>
      <c r="F3" s="14" t="s">
        <v>48</v>
      </c>
      <c r="G3" s="14" t="s">
        <v>22</v>
      </c>
      <c r="H3" s="14" t="s">
        <v>49</v>
      </c>
      <c r="I3" s="14" t="s">
        <v>50</v>
      </c>
      <c r="J3" s="13" t="s">
        <v>51</v>
      </c>
      <c r="K3" s="13" t="s">
        <v>52</v>
      </c>
      <c r="L3" s="13" t="s">
        <v>53</v>
      </c>
    </row>
    <row r="4" ht="15" spans="1:11">
      <c r="A4" t="s">
        <v>5</v>
      </c>
      <c r="B4" t="s">
        <v>7</v>
      </c>
      <c r="C4" s="16" t="s">
        <v>54</v>
      </c>
      <c r="D4" s="40" t="s">
        <v>55</v>
      </c>
      <c r="E4" s="17" t="s">
        <v>56</v>
      </c>
      <c r="F4" s="17" t="str">
        <f>'Source Table'!$E$6</f>
        <v>Local Mail</v>
      </c>
      <c r="G4" s="17" t="str">
        <f>'Source Table'!$E$5</f>
        <v>البريد الداخلي</v>
      </c>
      <c r="H4" s="17" t="str">
        <f>'Source Table'!_Toc175801406</f>
        <v>Ordinary Mail</v>
      </c>
      <c r="I4" s="17" t="str">
        <f>'Source Table'!_Toc175801403</f>
        <v>البريد العادي</v>
      </c>
      <c r="J4" s="18">
        <v>443.6</v>
      </c>
      <c r="K4">
        <v>2023</v>
      </c>
    </row>
    <row r="5" ht="15" spans="1:11">
      <c r="A5" t="s">
        <v>5</v>
      </c>
      <c r="B5" t="s">
        <v>7</v>
      </c>
      <c r="C5" s="16" t="s">
        <v>54</v>
      </c>
      <c r="D5" s="40" t="s">
        <v>55</v>
      </c>
      <c r="E5" s="17" t="s">
        <v>56</v>
      </c>
      <c r="F5" s="17" t="str">
        <f>'Source Table'!$E$6</f>
        <v>Local Mail</v>
      </c>
      <c r="G5" s="17" t="str">
        <f>'Source Table'!$E$5</f>
        <v>البريد الداخلي</v>
      </c>
      <c r="H5" s="17" t="str">
        <f>'Source Table'!_Toc175801407</f>
        <v>Registered Mail</v>
      </c>
      <c r="I5" s="17" t="str">
        <f>'Source Table'!_Toc175801404</f>
        <v>البريد المسجل </v>
      </c>
      <c r="J5" s="18">
        <v>238.9</v>
      </c>
      <c r="K5">
        <v>2023</v>
      </c>
    </row>
    <row r="6" ht="15" spans="1:11">
      <c r="A6" t="s">
        <v>5</v>
      </c>
      <c r="B6" t="s">
        <v>7</v>
      </c>
      <c r="C6" s="16" t="s">
        <v>54</v>
      </c>
      <c r="D6" s="40" t="s">
        <v>55</v>
      </c>
      <c r="E6" s="17" t="s">
        <v>56</v>
      </c>
      <c r="F6" s="17" t="str">
        <f>'Source Table'!$D$6</f>
        <v>External Mail In</v>
      </c>
      <c r="G6" s="17" t="str">
        <f>'Source Table'!$D$5</f>
        <v>البريد الخارجي  لوارد</v>
      </c>
      <c r="H6" s="17" t="str">
        <f>'Source Table'!_Toc175801406</f>
        <v>Ordinary Mail</v>
      </c>
      <c r="I6" s="17" t="str">
        <f>'Source Table'!_Toc175801403</f>
        <v>البريد العادي</v>
      </c>
      <c r="J6" s="18">
        <v>415.7</v>
      </c>
      <c r="K6">
        <v>2023</v>
      </c>
    </row>
    <row r="7" ht="15" spans="1:11">
      <c r="A7" t="s">
        <v>5</v>
      </c>
      <c r="B7" t="s">
        <v>7</v>
      </c>
      <c r="C7" s="16" t="s">
        <v>54</v>
      </c>
      <c r="D7" s="40" t="s">
        <v>55</v>
      </c>
      <c r="E7" s="17" t="s">
        <v>56</v>
      </c>
      <c r="F7" s="17" t="str">
        <f>'Source Table'!$D$6</f>
        <v>External Mail In</v>
      </c>
      <c r="G7" s="17" t="str">
        <f>'Source Table'!$D$5</f>
        <v>البريد الخارجي  لوارد</v>
      </c>
      <c r="H7" s="17" t="str">
        <f>'Source Table'!_Toc175801407</f>
        <v>Registered Mail</v>
      </c>
      <c r="I7" s="17" t="str">
        <f>'Source Table'!_Toc175801404</f>
        <v>البريد المسجل </v>
      </c>
      <c r="J7" s="18">
        <v>35.6</v>
      </c>
      <c r="K7">
        <v>2023</v>
      </c>
    </row>
    <row r="8" ht="15" spans="1:11">
      <c r="A8" t="s">
        <v>5</v>
      </c>
      <c r="B8" t="s">
        <v>7</v>
      </c>
      <c r="C8" s="16" t="s">
        <v>54</v>
      </c>
      <c r="D8" s="40" t="s">
        <v>55</v>
      </c>
      <c r="E8" s="17" t="s">
        <v>56</v>
      </c>
      <c r="F8" s="17" t="str">
        <f>'Source Table'!$C$6</f>
        <v>External Mail Out  </v>
      </c>
      <c r="G8" s="17" t="str">
        <f>'Source Table'!$C$5</f>
        <v>البريد الخارجي الصادر</v>
      </c>
      <c r="H8" s="17" t="str">
        <f>'Source Table'!_Toc175801406</f>
        <v>Ordinary Mail</v>
      </c>
      <c r="I8" s="17" t="str">
        <f>'Source Table'!_Toc175801403</f>
        <v>البريد العادي</v>
      </c>
      <c r="J8" s="18">
        <v>29.8</v>
      </c>
      <c r="K8">
        <v>2023</v>
      </c>
    </row>
    <row r="9" ht="15" spans="1:11">
      <c r="A9" t="s">
        <v>5</v>
      </c>
      <c r="B9" t="s">
        <v>7</v>
      </c>
      <c r="C9" s="16" t="s">
        <v>54</v>
      </c>
      <c r="D9" s="40" t="s">
        <v>55</v>
      </c>
      <c r="E9" s="17" t="s">
        <v>56</v>
      </c>
      <c r="F9" s="17" t="str">
        <f>'Source Table'!$C$6</f>
        <v>External Mail Out  </v>
      </c>
      <c r="G9" s="17" t="str">
        <f>'Source Table'!$C$5</f>
        <v>البريد الخارجي الصادر</v>
      </c>
      <c r="H9" s="17" t="str">
        <f>'Source Table'!_Toc175801407</f>
        <v>Registered Mail</v>
      </c>
      <c r="I9" s="17" t="str">
        <f>'Source Table'!_Toc175801404</f>
        <v>البريد المسجل </v>
      </c>
      <c r="J9" s="18">
        <v>129.7</v>
      </c>
      <c r="K9">
        <v>2023</v>
      </c>
    </row>
    <row r="10" ht="15" spans="1:11">
      <c r="A10" t="s">
        <v>5</v>
      </c>
      <c r="B10" t="s">
        <v>7</v>
      </c>
      <c r="C10" s="16" t="s">
        <v>54</v>
      </c>
      <c r="D10" s="40" t="s">
        <v>55</v>
      </c>
      <c r="E10" s="17" t="s">
        <v>56</v>
      </c>
      <c r="F10" s="17" t="str">
        <f>'Source Table'!$E$6</f>
        <v>Local Mail</v>
      </c>
      <c r="G10" s="17" t="str">
        <f>'Source Table'!$E$5</f>
        <v>البريد الداخلي</v>
      </c>
      <c r="H10" s="17" t="str">
        <f>'Source Table'!_Toc175801406</f>
        <v>Ordinary Mail</v>
      </c>
      <c r="I10" s="17" t="str">
        <f>'Source Table'!_Toc175801403</f>
        <v>البريد العادي</v>
      </c>
      <c r="J10" s="19">
        <v>783</v>
      </c>
      <c r="K10">
        <v>2022</v>
      </c>
    </row>
    <row r="11" ht="15" spans="1:11">
      <c r="A11" t="s">
        <v>5</v>
      </c>
      <c r="B11" t="s">
        <v>7</v>
      </c>
      <c r="C11" s="16" t="s">
        <v>54</v>
      </c>
      <c r="D11" s="40" t="s">
        <v>55</v>
      </c>
      <c r="E11" s="17" t="s">
        <v>56</v>
      </c>
      <c r="F11" s="17" t="str">
        <f>'Source Table'!$E$6</f>
        <v>Local Mail</v>
      </c>
      <c r="G11" s="17" t="str">
        <f>'Source Table'!$E$5</f>
        <v>البريد الداخلي</v>
      </c>
      <c r="H11" s="17" t="str">
        <f>'Source Table'!_Toc175801407</f>
        <v>Registered Mail</v>
      </c>
      <c r="I11" s="17" t="str">
        <f>'Source Table'!_Toc175801404</f>
        <v>البريد المسجل </v>
      </c>
      <c r="J11" s="19">
        <v>207.6</v>
      </c>
      <c r="K11">
        <v>2022</v>
      </c>
    </row>
    <row r="12" ht="15" spans="1:11">
      <c r="A12" t="s">
        <v>5</v>
      </c>
      <c r="B12" t="s">
        <v>7</v>
      </c>
      <c r="C12" s="16" t="s">
        <v>54</v>
      </c>
      <c r="D12" s="40" t="s">
        <v>55</v>
      </c>
      <c r="E12" s="17" t="s">
        <v>56</v>
      </c>
      <c r="F12" s="17" t="str">
        <f>'Source Table'!$D$6</f>
        <v>External Mail In</v>
      </c>
      <c r="G12" s="17" t="str">
        <f>'Source Table'!$D$5</f>
        <v>البريد الخارجي  لوارد</v>
      </c>
      <c r="H12" s="17" t="str">
        <f>'Source Table'!_Toc175801406</f>
        <v>Ordinary Mail</v>
      </c>
      <c r="I12" s="17" t="str">
        <f>'Source Table'!_Toc175801403</f>
        <v>البريد العادي</v>
      </c>
      <c r="J12" s="19">
        <v>465.9</v>
      </c>
      <c r="K12">
        <v>2022</v>
      </c>
    </row>
    <row r="13" ht="15" spans="1:11">
      <c r="A13" t="s">
        <v>5</v>
      </c>
      <c r="B13" t="s">
        <v>7</v>
      </c>
      <c r="C13" s="16" t="s">
        <v>54</v>
      </c>
      <c r="D13" s="40" t="s">
        <v>55</v>
      </c>
      <c r="E13" s="17" t="s">
        <v>56</v>
      </c>
      <c r="F13" s="17" t="str">
        <f>'Source Table'!$D$6</f>
        <v>External Mail In</v>
      </c>
      <c r="G13" s="17" t="str">
        <f>'Source Table'!$D$5</f>
        <v>البريد الخارجي  لوارد</v>
      </c>
      <c r="H13" s="17" t="str">
        <f>'Source Table'!_Toc175801407</f>
        <v>Registered Mail</v>
      </c>
      <c r="I13" s="17" t="str">
        <f>'Source Table'!_Toc175801404</f>
        <v>البريد المسجل </v>
      </c>
      <c r="J13" s="19">
        <v>33.8</v>
      </c>
      <c r="K13">
        <v>2022</v>
      </c>
    </row>
    <row r="14" ht="15" spans="1:11">
      <c r="A14" t="s">
        <v>5</v>
      </c>
      <c r="B14" t="s">
        <v>7</v>
      </c>
      <c r="C14" s="16" t="s">
        <v>54</v>
      </c>
      <c r="D14" s="40" t="s">
        <v>55</v>
      </c>
      <c r="E14" s="17" t="s">
        <v>56</v>
      </c>
      <c r="F14" s="17" t="str">
        <f>'Source Table'!$C$6</f>
        <v>External Mail Out  </v>
      </c>
      <c r="G14" s="17" t="str">
        <f>'Source Table'!$C$5</f>
        <v>البريد الخارجي الصادر</v>
      </c>
      <c r="H14" s="17" t="str">
        <f>'Source Table'!_Toc175801406</f>
        <v>Ordinary Mail</v>
      </c>
      <c r="I14" s="17" t="str">
        <f>'Source Table'!_Toc175801403</f>
        <v>البريد العادي</v>
      </c>
      <c r="J14" s="19">
        <v>23.6</v>
      </c>
      <c r="K14">
        <v>2022</v>
      </c>
    </row>
    <row r="15" ht="15" spans="1:11">
      <c r="A15" t="s">
        <v>5</v>
      </c>
      <c r="B15" t="s">
        <v>7</v>
      </c>
      <c r="C15" s="16" t="s">
        <v>54</v>
      </c>
      <c r="D15" s="40" t="s">
        <v>55</v>
      </c>
      <c r="E15" s="17" t="s">
        <v>56</v>
      </c>
      <c r="F15" s="17" t="str">
        <f>'Source Table'!$C$6</f>
        <v>External Mail Out  </v>
      </c>
      <c r="G15" s="17" t="str">
        <f>'Source Table'!$C$5</f>
        <v>البريد الخارجي الصادر</v>
      </c>
      <c r="H15" s="17" t="str">
        <f>'Source Table'!_Toc175801407</f>
        <v>Registered Mail</v>
      </c>
      <c r="I15" s="17" t="str">
        <f>'Source Table'!_Toc175801404</f>
        <v>البريد المسجل </v>
      </c>
      <c r="J15" s="19">
        <v>79</v>
      </c>
      <c r="K15">
        <v>2022</v>
      </c>
    </row>
    <row r="16" ht="15" spans="1:11">
      <c r="A16" t="s">
        <v>5</v>
      </c>
      <c r="B16" t="s">
        <v>7</v>
      </c>
      <c r="C16" s="16" t="s">
        <v>54</v>
      </c>
      <c r="D16" s="40" t="s">
        <v>55</v>
      </c>
      <c r="E16" s="17" t="s">
        <v>56</v>
      </c>
      <c r="F16" s="17" t="str">
        <f>'Source Table'!$E$6</f>
        <v>Local Mail</v>
      </c>
      <c r="G16" s="17" t="str">
        <f>'Source Table'!$E$5</f>
        <v>البريد الداخلي</v>
      </c>
      <c r="H16" s="17" t="str">
        <f>'Source Table'!_Toc175801406</f>
        <v>Ordinary Mail</v>
      </c>
      <c r="I16" s="17" t="str">
        <f>'Source Table'!_Toc175801403</f>
        <v>البريد العادي</v>
      </c>
      <c r="J16" s="20">
        <v>1035.4</v>
      </c>
      <c r="K16">
        <v>2021</v>
      </c>
    </row>
    <row r="17" ht="15" spans="1:11">
      <c r="A17" t="s">
        <v>5</v>
      </c>
      <c r="B17" t="s">
        <v>7</v>
      </c>
      <c r="C17" s="16" t="s">
        <v>54</v>
      </c>
      <c r="D17" s="40" t="s">
        <v>55</v>
      </c>
      <c r="E17" s="17" t="s">
        <v>56</v>
      </c>
      <c r="F17" s="17" t="str">
        <f>'Source Table'!$E$6</f>
        <v>Local Mail</v>
      </c>
      <c r="G17" s="17" t="str">
        <f>'Source Table'!$E$5</f>
        <v>البريد الداخلي</v>
      </c>
      <c r="H17" s="17" t="str">
        <f>'Source Table'!_Toc175801407</f>
        <v>Registered Mail</v>
      </c>
      <c r="I17" s="17" t="str">
        <f>'Source Table'!_Toc175801404</f>
        <v>البريد المسجل </v>
      </c>
      <c r="J17" s="21">
        <v>129</v>
      </c>
      <c r="K17">
        <v>2021</v>
      </c>
    </row>
    <row r="18" ht="15" spans="1:11">
      <c r="A18" t="s">
        <v>5</v>
      </c>
      <c r="B18" t="s">
        <v>7</v>
      </c>
      <c r="C18" s="16" t="s">
        <v>54</v>
      </c>
      <c r="D18" s="40" t="s">
        <v>55</v>
      </c>
      <c r="E18" s="17" t="s">
        <v>56</v>
      </c>
      <c r="F18" s="17" t="str">
        <f>'Source Table'!$D$6</f>
        <v>External Mail In</v>
      </c>
      <c r="G18" s="17" t="str">
        <f>'Source Table'!$D$5</f>
        <v>البريد الخارجي  لوارد</v>
      </c>
      <c r="H18" s="17" t="str">
        <f>'Source Table'!_Toc175801406</f>
        <v>Ordinary Mail</v>
      </c>
      <c r="I18" s="17" t="str">
        <f>'Source Table'!_Toc175801403</f>
        <v>البريد العادي</v>
      </c>
      <c r="J18" s="21">
        <v>666</v>
      </c>
      <c r="K18">
        <v>2021</v>
      </c>
    </row>
    <row r="19" ht="15" spans="1:11">
      <c r="A19" t="s">
        <v>5</v>
      </c>
      <c r="B19" t="s">
        <v>7</v>
      </c>
      <c r="C19" s="16" t="s">
        <v>54</v>
      </c>
      <c r="D19" s="40" t="s">
        <v>55</v>
      </c>
      <c r="E19" s="17" t="s">
        <v>56</v>
      </c>
      <c r="F19" s="17" t="str">
        <f>'Source Table'!$D$6</f>
        <v>External Mail In</v>
      </c>
      <c r="G19" s="17" t="str">
        <f>'Source Table'!$D$5</f>
        <v>البريد الخارجي  لوارد</v>
      </c>
      <c r="H19" s="17" t="str">
        <f>'Source Table'!_Toc175801407</f>
        <v>Registered Mail</v>
      </c>
      <c r="I19" s="17" t="str">
        <f>'Source Table'!_Toc175801404</f>
        <v>البريد المسجل </v>
      </c>
      <c r="J19" s="21">
        <v>37.3</v>
      </c>
      <c r="K19">
        <v>2021</v>
      </c>
    </row>
    <row r="20" ht="15" spans="1:11">
      <c r="A20" t="s">
        <v>5</v>
      </c>
      <c r="B20" t="s">
        <v>7</v>
      </c>
      <c r="C20" s="16" t="s">
        <v>54</v>
      </c>
      <c r="D20" s="40" t="s">
        <v>55</v>
      </c>
      <c r="E20" s="17" t="s">
        <v>56</v>
      </c>
      <c r="F20" s="17" t="str">
        <f>'Source Table'!$C$6</f>
        <v>External Mail Out  </v>
      </c>
      <c r="G20" s="17" t="str">
        <f>'Source Table'!$C$5</f>
        <v>البريد الخارجي الصادر</v>
      </c>
      <c r="H20" s="17" t="str">
        <f>'Source Table'!_Toc175801406</f>
        <v>Ordinary Mail</v>
      </c>
      <c r="I20" s="17" t="str">
        <f>'Source Table'!_Toc175801403</f>
        <v>البريد العادي</v>
      </c>
      <c r="J20" s="18">
        <v>14.2</v>
      </c>
      <c r="K20">
        <v>2021</v>
      </c>
    </row>
    <row r="21" ht="15" spans="1:11">
      <c r="A21" t="s">
        <v>5</v>
      </c>
      <c r="B21" t="s">
        <v>7</v>
      </c>
      <c r="C21" s="16" t="s">
        <v>54</v>
      </c>
      <c r="D21" s="40" t="s">
        <v>55</v>
      </c>
      <c r="E21" s="17" t="s">
        <v>56</v>
      </c>
      <c r="F21" s="17" t="str">
        <f>'Source Table'!$C$6</f>
        <v>External Mail Out  </v>
      </c>
      <c r="G21" s="17" t="str">
        <f>'Source Table'!$C$5</f>
        <v>البريد الخارجي الصادر</v>
      </c>
      <c r="H21" s="17" t="str">
        <f>'Source Table'!_Toc175801407</f>
        <v>Registered Mail</v>
      </c>
      <c r="I21" s="17" t="str">
        <f>'Source Table'!_Toc175801404</f>
        <v>البريد المسجل </v>
      </c>
      <c r="J21" s="18">
        <v>58.6</v>
      </c>
      <c r="K21">
        <v>2021</v>
      </c>
    </row>
    <row r="22" ht="15" spans="1:11">
      <c r="A22" t="s">
        <v>5</v>
      </c>
      <c r="B22" t="s">
        <v>7</v>
      </c>
      <c r="C22" s="16" t="s">
        <v>54</v>
      </c>
      <c r="D22" s="16" t="s">
        <v>57</v>
      </c>
      <c r="E22" s="17" t="s">
        <v>58</v>
      </c>
      <c r="F22" s="17" t="str">
        <f>'Source Table'!$E$6</f>
        <v>Local Mail</v>
      </c>
      <c r="G22" s="17" t="str">
        <f>'Source Table'!$E$5</f>
        <v>البريد الداخلي</v>
      </c>
      <c r="H22" s="17" t="str">
        <f>'Source Table'!_Toc175801406</f>
        <v>Ordinary Mail</v>
      </c>
      <c r="I22" s="17" t="str">
        <f>'Source Table'!_Toc175801403</f>
        <v>البريد العادي</v>
      </c>
      <c r="J22" s="19">
        <v>1374900</v>
      </c>
      <c r="K22">
        <v>2020</v>
      </c>
    </row>
    <row r="23" ht="15" spans="1:11">
      <c r="A23" t="s">
        <v>5</v>
      </c>
      <c r="B23" t="s">
        <v>7</v>
      </c>
      <c r="C23" s="16" t="s">
        <v>54</v>
      </c>
      <c r="D23" s="16" t="s">
        <v>57</v>
      </c>
      <c r="E23" s="17" t="s">
        <v>58</v>
      </c>
      <c r="F23" s="17" t="str">
        <f>'Source Table'!$E$6</f>
        <v>Local Mail</v>
      </c>
      <c r="G23" s="17" t="str">
        <f>'Source Table'!$E$5</f>
        <v>البريد الداخلي</v>
      </c>
      <c r="H23" s="17" t="str">
        <f>'Source Table'!_Toc175801407</f>
        <v>Registered Mail</v>
      </c>
      <c r="I23" s="17" t="str">
        <f>'Source Table'!_Toc175801404</f>
        <v>البريد المسجل </v>
      </c>
      <c r="J23" s="19">
        <v>229315</v>
      </c>
      <c r="K23">
        <v>2020</v>
      </c>
    </row>
    <row r="24" ht="15" spans="1:11">
      <c r="A24" t="s">
        <v>5</v>
      </c>
      <c r="B24" t="s">
        <v>7</v>
      </c>
      <c r="C24" s="16" t="s">
        <v>54</v>
      </c>
      <c r="D24" s="16" t="s">
        <v>57</v>
      </c>
      <c r="E24" s="17" t="s">
        <v>58</v>
      </c>
      <c r="F24" s="17" t="str">
        <f>'Source Table'!$D$6</f>
        <v>External Mail In</v>
      </c>
      <c r="G24" s="17" t="str">
        <f>'Source Table'!$D$5</f>
        <v>البريد الخارجي  لوارد</v>
      </c>
      <c r="H24" s="17" t="str">
        <f>'Source Table'!_Toc175801406</f>
        <v>Ordinary Mail</v>
      </c>
      <c r="I24" s="17" t="str">
        <f>'Source Table'!_Toc175801403</f>
        <v>البريد العادي</v>
      </c>
      <c r="J24" s="19">
        <v>555782</v>
      </c>
      <c r="K24">
        <v>2020</v>
      </c>
    </row>
    <row r="25" ht="15" spans="1:11">
      <c r="A25" t="s">
        <v>5</v>
      </c>
      <c r="B25" t="s">
        <v>7</v>
      </c>
      <c r="C25" s="16" t="s">
        <v>54</v>
      </c>
      <c r="D25" s="16" t="s">
        <v>57</v>
      </c>
      <c r="E25" s="17" t="s">
        <v>58</v>
      </c>
      <c r="F25" s="17" t="str">
        <f>'Source Table'!$D$6</f>
        <v>External Mail In</v>
      </c>
      <c r="G25" s="17" t="str">
        <f>'Source Table'!$D$5</f>
        <v>البريد الخارجي  لوارد</v>
      </c>
      <c r="H25" s="17" t="str">
        <f>'Source Table'!_Toc175801407</f>
        <v>Registered Mail</v>
      </c>
      <c r="I25" s="17" t="str">
        <f>'Source Table'!_Toc175801404</f>
        <v>البريد المسجل </v>
      </c>
      <c r="J25" s="18">
        <v>47352</v>
      </c>
      <c r="K25">
        <v>2020</v>
      </c>
    </row>
    <row r="26" ht="15" spans="1:11">
      <c r="A26" t="s">
        <v>5</v>
      </c>
      <c r="B26" t="s">
        <v>7</v>
      </c>
      <c r="C26" s="16" t="s">
        <v>54</v>
      </c>
      <c r="D26" s="16" t="s">
        <v>57</v>
      </c>
      <c r="E26" s="17" t="s">
        <v>58</v>
      </c>
      <c r="F26" s="17" t="str">
        <f>'Source Table'!$C$6</f>
        <v>External Mail Out  </v>
      </c>
      <c r="G26" s="17" t="str">
        <f>'Source Table'!$C$5</f>
        <v>البريد الخارجي الصادر</v>
      </c>
      <c r="H26" s="17" t="str">
        <f>'Source Table'!_Toc175801406</f>
        <v>Ordinary Mail</v>
      </c>
      <c r="I26" s="17" t="str">
        <f>'Source Table'!_Toc175801403</f>
        <v>البريد العادي</v>
      </c>
      <c r="J26" s="18">
        <v>11974</v>
      </c>
      <c r="K26">
        <v>2020</v>
      </c>
    </row>
    <row r="27" ht="15" spans="1:11">
      <c r="A27" t="s">
        <v>5</v>
      </c>
      <c r="B27" t="s">
        <v>7</v>
      </c>
      <c r="C27" s="16" t="s">
        <v>54</v>
      </c>
      <c r="D27" s="16" t="s">
        <v>57</v>
      </c>
      <c r="E27" s="17" t="s">
        <v>58</v>
      </c>
      <c r="F27" s="17" t="str">
        <f>'Source Table'!$C$6</f>
        <v>External Mail Out  </v>
      </c>
      <c r="G27" s="17" t="str">
        <f>'Source Table'!$C$5</f>
        <v>البريد الخارجي الصادر</v>
      </c>
      <c r="H27" s="17" t="str">
        <f>'Source Table'!_Toc175801407</f>
        <v>Registered Mail</v>
      </c>
      <c r="I27" s="17" t="str">
        <f>'Source Table'!_Toc175801404</f>
        <v>البريد المسجل </v>
      </c>
      <c r="J27" s="18">
        <v>45597</v>
      </c>
      <c r="K27">
        <v>2020</v>
      </c>
    </row>
    <row r="28" ht="15" spans="1:11">
      <c r="A28" t="s">
        <v>5</v>
      </c>
      <c r="B28" t="s">
        <v>7</v>
      </c>
      <c r="C28" s="16" t="s">
        <v>54</v>
      </c>
      <c r="D28" s="16" t="s">
        <v>57</v>
      </c>
      <c r="E28" s="17" t="s">
        <v>58</v>
      </c>
      <c r="F28" s="17" t="str">
        <f>'Source Table'!$E$6</f>
        <v>Local Mail</v>
      </c>
      <c r="G28" s="17" t="str">
        <f>'Source Table'!$E$5</f>
        <v>البريد الداخلي</v>
      </c>
      <c r="H28" s="17" t="str">
        <f>'Source Table'!_Toc175801406</f>
        <v>Ordinary Mail</v>
      </c>
      <c r="I28" s="17" t="str">
        <f>'Source Table'!_Toc175801403</f>
        <v>البريد العادي</v>
      </c>
      <c r="J28" s="22">
        <v>1900</v>
      </c>
      <c r="K28">
        <v>2019</v>
      </c>
    </row>
    <row r="29" ht="15" spans="1:11">
      <c r="A29" t="s">
        <v>5</v>
      </c>
      <c r="B29" t="s">
        <v>7</v>
      </c>
      <c r="C29" s="16" t="s">
        <v>54</v>
      </c>
      <c r="D29" s="16" t="s">
        <v>57</v>
      </c>
      <c r="E29" s="17" t="s">
        <v>58</v>
      </c>
      <c r="F29" s="17" t="str">
        <f>'Source Table'!$E$6</f>
        <v>Local Mail</v>
      </c>
      <c r="G29" s="17" t="str">
        <f>'Source Table'!$E$5</f>
        <v>البريد الداخلي</v>
      </c>
      <c r="H29" s="17" t="str">
        <f>'Source Table'!_Toc175801407</f>
        <v>Registered Mail</v>
      </c>
      <c r="I29" s="17" t="str">
        <f>'Source Table'!_Toc175801404</f>
        <v>البريد المسجل </v>
      </c>
      <c r="J29" s="19">
        <v>373</v>
      </c>
      <c r="K29">
        <v>2019</v>
      </c>
    </row>
    <row r="30" ht="15" spans="1:11">
      <c r="A30" t="s">
        <v>5</v>
      </c>
      <c r="B30" t="s">
        <v>7</v>
      </c>
      <c r="C30" s="16" t="s">
        <v>54</v>
      </c>
      <c r="D30" s="16" t="s">
        <v>57</v>
      </c>
      <c r="E30" s="17" t="s">
        <v>58</v>
      </c>
      <c r="F30" s="17" t="str">
        <f>'Source Table'!$D$6</f>
        <v>External Mail In</v>
      </c>
      <c r="G30" s="17" t="str">
        <f>'Source Table'!$D$5</f>
        <v>البريد الخارجي  لوارد</v>
      </c>
      <c r="H30" s="17" t="str">
        <f>'Source Table'!_Toc175801406</f>
        <v>Ordinary Mail</v>
      </c>
      <c r="I30" s="17" t="str">
        <f>'Source Table'!_Toc175801403</f>
        <v>البريد العادي</v>
      </c>
      <c r="J30" s="18">
        <v>950</v>
      </c>
      <c r="K30">
        <v>2019</v>
      </c>
    </row>
    <row r="31" ht="15" spans="1:11">
      <c r="A31" t="s">
        <v>5</v>
      </c>
      <c r="B31" t="s">
        <v>7</v>
      </c>
      <c r="C31" s="16" t="s">
        <v>54</v>
      </c>
      <c r="D31" s="16" t="s">
        <v>57</v>
      </c>
      <c r="E31" s="17" t="s">
        <v>58</v>
      </c>
      <c r="F31" s="17" t="str">
        <f>'Source Table'!$D$6</f>
        <v>External Mail In</v>
      </c>
      <c r="G31" s="17" t="str">
        <f>'Source Table'!$D$5</f>
        <v>البريد الخارجي  لوارد</v>
      </c>
      <c r="H31" s="17" t="str">
        <f>'Source Table'!_Toc175801407</f>
        <v>Registered Mail</v>
      </c>
      <c r="I31" s="17" t="str">
        <f>'Source Table'!_Toc175801404</f>
        <v>البريد المسجل </v>
      </c>
      <c r="J31" s="18">
        <v>345</v>
      </c>
      <c r="K31">
        <v>2019</v>
      </c>
    </row>
    <row r="32" ht="15" spans="1:11">
      <c r="A32" t="s">
        <v>5</v>
      </c>
      <c r="B32" t="s">
        <v>7</v>
      </c>
      <c r="C32" s="16" t="s">
        <v>54</v>
      </c>
      <c r="D32" s="16" t="s">
        <v>57</v>
      </c>
      <c r="E32" s="17" t="s">
        <v>58</v>
      </c>
      <c r="F32" s="17" t="str">
        <f>'Source Table'!$C$6</f>
        <v>External Mail Out  </v>
      </c>
      <c r="G32" s="17" t="str">
        <f>'Source Table'!$C$5</f>
        <v>البريد الخارجي الصادر</v>
      </c>
      <c r="H32" s="17" t="str">
        <f>'Source Table'!_Toc175801406</f>
        <v>Ordinary Mail</v>
      </c>
      <c r="I32" s="17" t="str">
        <f>'Source Table'!_Toc175801403</f>
        <v>البريد العادي</v>
      </c>
      <c r="J32" s="18">
        <v>63</v>
      </c>
      <c r="K32">
        <v>2019</v>
      </c>
    </row>
    <row r="33" ht="15" spans="1:11">
      <c r="A33" t="s">
        <v>5</v>
      </c>
      <c r="B33" t="s">
        <v>7</v>
      </c>
      <c r="C33" s="16" t="s">
        <v>54</v>
      </c>
      <c r="D33" s="16" t="s">
        <v>57</v>
      </c>
      <c r="E33" s="17" t="s">
        <v>58</v>
      </c>
      <c r="F33" s="17" t="str">
        <f>'Source Table'!$C$6</f>
        <v>External Mail Out  </v>
      </c>
      <c r="G33" s="17" t="str">
        <f>'Source Table'!$C$5</f>
        <v>البريد الخارجي الصادر</v>
      </c>
      <c r="H33" s="17" t="str">
        <f>'Source Table'!_Toc175801407</f>
        <v>Registered Mail</v>
      </c>
      <c r="I33" s="17" t="str">
        <f>'Source Table'!_Toc175801404</f>
        <v>البريد المسجل </v>
      </c>
      <c r="J33" s="18">
        <v>43</v>
      </c>
      <c r="K33">
        <v>2019</v>
      </c>
    </row>
    <row r="34" ht="15" spans="1:11">
      <c r="A34" t="s">
        <v>5</v>
      </c>
      <c r="B34" t="s">
        <v>7</v>
      </c>
      <c r="C34" s="16" t="s">
        <v>54</v>
      </c>
      <c r="D34" s="16" t="s">
        <v>57</v>
      </c>
      <c r="E34" s="17" t="s">
        <v>58</v>
      </c>
      <c r="F34" s="17" t="str">
        <f>'Source Table'!$E$6</f>
        <v>Local Mail</v>
      </c>
      <c r="G34" s="17" t="str">
        <f>'Source Table'!$E$5</f>
        <v>البريد الداخلي</v>
      </c>
      <c r="H34" s="17" t="str">
        <f>'Source Table'!_Toc175801406</f>
        <v>Ordinary Mail</v>
      </c>
      <c r="I34" s="17" t="str">
        <f>'Source Table'!_Toc175801403</f>
        <v>البريد العادي</v>
      </c>
      <c r="J34" s="22">
        <v>2598</v>
      </c>
      <c r="K34">
        <v>2018</v>
      </c>
    </row>
    <row r="35" ht="15" spans="1:11">
      <c r="A35" t="s">
        <v>5</v>
      </c>
      <c r="B35" t="s">
        <v>7</v>
      </c>
      <c r="C35" s="16" t="s">
        <v>54</v>
      </c>
      <c r="D35" s="16" t="s">
        <v>57</v>
      </c>
      <c r="E35" s="17" t="s">
        <v>58</v>
      </c>
      <c r="F35" s="17" t="str">
        <f>'Source Table'!$E$6</f>
        <v>Local Mail</v>
      </c>
      <c r="G35" s="17" t="str">
        <f>'Source Table'!$E$5</f>
        <v>البريد الداخلي</v>
      </c>
      <c r="H35" s="17" t="str">
        <f>'Source Table'!_Toc175801407</f>
        <v>Registered Mail</v>
      </c>
      <c r="I35" s="17" t="str">
        <f>'Source Table'!_Toc175801404</f>
        <v>البريد المسجل </v>
      </c>
      <c r="J35" s="19">
        <v>404</v>
      </c>
      <c r="K35">
        <v>2018</v>
      </c>
    </row>
    <row r="36" ht="15" spans="1:11">
      <c r="A36" t="s">
        <v>5</v>
      </c>
      <c r="B36" t="s">
        <v>7</v>
      </c>
      <c r="C36" s="16" t="s">
        <v>54</v>
      </c>
      <c r="D36" s="16" t="s">
        <v>57</v>
      </c>
      <c r="E36" s="17" t="s">
        <v>58</v>
      </c>
      <c r="F36" s="17" t="str">
        <f>'Source Table'!$D$6</f>
        <v>External Mail In</v>
      </c>
      <c r="G36" s="17" t="str">
        <f>'Source Table'!$D$5</f>
        <v>البريد الخارجي  لوارد</v>
      </c>
      <c r="H36" s="17" t="str">
        <f>'Source Table'!_Toc175801406</f>
        <v>Ordinary Mail</v>
      </c>
      <c r="I36" s="17" t="str">
        <f>'Source Table'!_Toc175801403</f>
        <v>البريد العادي</v>
      </c>
      <c r="J36" s="18">
        <v>627.6</v>
      </c>
      <c r="K36">
        <v>2018</v>
      </c>
    </row>
    <row r="37" ht="15" spans="1:11">
      <c r="A37" t="s">
        <v>5</v>
      </c>
      <c r="B37" t="s">
        <v>7</v>
      </c>
      <c r="C37" s="16" t="s">
        <v>54</v>
      </c>
      <c r="D37" s="16" t="s">
        <v>57</v>
      </c>
      <c r="E37" s="17" t="s">
        <v>58</v>
      </c>
      <c r="F37" s="17" t="str">
        <f>'Source Table'!$D$6</f>
        <v>External Mail In</v>
      </c>
      <c r="G37" s="17" t="str">
        <f>'Source Table'!$D$5</f>
        <v>البريد الخارجي  لوارد</v>
      </c>
      <c r="H37" s="17" t="str">
        <f>'Source Table'!_Toc175801407</f>
        <v>Registered Mail</v>
      </c>
      <c r="I37" s="17" t="str">
        <f>'Source Table'!_Toc175801404</f>
        <v>البريد المسجل </v>
      </c>
      <c r="J37" s="18">
        <v>151.9</v>
      </c>
      <c r="K37">
        <v>2018</v>
      </c>
    </row>
    <row r="38" ht="15" spans="1:11">
      <c r="A38" t="s">
        <v>5</v>
      </c>
      <c r="B38" t="s">
        <v>7</v>
      </c>
      <c r="C38" s="16" t="s">
        <v>54</v>
      </c>
      <c r="D38" s="16" t="s">
        <v>57</v>
      </c>
      <c r="E38" s="17" t="s">
        <v>58</v>
      </c>
      <c r="F38" s="17" t="str">
        <f>'Source Table'!$C$6</f>
        <v>External Mail Out  </v>
      </c>
      <c r="G38" s="17" t="str">
        <f>'Source Table'!$C$5</f>
        <v>البريد الخارجي الصادر</v>
      </c>
      <c r="H38" s="17" t="str">
        <f>'Source Table'!_Toc175801406</f>
        <v>Ordinary Mail</v>
      </c>
      <c r="I38" s="17" t="str">
        <f>'Source Table'!_Toc175801403</f>
        <v>البريد العادي</v>
      </c>
      <c r="J38" s="18">
        <v>157.1</v>
      </c>
      <c r="K38">
        <v>2018</v>
      </c>
    </row>
    <row r="39" ht="15" spans="1:11">
      <c r="A39" t="s">
        <v>5</v>
      </c>
      <c r="B39" t="s">
        <v>7</v>
      </c>
      <c r="C39" s="16" t="s">
        <v>54</v>
      </c>
      <c r="D39" s="16" t="s">
        <v>57</v>
      </c>
      <c r="E39" s="17" t="s">
        <v>58</v>
      </c>
      <c r="F39" s="17" t="str">
        <f>'Source Table'!$C$6</f>
        <v>External Mail Out  </v>
      </c>
      <c r="G39" s="17" t="str">
        <f>'Source Table'!$C$5</f>
        <v>البريد الخارجي الصادر</v>
      </c>
      <c r="H39" s="17" t="str">
        <f>'Source Table'!_Toc175801407</f>
        <v>Registered Mail</v>
      </c>
      <c r="I39" s="17" t="str">
        <f>'Source Table'!_Toc175801404</f>
        <v>البريد المسجل </v>
      </c>
      <c r="J39" s="18">
        <v>14.6</v>
      </c>
      <c r="K39">
        <v>2018</v>
      </c>
    </row>
    <row r="40" ht="15" spans="1:11">
      <c r="A40" t="s">
        <v>5</v>
      </c>
      <c r="B40" t="s">
        <v>7</v>
      </c>
      <c r="C40" s="16" t="s">
        <v>54</v>
      </c>
      <c r="D40" s="16" t="s">
        <v>57</v>
      </c>
      <c r="E40" s="17" t="s">
        <v>58</v>
      </c>
      <c r="F40" s="17" t="str">
        <f>'Source Table'!$E$6</f>
        <v>Local Mail</v>
      </c>
      <c r="G40" s="17" t="str">
        <f>'Source Table'!$E$5</f>
        <v>البريد الداخلي</v>
      </c>
      <c r="H40" s="17" t="str">
        <f>'Source Table'!_Toc175801406</f>
        <v>Ordinary Mail</v>
      </c>
      <c r="I40" s="17" t="str">
        <f>'Source Table'!_Toc175801403</f>
        <v>البريد العادي</v>
      </c>
      <c r="J40" s="22">
        <v>3130.9</v>
      </c>
      <c r="K40">
        <v>2017</v>
      </c>
    </row>
    <row r="41" ht="15" spans="1:11">
      <c r="A41" t="s">
        <v>5</v>
      </c>
      <c r="B41" t="s">
        <v>7</v>
      </c>
      <c r="C41" s="16" t="s">
        <v>54</v>
      </c>
      <c r="D41" s="16" t="s">
        <v>57</v>
      </c>
      <c r="E41" s="17" t="s">
        <v>58</v>
      </c>
      <c r="F41" s="17" t="str">
        <f>'Source Table'!$E$6</f>
        <v>Local Mail</v>
      </c>
      <c r="G41" s="17" t="str">
        <f>'Source Table'!$E$5</f>
        <v>البريد الداخلي</v>
      </c>
      <c r="H41" s="17" t="str">
        <f>'Source Table'!_Toc175801407</f>
        <v>Registered Mail</v>
      </c>
      <c r="I41" s="17" t="str">
        <f>'Source Table'!_Toc175801404</f>
        <v>البريد المسجل </v>
      </c>
      <c r="J41" s="19">
        <v>329.5</v>
      </c>
      <c r="K41">
        <v>2017</v>
      </c>
    </row>
    <row r="42" ht="15" spans="1:11">
      <c r="A42" t="s">
        <v>5</v>
      </c>
      <c r="B42" t="s">
        <v>7</v>
      </c>
      <c r="C42" s="16" t="s">
        <v>54</v>
      </c>
      <c r="D42" s="16" t="s">
        <v>57</v>
      </c>
      <c r="E42" s="17" t="s">
        <v>58</v>
      </c>
      <c r="F42" s="17" t="str">
        <f>'Source Table'!$D$6</f>
        <v>External Mail In</v>
      </c>
      <c r="G42" s="17" t="str">
        <f>'Source Table'!$D$5</f>
        <v>البريد الخارجي  لوارد</v>
      </c>
      <c r="H42" s="17" t="str">
        <f>'Source Table'!_Toc175801406</f>
        <v>Ordinary Mail</v>
      </c>
      <c r="I42" s="17" t="str">
        <f>'Source Table'!_Toc175801403</f>
        <v>البريد العادي</v>
      </c>
      <c r="J42" s="18">
        <v>848.6</v>
      </c>
      <c r="K42">
        <v>2017</v>
      </c>
    </row>
    <row r="43" ht="15" spans="1:11">
      <c r="A43" t="s">
        <v>5</v>
      </c>
      <c r="B43" t="s">
        <v>7</v>
      </c>
      <c r="C43" s="16" t="s">
        <v>54</v>
      </c>
      <c r="D43" s="16" t="s">
        <v>57</v>
      </c>
      <c r="E43" s="17" t="s">
        <v>58</v>
      </c>
      <c r="F43" s="17" t="str">
        <f>'Source Table'!$D$6</f>
        <v>External Mail In</v>
      </c>
      <c r="G43" s="17" t="str">
        <f>'Source Table'!$D$5</f>
        <v>البريد الخارجي  لوارد</v>
      </c>
      <c r="H43" s="17" t="str">
        <f>'Source Table'!_Toc175801407</f>
        <v>Registered Mail</v>
      </c>
      <c r="I43" s="17" t="str">
        <f>'Source Table'!_Toc175801404</f>
        <v>البريد المسجل </v>
      </c>
      <c r="J43" s="18">
        <v>179.7</v>
      </c>
      <c r="K43">
        <v>2017</v>
      </c>
    </row>
    <row r="44" ht="15" spans="1:11">
      <c r="A44" t="s">
        <v>5</v>
      </c>
      <c r="B44" t="s">
        <v>7</v>
      </c>
      <c r="C44" s="16" t="s">
        <v>54</v>
      </c>
      <c r="D44" s="16" t="s">
        <v>57</v>
      </c>
      <c r="E44" s="17" t="s">
        <v>58</v>
      </c>
      <c r="F44" s="17" t="str">
        <f>'Source Table'!$C$6</f>
        <v>External Mail Out  </v>
      </c>
      <c r="G44" s="17" t="str">
        <f>'Source Table'!$C$5</f>
        <v>البريد الخارجي الصادر</v>
      </c>
      <c r="H44" s="17" t="str">
        <f>'Source Table'!_Toc175801406</f>
        <v>Ordinary Mail</v>
      </c>
      <c r="I44" s="17" t="str">
        <f>'Source Table'!_Toc175801403</f>
        <v>البريد العادي</v>
      </c>
      <c r="J44" s="18">
        <v>176.8</v>
      </c>
      <c r="K44">
        <v>2017</v>
      </c>
    </row>
    <row r="45" ht="15" spans="1:11">
      <c r="A45" t="s">
        <v>5</v>
      </c>
      <c r="B45" t="s">
        <v>7</v>
      </c>
      <c r="C45" s="16" t="s">
        <v>54</v>
      </c>
      <c r="D45" s="16" t="s">
        <v>57</v>
      </c>
      <c r="E45" s="17" t="s">
        <v>58</v>
      </c>
      <c r="F45" s="17" t="str">
        <f>'Source Table'!$C$6</f>
        <v>External Mail Out  </v>
      </c>
      <c r="G45" s="17" t="str">
        <f>'Source Table'!$C$5</f>
        <v>البريد الخارجي الصادر</v>
      </c>
      <c r="H45" s="17" t="str">
        <f>'Source Table'!_Toc175801407</f>
        <v>Registered Mail</v>
      </c>
      <c r="I45" s="17" t="str">
        <f>'Source Table'!_Toc175801404</f>
        <v>البريد المسجل </v>
      </c>
      <c r="J45" s="18">
        <v>36.7</v>
      </c>
      <c r="K45">
        <v>2017</v>
      </c>
    </row>
    <row r="46" ht="15" spans="1:11">
      <c r="A46" t="s">
        <v>5</v>
      </c>
      <c r="B46" t="s">
        <v>7</v>
      </c>
      <c r="C46" s="16" t="s">
        <v>54</v>
      </c>
      <c r="D46" s="16" t="s">
        <v>57</v>
      </c>
      <c r="E46" s="17" t="s">
        <v>58</v>
      </c>
      <c r="F46" s="17" t="str">
        <f>'Source Table'!$E$6</f>
        <v>Local Mail</v>
      </c>
      <c r="G46" s="17" t="str">
        <f>'Source Table'!$E$5</f>
        <v>البريد الداخلي</v>
      </c>
      <c r="H46" s="17" t="str">
        <f>'Source Table'!_Toc175801406</f>
        <v>Ordinary Mail</v>
      </c>
      <c r="I46" s="17" t="str">
        <f>'Source Table'!_Toc175801403</f>
        <v>البريد العادي</v>
      </c>
      <c r="J46" s="22">
        <v>3111</v>
      </c>
      <c r="K46">
        <v>2016</v>
      </c>
    </row>
    <row r="47" ht="15" spans="1:11">
      <c r="A47" t="s">
        <v>5</v>
      </c>
      <c r="B47" t="s">
        <v>7</v>
      </c>
      <c r="C47" s="16" t="s">
        <v>54</v>
      </c>
      <c r="D47" s="16" t="s">
        <v>57</v>
      </c>
      <c r="E47" s="17" t="s">
        <v>58</v>
      </c>
      <c r="F47" s="17" t="str">
        <f>'Source Table'!$E$6</f>
        <v>Local Mail</v>
      </c>
      <c r="G47" s="17" t="str">
        <f>'Source Table'!$E$5</f>
        <v>البريد الداخلي</v>
      </c>
      <c r="H47" s="17" t="str">
        <f>'Source Table'!_Toc175801407</f>
        <v>Registered Mail</v>
      </c>
      <c r="I47" s="17" t="str">
        <f>'Source Table'!_Toc175801404</f>
        <v>البريد المسجل </v>
      </c>
      <c r="J47" s="19">
        <v>312.1</v>
      </c>
      <c r="K47">
        <v>2016</v>
      </c>
    </row>
    <row r="48" ht="15" spans="1:11">
      <c r="A48" t="s">
        <v>5</v>
      </c>
      <c r="B48" t="s">
        <v>7</v>
      </c>
      <c r="C48" s="16" t="s">
        <v>54</v>
      </c>
      <c r="D48" s="16" t="s">
        <v>57</v>
      </c>
      <c r="E48" s="17" t="s">
        <v>58</v>
      </c>
      <c r="F48" s="17" t="str">
        <f>'Source Table'!$D$6</f>
        <v>External Mail In</v>
      </c>
      <c r="G48" s="17" t="str">
        <f>'Source Table'!$D$5</f>
        <v>البريد الخارجي  لوارد</v>
      </c>
      <c r="H48" s="17" t="str">
        <f>'Source Table'!_Toc175801406</f>
        <v>Ordinary Mail</v>
      </c>
      <c r="I48" s="17" t="str">
        <f>'Source Table'!_Toc175801403</f>
        <v>البريد العادي</v>
      </c>
      <c r="J48" s="18">
        <v>24.5</v>
      </c>
      <c r="K48">
        <v>2016</v>
      </c>
    </row>
    <row r="49" ht="15" spans="1:11">
      <c r="A49" t="s">
        <v>5</v>
      </c>
      <c r="B49" t="s">
        <v>7</v>
      </c>
      <c r="C49" s="16" t="s">
        <v>54</v>
      </c>
      <c r="D49" s="16" t="s">
        <v>57</v>
      </c>
      <c r="E49" s="17" t="s">
        <v>58</v>
      </c>
      <c r="F49" s="17" t="str">
        <f>'Source Table'!$D$6</f>
        <v>External Mail In</v>
      </c>
      <c r="G49" s="17" t="str">
        <f>'Source Table'!$D$5</f>
        <v>البريد الخارجي  لوارد</v>
      </c>
      <c r="H49" s="17" t="str">
        <f>'Source Table'!_Toc175801407</f>
        <v>Registered Mail</v>
      </c>
      <c r="I49" s="17" t="str">
        <f>'Source Table'!_Toc175801404</f>
        <v>البريد المسجل </v>
      </c>
      <c r="J49" s="18">
        <v>140.9</v>
      </c>
      <c r="K49">
        <v>2016</v>
      </c>
    </row>
    <row r="50" ht="15" spans="1:11">
      <c r="A50" t="s">
        <v>5</v>
      </c>
      <c r="B50" t="s">
        <v>7</v>
      </c>
      <c r="C50" s="16" t="s">
        <v>54</v>
      </c>
      <c r="D50" s="16" t="s">
        <v>57</v>
      </c>
      <c r="E50" s="17" t="s">
        <v>58</v>
      </c>
      <c r="F50" s="17" t="str">
        <f>'Source Table'!$C$6</f>
        <v>External Mail Out  </v>
      </c>
      <c r="G50" s="17" t="str">
        <f>'Source Table'!$C$5</f>
        <v>البريد الخارجي الصادر</v>
      </c>
      <c r="H50" s="17" t="str">
        <f>'Source Table'!_Toc175801406</f>
        <v>Ordinary Mail</v>
      </c>
      <c r="I50" s="17" t="str">
        <f>'Source Table'!_Toc175801403</f>
        <v>البريد العادي</v>
      </c>
      <c r="J50" s="18">
        <v>181.4</v>
      </c>
      <c r="K50">
        <v>2016</v>
      </c>
    </row>
    <row r="51" ht="15" spans="1:11">
      <c r="A51" t="s">
        <v>5</v>
      </c>
      <c r="B51" t="s">
        <v>7</v>
      </c>
      <c r="C51" s="16" t="s">
        <v>54</v>
      </c>
      <c r="D51" s="16" t="s">
        <v>57</v>
      </c>
      <c r="E51" s="17" t="s">
        <v>58</v>
      </c>
      <c r="F51" s="17" t="str">
        <f>'Source Table'!$C$6</f>
        <v>External Mail Out  </v>
      </c>
      <c r="G51" s="17" t="str">
        <f>'Source Table'!$C$5</f>
        <v>البريد الخارجي الصادر</v>
      </c>
      <c r="H51" s="17" t="str">
        <f>'Source Table'!_Toc175801407</f>
        <v>Registered Mail</v>
      </c>
      <c r="I51" s="17" t="str">
        <f>'Source Table'!_Toc175801404</f>
        <v>البريد المسجل </v>
      </c>
      <c r="J51" s="18">
        <v>43.1</v>
      </c>
      <c r="K51">
        <v>2016</v>
      </c>
    </row>
    <row r="52" ht="15" spans="1:11">
      <c r="A52" t="s">
        <v>5</v>
      </c>
      <c r="B52" t="s">
        <v>7</v>
      </c>
      <c r="C52" s="16" t="s">
        <v>54</v>
      </c>
      <c r="D52" s="16" t="s">
        <v>57</v>
      </c>
      <c r="E52" s="17" t="s">
        <v>58</v>
      </c>
      <c r="F52" s="17" t="str">
        <f>'Source Table'!$E$6</f>
        <v>Local Mail</v>
      </c>
      <c r="G52" s="17" t="str">
        <f>'Source Table'!$E$5</f>
        <v>البريد الداخلي</v>
      </c>
      <c r="H52" s="17" t="str">
        <f>'Source Table'!_Toc175801406</f>
        <v>Ordinary Mail</v>
      </c>
      <c r="I52" s="17" t="str">
        <f>'Source Table'!_Toc175801403</f>
        <v>البريد العادي</v>
      </c>
      <c r="J52" s="19">
        <v>3466</v>
      </c>
      <c r="K52">
        <v>2015</v>
      </c>
    </row>
    <row r="53" ht="15" spans="1:11">
      <c r="A53" t="s">
        <v>5</v>
      </c>
      <c r="B53" t="s">
        <v>7</v>
      </c>
      <c r="C53" s="16" t="s">
        <v>54</v>
      </c>
      <c r="D53" s="16" t="s">
        <v>57</v>
      </c>
      <c r="E53" s="17" t="s">
        <v>58</v>
      </c>
      <c r="F53" s="17" t="str">
        <f>'Source Table'!$E$6</f>
        <v>Local Mail</v>
      </c>
      <c r="G53" s="17" t="str">
        <f>'Source Table'!$E$5</f>
        <v>البريد الداخلي</v>
      </c>
      <c r="H53" s="17" t="str">
        <f>'Source Table'!_Toc175801407</f>
        <v>Registered Mail</v>
      </c>
      <c r="I53" s="17" t="str">
        <f>'Source Table'!_Toc175801404</f>
        <v>البريد المسجل </v>
      </c>
      <c r="J53" s="19">
        <v>290</v>
      </c>
      <c r="K53">
        <v>2015</v>
      </c>
    </row>
    <row r="54" ht="15" spans="1:11">
      <c r="A54" t="s">
        <v>5</v>
      </c>
      <c r="B54" t="s">
        <v>7</v>
      </c>
      <c r="C54" s="16" t="s">
        <v>54</v>
      </c>
      <c r="D54" s="16" t="s">
        <v>57</v>
      </c>
      <c r="E54" s="17" t="s">
        <v>58</v>
      </c>
      <c r="F54" s="17" t="str">
        <f>'Source Table'!$D$6</f>
        <v>External Mail In</v>
      </c>
      <c r="G54" s="17" t="str">
        <f>'Source Table'!$D$5</f>
        <v>البريد الخارجي  لوارد</v>
      </c>
      <c r="H54" s="17" t="str">
        <f>'Source Table'!_Toc175801406</f>
        <v>Ordinary Mail</v>
      </c>
      <c r="I54" s="17" t="str">
        <f>'Source Table'!_Toc175801403</f>
        <v>البريد العادي</v>
      </c>
      <c r="J54" s="18">
        <v>845</v>
      </c>
      <c r="K54">
        <v>2015</v>
      </c>
    </row>
    <row r="55" ht="15" spans="1:11">
      <c r="A55" t="s">
        <v>5</v>
      </c>
      <c r="B55" t="s">
        <v>7</v>
      </c>
      <c r="C55" s="16" t="s">
        <v>54</v>
      </c>
      <c r="D55" s="16" t="s">
        <v>57</v>
      </c>
      <c r="E55" s="17" t="s">
        <v>58</v>
      </c>
      <c r="F55" s="17" t="str">
        <f>'Source Table'!$D$6</f>
        <v>External Mail In</v>
      </c>
      <c r="G55" s="17" t="str">
        <f>'Source Table'!$D$5</f>
        <v>البريد الخارجي  لوارد</v>
      </c>
      <c r="H55" s="17" t="str">
        <f>'Source Table'!_Toc175801407</f>
        <v>Registered Mail</v>
      </c>
      <c r="I55" s="17" t="str">
        <f>'Source Table'!_Toc175801404</f>
        <v>البريد المسجل </v>
      </c>
      <c r="J55" s="18">
        <v>324</v>
      </c>
      <c r="K55">
        <v>2015</v>
      </c>
    </row>
    <row r="56" ht="15" spans="1:11">
      <c r="A56" t="s">
        <v>5</v>
      </c>
      <c r="B56" t="s">
        <v>7</v>
      </c>
      <c r="C56" s="16" t="s">
        <v>54</v>
      </c>
      <c r="D56" s="16" t="s">
        <v>57</v>
      </c>
      <c r="E56" s="17" t="s">
        <v>58</v>
      </c>
      <c r="F56" s="17" t="str">
        <f>'Source Table'!$C$6</f>
        <v>External Mail Out  </v>
      </c>
      <c r="G56" s="17" t="str">
        <f>'Source Table'!$C$5</f>
        <v>البريد الخارجي الصادر</v>
      </c>
      <c r="H56" s="17" t="str">
        <f>'Source Table'!_Toc175801406</f>
        <v>Ordinary Mail</v>
      </c>
      <c r="I56" s="17" t="str">
        <f>'Source Table'!_Toc175801403</f>
        <v>البريد العادي</v>
      </c>
      <c r="J56" s="18">
        <v>212</v>
      </c>
      <c r="K56">
        <v>2015</v>
      </c>
    </row>
    <row r="57" ht="15" spans="1:11">
      <c r="A57" t="s">
        <v>5</v>
      </c>
      <c r="B57" t="s">
        <v>7</v>
      </c>
      <c r="C57" s="16" t="s">
        <v>54</v>
      </c>
      <c r="D57" s="16" t="s">
        <v>57</v>
      </c>
      <c r="E57" s="17" t="s">
        <v>58</v>
      </c>
      <c r="F57" s="17" t="str">
        <f>'Source Table'!$C$6</f>
        <v>External Mail Out  </v>
      </c>
      <c r="G57" s="17" t="str">
        <f>'Source Table'!$C$5</f>
        <v>البريد الخارجي الصادر</v>
      </c>
      <c r="H57" s="17" t="str">
        <f>'Source Table'!_Toc175801407</f>
        <v>Registered Mail</v>
      </c>
      <c r="I57" s="17" t="str">
        <f>'Source Table'!_Toc175801404</f>
        <v>البريد المسجل </v>
      </c>
      <c r="J57" s="18">
        <v>44</v>
      </c>
      <c r="K57">
        <v>2015</v>
      </c>
    </row>
    <row r="58" ht="15" spans="3:9">
      <c r="C58" s="16"/>
      <c r="D58" s="16"/>
      <c r="E58" s="17"/>
      <c r="F58" s="17"/>
      <c r="G58" s="17"/>
      <c r="H58" s="17"/>
      <c r="I58" s="17"/>
    </row>
    <row r="59" ht="15" spans="3:9">
      <c r="C59" s="16"/>
      <c r="D59" s="16"/>
      <c r="E59" s="17"/>
      <c r="F59" s="17"/>
      <c r="G59" s="17"/>
      <c r="H59" s="17"/>
      <c r="I59" s="17"/>
    </row>
    <row r="60" ht="15" spans="3:9">
      <c r="C60" s="16"/>
      <c r="D60" s="16"/>
      <c r="E60" s="17"/>
      <c r="F60" s="17"/>
      <c r="G60" s="17"/>
      <c r="H60" s="17"/>
      <c r="I60" s="17"/>
    </row>
    <row r="61" ht="15" spans="3:9">
      <c r="C61" s="16"/>
      <c r="D61" s="16"/>
      <c r="E61" s="17"/>
      <c r="F61" s="17"/>
      <c r="G61" s="17"/>
      <c r="H61" s="17"/>
      <c r="I61" s="17"/>
    </row>
    <row r="62" ht="15" spans="3:9">
      <c r="C62" s="16"/>
      <c r="D62" s="16"/>
      <c r="E62" s="17"/>
      <c r="F62" s="17"/>
      <c r="G62" s="17"/>
      <c r="H62" s="17"/>
      <c r="I62" s="17"/>
    </row>
    <row r="63" ht="15" spans="3:9">
      <c r="C63" s="16"/>
      <c r="D63" s="16"/>
      <c r="E63" s="17"/>
      <c r="F63" s="17"/>
      <c r="G63" s="17"/>
      <c r="H63" s="17"/>
      <c r="I63" s="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A4" sqref="A4:L5"/>
    </sheetView>
  </sheetViews>
  <sheetFormatPr defaultColWidth="9" defaultRowHeight="14.25" outlineLevelRow="4"/>
  <cols>
    <col min="1" max="10" width="24.375" customWidth="1"/>
    <col min="11" max="12" width="15" customWidth="1"/>
    <col min="13" max="13" width="8.75" customWidth="1"/>
    <col min="14" max="14" width="11.375" customWidth="1"/>
    <col min="15" max="15" width="12" customWidth="1"/>
    <col min="16" max="16" width="9.875" customWidth="1"/>
    <col min="17" max="17" width="7.375" customWidth="1"/>
  </cols>
  <sheetData>
    <row r="1" ht="15" spans="1:2">
      <c r="A1" s="11" t="s">
        <v>59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60</v>
      </c>
      <c r="B3">
        <v>1</v>
      </c>
    </row>
    <row r="4" s="10" customFormat="1" ht="18" customHeight="1" spans="1:12">
      <c r="A4" s="13" t="s">
        <v>31</v>
      </c>
      <c r="B4" s="13" t="s">
        <v>32</v>
      </c>
      <c r="C4" s="13" t="s">
        <v>33</v>
      </c>
      <c r="D4" s="13" t="s">
        <v>34</v>
      </c>
      <c r="E4" s="13" t="s">
        <v>35</v>
      </c>
      <c r="F4" s="14" t="s">
        <v>36</v>
      </c>
      <c r="G4" s="14" t="s">
        <v>37</v>
      </c>
      <c r="H4" s="14" t="s">
        <v>38</v>
      </c>
      <c r="I4" s="14" t="s">
        <v>39</v>
      </c>
      <c r="J4" s="13" t="s">
        <v>40</v>
      </c>
      <c r="K4" s="13" t="s">
        <v>41</v>
      </c>
      <c r="L4" s="13" t="s">
        <v>42</v>
      </c>
    </row>
    <row r="5" s="10" customFormat="1" ht="18" customHeight="1" spans="1:12">
      <c r="A5" s="13" t="s">
        <v>43</v>
      </c>
      <c r="B5" s="13" t="s">
        <v>44</v>
      </c>
      <c r="C5" s="13" t="s">
        <v>45</v>
      </c>
      <c r="D5" s="13" t="s">
        <v>46</v>
      </c>
      <c r="E5" s="13" t="s">
        <v>47</v>
      </c>
      <c r="F5" s="14" t="s">
        <v>48</v>
      </c>
      <c r="G5" s="14" t="s">
        <v>22</v>
      </c>
      <c r="H5" s="14" t="s">
        <v>49</v>
      </c>
      <c r="I5" s="14" t="s">
        <v>50</v>
      </c>
      <c r="J5" s="13" t="s">
        <v>51</v>
      </c>
      <c r="K5" s="13" t="s">
        <v>52</v>
      </c>
      <c r="L5" s="13" t="s">
        <v>53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topLeftCell="A11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61</v>
      </c>
      <c r="C2" s="6" t="s">
        <v>62</v>
      </c>
    </row>
    <row r="3" spans="1:1">
      <c r="A3" s="7"/>
    </row>
    <row r="4" ht="28.5" spans="1:3">
      <c r="A4" s="7" t="s">
        <v>63</v>
      </c>
      <c r="C4" s="3" t="s">
        <v>64</v>
      </c>
    </row>
    <row r="6" ht="17.25" spans="1:3">
      <c r="A6" s="5" t="s">
        <v>65</v>
      </c>
      <c r="C6" s="6" t="s">
        <v>66</v>
      </c>
    </row>
    <row r="7" spans="1:1">
      <c r="A7" s="7"/>
    </row>
    <row r="8" ht="30" spans="1:3">
      <c r="A8" s="8" t="s">
        <v>67</v>
      </c>
      <c r="C8" s="3" t="s">
        <v>68</v>
      </c>
    </row>
    <row r="10" ht="17.25" spans="1:3">
      <c r="A10" s="5" t="s">
        <v>69</v>
      </c>
      <c r="C10" s="6" t="s">
        <v>70</v>
      </c>
    </row>
    <row r="11" spans="1:1">
      <c r="A11" s="7"/>
    </row>
    <row r="12" spans="1:3">
      <c r="A12" s="7" t="s">
        <v>71</v>
      </c>
      <c r="C12" s="3" t="s">
        <v>72</v>
      </c>
    </row>
    <row r="13" ht="15" spans="1:3">
      <c r="A13" s="8" t="s">
        <v>73</v>
      </c>
      <c r="C13" s="9" t="s">
        <v>74</v>
      </c>
    </row>
    <row r="14" ht="29.25" spans="1:3">
      <c r="A14" s="8" t="s">
        <v>75</v>
      </c>
      <c r="C14" s="9" t="s">
        <v>76</v>
      </c>
    </row>
    <row r="15" ht="15" spans="1:3">
      <c r="A15" s="8" t="s">
        <v>77</v>
      </c>
      <c r="C15" s="9" t="s">
        <v>78</v>
      </c>
    </row>
    <row r="16" ht="15" spans="1:3">
      <c r="A16" s="8" t="s">
        <v>79</v>
      </c>
      <c r="C16" s="9" t="s">
        <v>80</v>
      </c>
    </row>
    <row r="17" ht="15" spans="1:3">
      <c r="A17" s="8" t="s">
        <v>81</v>
      </c>
      <c r="C17" s="9" t="s">
        <v>82</v>
      </c>
    </row>
    <row r="18" spans="1:3">
      <c r="A18" s="7" t="s">
        <v>83</v>
      </c>
      <c r="C18" s="3" t="s">
        <v>84</v>
      </c>
    </row>
    <row r="19" spans="1:3">
      <c r="A19" s="7" t="s">
        <v>85</v>
      </c>
      <c r="C19" s="3" t="s">
        <v>86</v>
      </c>
    </row>
    <row r="20" ht="29.25" spans="1:3">
      <c r="A20" s="8" t="s">
        <v>87</v>
      </c>
      <c r="C20" s="9" t="s">
        <v>88</v>
      </c>
    </row>
    <row r="22" ht="17.25" spans="1:3">
      <c r="A22" s="5" t="s">
        <v>89</v>
      </c>
      <c r="C22" s="6" t="s">
        <v>90</v>
      </c>
    </row>
    <row r="23" spans="1:1">
      <c r="A23" s="7"/>
    </row>
    <row r="24" ht="29.25" spans="1:3">
      <c r="A24" s="7" t="s">
        <v>91</v>
      </c>
      <c r="C24" s="3" t="s">
        <v>92</v>
      </c>
    </row>
    <row r="25" ht="30" spans="1:3">
      <c r="A25" s="7" t="s">
        <v>93</v>
      </c>
      <c r="C25" s="3" t="s">
        <v>94</v>
      </c>
    </row>
    <row r="27" ht="17.25" spans="1:3">
      <c r="A27" s="5" t="s">
        <v>95</v>
      </c>
      <c r="C27" s="6" t="s">
        <v>96</v>
      </c>
    </row>
    <row r="28" spans="1:1">
      <c r="A28" s="7"/>
    </row>
    <row r="29" ht="15" spans="1:3">
      <c r="A29" s="7" t="s">
        <v>97</v>
      </c>
      <c r="C29" s="3" t="s">
        <v>98</v>
      </c>
    </row>
    <row r="30" spans="1:3">
      <c r="A30" s="7" t="s">
        <v>99</v>
      </c>
      <c r="C30" s="3" t="s">
        <v>100</v>
      </c>
    </row>
    <row r="32" ht="17.25" spans="1:3">
      <c r="A32" s="5" t="s">
        <v>101</v>
      </c>
      <c r="C32" s="6" t="s">
        <v>102</v>
      </c>
    </row>
    <row r="33" spans="1:1">
      <c r="A33" s="7"/>
    </row>
    <row r="34" ht="15" spans="1:3">
      <c r="A34" s="8" t="s">
        <v>103</v>
      </c>
      <c r="C34" s="3" t="s">
        <v>104</v>
      </c>
    </row>
    <row r="36" ht="17.25" spans="1:3">
      <c r="A36" s="5" t="s">
        <v>105</v>
      </c>
      <c r="C36" s="6" t="s">
        <v>106</v>
      </c>
    </row>
    <row r="37" spans="1:1">
      <c r="A37" s="7"/>
    </row>
    <row r="38" spans="1:3">
      <c r="A38" s="7" t="s">
        <v>107</v>
      </c>
      <c r="C38" s="3" t="s">
        <v>108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517F994-C603-46B5-AEAB-E4EEDEDA8C7D}">
  <ds:schemaRefs/>
</ds:datastoreItem>
</file>

<file path=customXml/itemProps2.xml><?xml version="1.0" encoding="utf-8"?>
<ds:datastoreItem xmlns:ds="http://schemas.openxmlformats.org/officeDocument/2006/customXml" ds:itemID="{376B0781-3F54-40BC-A068-7F5A2310ECAB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2025-04-13T10:45:57Z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1033-12.2.0.20782</vt:lpwstr>
  </property>
</Properties>
</file>