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4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5304" localSheetId="1">'Source Table'!#REF!</definedName>
    <definedName name="_Toc175805305" localSheetId="1">'Source Table'!#REF!</definedName>
    <definedName name="_Toc175805306" localSheetId="1">'Source Table'!#REF!</definedName>
    <definedName name="_Toc175805309" localSheetId="1">'Source Table'!$D$1</definedName>
    <definedName name="_Toc175805312" localSheetId="1">'Source Table'!#REF!</definedName>
    <definedName name="_Toc175805313" localSheetId="1">'Source Table'!#REF!</definedName>
    <definedName name="_Toc175805314" localSheetId="1">'Source Table'!#REF!</definedName>
    <definedName name="_Toc175805315" localSheetId="1">'Source Table'!#REF!</definedName>
    <definedName name="_Toc175805316" localSheetId="1">'Source Table'!#REF!</definedName>
    <definedName name="_Toc175805317" localSheetId="1">'Source Table'!#REF!</definedName>
    <definedName name="_Toc175805318" localSheetId="1">'Source Table'!#REF!</definedName>
    <definedName name="_Toc175805319" localSheetId="1">'Source Table'!#REF!</definedName>
    <definedName name="_Toc175805320" localSheetId="1">'Source Table'!#REF!</definedName>
    <definedName name="_Toc175805321" localSheetId="1">'Source Table'!#REF!</definedName>
    <definedName name="_Toc175805322" localSheetId="1">'Source Table'!#REF!</definedName>
    <definedName name="_Toc175805323" localSheetId="1">'Source Table'!#REF!</definedName>
    <definedName name="_Toc175805942" localSheetId="1">'Source Table'!$C$10</definedName>
    <definedName name="_Toc175805952" localSheetId="1">'Source Table'!$D$10</definedName>
    <definedName name="_Toc175805962" localSheetId="1">'Source Table'!$D$11</definedName>
    <definedName name="_Toc175805972" localSheetId="1">'Source Table'!$D$12</definedName>
    <definedName name="_Toc175805982" localSheetId="1">'Source Table'!$D$13</definedName>
    <definedName name="_Toc175805992" localSheetId="1">'Source Table'!$D$14</definedName>
    <definedName name="_Toc175806002" localSheetId="1">'Source Table'!$D$15</definedName>
    <definedName name="_Toc175806012" localSheetId="1">'Source Table'!$D$16</definedName>
    <definedName name="_Toc175806022" localSheetId="1">'Source Table'!$D$17</definedName>
    <definedName name="_Toc175806032" localSheetId="1">'Source Table'!$D$18</definedName>
    <definedName name="_Toc175806042" localSheetId="1">'Source Table'!$C$19</definedName>
    <definedName name="_Toc175806052" localSheetId="1">'Source Table'!$D$19</definedName>
    <definedName name="_Toc175806062" localSheetId="1">'Source Table'!$D$20</definedName>
    <definedName name="_Toc175806072" localSheetId="1">'Source Table'!$D$21</definedName>
    <definedName name="_Toc175806082" localSheetId="1">'Source Table'!$D$22</definedName>
    <definedName name="_Toc175806092" localSheetId="1">'Source Table'!$C$23</definedName>
    <definedName name="_Toc175806102" localSheetId="1">'Source Table'!#REF!</definedName>
    <definedName name="_Toc175806112" localSheetId="1">'Source Table'!#REF!</definedName>
    <definedName name="_Toc175806122" localSheetId="1">'Source Table'!#REF!</definedName>
    <definedName name="_Toc175806132" localSheetId="1">'Source Table'!#REF!</definedName>
    <definedName name="_Toc175806142" localSheetId="1">'Source Table'!$D$26</definedName>
    <definedName name="_Toc175806152" localSheetId="1">'Source Table'!$D$27</definedName>
    <definedName name="_Toc175806162" localSheetId="1">'Source Table'!#REF!</definedName>
    <definedName name="_Toc175806172" localSheetId="1">'Source Table'!$D$28</definedName>
    <definedName name="_Toc175806182" localSheetId="1">'Source Table'!$D$29</definedName>
    <definedName name="_Toc175806207" localSheetId="1">'Source Table'!$I$30</definedName>
    <definedName name="_Toc175806216" localSheetId="1">'Source Table'!$D$30</definedName>
    <definedName name="_Toc175806217" localSheetId="1">'Source Table'!$I$31</definedName>
    <definedName name="_Toc175806226" localSheetId="1">'Source Table'!$D$31</definedName>
    <definedName name="_Toc175806227" localSheetId="1">'Source Table'!$I$32</definedName>
    <definedName name="_Toc175806236" localSheetId="1">'Source Table'!$D$32</definedName>
    <definedName name="_Toc175806237" localSheetId="1">'Source Table'!$I$33</definedName>
    <definedName name="_Toc175806246" localSheetId="1">'Source Table'!$D$33</definedName>
    <definedName name="_Toc175806247" localSheetId="1">'Source Table'!$I$34</definedName>
    <definedName name="_Toc175806256" localSheetId="1">'Source Table'!$D$34</definedName>
    <definedName name="_Toc175806257" localSheetId="1">'Source Table'!$I$35</definedName>
    <definedName name="_Toc175806266" localSheetId="1">'Source Table'!$D$35</definedName>
    <definedName name="_Toc175806267" localSheetId="1">'Source Table'!$J$36</definedName>
    <definedName name="_Toc175806276" localSheetId="1">'Source Table'!$C$36</definedName>
    <definedName name="_Toc175806277" localSheetId="1">'Source Table'!$I$36</definedName>
    <definedName name="_Toc175806286" localSheetId="1">'Source Table'!#REF!</definedName>
    <definedName name="_Toc175806287" localSheetId="1">'Source Table'!$I$37</definedName>
    <definedName name="_Toc175806296" localSheetId="1">'Source Table'!#REF!</definedName>
    <definedName name="_Toc175806297" localSheetId="1">'Source Table'!$I$38</definedName>
    <definedName name="_Toc175806306" localSheetId="1">'Source Table'!#REF!</definedName>
    <definedName name="_Toc175806307" localSheetId="1">'Source Table'!$I$39</definedName>
    <definedName name="_Toc175806316" localSheetId="1">'Source Table'!$C$39</definedName>
    <definedName name="_Toc175806317" localSheetId="1">'Source Table'!$I$40</definedName>
    <definedName name="_Toc175806326" localSheetId="1">'Source Table'!$C$40</definedName>
    <definedName name="_Toc175806327" localSheetId="1">'Source Table'!$I$41</definedName>
    <definedName name="_Toc175806336" localSheetId="1">'Source Table'!$C$41</definedName>
    <definedName name="_Toc175806337" localSheetId="1">'Source Table'!$I$42</definedName>
    <definedName name="_Toc175806346" localSheetId="1">'Source Table'!$D$41</definedName>
    <definedName name="_Toc175806347" localSheetId="1">'Source Table'!$I$43</definedName>
    <definedName name="_Toc175806356" localSheetId="1">'Source Table'!$D$42</definedName>
    <definedName name="_Toc175806357" localSheetId="1">'Source Table'!$I$44</definedName>
    <definedName name="_Toc175806366" localSheetId="1">'Source Table'!$D$43</definedName>
    <definedName name="_Toc175806367" localSheetId="1">'Source Table'!#REF!</definedName>
    <definedName name="_Toc175806376" localSheetId="1">'Source Table'!$D$44</definedName>
    <definedName name="_Toc175806377" localSheetId="1">'Source Table'!$J$45</definedName>
    <definedName name="_Toc175806386" localSheetId="1">'Source Table'!$C$45</definedName>
    <definedName name="_Toc175806387" localSheetId="1">'Source Table'!$I$45</definedName>
    <definedName name="_Toc175806396" localSheetId="1">'Source Table'!$D$45</definedName>
    <definedName name="_Toc175806397" localSheetId="1">'Source Table'!$I$46</definedName>
    <definedName name="_Toc175806405" localSheetId="1">'Source Table'!$D$46</definedName>
    <definedName name="_Toc175806406" localSheetId="1">'Source Table'!$J$47</definedName>
    <definedName name="_Toc175806415" localSheetId="1">'Source Table'!$C$47</definedName>
    <definedName name="_Toc175806416" localSheetId="1">'Source Table'!#REF!</definedName>
    <definedName name="_Toc175806425" localSheetId="1">'Source Table'!$D$47</definedName>
    <definedName name="_Toc175806426" localSheetId="1">'Source Table'!$I$52</definedName>
    <definedName name="_Toc175806435" localSheetId="1">'Source Table'!$D$48</definedName>
    <definedName name="_Toc175806436" localSheetId="1">'Source Table'!$I$53</definedName>
    <definedName name="_Toc175806445" localSheetId="1">'Source Table'!$D$49</definedName>
    <definedName name="_Toc175806446" localSheetId="1">'Source Table'!$I$54</definedName>
    <definedName name="_Toc175806455" localSheetId="1">'Source Table'!$D$50</definedName>
    <definedName name="_Toc175806456" localSheetId="1">'Source Table'!$I$51</definedName>
    <definedName name="_Toc175806465" localSheetId="1">'Source Table'!$D$51</definedName>
    <definedName name="_xlnm.Print_Area" localSheetId="1">'Source Table'!$C$2:$J$51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<sst xmlns="http://schemas.openxmlformats.org/spreadsheetml/2006/main" count="10832" uniqueCount="213">
  <si>
    <t>Code</t>
  </si>
  <si>
    <t>SYB_13_1_7</t>
  </si>
  <si>
    <t>Version</t>
  </si>
  <si>
    <t>V1</t>
  </si>
  <si>
    <t>اسم القالب</t>
  </si>
  <si>
    <t>عدد الطلبة والمعلمين حسب المحافظة والمديرية والجنس في السنة الدراسية</t>
  </si>
  <si>
    <t>Template Name</t>
  </si>
  <si>
    <t>Number of Students and Teachers  by Governorate, Directorate and Sex schooling year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</si>
  <si>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</si>
  <si>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</si>
  <si>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</si>
  <si>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</si>
  <si>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</si>
  <si>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التربية والتعليم </t>
  </si>
  <si>
    <t>Data Source</t>
  </si>
  <si>
    <t>Ministry of Education</t>
  </si>
  <si>
    <t>Year</t>
  </si>
  <si>
    <t>السنة</t>
  </si>
  <si>
    <t>Governorate and Directorate</t>
  </si>
  <si>
    <t>المحافظة والمديرية</t>
  </si>
  <si>
    <t>المعلمون</t>
  </si>
  <si>
    <t>الطلبة</t>
  </si>
  <si>
    <t>Teachers</t>
  </si>
  <si>
    <t>Students</t>
  </si>
  <si>
    <t>أنثى</t>
  </si>
  <si>
    <t>ذكر</t>
  </si>
  <si>
    <t>Female</t>
  </si>
  <si>
    <t>Male</t>
  </si>
  <si>
    <t xml:space="preserve">   Amman</t>
  </si>
  <si>
    <t>Amman  Qasbah</t>
  </si>
  <si>
    <t>قصبه عمان</t>
  </si>
  <si>
    <t>العاصمة</t>
  </si>
  <si>
    <t>Aljamaah</t>
  </si>
  <si>
    <t>الجامعه</t>
  </si>
  <si>
    <t>Sahab</t>
  </si>
  <si>
    <t>سحاب</t>
  </si>
  <si>
    <t>AL_qwesmeh</t>
  </si>
  <si>
    <t>القويسمه</t>
  </si>
  <si>
    <t>Marka</t>
  </si>
  <si>
    <t>ماركا</t>
  </si>
  <si>
    <t>Wadi Alseer</t>
  </si>
  <si>
    <t>وادي السير</t>
  </si>
  <si>
    <t>Naaor</t>
  </si>
  <si>
    <t>ناعور</t>
  </si>
  <si>
    <t>Badiyyeh Wosta/Mwagar</t>
  </si>
  <si>
    <t>البادية الوسطى/ الموقر</t>
  </si>
  <si>
    <t>Badiyyeh Wosta/Jezah</t>
  </si>
  <si>
    <t>البادية الوسطى/ الجيزة</t>
  </si>
  <si>
    <t xml:space="preserve">   Balqa</t>
  </si>
  <si>
    <t>Salt Qasabah</t>
  </si>
  <si>
    <t>قصبة السلط</t>
  </si>
  <si>
    <t>البلقاء</t>
  </si>
  <si>
    <t>Dair Alla</t>
  </si>
  <si>
    <t>دير علا</t>
  </si>
  <si>
    <t>Shoonah Janoobiyyeh</t>
  </si>
  <si>
    <t>الشونة الجنوبية</t>
  </si>
  <si>
    <t>Ein Albasha</t>
  </si>
  <si>
    <t>عين الباشا</t>
  </si>
  <si>
    <t xml:space="preserve">    Zarqa</t>
  </si>
  <si>
    <t>Zarqa 1</t>
  </si>
  <si>
    <t xml:space="preserve"> الزرقاء الاولى</t>
  </si>
  <si>
    <t>الزرقاء</t>
  </si>
  <si>
    <t>Zarqa 2</t>
  </si>
  <si>
    <t xml:space="preserve"> الزرقاء الثانية</t>
  </si>
  <si>
    <t>Ruseifa</t>
  </si>
  <si>
    <t>الرصيفة</t>
  </si>
  <si>
    <t>مأدبا</t>
  </si>
  <si>
    <t xml:space="preserve">  Madaba</t>
  </si>
  <si>
    <t>Madaba Qasabah</t>
  </si>
  <si>
    <t>قصبة مادبا</t>
  </si>
  <si>
    <t>Dieban District</t>
  </si>
  <si>
    <t>لواء ذيبان</t>
  </si>
  <si>
    <t>إربد</t>
  </si>
  <si>
    <t xml:space="preserve">   Irbid</t>
  </si>
  <si>
    <t>Irbid Qasbah</t>
  </si>
  <si>
    <t>قصبه إربد</t>
  </si>
  <si>
    <t>Bani Obaid</t>
  </si>
  <si>
    <t>بني عبيد</t>
  </si>
  <si>
    <t>North Mazar</t>
  </si>
  <si>
    <t>المزار الشمالي</t>
  </si>
  <si>
    <t>Al-taibah &amp; Al-wasteiah</t>
  </si>
  <si>
    <t>لوائي الطيبة والوسطية</t>
  </si>
  <si>
    <t>Koorah</t>
  </si>
  <si>
    <t>الكورة</t>
  </si>
  <si>
    <t>Bani Kenanah</t>
  </si>
  <si>
    <t>بني كنانة</t>
  </si>
  <si>
    <t>Aghwar Shamaliyyeh</t>
  </si>
  <si>
    <t>الأغوار الشمالية</t>
  </si>
  <si>
    <t>Ramtha</t>
  </si>
  <si>
    <t>الرمثا</t>
  </si>
  <si>
    <t xml:space="preserve">    Mafraq</t>
  </si>
  <si>
    <t>Mafraq Qasabah</t>
  </si>
  <si>
    <t>قصبة المفرق</t>
  </si>
  <si>
    <t>المفرق</t>
  </si>
  <si>
    <t>Badyah Shamaliyyeh .E</t>
  </si>
  <si>
    <t>البادية الشمالية الشرقية</t>
  </si>
  <si>
    <t>Badyah Shamaliyyeh .W</t>
  </si>
  <si>
    <t>البادية الشمالية الغربية</t>
  </si>
  <si>
    <t xml:space="preserve">   Jarash</t>
  </si>
  <si>
    <t>جرش</t>
  </si>
  <si>
    <t xml:space="preserve">   Ajloun</t>
  </si>
  <si>
    <t>عجلون</t>
  </si>
  <si>
    <t xml:space="preserve">   Karak</t>
  </si>
  <si>
    <t>Karak Qasabah</t>
  </si>
  <si>
    <t>قصبة الكرك</t>
  </si>
  <si>
    <t>الكرك</t>
  </si>
  <si>
    <t>Mazar  Janoobi</t>
  </si>
  <si>
    <t>المزار الجنوبي</t>
  </si>
  <si>
    <t>Qasr</t>
  </si>
  <si>
    <t>القصر</t>
  </si>
  <si>
    <t xml:space="preserve"> Aghwar Janoobiyyeh</t>
  </si>
  <si>
    <t>الأغوار الجنوبية</t>
  </si>
  <si>
    <t xml:space="preserve">   Tafiela</t>
  </si>
  <si>
    <t>Tafiela</t>
  </si>
  <si>
    <t>الطفيلة</t>
  </si>
  <si>
    <t>Bsaira</t>
  </si>
  <si>
    <t>لواء بصيرا</t>
  </si>
  <si>
    <t xml:space="preserve">   Ma'an</t>
  </si>
  <si>
    <t>Ma'an</t>
  </si>
  <si>
    <t>معان</t>
  </si>
  <si>
    <t>South Badia</t>
  </si>
  <si>
    <t>البادية الجنوبية</t>
  </si>
  <si>
    <t>Petra</t>
  </si>
  <si>
    <t>البترا</t>
  </si>
  <si>
    <t>Shobak</t>
  </si>
  <si>
    <t>الشوبك</t>
  </si>
  <si>
    <t xml:space="preserve">   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</si>
  <si>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</si>
  <si>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</si>
  <si>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</si>
  <si>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</si>
  <si>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</si>
  <si>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</si>
  <si>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</si>
  <si>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CL_EDU_DIRECTORATE_EN_V1</t>
  </si>
  <si>
    <t>CL_EDU_DIRECTORATE_AR_V1</t>
  </si>
  <si>
    <t>CL_EDU_SEX_EN_V1</t>
  </si>
  <si>
    <t>CL_EDU_SEX_AR_V1</t>
  </si>
  <si>
    <t>CL_EDU_YEARS_AR_V1</t>
  </si>
  <si>
    <t>CL_EDU_YEARS_EN_V1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</si>
  <si>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</si>
  <si>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</si>
  <si>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</si>
  <si>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</si>
  <si>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</si>
  <si>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</si>
  <si>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</si>
  <si>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</si>
  <si>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Sex</t>
  </si>
  <si>
    <t xml:space="preserve">الجنس </t>
  </si>
  <si>
    <t>السنة الدراسية</t>
  </si>
  <si>
    <t>Educational Year</t>
  </si>
  <si>
    <t>قيمة المؤشر</t>
  </si>
  <si>
    <t>سنة فترة القياس</t>
  </si>
  <si>
    <t>شهر فترة القياس</t>
  </si>
  <si>
    <t xml:space="preserve">عدد الطلبة والمعلمين </t>
  </si>
  <si>
    <t xml:space="preserve">Number of Students and Teachers  </t>
  </si>
  <si>
    <t>M1</t>
  </si>
  <si>
    <t>Number</t>
  </si>
  <si>
    <t>عدد</t>
  </si>
  <si>
    <r>
      <rPr>
        <sz val="12"/>
        <color theme="1"/>
        <rFont val="Traditional Arabic"/>
        <charset val="134"/>
      </rPr>
      <t xml:space="preserve"> </t>
    </r>
    <r>
      <rPr>
        <sz val="12"/>
        <color theme="1"/>
        <rFont val="Traditional Arabic"/>
        <charset val="134"/>
      </rPr>
      <t>الزرقاء الاولى</t>
    </r>
  </si>
  <si>
    <r>
      <rPr>
        <sz val="12"/>
        <color theme="1"/>
        <rFont val="Traditional Arabic"/>
        <charset val="134"/>
      </rPr>
      <t xml:space="preserve"> </t>
    </r>
    <r>
      <rPr>
        <sz val="12"/>
        <color theme="1"/>
        <rFont val="Traditional Arabic"/>
        <charset val="134"/>
      </rPr>
      <t>الزرقاء الثانية</t>
    </r>
  </si>
  <si>
    <t>M2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</si>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</sst>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0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sz val="9"/>
      <color theme="1"/>
      <name val="Times New Roman"/>
      <charset val="134"/>
    </font>
    <font>
      <sz val="12"/>
      <color theme="1"/>
      <name val="Traditional Arabic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12"/>
      <color theme="1"/>
      <name val="Times New Roman"/>
      <charset val="134"/>
    </font>
    <font>
      <b/>
      <sz val="9"/>
      <color theme="1"/>
      <name val="Times New Roman"/>
      <charset val="134"/>
    </font>
    <font>
      <sz val="8.5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2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2"/>
      <name val="Arial"/>
      <charset val="134"/>
    </font>
    <font>
      <b/>
      <sz val="11"/>
      <name val="Arial"/>
      <charset val="178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auto="1"/>
      </top>
      <bottom/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7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20" applyNumberFormat="0" applyAlignment="0" applyProtection="0">
      <alignment vertical="center"/>
    </xf>
    <xf numFmtId="0" fontId="31" fillId="12" borderId="21" applyNumberFormat="0" applyAlignment="0" applyProtection="0">
      <alignment vertical="center"/>
    </xf>
    <xf numFmtId="0" fontId="32" fillId="12" borderId="20" applyNumberFormat="0" applyAlignment="0" applyProtection="0">
      <alignment vertical="center"/>
    </xf>
    <xf numFmtId="0" fontId="33" fillId="13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>
      <alignment horizontal="centerContinuous" vertical="center"/>
    </xf>
    <xf numFmtId="0" fontId="42" fillId="0" borderId="0">
      <alignment horizontal="centerContinuous" vertical="center"/>
    </xf>
    <xf numFmtId="0" fontId="43" fillId="0" borderId="0">
      <alignment horizontal="centerContinuous" vertical="center"/>
    </xf>
    <xf numFmtId="0" fontId="43" fillId="0" borderId="0">
      <alignment horizontal="centerContinuous" vertical="center"/>
    </xf>
    <xf numFmtId="1" fontId="44" fillId="41" borderId="25">
      <alignment horizontal="center" vertical="center"/>
    </xf>
    <xf numFmtId="1" fontId="45" fillId="41" borderId="25">
      <alignment horizontal="center" vertical="center"/>
    </xf>
    <xf numFmtId="0" fontId="46" fillId="41" borderId="25">
      <alignment horizontal="center" vertical="center" wrapText="1"/>
    </xf>
    <xf numFmtId="0" fontId="47" fillId="41" borderId="25">
      <alignment horizontal="center" vertical="center" wrapText="1"/>
    </xf>
    <xf numFmtId="0" fontId="48" fillId="41" borderId="25">
      <alignment horizontal="center" vertical="center" wrapText="1"/>
    </xf>
    <xf numFmtId="0" fontId="48" fillId="41" borderId="25">
      <alignment horizontal="center" vertical="center" wrapText="1"/>
    </xf>
    <xf numFmtId="0" fontId="41" fillId="0" borderId="0"/>
    <xf numFmtId="0" fontId="41" fillId="0" borderId="0"/>
    <xf numFmtId="0" fontId="41" fillId="0" borderId="0"/>
    <xf numFmtId="0" fontId="41" fillId="0" borderId="0"/>
    <xf numFmtId="0" fontId="0" fillId="0" borderId="0"/>
    <xf numFmtId="0" fontId="0" fillId="0" borderId="0"/>
    <xf numFmtId="0" fontId="41" fillId="0" borderId="0"/>
    <xf numFmtId="0" fontId="41" fillId="0" borderId="0"/>
    <xf numFmtId="0" fontId="0" fillId="0" borderId="0"/>
    <xf numFmtId="9" fontId="0" fillId="0" borderId="0"/>
    <xf numFmtId="9" fontId="0" fillId="0" borderId="0"/>
    <xf numFmtId="0" fontId="45" fillId="0" borderId="0">
      <alignment horizontal="right" vertical="center"/>
    </xf>
    <xf numFmtId="0" fontId="45" fillId="0" borderId="0">
      <alignment horizontal="right" vertical="center"/>
    </xf>
    <xf numFmtId="0" fontId="41" fillId="0" borderId="0">
      <alignment horizontal="left" vertical="center"/>
    </xf>
    <xf numFmtId="0" fontId="41" fillId="0" borderId="0">
      <alignment horizontal="left" vertical="center"/>
    </xf>
  </cellStyleXfs>
  <cellXfs count="76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readingOrder="2"/>
    </xf>
    <xf numFmtId="0" fontId="7" fillId="6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9" fillId="0" borderId="0" xfId="0" applyFont="1" applyBorder="1" applyAlignment="1">
      <alignment horizontal="left" vertical="center" indent="1"/>
    </xf>
    <xf numFmtId="0" fontId="10" fillId="0" borderId="0" xfId="0" applyFont="1" applyBorder="1" applyAlignment="1">
      <alignment horizontal="right" indent="1" readingOrder="2"/>
    </xf>
    <xf numFmtId="3" fontId="11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0" fontId="9" fillId="0" borderId="0" xfId="0" applyFont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 readingOrder="2"/>
    </xf>
    <xf numFmtId="0" fontId="9" fillId="0" borderId="0" xfId="0" applyFont="1" applyAlignment="1">
      <alignment horizontal="right" indent="1" readingOrder="2"/>
    </xf>
    <xf numFmtId="0" fontId="14" fillId="0" borderId="0" xfId="0" applyFont="1" applyAlignment="1">
      <alignment horizontal="right" indent="1" readingOrder="2"/>
    </xf>
    <xf numFmtId="0" fontId="9" fillId="0" borderId="0" xfId="0" applyFont="1" applyAlignment="1">
      <alignment horizontal="center" indent="1"/>
    </xf>
    <xf numFmtId="0" fontId="14" fillId="0" borderId="0" xfId="0" applyFont="1" applyAlignment="1">
      <alignment horizontal="center" indent="1"/>
    </xf>
    <xf numFmtId="0" fontId="14" fillId="0" borderId="0" xfId="0" applyFont="1"/>
    <xf numFmtId="0" fontId="16" fillId="7" borderId="0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 wrapText="1" readingOrder="2"/>
    </xf>
    <xf numFmtId="0" fontId="17" fillId="8" borderId="6" xfId="0" applyFont="1" applyFill="1" applyBorder="1" applyAlignment="1">
      <alignment horizontal="center" vertical="center" wrapText="1" readingOrder="2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 readingOrder="2"/>
    </xf>
    <xf numFmtId="0" fontId="17" fillId="8" borderId="4" xfId="0" applyFont="1" applyFill="1" applyBorder="1" applyAlignment="1">
      <alignment horizontal="center" vertical="center" wrapText="1" readingOrder="2"/>
    </xf>
    <xf numFmtId="0" fontId="17" fillId="8" borderId="1" xfId="0" applyFont="1" applyFill="1" applyBorder="1" applyAlignment="1">
      <alignment horizontal="center" vertical="center" readingOrder="2"/>
    </xf>
    <xf numFmtId="0" fontId="17" fillId="8" borderId="2" xfId="0" applyFont="1" applyFill="1" applyBorder="1" applyAlignment="1">
      <alignment horizontal="center" vertical="center" readingOrder="2"/>
    </xf>
    <xf numFmtId="0" fontId="17" fillId="8" borderId="10" xfId="0" applyFont="1" applyFill="1" applyBorder="1" applyAlignment="1">
      <alignment horizontal="center" vertical="center" readingOrder="2"/>
    </xf>
    <xf numFmtId="0" fontId="17" fillId="8" borderId="7" xfId="0" applyFont="1" applyFill="1" applyBorder="1" applyAlignment="1">
      <alignment horizontal="center" vertical="center" wrapText="1" readingOrder="2"/>
    </xf>
    <xf numFmtId="0" fontId="17" fillId="8" borderId="9" xfId="0" applyFont="1" applyFill="1" applyBorder="1" applyAlignment="1">
      <alignment horizontal="center" vertical="center" wrapText="1" readingOrder="2"/>
    </xf>
    <xf numFmtId="0" fontId="17" fillId="8" borderId="11" xfId="0" applyFont="1" applyFill="1" applyBorder="1" applyAlignment="1">
      <alignment horizontal="center" vertical="center" readingOrder="2"/>
    </xf>
    <xf numFmtId="0" fontId="18" fillId="8" borderId="12" xfId="0" applyFont="1" applyFill="1" applyBorder="1" applyAlignment="1">
      <alignment horizontal="center" vertical="center" readingOrder="2"/>
    </xf>
    <xf numFmtId="0" fontId="19" fillId="0" borderId="13" xfId="0" applyFont="1" applyBorder="1" applyAlignment="1" applyProtection="1">
      <alignment horizontal="center" vertical="center"/>
      <protection locked="0"/>
    </xf>
    <xf numFmtId="0" fontId="18" fillId="8" borderId="14" xfId="0" applyFont="1" applyFill="1" applyBorder="1" applyAlignment="1">
      <alignment horizontal="center" vertical="center" readingOrder="2"/>
    </xf>
    <xf numFmtId="0" fontId="18" fillId="8" borderId="15" xfId="0" applyFont="1" applyFill="1" applyBorder="1" applyAlignment="1">
      <alignment horizontal="center" vertical="center" readingOrder="2"/>
    </xf>
    <xf numFmtId="0" fontId="18" fillId="8" borderId="16" xfId="0" applyFont="1" applyFill="1" applyBorder="1" applyAlignment="1">
      <alignment horizontal="center" vertical="center" readingOrder="2"/>
    </xf>
    <xf numFmtId="0" fontId="20" fillId="9" borderId="1" xfId="0" applyFont="1" applyFill="1" applyBorder="1" applyAlignment="1">
      <alignment horizontal="center" vertical="center" readingOrder="2"/>
    </xf>
    <xf numFmtId="0" fontId="20" fillId="9" borderId="2" xfId="0" applyFont="1" applyFill="1" applyBorder="1" applyAlignment="1">
      <alignment horizontal="center" vertical="center" readingOrder="2"/>
    </xf>
    <xf numFmtId="0" fontId="18" fillId="8" borderId="16" xfId="0" applyFont="1" applyFill="1" applyBorder="1" applyAlignment="1">
      <alignment horizontal="center" vertical="center" wrapText="1" readingOrder="2"/>
    </xf>
    <xf numFmtId="0" fontId="18" fillId="8" borderId="5" xfId="0" applyFont="1" applyFill="1" applyBorder="1" applyAlignment="1">
      <alignment horizontal="center" vertical="center" wrapText="1" readingOrder="2"/>
    </xf>
    <xf numFmtId="0" fontId="18" fillId="8" borderId="3" xfId="0" applyFont="1" applyFill="1" applyBorder="1" applyAlignment="1">
      <alignment horizontal="center" vertical="center" wrapText="1" readingOrder="2"/>
    </xf>
    <xf numFmtId="0" fontId="18" fillId="8" borderId="7" xfId="0" applyFont="1" applyFill="1" applyBorder="1" applyAlignment="1">
      <alignment horizontal="center" vertical="center" wrapText="1" readingOrder="2"/>
    </xf>
    <xf numFmtId="0" fontId="21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9" borderId="0" xfId="0" applyFont="1" applyFill="1" applyAlignment="1">
      <alignment horizontal="center" readingOrder="2"/>
    </xf>
    <xf numFmtId="0" fontId="7" fillId="9" borderId="0" xfId="0" applyFont="1" applyFill="1" applyAlignment="1">
      <alignment horizontal="center" vertical="center"/>
    </xf>
  </cellXfs>
  <cellStyles count="7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‏_x001d_ً'_x000c_ï‏÷_x000c__x001c_ 2 2" xfId="51"/>
    <cellStyle name="‏_x001d_ً'_x000c_ï‏÷_x000c__x001c_ 3" xfId="52"/>
    <cellStyle name="H1" xfId="53"/>
    <cellStyle name="H1 2" xfId="54"/>
    <cellStyle name="H2" xfId="55"/>
    <cellStyle name="H2 2" xfId="56"/>
    <cellStyle name="Had1" xfId="57"/>
    <cellStyle name="Had1 2" xfId="58"/>
    <cellStyle name="Had2" xfId="59"/>
    <cellStyle name="Had2 2" xfId="60"/>
    <cellStyle name="Had3" xfId="61"/>
    <cellStyle name="Had3 2" xfId="62"/>
    <cellStyle name="Normal 2" xfId="63"/>
    <cellStyle name="Normal 2 2" xfId="64"/>
    <cellStyle name="Normal 3" xfId="65"/>
    <cellStyle name="Normal 3 2" xfId="66"/>
    <cellStyle name="Normal 4" xfId="67"/>
    <cellStyle name="Normal 4 2" xfId="68"/>
    <cellStyle name="Normal 5" xfId="69"/>
    <cellStyle name="Normal 5 2" xfId="70"/>
    <cellStyle name="Normal 6" xfId="71"/>
    <cellStyle name="Percent 2" xfId="72"/>
    <cellStyle name="Percent 2 2" xfId="73"/>
    <cellStyle name="T1" xfId="74"/>
    <cellStyle name="T1 2" xfId="75"/>
    <cellStyle name="T2" xfId="76"/>
    <cellStyle name="T2 2" xfId="77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5" sqref="B5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71" t="s">
        <v>0</v>
      </c>
      <c r="B1" s="17" t="s">
        <v>1</v>
      </c>
    </row>
    <row r="2" ht="21" customHeight="1" spans="1:2">
      <c r="A2" s="71" t="s">
        <v>2</v>
      </c>
      <c r="B2" s="17" t="s">
        <v>3</v>
      </c>
    </row>
    <row r="3" ht="21" customHeight="1" spans="1:2">
      <c r="A3" s="71" t="s">
        <v>4</v>
      </c>
      <c r="B3" s="72" t="s">
        <v>5</v>
      </c>
    </row>
    <row r="4" ht="21" customHeight="1" spans="1:2">
      <c r="A4" s="71" t="s">
        <v>6</v>
      </c>
      <c r="B4" s="73" t="s">
        <v>7</v>
      </c>
    </row>
    <row r="5" ht="21" customHeight="1" spans="1:2">
      <c r="A5" s="71" t="s">
        <v>8</v>
      </c>
      <c r="B5" s="74" t="s">
        <v>9</v>
      </c>
    </row>
    <row r="6" ht="21" customHeight="1" spans="1:2">
      <c r="A6" s="71" t="s">
        <v>10</v>
      </c>
      <c r="B6" s="74" t="s">
        <v>11</v>
      </c>
    </row>
    <row r="7" ht="21" customHeight="1" spans="1:2">
      <c r="A7" s="71" t="s">
        <v>12</v>
      </c>
      <c r="B7" s="75" t="s">
        <v>13</v>
      </c>
    </row>
    <row r="8" ht="21" customHeight="1" spans="1:2">
      <c r="A8" s="71" t="s">
        <v>14</v>
      </c>
      <c r="B8" s="75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51"/>
  <sheetViews>
    <sheetView view="pageBreakPreview" zoomScale="50" zoomScaleNormal="100" topLeftCell="A3" workbookViewId="0">
      <selection activeCell="I23" sqref="I23:I24"/>
    </sheetView>
  </sheetViews>
  <sheetFormatPr defaultColWidth="16.75" defaultRowHeight="14.25"/>
  <cols>
    <col min="2" max="2" width="16.75" customWidth="1"/>
    <col min="3" max="3" width="26.75" customWidth="1"/>
    <col min="4" max="8" width="36.75" customWidth="1"/>
    <col min="9" max="10" width="25.75" customWidth="1"/>
  </cols>
  <sheetData>
    <row r="2" ht="28.15" customHeight="1" spans="3:10">
      <c r="C2" s="41" t="str">
        <f>'Cover Page'!B4</f>
        <v>Number of Students and Teachers  by Governorate, Directorate and Sex schooling year</v>
      </c>
      <c r="D2" s="41"/>
      <c r="E2" s="41"/>
      <c r="F2" s="41"/>
      <c r="G2" s="41"/>
      <c r="H2" s="41"/>
      <c r="I2" s="41"/>
      <c r="J2" s="41"/>
    </row>
    <row r="3" ht="28.15" customHeight="1" spans="3:10">
      <c r="C3" s="41" t="str">
        <f>'Cover Page'!B3</f>
        <v>عدد الطلبة والمعلمين حسب المحافظة والمديرية والجنس في السنة الدراسية</v>
      </c>
      <c r="D3" s="41"/>
      <c r="E3" s="41"/>
      <c r="F3" s="41"/>
      <c r="G3" s="41"/>
      <c r="H3" s="41"/>
      <c r="I3" s="41"/>
      <c r="J3" s="41"/>
    </row>
    <row r="4" ht="28.15" customHeight="1" spans="3:10">
      <c r="C4" s="42" t="s">
        <v>16</v>
      </c>
      <c r="D4" s="43"/>
      <c r="E4" s="44">
        <f>YEAR('Template Data'!B1)</f>
        <v>2024</v>
      </c>
      <c r="F4" s="45"/>
      <c r="G4" s="45"/>
      <c r="H4" s="46"/>
      <c r="I4" s="65" t="s">
        <v>17</v>
      </c>
      <c r="J4" s="66"/>
    </row>
    <row r="5" ht="28.15" customHeight="1" spans="3:10">
      <c r="C5" s="47" t="s">
        <v>18</v>
      </c>
      <c r="D5" s="48"/>
      <c r="E5" s="49"/>
      <c r="F5" s="50"/>
      <c r="G5" s="50"/>
      <c r="H5" s="51"/>
      <c r="I5" s="47" t="s">
        <v>19</v>
      </c>
      <c r="J5" s="48"/>
    </row>
    <row r="6" ht="28.15" customHeight="1" spans="3:10">
      <c r="C6" s="52"/>
      <c r="D6" s="53"/>
      <c r="E6" s="54" t="s">
        <v>20</v>
      </c>
      <c r="F6" s="55"/>
      <c r="G6" s="54" t="s">
        <v>21</v>
      </c>
      <c r="H6" s="55"/>
      <c r="I6" s="52"/>
      <c r="J6" s="53"/>
    </row>
    <row r="7" ht="28.15" customHeight="1" spans="3:10">
      <c r="C7" s="52"/>
      <c r="D7" s="53"/>
      <c r="E7" s="54" t="s">
        <v>22</v>
      </c>
      <c r="F7" s="55"/>
      <c r="G7" s="54" t="s">
        <v>23</v>
      </c>
      <c r="H7" s="55"/>
      <c r="I7" s="52"/>
      <c r="J7" s="53"/>
    </row>
    <row r="8" ht="19.9" customHeight="1" spans="3:10">
      <c r="C8" s="52"/>
      <c r="D8" s="53"/>
      <c r="E8" s="56" t="s">
        <v>24</v>
      </c>
      <c r="F8" s="56" t="s">
        <v>25</v>
      </c>
      <c r="G8" s="56" t="s">
        <v>24</v>
      </c>
      <c r="H8" s="56" t="s">
        <v>25</v>
      </c>
      <c r="I8" s="52"/>
      <c r="J8" s="53"/>
    </row>
    <row r="9" ht="19.9" customHeight="1" spans="3:10">
      <c r="C9" s="57"/>
      <c r="D9" s="58"/>
      <c r="E9" s="59" t="s">
        <v>26</v>
      </c>
      <c r="F9" s="59" t="s">
        <v>27</v>
      </c>
      <c r="G9" s="59" t="s">
        <v>26</v>
      </c>
      <c r="H9" s="59" t="s">
        <v>27</v>
      </c>
      <c r="I9" s="57"/>
      <c r="J9" s="58"/>
    </row>
    <row r="10" ht="22.15" customHeight="1" spans="3:10">
      <c r="C10" s="60" t="s">
        <v>28</v>
      </c>
      <c r="D10" s="59" t="s">
        <v>29</v>
      </c>
      <c r="E10" s="61"/>
      <c r="F10" s="61"/>
      <c r="G10" s="61"/>
      <c r="H10" s="61"/>
      <c r="I10" s="59" t="s">
        <v>30</v>
      </c>
      <c r="J10" s="67" t="s">
        <v>31</v>
      </c>
    </row>
    <row r="11" ht="22.15" customHeight="1" spans="3:10">
      <c r="C11" s="62"/>
      <c r="D11" s="59" t="s">
        <v>32</v>
      </c>
      <c r="E11" s="61"/>
      <c r="F11" s="61"/>
      <c r="G11" s="61"/>
      <c r="H11" s="61"/>
      <c r="I11" s="59" t="s">
        <v>33</v>
      </c>
      <c r="J11" s="67"/>
    </row>
    <row r="12" ht="22.15" customHeight="1" spans="3:10">
      <c r="C12" s="62"/>
      <c r="D12" s="59" t="s">
        <v>34</v>
      </c>
      <c r="E12" s="61"/>
      <c r="F12" s="61"/>
      <c r="G12" s="61"/>
      <c r="H12" s="61"/>
      <c r="I12" s="59" t="s">
        <v>35</v>
      </c>
      <c r="J12" s="67"/>
    </row>
    <row r="13" ht="22.15" customHeight="1" spans="3:10">
      <c r="C13" s="62"/>
      <c r="D13" s="59" t="s">
        <v>36</v>
      </c>
      <c r="E13" s="61"/>
      <c r="F13" s="61"/>
      <c r="G13" s="61"/>
      <c r="H13" s="61"/>
      <c r="I13" s="59" t="s">
        <v>37</v>
      </c>
      <c r="J13" s="67"/>
    </row>
    <row r="14" ht="22.15" customHeight="1" spans="3:10">
      <c r="C14" s="62"/>
      <c r="D14" s="59" t="s">
        <v>38</v>
      </c>
      <c r="E14" s="61"/>
      <c r="F14" s="61"/>
      <c r="G14" s="61"/>
      <c r="H14" s="61"/>
      <c r="I14" s="59" t="s">
        <v>39</v>
      </c>
      <c r="J14" s="67"/>
    </row>
    <row r="15" ht="22.15" customHeight="1" spans="3:10">
      <c r="C15" s="62"/>
      <c r="D15" s="59" t="s">
        <v>40</v>
      </c>
      <c r="E15" s="61"/>
      <c r="F15" s="61"/>
      <c r="G15" s="61"/>
      <c r="H15" s="61"/>
      <c r="I15" s="59" t="s">
        <v>41</v>
      </c>
      <c r="J15" s="67"/>
    </row>
    <row r="16" ht="22.15" customHeight="1" spans="3:10">
      <c r="C16" s="62"/>
      <c r="D16" s="59" t="s">
        <v>42</v>
      </c>
      <c r="E16" s="61"/>
      <c r="F16" s="61"/>
      <c r="G16" s="61"/>
      <c r="H16" s="61"/>
      <c r="I16" s="59" t="s">
        <v>43</v>
      </c>
      <c r="J16" s="67"/>
    </row>
    <row r="17" ht="22.15" customHeight="1" spans="3:10">
      <c r="C17" s="62"/>
      <c r="D17" s="59" t="s">
        <v>44</v>
      </c>
      <c r="E17" s="61"/>
      <c r="F17" s="61"/>
      <c r="G17" s="61"/>
      <c r="H17" s="61"/>
      <c r="I17" s="59" t="s">
        <v>45</v>
      </c>
      <c r="J17" s="67"/>
    </row>
    <row r="18" ht="21.75" customHeight="1" spans="3:10">
      <c r="C18" s="63"/>
      <c r="D18" s="59" t="s">
        <v>46</v>
      </c>
      <c r="E18" s="61"/>
      <c r="F18" s="61"/>
      <c r="G18" s="61"/>
      <c r="H18" s="61"/>
      <c r="I18" s="59" t="s">
        <v>47</v>
      </c>
      <c r="J18" s="67"/>
    </row>
    <row r="19" ht="18" spans="3:10">
      <c r="C19" s="64" t="s">
        <v>48</v>
      </c>
      <c r="D19" s="59" t="s">
        <v>49</v>
      </c>
      <c r="E19" s="61"/>
      <c r="F19" s="61"/>
      <c r="G19" s="61"/>
      <c r="H19" s="61"/>
      <c r="I19" s="59" t="s">
        <v>50</v>
      </c>
      <c r="J19" s="67" t="s">
        <v>51</v>
      </c>
    </row>
    <row r="20" ht="18" spans="3:10">
      <c r="C20" s="64"/>
      <c r="D20" s="59" t="s">
        <v>52</v>
      </c>
      <c r="E20" s="61"/>
      <c r="F20" s="61"/>
      <c r="G20" s="61"/>
      <c r="H20" s="61"/>
      <c r="I20" s="59" t="s">
        <v>53</v>
      </c>
      <c r="J20" s="67"/>
    </row>
    <row r="21" ht="18" spans="3:10">
      <c r="C21" s="64"/>
      <c r="D21" s="59" t="s">
        <v>54</v>
      </c>
      <c r="E21" s="61"/>
      <c r="F21" s="61"/>
      <c r="G21" s="61"/>
      <c r="H21" s="61"/>
      <c r="I21" s="59" t="s">
        <v>55</v>
      </c>
      <c r="J21" s="67"/>
    </row>
    <row r="22" ht="18" spans="3:10">
      <c r="C22" s="64"/>
      <c r="D22" s="59" t="s">
        <v>56</v>
      </c>
      <c r="E22" s="61"/>
      <c r="F22" s="61"/>
      <c r="G22" s="61"/>
      <c r="H22" s="61"/>
      <c r="I22" s="59" t="s">
        <v>57</v>
      </c>
      <c r="J22" s="67"/>
    </row>
    <row r="23" ht="18" spans="3:10">
      <c r="C23" s="64" t="s">
        <v>58</v>
      </c>
      <c r="D23" s="59" t="s">
        <v>59</v>
      </c>
      <c r="E23" s="61"/>
      <c r="F23" s="61"/>
      <c r="G23" s="61"/>
      <c r="H23" s="61"/>
      <c r="I23" s="59" t="s">
        <v>60</v>
      </c>
      <c r="J23" s="67" t="s">
        <v>61</v>
      </c>
    </row>
    <row r="24" ht="18" spans="3:10">
      <c r="C24" s="64"/>
      <c r="D24" s="59" t="s">
        <v>62</v>
      </c>
      <c r="E24" s="61"/>
      <c r="F24" s="61"/>
      <c r="G24" s="61"/>
      <c r="H24" s="61"/>
      <c r="I24" s="59" t="s">
        <v>63</v>
      </c>
      <c r="J24" s="67"/>
    </row>
    <row r="25" ht="18" spans="3:10">
      <c r="C25" s="64"/>
      <c r="D25" s="59" t="s">
        <v>64</v>
      </c>
      <c r="E25" s="61"/>
      <c r="F25" s="61"/>
      <c r="G25" s="61"/>
      <c r="H25" s="61"/>
      <c r="I25" s="59" t="s">
        <v>65</v>
      </c>
      <c r="J25" s="67" t="s">
        <v>66</v>
      </c>
    </row>
    <row r="26" ht="18" spans="3:10">
      <c r="C26" s="62" t="s">
        <v>67</v>
      </c>
      <c r="D26" s="59" t="s">
        <v>68</v>
      </c>
      <c r="E26" s="61"/>
      <c r="F26" s="61"/>
      <c r="G26" s="61"/>
      <c r="H26" s="61"/>
      <c r="I26" s="59" t="s">
        <v>69</v>
      </c>
      <c r="J26" s="67"/>
    </row>
    <row r="27" ht="18" spans="3:10">
      <c r="C27" s="63"/>
      <c r="D27" s="59" t="s">
        <v>70</v>
      </c>
      <c r="E27" s="61"/>
      <c r="F27" s="61"/>
      <c r="G27" s="61"/>
      <c r="H27" s="61"/>
      <c r="I27" s="59" t="s">
        <v>71</v>
      </c>
      <c r="J27" s="68" t="s">
        <v>72</v>
      </c>
    </row>
    <row r="28" ht="18" spans="3:10">
      <c r="C28" s="60" t="s">
        <v>73</v>
      </c>
      <c r="D28" s="59" t="s">
        <v>74</v>
      </c>
      <c r="E28" s="61"/>
      <c r="F28" s="61"/>
      <c r="G28" s="61"/>
      <c r="H28" s="61"/>
      <c r="I28" s="59" t="s">
        <v>75</v>
      </c>
      <c r="J28" s="69"/>
    </row>
    <row r="29" ht="18" spans="3:10">
      <c r="C29" s="62"/>
      <c r="D29" s="59" t="s">
        <v>76</v>
      </c>
      <c r="E29" s="61"/>
      <c r="F29" s="61"/>
      <c r="G29" s="61"/>
      <c r="H29" s="61"/>
      <c r="I29" s="59" t="s">
        <v>77</v>
      </c>
      <c r="J29" s="69"/>
    </row>
    <row r="30" ht="18" spans="3:10">
      <c r="C30" s="62"/>
      <c r="D30" s="59" t="s">
        <v>78</v>
      </c>
      <c r="E30" s="61"/>
      <c r="F30" s="61"/>
      <c r="G30" s="61"/>
      <c r="H30" s="61"/>
      <c r="I30" s="59" t="s">
        <v>79</v>
      </c>
      <c r="J30" s="69"/>
    </row>
    <row r="31" ht="18" spans="3:10">
      <c r="C31" s="62"/>
      <c r="D31" s="59" t="s">
        <v>80</v>
      </c>
      <c r="E31" s="61"/>
      <c r="F31" s="61"/>
      <c r="G31" s="61"/>
      <c r="H31" s="61"/>
      <c r="I31" s="59" t="s">
        <v>81</v>
      </c>
      <c r="J31" s="69"/>
    </row>
    <row r="32" ht="18" spans="3:10">
      <c r="C32" s="62"/>
      <c r="D32" s="59" t="s">
        <v>82</v>
      </c>
      <c r="E32" s="61"/>
      <c r="F32" s="61"/>
      <c r="G32" s="61"/>
      <c r="H32" s="61"/>
      <c r="I32" s="59" t="s">
        <v>83</v>
      </c>
      <c r="J32" s="69"/>
    </row>
    <row r="33" ht="18" spans="3:10">
      <c r="C33" s="62"/>
      <c r="D33" s="59" t="s">
        <v>84</v>
      </c>
      <c r="E33" s="61"/>
      <c r="F33" s="61"/>
      <c r="G33" s="61"/>
      <c r="H33" s="61"/>
      <c r="I33" s="59" t="s">
        <v>85</v>
      </c>
      <c r="J33" s="69"/>
    </row>
    <row r="34" ht="18" spans="3:10">
      <c r="C34" s="62"/>
      <c r="D34" s="59" t="s">
        <v>86</v>
      </c>
      <c r="E34" s="61"/>
      <c r="F34" s="61"/>
      <c r="G34" s="61"/>
      <c r="H34" s="61"/>
      <c r="I34" s="59" t="s">
        <v>87</v>
      </c>
      <c r="J34" s="69"/>
    </row>
    <row r="35" ht="18" spans="3:10">
      <c r="C35" s="62"/>
      <c r="D35" s="59" t="s">
        <v>88</v>
      </c>
      <c r="E35" s="61"/>
      <c r="F35" s="61"/>
      <c r="G35" s="61"/>
      <c r="H35" s="61"/>
      <c r="I35" s="59" t="s">
        <v>89</v>
      </c>
      <c r="J35" s="70"/>
    </row>
    <row r="36" ht="18" spans="3:10">
      <c r="C36" s="64" t="s">
        <v>90</v>
      </c>
      <c r="D36" s="59" t="s">
        <v>91</v>
      </c>
      <c r="E36" s="61"/>
      <c r="F36" s="61"/>
      <c r="G36" s="61"/>
      <c r="H36" s="61"/>
      <c r="I36" s="59" t="s">
        <v>92</v>
      </c>
      <c r="J36" s="68" t="s">
        <v>93</v>
      </c>
    </row>
    <row r="37" ht="18" spans="3:10">
      <c r="C37" s="64"/>
      <c r="D37" s="59" t="s">
        <v>94</v>
      </c>
      <c r="E37" s="61"/>
      <c r="F37" s="61"/>
      <c r="G37" s="61"/>
      <c r="H37" s="61"/>
      <c r="I37" s="59" t="s">
        <v>95</v>
      </c>
      <c r="J37" s="69"/>
    </row>
    <row r="38" ht="18" spans="3:10">
      <c r="C38" s="64"/>
      <c r="D38" s="59" t="s">
        <v>96</v>
      </c>
      <c r="E38" s="61"/>
      <c r="F38" s="61"/>
      <c r="G38" s="61"/>
      <c r="H38" s="61"/>
      <c r="I38" s="59" t="s">
        <v>97</v>
      </c>
      <c r="J38" s="69"/>
    </row>
    <row r="39" ht="18" spans="3:10">
      <c r="C39" s="64" t="s">
        <v>98</v>
      </c>
      <c r="D39" s="59" t="s">
        <v>98</v>
      </c>
      <c r="E39" s="61"/>
      <c r="F39" s="61"/>
      <c r="G39" s="61"/>
      <c r="H39" s="61"/>
      <c r="I39" s="59" t="s">
        <v>99</v>
      </c>
      <c r="J39" s="67" t="s">
        <v>99</v>
      </c>
    </row>
    <row r="40" ht="18" spans="3:10">
      <c r="C40" s="64" t="s">
        <v>100</v>
      </c>
      <c r="D40" s="59" t="s">
        <v>100</v>
      </c>
      <c r="E40" s="61"/>
      <c r="F40" s="61"/>
      <c r="G40" s="61"/>
      <c r="H40" s="61"/>
      <c r="I40" s="59" t="s">
        <v>101</v>
      </c>
      <c r="J40" s="67" t="s">
        <v>101</v>
      </c>
    </row>
    <row r="41" ht="18" spans="3:10">
      <c r="C41" s="64" t="s">
        <v>102</v>
      </c>
      <c r="D41" s="59" t="s">
        <v>103</v>
      </c>
      <c r="E41" s="61"/>
      <c r="F41" s="61"/>
      <c r="G41" s="61"/>
      <c r="H41" s="61"/>
      <c r="I41" s="59" t="s">
        <v>104</v>
      </c>
      <c r="J41" s="69" t="s">
        <v>105</v>
      </c>
    </row>
    <row r="42" ht="18" spans="3:10">
      <c r="C42" s="64"/>
      <c r="D42" s="59" t="s">
        <v>106</v>
      </c>
      <c r="E42" s="61"/>
      <c r="F42" s="61"/>
      <c r="G42" s="61"/>
      <c r="H42" s="61"/>
      <c r="I42" s="59" t="s">
        <v>107</v>
      </c>
      <c r="J42" s="69"/>
    </row>
    <row r="43" ht="18" spans="3:10">
      <c r="C43" s="64"/>
      <c r="D43" s="59" t="s">
        <v>108</v>
      </c>
      <c r="E43" s="61"/>
      <c r="F43" s="61"/>
      <c r="G43" s="61"/>
      <c r="H43" s="61"/>
      <c r="I43" s="59" t="s">
        <v>109</v>
      </c>
      <c r="J43" s="69"/>
    </row>
    <row r="44" ht="18" spans="3:10">
      <c r="C44" s="64"/>
      <c r="D44" s="59" t="s">
        <v>110</v>
      </c>
      <c r="E44" s="61"/>
      <c r="F44" s="61"/>
      <c r="G44" s="61"/>
      <c r="H44" s="61"/>
      <c r="I44" s="59" t="s">
        <v>111</v>
      </c>
      <c r="J44" s="70"/>
    </row>
    <row r="45" ht="18" spans="3:10">
      <c r="C45" s="64" t="s">
        <v>112</v>
      </c>
      <c r="D45" s="59" t="s">
        <v>113</v>
      </c>
      <c r="E45" s="61"/>
      <c r="F45" s="61"/>
      <c r="G45" s="61"/>
      <c r="H45" s="61"/>
      <c r="I45" s="59" t="s">
        <v>114</v>
      </c>
      <c r="J45" s="67" t="s">
        <v>114</v>
      </c>
    </row>
    <row r="46" ht="18" spans="3:10">
      <c r="C46" s="64"/>
      <c r="D46" s="59" t="s">
        <v>115</v>
      </c>
      <c r="E46" s="61"/>
      <c r="F46" s="61"/>
      <c r="G46" s="61"/>
      <c r="H46" s="61"/>
      <c r="I46" s="59" t="s">
        <v>116</v>
      </c>
      <c r="J46" s="67"/>
    </row>
    <row r="47" ht="18" spans="3:10">
      <c r="C47" s="64" t="s">
        <v>117</v>
      </c>
      <c r="D47" s="59" t="s">
        <v>118</v>
      </c>
      <c r="E47" s="61"/>
      <c r="F47" s="61"/>
      <c r="G47" s="61"/>
      <c r="H47" s="61"/>
      <c r="I47" s="59" t="s">
        <v>119</v>
      </c>
      <c r="J47" s="67" t="s">
        <v>119</v>
      </c>
    </row>
    <row r="48" ht="18" spans="3:10">
      <c r="C48" s="64"/>
      <c r="D48" s="59" t="s">
        <v>120</v>
      </c>
      <c r="E48" s="61"/>
      <c r="F48" s="61"/>
      <c r="G48" s="61"/>
      <c r="H48" s="61"/>
      <c r="I48" s="59" t="s">
        <v>121</v>
      </c>
      <c r="J48" s="67"/>
    </row>
    <row r="49" ht="18" spans="3:10">
      <c r="C49" s="64"/>
      <c r="D49" s="59" t="s">
        <v>122</v>
      </c>
      <c r="E49" s="61"/>
      <c r="F49" s="61"/>
      <c r="G49" s="61"/>
      <c r="H49" s="61"/>
      <c r="I49" s="59" t="s">
        <v>123</v>
      </c>
      <c r="J49" s="67"/>
    </row>
    <row r="50" ht="18" spans="3:10">
      <c r="C50" s="64"/>
      <c r="D50" s="59" t="s">
        <v>124</v>
      </c>
      <c r="E50" s="61"/>
      <c r="F50" s="61"/>
      <c r="G50" s="61"/>
      <c r="H50" s="61"/>
      <c r="I50" s="59" t="s">
        <v>125</v>
      </c>
      <c r="J50" s="67"/>
    </row>
    <row r="51" ht="18" spans="3:10">
      <c r="C51" s="64" t="s">
        <v>126</v>
      </c>
      <c r="D51" s="59" t="s">
        <v>126</v>
      </c>
      <c r="E51" s="61"/>
      <c r="F51" s="61"/>
      <c r="G51" s="61"/>
      <c r="H51" s="61"/>
      <c r="I51" s="59" t="s">
        <v>127</v>
      </c>
      <c r="J51" s="67" t="s">
        <v>127</v>
      </c>
    </row>
  </sheetData>
  <mergeCells count="28">
    <mergeCell ref="C2:J2"/>
    <mergeCell ref="C3:J3"/>
    <mergeCell ref="C4:D4"/>
    <mergeCell ref="I4:J4"/>
    <mergeCell ref="E6:F6"/>
    <mergeCell ref="G6:H6"/>
    <mergeCell ref="E7:F7"/>
    <mergeCell ref="G7:H7"/>
    <mergeCell ref="C10:C18"/>
    <mergeCell ref="C19:C22"/>
    <mergeCell ref="C23:C25"/>
    <mergeCell ref="C26:C27"/>
    <mergeCell ref="C28:C35"/>
    <mergeCell ref="C36:C38"/>
    <mergeCell ref="C41:C44"/>
    <mergeCell ref="C45:C46"/>
    <mergeCell ref="C47:C50"/>
    <mergeCell ref="J10:J18"/>
    <mergeCell ref="J19:J22"/>
    <mergeCell ref="J23:J26"/>
    <mergeCell ref="J27:J35"/>
    <mergeCell ref="J36:J38"/>
    <mergeCell ref="J41:J44"/>
    <mergeCell ref="J45:J46"/>
    <mergeCell ref="J47:J50"/>
    <mergeCell ref="C5:D9"/>
    <mergeCell ref="I5:J9"/>
    <mergeCell ref="E4:H5"/>
  </mergeCells>
  <pageMargins left="0.7" right="0.7" top="0.75" bottom="0.75" header="0.3" footer="0.3"/>
  <pageSetup paperSize="1" scale="2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5"/>
  <sheetViews>
    <sheetView zoomScale="60" zoomScaleNormal="60" topLeftCell="D1" workbookViewId="0">
      <selection activeCell="F32" sqref="F32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11" width="24.75" customWidth="1"/>
    <col min="12" max="12" width="23.375" customWidth="1"/>
    <col min="13" max="13" width="36.5" customWidth="1"/>
    <col min="14" max="16" width="15.5" customWidth="1"/>
  </cols>
  <sheetData>
    <row r="1" ht="20.25" spans="1:1">
      <c r="A1" s="17" t="s">
        <v>128</v>
      </c>
    </row>
    <row r="2" s="10" customFormat="1" ht="18" customHeight="1" spans="1:14">
      <c r="A2" s="13" t="s">
        <v>129</v>
      </c>
      <c r="B2" s="13" t="s">
        <v>130</v>
      </c>
      <c r="C2" s="13" t="s">
        <v>131</v>
      </c>
      <c r="D2" s="13" t="s">
        <v>132</v>
      </c>
      <c r="E2" s="13" t="s">
        <v>133</v>
      </c>
      <c r="F2" s="14" t="s">
        <v>134</v>
      </c>
      <c r="G2" s="14" t="s">
        <v>135</v>
      </c>
      <c r="H2" s="14" t="s">
        <v>136</v>
      </c>
      <c r="I2" s="14" t="s">
        <v>137</v>
      </c>
      <c r="J2" s="15" t="s">
        <v>138</v>
      </c>
      <c r="K2" s="15" t="s">
        <v>139</v>
      </c>
      <c r="L2" s="13" t="s">
        <v>140</v>
      </c>
      <c r="M2" s="13" t="s">
        <v>141</v>
      </c>
      <c r="N2" s="13" t="s">
        <v>142</v>
      </c>
    </row>
    <row r="3" s="10" customFormat="1" ht="18" customHeight="1" spans="1:14">
      <c r="A3" s="13" t="s">
        <v>143</v>
      </c>
      <c r="B3" s="13" t="s">
        <v>144</v>
      </c>
      <c r="C3" s="13" t="s">
        <v>145</v>
      </c>
      <c r="D3" s="13" t="s">
        <v>146</v>
      </c>
      <c r="E3" s="13" t="s">
        <v>147</v>
      </c>
      <c r="F3" s="14" t="s">
        <v>18</v>
      </c>
      <c r="G3" s="14" t="s">
        <v>19</v>
      </c>
      <c r="H3" s="14" t="s">
        <v>148</v>
      </c>
      <c r="I3" s="14" t="s">
        <v>149</v>
      </c>
      <c r="J3" s="16" t="s">
        <v>150</v>
      </c>
      <c r="K3" s="15" t="s">
        <v>151</v>
      </c>
      <c r="L3" s="13" t="s">
        <v>152</v>
      </c>
      <c r="M3" s="13" t="s">
        <v>153</v>
      </c>
      <c r="N3" s="13" t="s">
        <v>154</v>
      </c>
    </row>
    <row r="4" ht="13.5" customHeight="1" spans="1:13">
      <c r="A4" s="18" t="s">
        <v>155</v>
      </c>
      <c r="B4" s="18" t="s">
        <v>156</v>
      </c>
      <c r="C4" s="18" t="s">
        <v>157</v>
      </c>
      <c r="D4" s="18" t="s">
        <v>158</v>
      </c>
      <c r="E4" s="18" t="s">
        <v>159</v>
      </c>
      <c r="F4" s="19" t="s">
        <v>29</v>
      </c>
      <c r="G4" s="20" t="s">
        <v>30</v>
      </c>
      <c r="H4" t="str">
        <f>'Source Table'!$H$9</f>
        <v>Male</v>
      </c>
      <c r="I4" t="str">
        <f>'Source Table'!$H$8</f>
        <v>ذكر</v>
      </c>
      <c r="J4" t="str">
        <f>TEXT(M4+1,"0")&amp;"/"&amp;TEXT(M4,"0")</f>
        <v>2023/2022</v>
      </c>
      <c r="K4" t="str">
        <f>TEXT(M4+1,"0")&amp;"/"&amp;TEXT(M4,"0")</f>
        <v>2023/2022</v>
      </c>
      <c r="L4" s="21">
        <v>72601</v>
      </c>
      <c r="M4" s="18">
        <v>2022</v>
      </c>
    </row>
    <row r="5" ht="13.5" customHeight="1" spans="1:13">
      <c r="A5" s="18" t="s">
        <v>155</v>
      </c>
      <c r="B5" s="18" t="s">
        <v>156</v>
      </c>
      <c r="C5" s="18" t="s">
        <v>157</v>
      </c>
      <c r="D5" s="18" t="s">
        <v>158</v>
      </c>
      <c r="E5" s="18" t="s">
        <v>159</v>
      </c>
      <c r="F5" s="19" t="s">
        <v>32</v>
      </c>
      <c r="G5" s="20" t="s">
        <v>33</v>
      </c>
      <c r="H5" t="str">
        <f>'Source Table'!$H$9</f>
        <v>Male</v>
      </c>
      <c r="I5" t="str">
        <f>'Source Table'!$H$8</f>
        <v>ذكر</v>
      </c>
      <c r="J5" t="str">
        <f t="shared" ref="J5:J68" si="0">TEXT(M5+1,"0")&amp;"/"&amp;TEXT(M5,"0")</f>
        <v>2023/2022</v>
      </c>
      <c r="K5" t="str">
        <f t="shared" ref="K5:K68" si="1">TEXT(M5+1,"0")&amp;"/"&amp;TEXT(M5,"0")</f>
        <v>2023/2022</v>
      </c>
      <c r="L5" s="21">
        <v>78785</v>
      </c>
      <c r="M5" s="18">
        <v>2022</v>
      </c>
    </row>
    <row r="6" ht="13.5" customHeight="1" spans="1:13">
      <c r="A6" s="18" t="s">
        <v>155</v>
      </c>
      <c r="B6" s="18" t="s">
        <v>156</v>
      </c>
      <c r="C6" s="18" t="s">
        <v>157</v>
      </c>
      <c r="D6" s="18" t="s">
        <v>158</v>
      </c>
      <c r="E6" s="18" t="s">
        <v>159</v>
      </c>
      <c r="F6" s="19" t="s">
        <v>34</v>
      </c>
      <c r="G6" s="20" t="s">
        <v>35</v>
      </c>
      <c r="H6" t="str">
        <f>'Source Table'!$H$9</f>
        <v>Male</v>
      </c>
      <c r="I6" t="str">
        <f>'Source Table'!$H$8</f>
        <v>ذكر</v>
      </c>
      <c r="J6" t="str">
        <f t="shared" si="0"/>
        <v>2023/2022</v>
      </c>
      <c r="K6" t="str">
        <f t="shared" si="1"/>
        <v>2023/2022</v>
      </c>
      <c r="L6" s="21">
        <v>18642</v>
      </c>
      <c r="M6" s="18">
        <v>2022</v>
      </c>
    </row>
    <row r="7" ht="13.5" customHeight="1" spans="1:13">
      <c r="A7" s="18" t="s">
        <v>155</v>
      </c>
      <c r="B7" s="18" t="s">
        <v>156</v>
      </c>
      <c r="C7" s="18" t="s">
        <v>157</v>
      </c>
      <c r="D7" s="18" t="s">
        <v>158</v>
      </c>
      <c r="E7" s="18" t="s">
        <v>159</v>
      </c>
      <c r="F7" s="19" t="s">
        <v>36</v>
      </c>
      <c r="G7" s="20" t="s">
        <v>37</v>
      </c>
      <c r="H7" t="str">
        <f>'Source Table'!$H$9</f>
        <v>Male</v>
      </c>
      <c r="I7" t="str">
        <f>'Source Table'!$H$8</f>
        <v>ذكر</v>
      </c>
      <c r="J7" t="str">
        <f t="shared" si="0"/>
        <v>2023/2022</v>
      </c>
      <c r="K7" t="str">
        <f t="shared" si="1"/>
        <v>2023/2022</v>
      </c>
      <c r="L7" s="21">
        <v>75907</v>
      </c>
      <c r="M7" s="18">
        <v>2022</v>
      </c>
    </row>
    <row r="8" ht="13.5" customHeight="1" spans="1:13">
      <c r="A8" s="18" t="s">
        <v>155</v>
      </c>
      <c r="B8" s="18" t="s">
        <v>156</v>
      </c>
      <c r="C8" s="18" t="s">
        <v>157</v>
      </c>
      <c r="D8" s="18" t="s">
        <v>158</v>
      </c>
      <c r="E8" s="18" t="s">
        <v>159</v>
      </c>
      <c r="F8" s="19" t="s">
        <v>38</v>
      </c>
      <c r="G8" s="20" t="s">
        <v>39</v>
      </c>
      <c r="H8" t="str">
        <f>'Source Table'!$H$9</f>
        <v>Male</v>
      </c>
      <c r="I8" t="str">
        <f>'Source Table'!$H$8</f>
        <v>ذكر</v>
      </c>
      <c r="J8" t="str">
        <f t="shared" si="0"/>
        <v>2023/2022</v>
      </c>
      <c r="K8" t="str">
        <f t="shared" si="1"/>
        <v>2023/2022</v>
      </c>
      <c r="L8" s="21">
        <v>100654</v>
      </c>
      <c r="M8" s="18">
        <v>2022</v>
      </c>
    </row>
    <row r="9" ht="13.5" customHeight="1" spans="1:13">
      <c r="A9" s="18" t="s">
        <v>155</v>
      </c>
      <c r="B9" s="18" t="s">
        <v>156</v>
      </c>
      <c r="C9" s="18" t="s">
        <v>157</v>
      </c>
      <c r="D9" s="18" t="s">
        <v>158</v>
      </c>
      <c r="E9" s="18" t="s">
        <v>159</v>
      </c>
      <c r="F9" s="19" t="s">
        <v>40</v>
      </c>
      <c r="G9" s="20" t="s">
        <v>41</v>
      </c>
      <c r="H9" t="str">
        <f>'Source Table'!$H$9</f>
        <v>Male</v>
      </c>
      <c r="I9" t="str">
        <f>'Source Table'!$H$8</f>
        <v>ذكر</v>
      </c>
      <c r="J9" t="str">
        <f t="shared" si="0"/>
        <v>2023/2022</v>
      </c>
      <c r="K9" t="str">
        <f t="shared" si="1"/>
        <v>2023/2022</v>
      </c>
      <c r="L9" s="21">
        <v>34442</v>
      </c>
      <c r="M9" s="18">
        <v>2022</v>
      </c>
    </row>
    <row r="10" ht="13.5" customHeight="1" spans="1:13">
      <c r="A10" s="18" t="s">
        <v>155</v>
      </c>
      <c r="B10" s="18" t="s">
        <v>156</v>
      </c>
      <c r="C10" s="18" t="s">
        <v>157</v>
      </c>
      <c r="D10" s="18" t="s">
        <v>158</v>
      </c>
      <c r="E10" s="18" t="s">
        <v>159</v>
      </c>
      <c r="F10" s="19" t="s">
        <v>42</v>
      </c>
      <c r="G10" s="20" t="s">
        <v>43</v>
      </c>
      <c r="H10" t="str">
        <f>'Source Table'!$H$9</f>
        <v>Male</v>
      </c>
      <c r="I10" t="str">
        <f>'Source Table'!$H$8</f>
        <v>ذكر</v>
      </c>
      <c r="J10" t="str">
        <f t="shared" si="0"/>
        <v>2023/2022</v>
      </c>
      <c r="K10" t="str">
        <f t="shared" si="1"/>
        <v>2023/2022</v>
      </c>
      <c r="L10" s="21">
        <v>17268</v>
      </c>
      <c r="M10" s="18">
        <v>2022</v>
      </c>
    </row>
    <row r="11" ht="13.5" customHeight="1" spans="1:13">
      <c r="A11" s="18" t="s">
        <v>155</v>
      </c>
      <c r="B11" s="18" t="s">
        <v>156</v>
      </c>
      <c r="C11" s="18" t="s">
        <v>157</v>
      </c>
      <c r="D11" s="18" t="s">
        <v>158</v>
      </c>
      <c r="E11" s="18" t="s">
        <v>159</v>
      </c>
      <c r="F11" s="19" t="s">
        <v>44</v>
      </c>
      <c r="G11" s="20" t="s">
        <v>45</v>
      </c>
      <c r="H11" t="str">
        <f>'Source Table'!$H$9</f>
        <v>Male</v>
      </c>
      <c r="I11" t="str">
        <f>'Source Table'!$H$8</f>
        <v>ذكر</v>
      </c>
      <c r="J11" t="str">
        <f t="shared" si="0"/>
        <v>2023/2022</v>
      </c>
      <c r="K11" t="str">
        <f t="shared" si="1"/>
        <v>2023/2022</v>
      </c>
      <c r="L11" s="21">
        <v>9720</v>
      </c>
      <c r="M11" s="18">
        <v>2022</v>
      </c>
    </row>
    <row r="12" ht="13.5" customHeight="1" spans="1:13">
      <c r="A12" s="18" t="s">
        <v>155</v>
      </c>
      <c r="B12" s="18" t="s">
        <v>156</v>
      </c>
      <c r="C12" s="18" t="s">
        <v>157</v>
      </c>
      <c r="D12" s="18" t="s">
        <v>158</v>
      </c>
      <c r="E12" s="18" t="s">
        <v>159</v>
      </c>
      <c r="F12" s="19" t="s">
        <v>46</v>
      </c>
      <c r="G12" s="20" t="s">
        <v>47</v>
      </c>
      <c r="H12" t="str">
        <f>'Source Table'!$H$9</f>
        <v>Male</v>
      </c>
      <c r="I12" t="str">
        <f>'Source Table'!$H$8</f>
        <v>ذكر</v>
      </c>
      <c r="J12" t="str">
        <f t="shared" si="0"/>
        <v>2023/2022</v>
      </c>
      <c r="K12" t="str">
        <f t="shared" si="1"/>
        <v>2023/2022</v>
      </c>
      <c r="L12" s="21">
        <v>10571</v>
      </c>
      <c r="M12" s="18">
        <v>2022</v>
      </c>
    </row>
    <row r="13" ht="13.5" customHeight="1" spans="1:13">
      <c r="A13" s="18" t="s">
        <v>155</v>
      </c>
      <c r="B13" s="18" t="s">
        <v>156</v>
      </c>
      <c r="C13" s="18" t="s">
        <v>157</v>
      </c>
      <c r="D13" s="18" t="s">
        <v>158</v>
      </c>
      <c r="E13" s="18" t="s">
        <v>159</v>
      </c>
      <c r="F13" s="19" t="s">
        <v>49</v>
      </c>
      <c r="G13" s="20" t="s">
        <v>50</v>
      </c>
      <c r="H13" t="str">
        <f>'Source Table'!$H$9</f>
        <v>Male</v>
      </c>
      <c r="I13" t="str">
        <f>'Source Table'!$H$8</f>
        <v>ذكر</v>
      </c>
      <c r="J13" t="str">
        <f t="shared" si="0"/>
        <v>2023/2022</v>
      </c>
      <c r="K13" t="str">
        <f t="shared" si="1"/>
        <v>2023/2022</v>
      </c>
      <c r="L13" s="21">
        <v>28166</v>
      </c>
      <c r="M13" s="18">
        <v>2022</v>
      </c>
    </row>
    <row r="14" ht="13.5" customHeight="1" spans="1:13">
      <c r="A14" s="18" t="s">
        <v>155</v>
      </c>
      <c r="B14" s="18" t="s">
        <v>156</v>
      </c>
      <c r="C14" s="18" t="s">
        <v>157</v>
      </c>
      <c r="D14" s="18" t="s">
        <v>158</v>
      </c>
      <c r="E14" s="18" t="s">
        <v>159</v>
      </c>
      <c r="F14" s="19" t="s">
        <v>52</v>
      </c>
      <c r="G14" s="20" t="s">
        <v>53</v>
      </c>
      <c r="H14" t="str">
        <f>'Source Table'!$H$9</f>
        <v>Male</v>
      </c>
      <c r="I14" t="str">
        <f>'Source Table'!$H$8</f>
        <v>ذكر</v>
      </c>
      <c r="J14" t="str">
        <f t="shared" si="0"/>
        <v>2023/2022</v>
      </c>
      <c r="K14" t="str">
        <f t="shared" si="1"/>
        <v>2023/2022</v>
      </c>
      <c r="L14" s="21">
        <v>10144</v>
      </c>
      <c r="M14" s="18">
        <v>2022</v>
      </c>
    </row>
    <row r="15" ht="13.5" customHeight="1" spans="1:13">
      <c r="A15" s="18" t="s">
        <v>155</v>
      </c>
      <c r="B15" s="18" t="s">
        <v>156</v>
      </c>
      <c r="C15" s="18" t="s">
        <v>157</v>
      </c>
      <c r="D15" s="18" t="s">
        <v>158</v>
      </c>
      <c r="E15" s="18" t="s">
        <v>159</v>
      </c>
      <c r="F15" s="19" t="s">
        <v>54</v>
      </c>
      <c r="G15" s="20" t="s">
        <v>55</v>
      </c>
      <c r="H15" t="str">
        <f>'Source Table'!$H$9</f>
        <v>Male</v>
      </c>
      <c r="I15" t="str">
        <f>'Source Table'!$H$8</f>
        <v>ذكر</v>
      </c>
      <c r="J15" t="str">
        <f t="shared" si="0"/>
        <v>2023/2022</v>
      </c>
      <c r="K15" t="str">
        <f t="shared" si="1"/>
        <v>2023/2022</v>
      </c>
      <c r="L15" s="21">
        <v>9215</v>
      </c>
      <c r="M15" s="18">
        <v>2022</v>
      </c>
    </row>
    <row r="16" ht="21.75" spans="1:13">
      <c r="A16" s="18" t="s">
        <v>155</v>
      </c>
      <c r="B16" s="18" t="s">
        <v>156</v>
      </c>
      <c r="C16" s="18" t="s">
        <v>157</v>
      </c>
      <c r="D16" s="18" t="s">
        <v>158</v>
      </c>
      <c r="E16" s="18" t="s">
        <v>159</v>
      </c>
      <c r="F16" s="19" t="s">
        <v>56</v>
      </c>
      <c r="G16" s="20" t="s">
        <v>57</v>
      </c>
      <c r="H16" t="str">
        <f>'Source Table'!$H$9</f>
        <v>Male</v>
      </c>
      <c r="I16" t="str">
        <f>'Source Table'!$H$8</f>
        <v>ذكر</v>
      </c>
      <c r="J16" t="str">
        <f t="shared" si="0"/>
        <v>2023/2022</v>
      </c>
      <c r="K16" t="str">
        <f t="shared" si="1"/>
        <v>2023/2022</v>
      </c>
      <c r="L16" s="21">
        <v>31890</v>
      </c>
      <c r="M16" s="18">
        <v>2022</v>
      </c>
    </row>
    <row r="17" ht="21.75" spans="1:13">
      <c r="A17" s="18" t="s">
        <v>155</v>
      </c>
      <c r="B17" s="18" t="s">
        <v>156</v>
      </c>
      <c r="C17" s="18" t="s">
        <v>157</v>
      </c>
      <c r="D17" s="18" t="s">
        <v>158</v>
      </c>
      <c r="E17" s="18" t="s">
        <v>159</v>
      </c>
      <c r="F17" s="19" t="s">
        <v>59</v>
      </c>
      <c r="G17" s="20" t="s">
        <v>160</v>
      </c>
      <c r="H17" t="str">
        <f>'Source Table'!$H$9</f>
        <v>Male</v>
      </c>
      <c r="I17" t="str">
        <f>'Source Table'!$H$8</f>
        <v>ذكر</v>
      </c>
      <c r="J17" t="str">
        <f t="shared" si="0"/>
        <v>2023/2022</v>
      </c>
      <c r="K17" t="str">
        <f t="shared" si="1"/>
        <v>2023/2022</v>
      </c>
      <c r="L17" s="21">
        <v>72521</v>
      </c>
      <c r="M17" s="18">
        <v>2022</v>
      </c>
    </row>
    <row r="18" ht="21.75" spans="1:13">
      <c r="A18" s="18" t="s">
        <v>155</v>
      </c>
      <c r="B18" s="18" t="s">
        <v>156</v>
      </c>
      <c r="C18" s="18" t="s">
        <v>157</v>
      </c>
      <c r="D18" s="18" t="s">
        <v>158</v>
      </c>
      <c r="E18" s="18" t="s">
        <v>159</v>
      </c>
      <c r="F18" s="19" t="s">
        <v>62</v>
      </c>
      <c r="G18" s="20" t="s">
        <v>161</v>
      </c>
      <c r="H18" t="str">
        <f>'Source Table'!$H$9</f>
        <v>Male</v>
      </c>
      <c r="I18" t="str">
        <f>'Source Table'!$H$8</f>
        <v>ذكر</v>
      </c>
      <c r="J18" t="str">
        <f t="shared" si="0"/>
        <v>2023/2022</v>
      </c>
      <c r="K18" t="str">
        <f t="shared" si="1"/>
        <v>2023/2022</v>
      </c>
      <c r="L18" s="21">
        <v>31662</v>
      </c>
      <c r="M18" s="18">
        <v>2022</v>
      </c>
    </row>
    <row r="19" ht="21.75" spans="1:13">
      <c r="A19" s="18" t="s">
        <v>155</v>
      </c>
      <c r="B19" s="18" t="s">
        <v>156</v>
      </c>
      <c r="C19" s="18" t="s">
        <v>157</v>
      </c>
      <c r="D19" s="18" t="s">
        <v>158</v>
      </c>
      <c r="E19" s="18" t="s">
        <v>159</v>
      </c>
      <c r="F19" s="19" t="s">
        <v>64</v>
      </c>
      <c r="G19" s="20" t="s">
        <v>65</v>
      </c>
      <c r="H19" t="str">
        <f>'Source Table'!$H$9</f>
        <v>Male</v>
      </c>
      <c r="I19" t="str">
        <f>'Source Table'!$H$8</f>
        <v>ذكر</v>
      </c>
      <c r="J19" t="str">
        <f t="shared" si="0"/>
        <v>2023/2022</v>
      </c>
      <c r="K19" t="str">
        <f t="shared" si="1"/>
        <v>2023/2022</v>
      </c>
      <c r="L19" s="21">
        <v>52911</v>
      </c>
      <c r="M19" s="18">
        <v>2022</v>
      </c>
    </row>
    <row r="20" ht="21.75" spans="1:13">
      <c r="A20" s="18" t="s">
        <v>155</v>
      </c>
      <c r="B20" s="18" t="s">
        <v>156</v>
      </c>
      <c r="C20" s="18" t="s">
        <v>157</v>
      </c>
      <c r="D20" s="18" t="s">
        <v>158</v>
      </c>
      <c r="E20" s="18" t="s">
        <v>159</v>
      </c>
      <c r="F20" s="19" t="s">
        <v>68</v>
      </c>
      <c r="G20" s="20" t="s">
        <v>69</v>
      </c>
      <c r="H20" t="str">
        <f>'Source Table'!$H$9</f>
        <v>Male</v>
      </c>
      <c r="I20" t="str">
        <f>'Source Table'!$H$8</f>
        <v>ذكر</v>
      </c>
      <c r="J20" t="str">
        <f t="shared" si="0"/>
        <v>2023/2022</v>
      </c>
      <c r="K20" t="str">
        <f t="shared" si="1"/>
        <v>2023/2022</v>
      </c>
      <c r="L20" s="21">
        <v>25225</v>
      </c>
      <c r="M20" s="18">
        <v>2022</v>
      </c>
    </row>
    <row r="21" ht="21.75" spans="1:13">
      <c r="A21" s="18" t="s">
        <v>155</v>
      </c>
      <c r="B21" s="18" t="s">
        <v>156</v>
      </c>
      <c r="C21" s="18" t="s">
        <v>157</v>
      </c>
      <c r="D21" s="18" t="s">
        <v>158</v>
      </c>
      <c r="E21" s="18" t="s">
        <v>159</v>
      </c>
      <c r="F21" s="19" t="s">
        <v>70</v>
      </c>
      <c r="G21" s="20" t="s">
        <v>71</v>
      </c>
      <c r="H21" t="str">
        <f>'Source Table'!$H$9</f>
        <v>Male</v>
      </c>
      <c r="I21" t="str">
        <f>'Source Table'!$H$8</f>
        <v>ذكر</v>
      </c>
      <c r="J21" t="str">
        <f t="shared" si="0"/>
        <v>2023/2022</v>
      </c>
      <c r="K21" t="str">
        <f t="shared" si="1"/>
        <v>2023/2022</v>
      </c>
      <c r="L21" s="21">
        <v>6140</v>
      </c>
      <c r="M21" s="18">
        <v>2022</v>
      </c>
    </row>
    <row r="22" ht="21.75" spans="1:13">
      <c r="A22" s="18" t="s">
        <v>155</v>
      </c>
      <c r="B22" s="18" t="s">
        <v>156</v>
      </c>
      <c r="C22" s="18" t="s">
        <v>157</v>
      </c>
      <c r="D22" s="18" t="s">
        <v>158</v>
      </c>
      <c r="E22" s="18" t="s">
        <v>159</v>
      </c>
      <c r="F22" s="19" t="s">
        <v>74</v>
      </c>
      <c r="G22" s="20" t="s">
        <v>75</v>
      </c>
      <c r="H22" t="str">
        <f>'Source Table'!$H$9</f>
        <v>Male</v>
      </c>
      <c r="I22" t="str">
        <f>'Source Table'!$H$8</f>
        <v>ذكر</v>
      </c>
      <c r="J22" t="str">
        <f t="shared" si="0"/>
        <v>2023/2022</v>
      </c>
      <c r="K22" t="str">
        <f t="shared" si="1"/>
        <v>2023/2022</v>
      </c>
      <c r="L22" s="21">
        <v>82863</v>
      </c>
      <c r="M22" s="18">
        <v>2022</v>
      </c>
    </row>
    <row r="23" ht="21.75" spans="1:13">
      <c r="A23" s="18" t="s">
        <v>155</v>
      </c>
      <c r="B23" s="18" t="s">
        <v>156</v>
      </c>
      <c r="C23" s="18" t="s">
        <v>157</v>
      </c>
      <c r="D23" s="18" t="s">
        <v>158</v>
      </c>
      <c r="E23" s="18" t="s">
        <v>159</v>
      </c>
      <c r="F23" s="19" t="s">
        <v>76</v>
      </c>
      <c r="G23" s="20" t="s">
        <v>77</v>
      </c>
      <c r="H23" t="str">
        <f>'Source Table'!$H$9</f>
        <v>Male</v>
      </c>
      <c r="I23" t="str">
        <f>'Source Table'!$H$8</f>
        <v>ذكر</v>
      </c>
      <c r="J23" t="str">
        <f t="shared" si="0"/>
        <v>2023/2022</v>
      </c>
      <c r="K23" t="str">
        <f t="shared" si="1"/>
        <v>2023/2022</v>
      </c>
      <c r="L23" s="21">
        <v>28607</v>
      </c>
      <c r="M23" s="18">
        <v>2022</v>
      </c>
    </row>
    <row r="24" ht="21.75" spans="1:13">
      <c r="A24" s="18" t="s">
        <v>155</v>
      </c>
      <c r="B24" s="18" t="s">
        <v>156</v>
      </c>
      <c r="C24" s="18" t="s">
        <v>157</v>
      </c>
      <c r="D24" s="18" t="s">
        <v>158</v>
      </c>
      <c r="E24" s="18" t="s">
        <v>159</v>
      </c>
      <c r="F24" s="19" t="s">
        <v>78</v>
      </c>
      <c r="G24" s="20" t="s">
        <v>79</v>
      </c>
      <c r="H24" t="str">
        <f>'Source Table'!$H$9</f>
        <v>Male</v>
      </c>
      <c r="I24" t="str">
        <f>'Source Table'!$H$8</f>
        <v>ذكر</v>
      </c>
      <c r="J24" t="str">
        <f t="shared" si="0"/>
        <v>2023/2022</v>
      </c>
      <c r="K24" t="str">
        <f t="shared" si="1"/>
        <v>2023/2022</v>
      </c>
      <c r="L24" s="21">
        <v>9493</v>
      </c>
      <c r="M24" s="18">
        <v>2022</v>
      </c>
    </row>
    <row r="25" ht="21.75" spans="1:13">
      <c r="A25" s="18" t="s">
        <v>155</v>
      </c>
      <c r="B25" s="18" t="s">
        <v>156</v>
      </c>
      <c r="C25" s="18" t="s">
        <v>157</v>
      </c>
      <c r="D25" s="18" t="s">
        <v>158</v>
      </c>
      <c r="E25" s="18" t="s">
        <v>159</v>
      </c>
      <c r="F25" s="19" t="s">
        <v>80</v>
      </c>
      <c r="G25" s="20" t="s">
        <v>81</v>
      </c>
      <c r="H25" t="str">
        <f>'Source Table'!$H$9</f>
        <v>Male</v>
      </c>
      <c r="I25" t="str">
        <f>'Source Table'!$H$8</f>
        <v>ذكر</v>
      </c>
      <c r="J25" t="str">
        <f t="shared" si="0"/>
        <v>2023/2022</v>
      </c>
      <c r="K25" t="str">
        <f t="shared" si="1"/>
        <v>2023/2022</v>
      </c>
      <c r="L25" s="21">
        <v>11069</v>
      </c>
      <c r="M25" s="18">
        <v>2022</v>
      </c>
    </row>
    <row r="26" ht="21.75" spans="1:13">
      <c r="A26" s="18" t="s">
        <v>155</v>
      </c>
      <c r="B26" s="18" t="s">
        <v>156</v>
      </c>
      <c r="C26" s="18" t="s">
        <v>157</v>
      </c>
      <c r="D26" s="18" t="s">
        <v>158</v>
      </c>
      <c r="E26" s="18" t="s">
        <v>159</v>
      </c>
      <c r="F26" s="19" t="s">
        <v>82</v>
      </c>
      <c r="G26" s="20" t="s">
        <v>83</v>
      </c>
      <c r="H26" t="str">
        <f>'Source Table'!$H$9</f>
        <v>Male</v>
      </c>
      <c r="I26" t="str">
        <f>'Source Table'!$H$8</f>
        <v>ذكر</v>
      </c>
      <c r="J26" t="str">
        <f t="shared" si="0"/>
        <v>2023/2022</v>
      </c>
      <c r="K26" t="str">
        <f t="shared" si="1"/>
        <v>2023/2022</v>
      </c>
      <c r="L26" s="21">
        <v>19431</v>
      </c>
      <c r="M26" s="18">
        <v>2022</v>
      </c>
    </row>
    <row r="27" ht="21.75" spans="1:13">
      <c r="A27" s="18" t="s">
        <v>155</v>
      </c>
      <c r="B27" s="18" t="s">
        <v>156</v>
      </c>
      <c r="C27" s="18" t="s">
        <v>157</v>
      </c>
      <c r="D27" s="18" t="s">
        <v>158</v>
      </c>
      <c r="E27" s="18" t="s">
        <v>159</v>
      </c>
      <c r="F27" s="19" t="s">
        <v>84</v>
      </c>
      <c r="G27" s="20" t="s">
        <v>85</v>
      </c>
      <c r="H27" t="str">
        <f>'Source Table'!$H$9</f>
        <v>Male</v>
      </c>
      <c r="I27" t="str">
        <f>'Source Table'!$H$8</f>
        <v>ذكر</v>
      </c>
      <c r="J27" t="str">
        <f t="shared" si="0"/>
        <v>2023/2022</v>
      </c>
      <c r="K27" t="str">
        <f t="shared" si="1"/>
        <v>2023/2022</v>
      </c>
      <c r="L27" s="21">
        <v>15717</v>
      </c>
      <c r="M27" s="18">
        <v>2022</v>
      </c>
    </row>
    <row r="28" ht="21.75" spans="1:13">
      <c r="A28" s="18" t="s">
        <v>155</v>
      </c>
      <c r="B28" s="18" t="s">
        <v>156</v>
      </c>
      <c r="C28" s="18" t="s">
        <v>157</v>
      </c>
      <c r="D28" s="18" t="s">
        <v>158</v>
      </c>
      <c r="E28" s="18" t="s">
        <v>159</v>
      </c>
      <c r="F28" s="19" t="s">
        <v>86</v>
      </c>
      <c r="G28" s="20" t="s">
        <v>87</v>
      </c>
      <c r="H28" t="str">
        <f>'Source Table'!$H$9</f>
        <v>Male</v>
      </c>
      <c r="I28" t="str">
        <f>'Source Table'!$H$8</f>
        <v>ذكر</v>
      </c>
      <c r="J28" t="str">
        <f t="shared" si="0"/>
        <v>2023/2022</v>
      </c>
      <c r="K28" t="str">
        <f t="shared" si="1"/>
        <v>2023/2022</v>
      </c>
      <c r="L28" s="21">
        <v>15828</v>
      </c>
      <c r="M28" s="18">
        <v>2022</v>
      </c>
    </row>
    <row r="29" ht="21.75" spans="1:13">
      <c r="A29" s="18" t="s">
        <v>155</v>
      </c>
      <c r="B29" s="18" t="s">
        <v>156</v>
      </c>
      <c r="C29" s="18" t="s">
        <v>157</v>
      </c>
      <c r="D29" s="18" t="s">
        <v>158</v>
      </c>
      <c r="E29" s="18" t="s">
        <v>159</v>
      </c>
      <c r="F29" s="19" t="s">
        <v>88</v>
      </c>
      <c r="G29" s="20" t="s">
        <v>89</v>
      </c>
      <c r="H29" t="str">
        <f>'Source Table'!$H$9</f>
        <v>Male</v>
      </c>
      <c r="I29" t="str">
        <f>'Source Table'!$H$8</f>
        <v>ذكر</v>
      </c>
      <c r="J29" t="str">
        <f t="shared" si="0"/>
        <v>2023/2022</v>
      </c>
      <c r="K29" t="str">
        <f t="shared" si="1"/>
        <v>2023/2022</v>
      </c>
      <c r="L29" s="21">
        <v>28751</v>
      </c>
      <c r="M29" s="18">
        <v>2022</v>
      </c>
    </row>
    <row r="30" ht="21.75" spans="1:13">
      <c r="A30" s="18" t="s">
        <v>155</v>
      </c>
      <c r="B30" s="18" t="s">
        <v>156</v>
      </c>
      <c r="C30" s="18" t="s">
        <v>157</v>
      </c>
      <c r="D30" s="18" t="s">
        <v>158</v>
      </c>
      <c r="E30" s="18" t="s">
        <v>159</v>
      </c>
      <c r="F30" s="19" t="s">
        <v>91</v>
      </c>
      <c r="G30" s="20" t="s">
        <v>92</v>
      </c>
      <c r="H30" t="str">
        <f>'Source Table'!$H$9</f>
        <v>Male</v>
      </c>
      <c r="I30" t="str">
        <f>'Source Table'!$H$8</f>
        <v>ذكر</v>
      </c>
      <c r="J30" t="str">
        <f t="shared" si="0"/>
        <v>2023/2022</v>
      </c>
      <c r="K30" t="str">
        <f t="shared" si="1"/>
        <v>2023/2022</v>
      </c>
      <c r="L30" s="21">
        <v>29017</v>
      </c>
      <c r="M30" s="18">
        <v>2022</v>
      </c>
    </row>
    <row r="31" ht="21.75" spans="1:13">
      <c r="A31" s="18" t="s">
        <v>155</v>
      </c>
      <c r="B31" s="18" t="s">
        <v>156</v>
      </c>
      <c r="C31" s="18" t="s">
        <v>157</v>
      </c>
      <c r="D31" s="18" t="s">
        <v>158</v>
      </c>
      <c r="E31" s="18" t="s">
        <v>159</v>
      </c>
      <c r="F31" s="19" t="s">
        <v>94</v>
      </c>
      <c r="G31" s="20" t="s">
        <v>95</v>
      </c>
      <c r="H31" t="str">
        <f>'Source Table'!$H$9</f>
        <v>Male</v>
      </c>
      <c r="I31" t="str">
        <f>'Source Table'!$H$8</f>
        <v>ذكر</v>
      </c>
      <c r="J31" t="str">
        <f t="shared" si="0"/>
        <v>2023/2022</v>
      </c>
      <c r="K31" t="str">
        <f t="shared" si="1"/>
        <v>2023/2022</v>
      </c>
      <c r="L31" s="21">
        <v>19366</v>
      </c>
      <c r="M31" s="18">
        <v>2022</v>
      </c>
    </row>
    <row r="32" ht="21.75" spans="1:13">
      <c r="A32" s="18" t="s">
        <v>155</v>
      </c>
      <c r="B32" s="18" t="s">
        <v>156</v>
      </c>
      <c r="C32" s="18" t="s">
        <v>157</v>
      </c>
      <c r="D32" s="18" t="s">
        <v>158</v>
      </c>
      <c r="E32" s="18" t="s">
        <v>159</v>
      </c>
      <c r="F32" s="19" t="s">
        <v>96</v>
      </c>
      <c r="G32" s="20" t="s">
        <v>97</v>
      </c>
      <c r="H32" t="str">
        <f>'Source Table'!$H$9</f>
        <v>Male</v>
      </c>
      <c r="I32" t="str">
        <f>'Source Table'!$H$8</f>
        <v>ذكر</v>
      </c>
      <c r="J32" t="str">
        <f t="shared" si="0"/>
        <v>2023/2022</v>
      </c>
      <c r="K32" t="str">
        <f t="shared" si="1"/>
        <v>2023/2022</v>
      </c>
      <c r="L32" s="21">
        <v>33326</v>
      </c>
      <c r="M32" s="18">
        <v>2022</v>
      </c>
    </row>
    <row r="33" ht="21.75" spans="1:13">
      <c r="A33" s="18" t="s">
        <v>155</v>
      </c>
      <c r="B33" s="18" t="s">
        <v>156</v>
      </c>
      <c r="C33" s="18" t="s">
        <v>157</v>
      </c>
      <c r="D33" s="18" t="s">
        <v>158</v>
      </c>
      <c r="E33" s="18" t="s">
        <v>159</v>
      </c>
      <c r="F33" s="19" t="s">
        <v>98</v>
      </c>
      <c r="G33" s="20" t="s">
        <v>99</v>
      </c>
      <c r="H33" t="str">
        <f>'Source Table'!$H$9</f>
        <v>Male</v>
      </c>
      <c r="I33" t="str">
        <f>'Source Table'!$H$8</f>
        <v>ذكر</v>
      </c>
      <c r="J33" t="str">
        <f t="shared" si="0"/>
        <v>2023/2022</v>
      </c>
      <c r="K33" t="str">
        <f t="shared" si="1"/>
        <v>2023/2022</v>
      </c>
      <c r="L33" s="22">
        <v>34841</v>
      </c>
      <c r="M33" s="18">
        <v>2022</v>
      </c>
    </row>
    <row r="34" ht="21.75" spans="1:13">
      <c r="A34" s="18" t="s">
        <v>155</v>
      </c>
      <c r="B34" s="18" t="s">
        <v>156</v>
      </c>
      <c r="C34" s="18" t="s">
        <v>157</v>
      </c>
      <c r="D34" s="18" t="s">
        <v>158</v>
      </c>
      <c r="E34" s="18" t="s">
        <v>159</v>
      </c>
      <c r="F34" s="19" t="s">
        <v>100</v>
      </c>
      <c r="G34" s="20" t="s">
        <v>101</v>
      </c>
      <c r="H34" t="str">
        <f>'Source Table'!$H$9</f>
        <v>Male</v>
      </c>
      <c r="I34" t="str">
        <f>'Source Table'!$H$8</f>
        <v>ذكر</v>
      </c>
      <c r="J34" t="str">
        <f t="shared" si="0"/>
        <v>2023/2022</v>
      </c>
      <c r="K34" t="str">
        <f t="shared" si="1"/>
        <v>2023/2022</v>
      </c>
      <c r="L34" s="22">
        <v>25803</v>
      </c>
      <c r="M34" s="18">
        <v>2022</v>
      </c>
    </row>
    <row r="35" ht="21.75" spans="1:13">
      <c r="A35" s="18" t="s">
        <v>155</v>
      </c>
      <c r="B35" s="18" t="s">
        <v>156</v>
      </c>
      <c r="C35" s="18" t="s">
        <v>157</v>
      </c>
      <c r="D35" s="18" t="s">
        <v>158</v>
      </c>
      <c r="E35" s="18" t="s">
        <v>159</v>
      </c>
      <c r="F35" s="19" t="s">
        <v>103</v>
      </c>
      <c r="G35" s="20" t="s">
        <v>104</v>
      </c>
      <c r="H35" t="str">
        <f>'Source Table'!$H$9</f>
        <v>Male</v>
      </c>
      <c r="I35" t="str">
        <f>'Source Table'!$H$8</f>
        <v>ذكر</v>
      </c>
      <c r="J35" t="str">
        <f t="shared" si="0"/>
        <v>2023/2022</v>
      </c>
      <c r="K35" t="str">
        <f t="shared" si="1"/>
        <v>2023/2022</v>
      </c>
      <c r="L35" s="21">
        <v>16363</v>
      </c>
      <c r="M35" s="18">
        <v>2022</v>
      </c>
    </row>
    <row r="36" ht="21.75" spans="1:13">
      <c r="A36" s="18" t="s">
        <v>155</v>
      </c>
      <c r="B36" s="18" t="s">
        <v>156</v>
      </c>
      <c r="C36" s="18" t="s">
        <v>157</v>
      </c>
      <c r="D36" s="18" t="s">
        <v>158</v>
      </c>
      <c r="E36" s="18" t="s">
        <v>159</v>
      </c>
      <c r="F36" s="19" t="s">
        <v>106</v>
      </c>
      <c r="G36" s="20" t="s">
        <v>107</v>
      </c>
      <c r="H36" t="str">
        <f>'Source Table'!$H$9</f>
        <v>Male</v>
      </c>
      <c r="I36" t="str">
        <f>'Source Table'!$H$8</f>
        <v>ذكر</v>
      </c>
      <c r="J36" t="str">
        <f t="shared" si="0"/>
        <v>2023/2022</v>
      </c>
      <c r="K36" t="str">
        <f t="shared" si="1"/>
        <v>2023/2022</v>
      </c>
      <c r="L36" s="21">
        <v>12715</v>
      </c>
      <c r="M36" s="18">
        <v>2022</v>
      </c>
    </row>
    <row r="37" ht="21.75" spans="1:13">
      <c r="A37" s="18" t="s">
        <v>155</v>
      </c>
      <c r="B37" s="18" t="s">
        <v>156</v>
      </c>
      <c r="C37" s="18" t="s">
        <v>157</v>
      </c>
      <c r="D37" s="18" t="s">
        <v>158</v>
      </c>
      <c r="E37" s="18" t="s">
        <v>159</v>
      </c>
      <c r="F37" s="19" t="s">
        <v>108</v>
      </c>
      <c r="G37" s="20" t="s">
        <v>109</v>
      </c>
      <c r="H37" t="str">
        <f>'Source Table'!$H$9</f>
        <v>Male</v>
      </c>
      <c r="I37" t="str">
        <f>'Source Table'!$H$8</f>
        <v>ذكر</v>
      </c>
      <c r="J37" t="str">
        <f t="shared" si="0"/>
        <v>2023/2022</v>
      </c>
      <c r="K37" t="str">
        <f t="shared" si="1"/>
        <v>2023/2022</v>
      </c>
      <c r="L37" s="21">
        <v>7319</v>
      </c>
      <c r="M37" s="18">
        <v>2022</v>
      </c>
    </row>
    <row r="38" ht="21.75" spans="1:13">
      <c r="A38" s="18" t="s">
        <v>155</v>
      </c>
      <c r="B38" s="18" t="s">
        <v>156</v>
      </c>
      <c r="C38" s="18" t="s">
        <v>157</v>
      </c>
      <c r="D38" s="18" t="s">
        <v>158</v>
      </c>
      <c r="E38" s="18" t="s">
        <v>159</v>
      </c>
      <c r="F38" s="19" t="s">
        <v>110</v>
      </c>
      <c r="G38" s="20" t="s">
        <v>111</v>
      </c>
      <c r="H38" t="str">
        <f>'Source Table'!$H$9</f>
        <v>Male</v>
      </c>
      <c r="I38" t="str">
        <f>'Source Table'!$H$8</f>
        <v>ذكر</v>
      </c>
      <c r="J38" t="str">
        <f t="shared" si="0"/>
        <v>2023/2022</v>
      </c>
      <c r="K38" t="str">
        <f t="shared" si="1"/>
        <v>2023/2022</v>
      </c>
      <c r="L38" s="21">
        <v>8956</v>
      </c>
      <c r="M38" s="18">
        <v>2022</v>
      </c>
    </row>
    <row r="39" ht="21.75" spans="1:13">
      <c r="A39" s="18" t="s">
        <v>155</v>
      </c>
      <c r="B39" s="18" t="s">
        <v>156</v>
      </c>
      <c r="C39" s="18" t="s">
        <v>157</v>
      </c>
      <c r="D39" s="18" t="s">
        <v>158</v>
      </c>
      <c r="E39" s="18" t="s">
        <v>159</v>
      </c>
      <c r="F39" s="19" t="s">
        <v>113</v>
      </c>
      <c r="G39" s="20" t="s">
        <v>114</v>
      </c>
      <c r="H39" t="str">
        <f>'Source Table'!$H$9</f>
        <v>Male</v>
      </c>
      <c r="I39" t="str">
        <f>'Source Table'!$H$8</f>
        <v>ذكر</v>
      </c>
      <c r="J39" t="str">
        <f t="shared" si="0"/>
        <v>2023/2022</v>
      </c>
      <c r="K39" t="str">
        <f t="shared" si="1"/>
        <v>2023/2022</v>
      </c>
      <c r="L39" s="21">
        <v>11810</v>
      </c>
      <c r="M39" s="18">
        <v>2022</v>
      </c>
    </row>
    <row r="40" ht="21.75" spans="1:13">
      <c r="A40" s="18" t="s">
        <v>155</v>
      </c>
      <c r="B40" s="18" t="s">
        <v>156</v>
      </c>
      <c r="C40" s="18" t="s">
        <v>157</v>
      </c>
      <c r="D40" s="18" t="s">
        <v>158</v>
      </c>
      <c r="E40" s="18" t="s">
        <v>159</v>
      </c>
      <c r="F40" s="19" t="s">
        <v>115</v>
      </c>
      <c r="G40" s="20" t="s">
        <v>116</v>
      </c>
      <c r="H40" t="str">
        <f>'Source Table'!$H$9</f>
        <v>Male</v>
      </c>
      <c r="I40" t="str">
        <f>'Source Table'!$H$8</f>
        <v>ذكر</v>
      </c>
      <c r="J40" t="str">
        <f t="shared" si="0"/>
        <v>2023/2022</v>
      </c>
      <c r="K40" t="str">
        <f t="shared" si="1"/>
        <v>2023/2022</v>
      </c>
      <c r="L40" s="21">
        <v>4480</v>
      </c>
      <c r="M40" s="18">
        <v>2022</v>
      </c>
    </row>
    <row r="41" ht="21.75" spans="1:13">
      <c r="A41" s="18" t="s">
        <v>155</v>
      </c>
      <c r="B41" s="18" t="s">
        <v>156</v>
      </c>
      <c r="C41" s="18" t="s">
        <v>157</v>
      </c>
      <c r="D41" s="18" t="s">
        <v>158</v>
      </c>
      <c r="E41" s="18" t="s">
        <v>159</v>
      </c>
      <c r="F41" s="19" t="s">
        <v>118</v>
      </c>
      <c r="G41" s="20" t="s">
        <v>119</v>
      </c>
      <c r="H41" t="str">
        <f>'Source Table'!$H$9</f>
        <v>Male</v>
      </c>
      <c r="I41" t="str">
        <f>'Source Table'!$H$8</f>
        <v>ذكر</v>
      </c>
      <c r="J41" t="str">
        <f t="shared" si="0"/>
        <v>2023/2022</v>
      </c>
      <c r="K41" t="str">
        <f t="shared" si="1"/>
        <v>2023/2022</v>
      </c>
      <c r="L41" s="21">
        <v>7359</v>
      </c>
      <c r="M41" s="18">
        <v>2022</v>
      </c>
    </row>
    <row r="42" ht="21.75" spans="1:13">
      <c r="A42" s="18" t="s">
        <v>155</v>
      </c>
      <c r="B42" s="18" t="s">
        <v>156</v>
      </c>
      <c r="C42" s="18" t="s">
        <v>157</v>
      </c>
      <c r="D42" s="18" t="s">
        <v>158</v>
      </c>
      <c r="E42" s="18" t="s">
        <v>159</v>
      </c>
      <c r="F42" s="19" t="s">
        <v>120</v>
      </c>
      <c r="G42" s="20" t="s">
        <v>121</v>
      </c>
      <c r="H42" t="str">
        <f>'Source Table'!$H$9</f>
        <v>Male</v>
      </c>
      <c r="I42" t="str">
        <f>'Source Table'!$H$8</f>
        <v>ذكر</v>
      </c>
      <c r="J42" t="str">
        <f t="shared" si="0"/>
        <v>2023/2022</v>
      </c>
      <c r="K42" t="str">
        <f t="shared" si="1"/>
        <v>2023/2022</v>
      </c>
      <c r="L42" s="21">
        <v>8926</v>
      </c>
      <c r="M42" s="18">
        <v>2022</v>
      </c>
    </row>
    <row r="43" ht="21.75" spans="1:13">
      <c r="A43" s="18" t="s">
        <v>155</v>
      </c>
      <c r="B43" s="18" t="s">
        <v>156</v>
      </c>
      <c r="C43" s="18" t="s">
        <v>157</v>
      </c>
      <c r="D43" s="18" t="s">
        <v>158</v>
      </c>
      <c r="E43" s="18" t="s">
        <v>159</v>
      </c>
      <c r="F43" s="19" t="s">
        <v>122</v>
      </c>
      <c r="G43" s="20" t="s">
        <v>123</v>
      </c>
      <c r="H43" t="str">
        <f>'Source Table'!$H$9</f>
        <v>Male</v>
      </c>
      <c r="I43" t="str">
        <f>'Source Table'!$H$8</f>
        <v>ذكر</v>
      </c>
      <c r="J43" t="str">
        <f t="shared" si="0"/>
        <v>2023/2022</v>
      </c>
      <c r="K43" t="str">
        <f t="shared" si="1"/>
        <v>2023/2022</v>
      </c>
      <c r="L43" s="21">
        <v>5056</v>
      </c>
      <c r="M43" s="18">
        <v>2022</v>
      </c>
    </row>
    <row r="44" ht="21.75" spans="1:13">
      <c r="A44" s="18" t="s">
        <v>155</v>
      </c>
      <c r="B44" s="18" t="s">
        <v>156</v>
      </c>
      <c r="C44" s="18" t="s">
        <v>157</v>
      </c>
      <c r="D44" s="18" t="s">
        <v>158</v>
      </c>
      <c r="E44" s="18" t="s">
        <v>159</v>
      </c>
      <c r="F44" s="19" t="s">
        <v>124</v>
      </c>
      <c r="G44" s="20" t="s">
        <v>125</v>
      </c>
      <c r="H44" t="str">
        <f>'Source Table'!$H$9</f>
        <v>Male</v>
      </c>
      <c r="I44" t="str">
        <f>'Source Table'!$H$8</f>
        <v>ذكر</v>
      </c>
      <c r="J44" t="str">
        <f t="shared" si="0"/>
        <v>2023/2022</v>
      </c>
      <c r="K44" t="str">
        <f t="shared" si="1"/>
        <v>2023/2022</v>
      </c>
      <c r="L44" s="21">
        <v>1954</v>
      </c>
      <c r="M44" s="18">
        <v>2022</v>
      </c>
    </row>
    <row r="45" ht="21.75" spans="1:13">
      <c r="A45" s="18" t="s">
        <v>155</v>
      </c>
      <c r="B45" s="18" t="s">
        <v>156</v>
      </c>
      <c r="C45" s="18" t="s">
        <v>157</v>
      </c>
      <c r="D45" s="18" t="s">
        <v>158</v>
      </c>
      <c r="E45" s="18" t="s">
        <v>159</v>
      </c>
      <c r="F45" s="19" t="s">
        <v>126</v>
      </c>
      <c r="G45" s="20" t="s">
        <v>127</v>
      </c>
      <c r="H45" t="str">
        <f>'Source Table'!$H$9</f>
        <v>Male</v>
      </c>
      <c r="I45" t="str">
        <f>'Source Table'!$H$8</f>
        <v>ذكر</v>
      </c>
      <c r="J45" t="str">
        <f t="shared" si="0"/>
        <v>2023/2022</v>
      </c>
      <c r="K45" t="str">
        <f t="shared" si="1"/>
        <v>2023/2022</v>
      </c>
      <c r="L45" s="22">
        <v>27630</v>
      </c>
      <c r="M45" s="18">
        <v>2022</v>
      </c>
    </row>
    <row r="46" ht="21.75" spans="1:13">
      <c r="A46" s="18" t="s">
        <v>155</v>
      </c>
      <c r="B46" s="18" t="s">
        <v>156</v>
      </c>
      <c r="C46" s="18" t="s">
        <v>157</v>
      </c>
      <c r="D46" s="18" t="s">
        <v>158</v>
      </c>
      <c r="E46" s="18" t="s">
        <v>159</v>
      </c>
      <c r="F46" s="19" t="s">
        <v>29</v>
      </c>
      <c r="G46" s="20" t="s">
        <v>30</v>
      </c>
      <c r="H46" t="str">
        <f>'Source Table'!$G$9</f>
        <v>Female</v>
      </c>
      <c r="I46" t="str">
        <f>'Source Table'!$G$8</f>
        <v>أنثى</v>
      </c>
      <c r="J46" t="str">
        <f t="shared" si="0"/>
        <v>2023/2022</v>
      </c>
      <c r="K46" t="str">
        <f t="shared" si="1"/>
        <v>2023/2022</v>
      </c>
      <c r="L46" s="21">
        <v>75957</v>
      </c>
      <c r="M46" s="18">
        <v>2022</v>
      </c>
    </row>
    <row r="47" ht="21.75" spans="1:13">
      <c r="A47" s="18" t="s">
        <v>155</v>
      </c>
      <c r="B47" s="18" t="s">
        <v>156</v>
      </c>
      <c r="C47" s="18" t="s">
        <v>157</v>
      </c>
      <c r="D47" s="18" t="s">
        <v>158</v>
      </c>
      <c r="E47" s="18" t="s">
        <v>159</v>
      </c>
      <c r="F47" s="19" t="s">
        <v>32</v>
      </c>
      <c r="G47" s="20" t="s">
        <v>33</v>
      </c>
      <c r="H47" t="str">
        <f>'Source Table'!$G$9</f>
        <v>Female</v>
      </c>
      <c r="I47" t="str">
        <f>'Source Table'!$G$8</f>
        <v>أنثى</v>
      </c>
      <c r="J47" t="str">
        <f t="shared" si="0"/>
        <v>2023/2022</v>
      </c>
      <c r="K47" t="str">
        <f t="shared" si="1"/>
        <v>2023/2022</v>
      </c>
      <c r="L47" s="21">
        <v>75145</v>
      </c>
      <c r="M47" s="18">
        <v>2022</v>
      </c>
    </row>
    <row r="48" ht="21.75" spans="1:13">
      <c r="A48" s="18" t="s">
        <v>155</v>
      </c>
      <c r="B48" s="18" t="s">
        <v>156</v>
      </c>
      <c r="C48" s="18" t="s">
        <v>157</v>
      </c>
      <c r="D48" s="18" t="s">
        <v>158</v>
      </c>
      <c r="E48" s="18" t="s">
        <v>159</v>
      </c>
      <c r="F48" s="19" t="s">
        <v>34</v>
      </c>
      <c r="G48" s="20" t="s">
        <v>35</v>
      </c>
      <c r="H48" t="str">
        <f>'Source Table'!$G$9</f>
        <v>Female</v>
      </c>
      <c r="I48" t="str">
        <f>'Source Table'!$G$8</f>
        <v>أنثى</v>
      </c>
      <c r="J48" t="str">
        <f t="shared" si="0"/>
        <v>2023/2022</v>
      </c>
      <c r="K48" t="str">
        <f t="shared" si="1"/>
        <v>2023/2022</v>
      </c>
      <c r="L48" s="21">
        <v>17787</v>
      </c>
      <c r="M48" s="18">
        <v>2022</v>
      </c>
    </row>
    <row r="49" ht="21.75" spans="1:13">
      <c r="A49" s="18" t="s">
        <v>155</v>
      </c>
      <c r="B49" s="18" t="s">
        <v>156</v>
      </c>
      <c r="C49" s="18" t="s">
        <v>157</v>
      </c>
      <c r="D49" s="18" t="s">
        <v>158</v>
      </c>
      <c r="E49" s="18" t="s">
        <v>159</v>
      </c>
      <c r="F49" s="19" t="s">
        <v>36</v>
      </c>
      <c r="G49" s="20" t="s">
        <v>37</v>
      </c>
      <c r="H49" t="str">
        <f>'Source Table'!$G$9</f>
        <v>Female</v>
      </c>
      <c r="I49" t="str">
        <f>'Source Table'!$G$8</f>
        <v>أنثى</v>
      </c>
      <c r="J49" t="str">
        <f t="shared" si="0"/>
        <v>2023/2022</v>
      </c>
      <c r="K49" t="str">
        <f t="shared" si="1"/>
        <v>2023/2022</v>
      </c>
      <c r="L49" s="21">
        <v>75605</v>
      </c>
      <c r="M49" s="18">
        <v>2022</v>
      </c>
    </row>
    <row r="50" ht="21.75" spans="1:13">
      <c r="A50" s="18" t="s">
        <v>155</v>
      </c>
      <c r="B50" s="18" t="s">
        <v>156</v>
      </c>
      <c r="C50" s="18" t="s">
        <v>157</v>
      </c>
      <c r="D50" s="18" t="s">
        <v>158</v>
      </c>
      <c r="E50" s="18" t="s">
        <v>159</v>
      </c>
      <c r="F50" s="19" t="s">
        <v>38</v>
      </c>
      <c r="G50" s="20" t="s">
        <v>39</v>
      </c>
      <c r="H50" t="str">
        <f>'Source Table'!$G$9</f>
        <v>Female</v>
      </c>
      <c r="I50" t="str">
        <f>'Source Table'!$G$8</f>
        <v>أنثى</v>
      </c>
      <c r="J50" t="str">
        <f t="shared" si="0"/>
        <v>2023/2022</v>
      </c>
      <c r="K50" t="str">
        <f t="shared" si="1"/>
        <v>2023/2022</v>
      </c>
      <c r="L50" s="21">
        <v>96407</v>
      </c>
      <c r="M50" s="18">
        <v>2022</v>
      </c>
    </row>
    <row r="51" ht="21.75" spans="1:13">
      <c r="A51" s="18" t="s">
        <v>155</v>
      </c>
      <c r="B51" s="18" t="s">
        <v>156</v>
      </c>
      <c r="C51" s="18" t="s">
        <v>157</v>
      </c>
      <c r="D51" s="18" t="s">
        <v>158</v>
      </c>
      <c r="E51" s="18" t="s">
        <v>159</v>
      </c>
      <c r="F51" s="19" t="s">
        <v>40</v>
      </c>
      <c r="G51" s="20" t="s">
        <v>41</v>
      </c>
      <c r="H51" t="str">
        <f>'Source Table'!$G$9</f>
        <v>Female</v>
      </c>
      <c r="I51" t="str">
        <f>'Source Table'!$G$8</f>
        <v>أنثى</v>
      </c>
      <c r="J51" t="str">
        <f t="shared" si="0"/>
        <v>2023/2022</v>
      </c>
      <c r="K51" t="str">
        <f t="shared" si="1"/>
        <v>2023/2022</v>
      </c>
      <c r="L51" s="21">
        <v>33790</v>
      </c>
      <c r="M51" s="18">
        <v>2022</v>
      </c>
    </row>
    <row r="52" ht="21.75" spans="1:13">
      <c r="A52" s="18" t="s">
        <v>155</v>
      </c>
      <c r="B52" s="18" t="s">
        <v>156</v>
      </c>
      <c r="C52" s="18" t="s">
        <v>157</v>
      </c>
      <c r="D52" s="18" t="s">
        <v>158</v>
      </c>
      <c r="E52" s="18" t="s">
        <v>159</v>
      </c>
      <c r="F52" s="19" t="s">
        <v>42</v>
      </c>
      <c r="G52" s="20" t="s">
        <v>43</v>
      </c>
      <c r="H52" t="str">
        <f>'Source Table'!$G$9</f>
        <v>Female</v>
      </c>
      <c r="I52" t="str">
        <f>'Source Table'!$G$8</f>
        <v>أنثى</v>
      </c>
      <c r="J52" t="str">
        <f t="shared" si="0"/>
        <v>2023/2022</v>
      </c>
      <c r="K52" t="str">
        <f t="shared" si="1"/>
        <v>2023/2022</v>
      </c>
      <c r="L52" s="21">
        <v>17314</v>
      </c>
      <c r="M52" s="18">
        <v>2022</v>
      </c>
    </row>
    <row r="53" ht="21.75" spans="1:13">
      <c r="A53" s="18" t="s">
        <v>155</v>
      </c>
      <c r="B53" s="18" t="s">
        <v>156</v>
      </c>
      <c r="C53" s="18" t="s">
        <v>157</v>
      </c>
      <c r="D53" s="18" t="s">
        <v>158</v>
      </c>
      <c r="E53" s="18" t="s">
        <v>159</v>
      </c>
      <c r="F53" s="19" t="s">
        <v>44</v>
      </c>
      <c r="G53" s="20" t="s">
        <v>45</v>
      </c>
      <c r="H53" t="str">
        <f>'Source Table'!$G$9</f>
        <v>Female</v>
      </c>
      <c r="I53" t="str">
        <f>'Source Table'!$G$8</f>
        <v>أنثى</v>
      </c>
      <c r="J53" t="str">
        <f t="shared" si="0"/>
        <v>2023/2022</v>
      </c>
      <c r="K53" t="str">
        <f t="shared" si="1"/>
        <v>2023/2022</v>
      </c>
      <c r="L53" s="21">
        <v>9865</v>
      </c>
      <c r="M53" s="18">
        <v>2022</v>
      </c>
    </row>
    <row r="54" ht="21.75" spans="1:13">
      <c r="A54" s="18" t="s">
        <v>155</v>
      </c>
      <c r="B54" s="18" t="s">
        <v>156</v>
      </c>
      <c r="C54" s="18" t="s">
        <v>157</v>
      </c>
      <c r="D54" s="18" t="s">
        <v>158</v>
      </c>
      <c r="E54" s="18" t="s">
        <v>159</v>
      </c>
      <c r="F54" s="19" t="s">
        <v>46</v>
      </c>
      <c r="G54" s="20" t="s">
        <v>47</v>
      </c>
      <c r="H54" t="str">
        <f>'Source Table'!$G$9</f>
        <v>Female</v>
      </c>
      <c r="I54" t="str">
        <f>'Source Table'!$G$8</f>
        <v>أنثى</v>
      </c>
      <c r="J54" t="str">
        <f t="shared" si="0"/>
        <v>2023/2022</v>
      </c>
      <c r="K54" t="str">
        <f t="shared" si="1"/>
        <v>2023/2022</v>
      </c>
      <c r="L54" s="21">
        <v>10744</v>
      </c>
      <c r="M54" s="18">
        <v>2022</v>
      </c>
    </row>
    <row r="55" ht="21.75" spans="1:13">
      <c r="A55" s="18" t="s">
        <v>155</v>
      </c>
      <c r="B55" s="18" t="s">
        <v>156</v>
      </c>
      <c r="C55" s="18" t="s">
        <v>157</v>
      </c>
      <c r="D55" s="18" t="s">
        <v>158</v>
      </c>
      <c r="E55" s="18" t="s">
        <v>159</v>
      </c>
      <c r="F55" s="19" t="s">
        <v>49</v>
      </c>
      <c r="G55" s="20" t="s">
        <v>50</v>
      </c>
      <c r="H55" t="str">
        <f>'Source Table'!$G$9</f>
        <v>Female</v>
      </c>
      <c r="I55" t="str">
        <f>'Source Table'!$G$8</f>
        <v>أنثى</v>
      </c>
      <c r="J55" t="str">
        <f t="shared" si="0"/>
        <v>2023/2022</v>
      </c>
      <c r="K55" t="str">
        <f t="shared" si="1"/>
        <v>2023/2022</v>
      </c>
      <c r="L55" s="21">
        <v>26505</v>
      </c>
      <c r="M55" s="18">
        <v>2022</v>
      </c>
    </row>
    <row r="56" ht="21.75" spans="1:13">
      <c r="A56" s="18" t="s">
        <v>155</v>
      </c>
      <c r="B56" s="18" t="s">
        <v>156</v>
      </c>
      <c r="C56" s="18" t="s">
        <v>157</v>
      </c>
      <c r="D56" s="18" t="s">
        <v>158</v>
      </c>
      <c r="E56" s="18" t="s">
        <v>159</v>
      </c>
      <c r="F56" s="19" t="s">
        <v>52</v>
      </c>
      <c r="G56" s="20" t="s">
        <v>53</v>
      </c>
      <c r="H56" t="str">
        <f>'Source Table'!$G$9</f>
        <v>Female</v>
      </c>
      <c r="I56" t="str">
        <f>'Source Table'!$G$8</f>
        <v>أنثى</v>
      </c>
      <c r="J56" t="str">
        <f t="shared" si="0"/>
        <v>2023/2022</v>
      </c>
      <c r="K56" t="str">
        <f t="shared" si="1"/>
        <v>2023/2022</v>
      </c>
      <c r="L56" s="21">
        <v>9796</v>
      </c>
      <c r="M56" s="18">
        <v>2022</v>
      </c>
    </row>
    <row r="57" ht="21.75" spans="1:13">
      <c r="A57" s="18" t="s">
        <v>155</v>
      </c>
      <c r="B57" s="18" t="s">
        <v>156</v>
      </c>
      <c r="C57" s="18" t="s">
        <v>157</v>
      </c>
      <c r="D57" s="18" t="s">
        <v>158</v>
      </c>
      <c r="E57" s="18" t="s">
        <v>159</v>
      </c>
      <c r="F57" s="19" t="s">
        <v>54</v>
      </c>
      <c r="G57" s="20" t="s">
        <v>55</v>
      </c>
      <c r="H57" t="str">
        <f>'Source Table'!$G$9</f>
        <v>Female</v>
      </c>
      <c r="I57" t="str">
        <f>'Source Table'!$G$8</f>
        <v>أنثى</v>
      </c>
      <c r="J57" t="str">
        <f t="shared" si="0"/>
        <v>2023/2022</v>
      </c>
      <c r="K57" t="str">
        <f t="shared" si="1"/>
        <v>2023/2022</v>
      </c>
      <c r="L57" s="21">
        <v>8569</v>
      </c>
      <c r="M57" s="18">
        <v>2022</v>
      </c>
    </row>
    <row r="58" ht="21.75" spans="1:13">
      <c r="A58" s="18" t="s">
        <v>155</v>
      </c>
      <c r="B58" s="18" t="s">
        <v>156</v>
      </c>
      <c r="C58" s="18" t="s">
        <v>157</v>
      </c>
      <c r="D58" s="18" t="s">
        <v>158</v>
      </c>
      <c r="E58" s="18" t="s">
        <v>159</v>
      </c>
      <c r="F58" s="19" t="s">
        <v>56</v>
      </c>
      <c r="G58" s="20" t="s">
        <v>57</v>
      </c>
      <c r="H58" t="str">
        <f>'Source Table'!$G$9</f>
        <v>Female</v>
      </c>
      <c r="I58" t="str">
        <f>'Source Table'!$G$8</f>
        <v>أنثى</v>
      </c>
      <c r="J58" t="str">
        <f t="shared" si="0"/>
        <v>2023/2022</v>
      </c>
      <c r="K58" t="str">
        <f t="shared" si="1"/>
        <v>2023/2022</v>
      </c>
      <c r="L58" s="21">
        <v>30948</v>
      </c>
      <c r="M58" s="18">
        <v>2022</v>
      </c>
    </row>
    <row r="59" ht="21.75" spans="1:13">
      <c r="A59" s="18" t="s">
        <v>155</v>
      </c>
      <c r="B59" s="18" t="s">
        <v>156</v>
      </c>
      <c r="C59" s="18" t="s">
        <v>157</v>
      </c>
      <c r="D59" s="18" t="s">
        <v>158</v>
      </c>
      <c r="E59" s="18" t="s">
        <v>159</v>
      </c>
      <c r="F59" s="19" t="s">
        <v>59</v>
      </c>
      <c r="G59" s="20" t="s">
        <v>160</v>
      </c>
      <c r="H59" t="str">
        <f>'Source Table'!$G$9</f>
        <v>Female</v>
      </c>
      <c r="I59" t="str">
        <f>'Source Table'!$G$8</f>
        <v>أنثى</v>
      </c>
      <c r="J59" t="str">
        <f t="shared" si="0"/>
        <v>2023/2022</v>
      </c>
      <c r="K59" t="str">
        <f t="shared" si="1"/>
        <v>2023/2022</v>
      </c>
      <c r="L59" s="21">
        <v>70346</v>
      </c>
      <c r="M59" s="18">
        <v>2022</v>
      </c>
    </row>
    <row r="60" ht="21.75" spans="1:13">
      <c r="A60" s="18" t="s">
        <v>155</v>
      </c>
      <c r="B60" s="18" t="s">
        <v>156</v>
      </c>
      <c r="C60" s="18" t="s">
        <v>157</v>
      </c>
      <c r="D60" s="18" t="s">
        <v>158</v>
      </c>
      <c r="E60" s="18" t="s">
        <v>159</v>
      </c>
      <c r="F60" s="19" t="s">
        <v>62</v>
      </c>
      <c r="G60" s="20" t="s">
        <v>161</v>
      </c>
      <c r="H60" t="str">
        <f>'Source Table'!$G$9</f>
        <v>Female</v>
      </c>
      <c r="I60" t="str">
        <f>'Source Table'!$G$8</f>
        <v>أنثى</v>
      </c>
      <c r="J60" t="str">
        <f t="shared" si="0"/>
        <v>2023/2022</v>
      </c>
      <c r="K60" t="str">
        <f t="shared" si="1"/>
        <v>2023/2022</v>
      </c>
      <c r="L60" s="21">
        <v>30545</v>
      </c>
      <c r="M60" s="18">
        <v>2022</v>
      </c>
    </row>
    <row r="61" ht="21.75" spans="1:13">
      <c r="A61" s="18" t="s">
        <v>155</v>
      </c>
      <c r="B61" s="18" t="s">
        <v>156</v>
      </c>
      <c r="C61" s="18" t="s">
        <v>157</v>
      </c>
      <c r="D61" s="18" t="s">
        <v>158</v>
      </c>
      <c r="E61" s="18" t="s">
        <v>159</v>
      </c>
      <c r="F61" s="19" t="s">
        <v>64</v>
      </c>
      <c r="G61" s="20" t="s">
        <v>65</v>
      </c>
      <c r="H61" t="str">
        <f>'Source Table'!$G$9</f>
        <v>Female</v>
      </c>
      <c r="I61" t="str">
        <f>'Source Table'!$G$8</f>
        <v>أنثى</v>
      </c>
      <c r="J61" t="str">
        <f t="shared" si="0"/>
        <v>2023/2022</v>
      </c>
      <c r="K61" t="str">
        <f t="shared" si="1"/>
        <v>2023/2022</v>
      </c>
      <c r="L61" s="21">
        <v>51845</v>
      </c>
      <c r="M61" s="18">
        <v>2022</v>
      </c>
    </row>
    <row r="62" ht="21.75" spans="1:13">
      <c r="A62" s="18" t="s">
        <v>155</v>
      </c>
      <c r="B62" s="18" t="s">
        <v>156</v>
      </c>
      <c r="C62" s="18" t="s">
        <v>157</v>
      </c>
      <c r="D62" s="18" t="s">
        <v>158</v>
      </c>
      <c r="E62" s="18" t="s">
        <v>159</v>
      </c>
      <c r="F62" s="19" t="s">
        <v>68</v>
      </c>
      <c r="G62" s="20" t="s">
        <v>69</v>
      </c>
      <c r="H62" t="str">
        <f>'Source Table'!$G$9</f>
        <v>Female</v>
      </c>
      <c r="I62" t="str">
        <f>'Source Table'!$G$8</f>
        <v>أنثى</v>
      </c>
      <c r="J62" t="str">
        <f t="shared" si="0"/>
        <v>2023/2022</v>
      </c>
      <c r="K62" t="str">
        <f t="shared" si="1"/>
        <v>2023/2022</v>
      </c>
      <c r="L62" s="21">
        <v>23989</v>
      </c>
      <c r="M62" s="18">
        <v>2022</v>
      </c>
    </row>
    <row r="63" ht="21.75" spans="1:13">
      <c r="A63" s="18" t="s">
        <v>155</v>
      </c>
      <c r="B63" s="18" t="s">
        <v>156</v>
      </c>
      <c r="C63" s="18" t="s">
        <v>157</v>
      </c>
      <c r="D63" s="18" t="s">
        <v>158</v>
      </c>
      <c r="E63" s="18" t="s">
        <v>159</v>
      </c>
      <c r="F63" s="19" t="s">
        <v>70</v>
      </c>
      <c r="G63" s="20" t="s">
        <v>71</v>
      </c>
      <c r="H63" t="str">
        <f>'Source Table'!$G$9</f>
        <v>Female</v>
      </c>
      <c r="I63" t="str">
        <f>'Source Table'!$G$8</f>
        <v>أنثى</v>
      </c>
      <c r="J63" t="str">
        <f t="shared" si="0"/>
        <v>2023/2022</v>
      </c>
      <c r="K63" t="str">
        <f t="shared" si="1"/>
        <v>2023/2022</v>
      </c>
      <c r="L63" s="21">
        <v>5876</v>
      </c>
      <c r="M63" s="18">
        <v>2022</v>
      </c>
    </row>
    <row r="64" ht="21.75" spans="1:13">
      <c r="A64" s="18" t="s">
        <v>155</v>
      </c>
      <c r="B64" s="18" t="s">
        <v>156</v>
      </c>
      <c r="C64" s="18" t="s">
        <v>157</v>
      </c>
      <c r="D64" s="18" t="s">
        <v>158</v>
      </c>
      <c r="E64" s="18" t="s">
        <v>159</v>
      </c>
      <c r="F64" s="19" t="s">
        <v>74</v>
      </c>
      <c r="G64" s="20" t="s">
        <v>75</v>
      </c>
      <c r="H64" t="str">
        <f>'Source Table'!$G$9</f>
        <v>Female</v>
      </c>
      <c r="I64" t="str">
        <f>'Source Table'!$G$8</f>
        <v>أنثى</v>
      </c>
      <c r="J64" t="str">
        <f t="shared" si="0"/>
        <v>2023/2022</v>
      </c>
      <c r="K64" t="str">
        <f t="shared" si="1"/>
        <v>2023/2022</v>
      </c>
      <c r="L64" s="21">
        <v>79602</v>
      </c>
      <c r="M64" s="18">
        <v>2022</v>
      </c>
    </row>
    <row r="65" ht="21.75" spans="1:13">
      <c r="A65" s="18" t="s">
        <v>155</v>
      </c>
      <c r="B65" s="18" t="s">
        <v>156</v>
      </c>
      <c r="C65" s="18" t="s">
        <v>157</v>
      </c>
      <c r="D65" s="18" t="s">
        <v>158</v>
      </c>
      <c r="E65" s="18" t="s">
        <v>159</v>
      </c>
      <c r="F65" s="19" t="s">
        <v>76</v>
      </c>
      <c r="G65" s="20" t="s">
        <v>77</v>
      </c>
      <c r="H65" t="str">
        <f>'Source Table'!$G$9</f>
        <v>Female</v>
      </c>
      <c r="I65" t="str">
        <f>'Source Table'!$G$8</f>
        <v>أنثى</v>
      </c>
      <c r="J65" t="str">
        <f t="shared" si="0"/>
        <v>2023/2022</v>
      </c>
      <c r="K65" t="str">
        <f t="shared" si="1"/>
        <v>2023/2022</v>
      </c>
      <c r="L65" s="21">
        <v>27674</v>
      </c>
      <c r="M65" s="18">
        <v>2022</v>
      </c>
    </row>
    <row r="66" ht="21.75" spans="1:13">
      <c r="A66" s="18" t="s">
        <v>155</v>
      </c>
      <c r="B66" s="18" t="s">
        <v>156</v>
      </c>
      <c r="C66" s="18" t="s">
        <v>157</v>
      </c>
      <c r="D66" s="18" t="s">
        <v>158</v>
      </c>
      <c r="E66" s="18" t="s">
        <v>159</v>
      </c>
      <c r="F66" s="19" t="s">
        <v>78</v>
      </c>
      <c r="G66" s="20" t="s">
        <v>79</v>
      </c>
      <c r="H66" t="str">
        <f>'Source Table'!$G$9</f>
        <v>Female</v>
      </c>
      <c r="I66" t="str">
        <f>'Source Table'!$G$8</f>
        <v>أنثى</v>
      </c>
      <c r="J66" t="str">
        <f t="shared" si="0"/>
        <v>2023/2022</v>
      </c>
      <c r="K66" t="str">
        <f t="shared" si="1"/>
        <v>2023/2022</v>
      </c>
      <c r="L66" s="21">
        <v>8937</v>
      </c>
      <c r="M66" s="18">
        <v>2022</v>
      </c>
    </row>
    <row r="67" ht="21.75" spans="1:13">
      <c r="A67" s="18" t="s">
        <v>155</v>
      </c>
      <c r="B67" s="18" t="s">
        <v>156</v>
      </c>
      <c r="C67" s="18" t="s">
        <v>157</v>
      </c>
      <c r="D67" s="18" t="s">
        <v>158</v>
      </c>
      <c r="E67" s="18" t="s">
        <v>159</v>
      </c>
      <c r="F67" s="19" t="s">
        <v>80</v>
      </c>
      <c r="G67" s="20" t="s">
        <v>81</v>
      </c>
      <c r="H67" t="str">
        <f>'Source Table'!$G$9</f>
        <v>Female</v>
      </c>
      <c r="I67" t="str">
        <f>'Source Table'!$G$8</f>
        <v>أنثى</v>
      </c>
      <c r="J67" t="str">
        <f t="shared" si="0"/>
        <v>2023/2022</v>
      </c>
      <c r="K67" t="str">
        <f t="shared" si="1"/>
        <v>2023/2022</v>
      </c>
      <c r="L67" s="21">
        <v>11045</v>
      </c>
      <c r="M67" s="18">
        <v>2022</v>
      </c>
    </row>
    <row r="68" ht="21.75" spans="1:13">
      <c r="A68" s="18" t="s">
        <v>155</v>
      </c>
      <c r="B68" s="18" t="s">
        <v>156</v>
      </c>
      <c r="C68" s="18" t="s">
        <v>157</v>
      </c>
      <c r="D68" s="18" t="s">
        <v>158</v>
      </c>
      <c r="E68" s="18" t="s">
        <v>159</v>
      </c>
      <c r="F68" s="19" t="s">
        <v>82</v>
      </c>
      <c r="G68" s="20" t="s">
        <v>83</v>
      </c>
      <c r="H68" t="str">
        <f>'Source Table'!$G$9</f>
        <v>Female</v>
      </c>
      <c r="I68" t="str">
        <f>'Source Table'!$G$8</f>
        <v>أنثى</v>
      </c>
      <c r="J68" t="str">
        <f t="shared" si="0"/>
        <v>2023/2022</v>
      </c>
      <c r="K68" t="str">
        <f t="shared" si="1"/>
        <v>2023/2022</v>
      </c>
      <c r="L68" s="21">
        <v>18461</v>
      </c>
      <c r="M68" s="18">
        <v>2022</v>
      </c>
    </row>
    <row r="69" ht="21.75" spans="1:13">
      <c r="A69" s="18" t="s">
        <v>155</v>
      </c>
      <c r="B69" s="18" t="s">
        <v>156</v>
      </c>
      <c r="C69" s="18" t="s">
        <v>157</v>
      </c>
      <c r="D69" s="18" t="s">
        <v>158</v>
      </c>
      <c r="E69" s="18" t="s">
        <v>159</v>
      </c>
      <c r="F69" s="19" t="s">
        <v>84</v>
      </c>
      <c r="G69" s="20" t="s">
        <v>85</v>
      </c>
      <c r="H69" t="str">
        <f>'Source Table'!$G$9</f>
        <v>Female</v>
      </c>
      <c r="I69" t="str">
        <f>'Source Table'!$G$8</f>
        <v>أنثى</v>
      </c>
      <c r="J69" t="str">
        <f t="shared" ref="J69:J132" si="2">TEXT(M69+1,"0")&amp;"/"&amp;TEXT(M69,"0")</f>
        <v>2023/2022</v>
      </c>
      <c r="K69" t="str">
        <f t="shared" ref="K69:K132" si="3">TEXT(M69+1,"0")&amp;"/"&amp;TEXT(M69,"0")</f>
        <v>2023/2022</v>
      </c>
      <c r="L69" s="21">
        <v>14805</v>
      </c>
      <c r="M69" s="18">
        <v>2022</v>
      </c>
    </row>
    <row r="70" ht="21.75" spans="1:13">
      <c r="A70" s="18" t="s">
        <v>155</v>
      </c>
      <c r="B70" s="18" t="s">
        <v>156</v>
      </c>
      <c r="C70" s="18" t="s">
        <v>157</v>
      </c>
      <c r="D70" s="18" t="s">
        <v>158</v>
      </c>
      <c r="E70" s="18" t="s">
        <v>159</v>
      </c>
      <c r="F70" s="19" t="s">
        <v>86</v>
      </c>
      <c r="G70" s="20" t="s">
        <v>87</v>
      </c>
      <c r="H70" t="str">
        <f>'Source Table'!$G$9</f>
        <v>Female</v>
      </c>
      <c r="I70" t="str">
        <f>'Source Table'!$G$8</f>
        <v>أنثى</v>
      </c>
      <c r="J70" t="str">
        <f t="shared" si="2"/>
        <v>2023/2022</v>
      </c>
      <c r="K70" t="str">
        <f t="shared" si="3"/>
        <v>2023/2022</v>
      </c>
      <c r="L70" s="21">
        <v>14867</v>
      </c>
      <c r="M70" s="18">
        <v>2022</v>
      </c>
    </row>
    <row r="71" ht="21.75" spans="1:13">
      <c r="A71" s="18" t="s">
        <v>155</v>
      </c>
      <c r="B71" s="18" t="s">
        <v>156</v>
      </c>
      <c r="C71" s="18" t="s">
        <v>157</v>
      </c>
      <c r="D71" s="18" t="s">
        <v>158</v>
      </c>
      <c r="E71" s="18" t="s">
        <v>159</v>
      </c>
      <c r="F71" s="19" t="s">
        <v>88</v>
      </c>
      <c r="G71" s="20" t="s">
        <v>89</v>
      </c>
      <c r="H71" t="str">
        <f>'Source Table'!$G$9</f>
        <v>Female</v>
      </c>
      <c r="I71" t="str">
        <f>'Source Table'!$G$8</f>
        <v>أنثى</v>
      </c>
      <c r="J71" t="str">
        <f t="shared" si="2"/>
        <v>2023/2022</v>
      </c>
      <c r="K71" t="str">
        <f t="shared" si="3"/>
        <v>2023/2022</v>
      </c>
      <c r="L71" s="21">
        <v>27452</v>
      </c>
      <c r="M71" s="18">
        <v>2022</v>
      </c>
    </row>
    <row r="72" ht="21.75" spans="1:13">
      <c r="A72" s="18" t="s">
        <v>155</v>
      </c>
      <c r="B72" s="18" t="s">
        <v>156</v>
      </c>
      <c r="C72" s="18" t="s">
        <v>157</v>
      </c>
      <c r="D72" s="18" t="s">
        <v>158</v>
      </c>
      <c r="E72" s="18" t="s">
        <v>159</v>
      </c>
      <c r="F72" s="19" t="s">
        <v>91</v>
      </c>
      <c r="G72" s="20" t="s">
        <v>92</v>
      </c>
      <c r="H72" t="str">
        <f>'Source Table'!$G$9</f>
        <v>Female</v>
      </c>
      <c r="I72" t="str">
        <f>'Source Table'!$G$8</f>
        <v>أنثى</v>
      </c>
      <c r="J72" t="str">
        <f t="shared" si="2"/>
        <v>2023/2022</v>
      </c>
      <c r="K72" t="str">
        <f t="shared" si="3"/>
        <v>2023/2022</v>
      </c>
      <c r="L72" s="21">
        <v>27554</v>
      </c>
      <c r="M72" s="18">
        <v>2022</v>
      </c>
    </row>
    <row r="73" ht="21.75" spans="1:13">
      <c r="A73" s="18" t="s">
        <v>155</v>
      </c>
      <c r="B73" s="18" t="s">
        <v>156</v>
      </c>
      <c r="C73" s="18" t="s">
        <v>157</v>
      </c>
      <c r="D73" s="18" t="s">
        <v>158</v>
      </c>
      <c r="E73" s="18" t="s">
        <v>159</v>
      </c>
      <c r="F73" s="19" t="s">
        <v>94</v>
      </c>
      <c r="G73" s="20" t="s">
        <v>95</v>
      </c>
      <c r="H73" t="str">
        <f>'Source Table'!$G$9</f>
        <v>Female</v>
      </c>
      <c r="I73" t="str">
        <f>'Source Table'!$G$8</f>
        <v>أنثى</v>
      </c>
      <c r="J73" t="str">
        <f t="shared" si="2"/>
        <v>2023/2022</v>
      </c>
      <c r="K73" t="str">
        <f t="shared" si="3"/>
        <v>2023/2022</v>
      </c>
      <c r="L73" s="21">
        <v>17848</v>
      </c>
      <c r="M73" s="18">
        <v>2022</v>
      </c>
    </row>
    <row r="74" ht="21.75" spans="1:13">
      <c r="A74" s="18" t="s">
        <v>155</v>
      </c>
      <c r="B74" s="18" t="s">
        <v>156</v>
      </c>
      <c r="C74" s="18" t="s">
        <v>157</v>
      </c>
      <c r="D74" s="18" t="s">
        <v>158</v>
      </c>
      <c r="E74" s="18" t="s">
        <v>159</v>
      </c>
      <c r="F74" s="19" t="s">
        <v>96</v>
      </c>
      <c r="G74" s="20" t="s">
        <v>97</v>
      </c>
      <c r="H74" t="str">
        <f>'Source Table'!$G$9</f>
        <v>Female</v>
      </c>
      <c r="I74" t="str">
        <f>'Source Table'!$G$8</f>
        <v>أنثى</v>
      </c>
      <c r="J74" t="str">
        <f t="shared" si="2"/>
        <v>2023/2022</v>
      </c>
      <c r="K74" t="str">
        <f t="shared" si="3"/>
        <v>2023/2022</v>
      </c>
      <c r="L74" s="21">
        <v>32452</v>
      </c>
      <c r="M74" s="18">
        <v>2022</v>
      </c>
    </row>
    <row r="75" ht="21.75" spans="1:13">
      <c r="A75" s="18" t="s">
        <v>155</v>
      </c>
      <c r="B75" s="18" t="s">
        <v>156</v>
      </c>
      <c r="C75" s="18" t="s">
        <v>157</v>
      </c>
      <c r="D75" s="18" t="s">
        <v>158</v>
      </c>
      <c r="E75" s="18" t="s">
        <v>159</v>
      </c>
      <c r="F75" s="19" t="s">
        <v>98</v>
      </c>
      <c r="G75" s="20" t="s">
        <v>99</v>
      </c>
      <c r="H75" t="str">
        <f>'Source Table'!$G$9</f>
        <v>Female</v>
      </c>
      <c r="I75" t="str">
        <f>'Source Table'!$G$8</f>
        <v>أنثى</v>
      </c>
      <c r="J75" t="str">
        <f t="shared" si="2"/>
        <v>2023/2022</v>
      </c>
      <c r="K75" t="str">
        <f t="shared" si="3"/>
        <v>2023/2022</v>
      </c>
      <c r="L75" s="22">
        <v>34481</v>
      </c>
      <c r="M75" s="18">
        <v>2022</v>
      </c>
    </row>
    <row r="76" ht="21.75" spans="1:13">
      <c r="A76" s="18" t="s">
        <v>155</v>
      </c>
      <c r="B76" s="18" t="s">
        <v>156</v>
      </c>
      <c r="C76" s="18" t="s">
        <v>157</v>
      </c>
      <c r="D76" s="18" t="s">
        <v>158</v>
      </c>
      <c r="E76" s="18" t="s">
        <v>159</v>
      </c>
      <c r="F76" s="19" t="s">
        <v>100</v>
      </c>
      <c r="G76" s="20" t="s">
        <v>101</v>
      </c>
      <c r="H76" t="str">
        <f>'Source Table'!$G$9</f>
        <v>Female</v>
      </c>
      <c r="I76" t="str">
        <f>'Source Table'!$G$8</f>
        <v>أنثى</v>
      </c>
      <c r="J76" t="str">
        <f t="shared" si="2"/>
        <v>2023/2022</v>
      </c>
      <c r="K76" t="str">
        <f t="shared" si="3"/>
        <v>2023/2022</v>
      </c>
      <c r="L76" s="22">
        <v>24829</v>
      </c>
      <c r="M76" s="18">
        <v>2022</v>
      </c>
    </row>
    <row r="77" ht="21.75" spans="1:13">
      <c r="A77" s="18" t="s">
        <v>155</v>
      </c>
      <c r="B77" s="18" t="s">
        <v>156</v>
      </c>
      <c r="C77" s="18" t="s">
        <v>157</v>
      </c>
      <c r="D77" s="18" t="s">
        <v>158</v>
      </c>
      <c r="E77" s="18" t="s">
        <v>159</v>
      </c>
      <c r="F77" s="19" t="s">
        <v>103</v>
      </c>
      <c r="G77" s="20" t="s">
        <v>104</v>
      </c>
      <c r="H77" t="str">
        <f>'Source Table'!$G$9</f>
        <v>Female</v>
      </c>
      <c r="I77" t="str">
        <f>'Source Table'!$G$8</f>
        <v>أنثى</v>
      </c>
      <c r="J77" t="str">
        <f t="shared" si="2"/>
        <v>2023/2022</v>
      </c>
      <c r="K77" t="str">
        <f t="shared" si="3"/>
        <v>2023/2022</v>
      </c>
      <c r="L77" s="21">
        <v>15887</v>
      </c>
      <c r="M77" s="18">
        <v>2022</v>
      </c>
    </row>
    <row r="78" ht="21.75" spans="1:13">
      <c r="A78" s="18" t="s">
        <v>155</v>
      </c>
      <c r="B78" s="18" t="s">
        <v>156</v>
      </c>
      <c r="C78" s="18" t="s">
        <v>157</v>
      </c>
      <c r="D78" s="18" t="s">
        <v>158</v>
      </c>
      <c r="E78" s="18" t="s">
        <v>159</v>
      </c>
      <c r="F78" s="19" t="s">
        <v>106</v>
      </c>
      <c r="G78" s="20" t="s">
        <v>107</v>
      </c>
      <c r="H78" t="str">
        <f>'Source Table'!$G$9</f>
        <v>Female</v>
      </c>
      <c r="I78" t="str">
        <f>'Source Table'!$G$8</f>
        <v>أنثى</v>
      </c>
      <c r="J78" t="str">
        <f t="shared" si="2"/>
        <v>2023/2022</v>
      </c>
      <c r="K78" t="str">
        <f t="shared" si="3"/>
        <v>2023/2022</v>
      </c>
      <c r="L78" s="21">
        <v>12365</v>
      </c>
      <c r="M78" s="18">
        <v>2022</v>
      </c>
    </row>
    <row r="79" ht="21.75" spans="1:13">
      <c r="A79" s="18" t="s">
        <v>155</v>
      </c>
      <c r="B79" s="18" t="s">
        <v>156</v>
      </c>
      <c r="C79" s="18" t="s">
        <v>157</v>
      </c>
      <c r="D79" s="18" t="s">
        <v>158</v>
      </c>
      <c r="E79" s="18" t="s">
        <v>159</v>
      </c>
      <c r="F79" s="19" t="s">
        <v>108</v>
      </c>
      <c r="G79" s="20" t="s">
        <v>109</v>
      </c>
      <c r="H79" t="str">
        <f>'Source Table'!$G$9</f>
        <v>Female</v>
      </c>
      <c r="I79" t="str">
        <f>'Source Table'!$G$8</f>
        <v>أنثى</v>
      </c>
      <c r="J79" t="str">
        <f t="shared" si="2"/>
        <v>2023/2022</v>
      </c>
      <c r="K79" t="str">
        <f t="shared" si="3"/>
        <v>2023/2022</v>
      </c>
      <c r="L79" s="21">
        <v>7278</v>
      </c>
      <c r="M79" s="18">
        <v>2022</v>
      </c>
    </row>
    <row r="80" ht="21.75" spans="1:13">
      <c r="A80" s="18" t="s">
        <v>155</v>
      </c>
      <c r="B80" s="18" t="s">
        <v>156</v>
      </c>
      <c r="C80" s="18" t="s">
        <v>157</v>
      </c>
      <c r="D80" s="18" t="s">
        <v>158</v>
      </c>
      <c r="E80" s="18" t="s">
        <v>159</v>
      </c>
      <c r="F80" s="19" t="s">
        <v>110</v>
      </c>
      <c r="G80" s="20" t="s">
        <v>111</v>
      </c>
      <c r="H80" t="str">
        <f>'Source Table'!$G$9</f>
        <v>Female</v>
      </c>
      <c r="I80" t="str">
        <f>'Source Table'!$G$8</f>
        <v>أنثى</v>
      </c>
      <c r="J80" t="str">
        <f t="shared" si="2"/>
        <v>2023/2022</v>
      </c>
      <c r="K80" t="str">
        <f t="shared" si="3"/>
        <v>2023/2022</v>
      </c>
      <c r="L80" s="21">
        <v>8849</v>
      </c>
      <c r="M80" s="18">
        <v>2022</v>
      </c>
    </row>
    <row r="81" ht="21.75" spans="1:13">
      <c r="A81" s="18" t="s">
        <v>155</v>
      </c>
      <c r="B81" s="18" t="s">
        <v>156</v>
      </c>
      <c r="C81" s="18" t="s">
        <v>157</v>
      </c>
      <c r="D81" s="18" t="s">
        <v>158</v>
      </c>
      <c r="E81" s="18" t="s">
        <v>159</v>
      </c>
      <c r="F81" s="19" t="s">
        <v>113</v>
      </c>
      <c r="G81" s="20" t="s">
        <v>114</v>
      </c>
      <c r="H81" t="str">
        <f>'Source Table'!$G$9</f>
        <v>Female</v>
      </c>
      <c r="I81" t="str">
        <f>'Source Table'!$G$8</f>
        <v>أنثى</v>
      </c>
      <c r="J81" t="str">
        <f t="shared" si="2"/>
        <v>2023/2022</v>
      </c>
      <c r="K81" t="str">
        <f t="shared" si="3"/>
        <v>2023/2022</v>
      </c>
      <c r="L81" s="21">
        <v>11252</v>
      </c>
      <c r="M81" s="18">
        <v>2022</v>
      </c>
    </row>
    <row r="82" ht="21.75" spans="1:13">
      <c r="A82" s="18" t="s">
        <v>155</v>
      </c>
      <c r="B82" s="18" t="s">
        <v>156</v>
      </c>
      <c r="C82" s="18" t="s">
        <v>157</v>
      </c>
      <c r="D82" s="18" t="s">
        <v>158</v>
      </c>
      <c r="E82" s="18" t="s">
        <v>159</v>
      </c>
      <c r="F82" s="19" t="s">
        <v>115</v>
      </c>
      <c r="G82" s="20" t="s">
        <v>116</v>
      </c>
      <c r="H82" t="str">
        <f>'Source Table'!$G$9</f>
        <v>Female</v>
      </c>
      <c r="I82" t="str">
        <f>'Source Table'!$G$8</f>
        <v>أنثى</v>
      </c>
      <c r="J82" t="str">
        <f t="shared" si="2"/>
        <v>2023/2022</v>
      </c>
      <c r="K82" t="str">
        <f t="shared" si="3"/>
        <v>2023/2022</v>
      </c>
      <c r="L82" s="21">
        <v>4354</v>
      </c>
      <c r="M82" s="18">
        <v>2022</v>
      </c>
    </row>
    <row r="83" ht="21.75" spans="1:13">
      <c r="A83" s="18" t="s">
        <v>155</v>
      </c>
      <c r="B83" s="18" t="s">
        <v>156</v>
      </c>
      <c r="C83" s="18" t="s">
        <v>157</v>
      </c>
      <c r="D83" s="18" t="s">
        <v>158</v>
      </c>
      <c r="E83" s="18" t="s">
        <v>159</v>
      </c>
      <c r="F83" s="19" t="s">
        <v>118</v>
      </c>
      <c r="G83" s="20" t="s">
        <v>119</v>
      </c>
      <c r="H83" t="str">
        <f>'Source Table'!$G$9</f>
        <v>Female</v>
      </c>
      <c r="I83" t="str">
        <f>'Source Table'!$G$8</f>
        <v>أنثى</v>
      </c>
      <c r="J83" t="str">
        <f t="shared" si="2"/>
        <v>2023/2022</v>
      </c>
      <c r="K83" t="str">
        <f t="shared" si="3"/>
        <v>2023/2022</v>
      </c>
      <c r="L83" s="21">
        <v>7179</v>
      </c>
      <c r="M83" s="18">
        <v>2022</v>
      </c>
    </row>
    <row r="84" ht="21.75" spans="1:13">
      <c r="A84" s="18" t="s">
        <v>155</v>
      </c>
      <c r="B84" s="18" t="s">
        <v>156</v>
      </c>
      <c r="C84" s="18" t="s">
        <v>157</v>
      </c>
      <c r="D84" s="18" t="s">
        <v>158</v>
      </c>
      <c r="E84" s="18" t="s">
        <v>159</v>
      </c>
      <c r="F84" s="19" t="s">
        <v>120</v>
      </c>
      <c r="G84" s="20" t="s">
        <v>121</v>
      </c>
      <c r="H84" t="str">
        <f>'Source Table'!$G$9</f>
        <v>Female</v>
      </c>
      <c r="I84" t="str">
        <f>'Source Table'!$G$8</f>
        <v>أنثى</v>
      </c>
      <c r="J84" t="str">
        <f t="shared" si="2"/>
        <v>2023/2022</v>
      </c>
      <c r="K84" t="str">
        <f t="shared" si="3"/>
        <v>2023/2022</v>
      </c>
      <c r="L84" s="21">
        <v>8909</v>
      </c>
      <c r="M84" s="18">
        <v>2022</v>
      </c>
    </row>
    <row r="85" ht="21.75" spans="1:13">
      <c r="A85" s="18" t="s">
        <v>155</v>
      </c>
      <c r="B85" s="18" t="s">
        <v>156</v>
      </c>
      <c r="C85" s="18" t="s">
        <v>157</v>
      </c>
      <c r="D85" s="18" t="s">
        <v>158</v>
      </c>
      <c r="E85" s="18" t="s">
        <v>159</v>
      </c>
      <c r="F85" s="19" t="s">
        <v>122</v>
      </c>
      <c r="G85" s="20" t="s">
        <v>123</v>
      </c>
      <c r="H85" t="str">
        <f>'Source Table'!$G$9</f>
        <v>Female</v>
      </c>
      <c r="I85" t="str">
        <f>'Source Table'!$G$8</f>
        <v>أنثى</v>
      </c>
      <c r="J85" t="str">
        <f t="shared" si="2"/>
        <v>2023/2022</v>
      </c>
      <c r="K85" t="str">
        <f t="shared" si="3"/>
        <v>2023/2022</v>
      </c>
      <c r="L85" s="21">
        <v>5253</v>
      </c>
      <c r="M85" s="18">
        <v>2022</v>
      </c>
    </row>
    <row r="86" ht="21.75" spans="1:13">
      <c r="A86" s="18" t="s">
        <v>155</v>
      </c>
      <c r="B86" s="18" t="s">
        <v>156</v>
      </c>
      <c r="C86" s="18" t="s">
        <v>157</v>
      </c>
      <c r="D86" s="18" t="s">
        <v>158</v>
      </c>
      <c r="E86" s="18" t="s">
        <v>159</v>
      </c>
      <c r="F86" s="19" t="s">
        <v>124</v>
      </c>
      <c r="G86" s="20" t="s">
        <v>125</v>
      </c>
      <c r="H86" t="str">
        <f>'Source Table'!$G$9</f>
        <v>Female</v>
      </c>
      <c r="I86" t="str">
        <f>'Source Table'!$G$8</f>
        <v>أنثى</v>
      </c>
      <c r="J86" t="str">
        <f t="shared" si="2"/>
        <v>2023/2022</v>
      </c>
      <c r="K86" t="str">
        <f t="shared" si="3"/>
        <v>2023/2022</v>
      </c>
      <c r="L86" s="21">
        <v>1983</v>
      </c>
      <c r="M86" s="18">
        <v>2022</v>
      </c>
    </row>
    <row r="87" ht="21.75" spans="1:13">
      <c r="A87" s="18" t="s">
        <v>155</v>
      </c>
      <c r="B87" s="18" t="s">
        <v>156</v>
      </c>
      <c r="C87" s="18" t="s">
        <v>157</v>
      </c>
      <c r="D87" s="18" t="s">
        <v>158</v>
      </c>
      <c r="E87" s="18" t="s">
        <v>159</v>
      </c>
      <c r="F87" s="19" t="s">
        <v>126</v>
      </c>
      <c r="G87" s="20" t="s">
        <v>127</v>
      </c>
      <c r="H87" t="str">
        <f>'Source Table'!$G$9</f>
        <v>Female</v>
      </c>
      <c r="I87" t="str">
        <f>'Source Table'!$G$8</f>
        <v>أنثى</v>
      </c>
      <c r="J87" t="str">
        <f t="shared" si="2"/>
        <v>2023/2022</v>
      </c>
      <c r="K87" t="str">
        <f t="shared" si="3"/>
        <v>2023/2022</v>
      </c>
      <c r="L87" s="22">
        <v>26847</v>
      </c>
      <c r="M87" s="18">
        <v>2022</v>
      </c>
    </row>
    <row r="88" ht="21.75" spans="1:13">
      <c r="A88" s="18" t="s">
        <v>155</v>
      </c>
      <c r="B88" s="18" t="s">
        <v>156</v>
      </c>
      <c r="C88" s="18" t="s">
        <v>162</v>
      </c>
      <c r="D88" s="18" t="s">
        <v>158</v>
      </c>
      <c r="E88" s="18" t="s">
        <v>159</v>
      </c>
      <c r="F88" s="19" t="s">
        <v>29</v>
      </c>
      <c r="G88" s="20" t="s">
        <v>30</v>
      </c>
      <c r="H88" t="str">
        <f>'Source Table'!$H$9</f>
        <v>Male</v>
      </c>
      <c r="I88" t="str">
        <f>'Source Table'!$H$8</f>
        <v>ذكر</v>
      </c>
      <c r="J88" t="str">
        <f t="shared" si="2"/>
        <v>2023/2022</v>
      </c>
      <c r="K88" t="str">
        <f t="shared" si="3"/>
        <v>2023/2022</v>
      </c>
      <c r="L88" s="21">
        <v>2560</v>
      </c>
      <c r="M88" s="18">
        <v>2022</v>
      </c>
    </row>
    <row r="89" ht="21.75" spans="1:13">
      <c r="A89" s="18" t="s">
        <v>155</v>
      </c>
      <c r="B89" s="18" t="s">
        <v>156</v>
      </c>
      <c r="C89" s="18" t="s">
        <v>162</v>
      </c>
      <c r="D89" s="18" t="s">
        <v>158</v>
      </c>
      <c r="E89" s="18" t="s">
        <v>159</v>
      </c>
      <c r="F89" s="19" t="s">
        <v>32</v>
      </c>
      <c r="G89" s="20" t="s">
        <v>33</v>
      </c>
      <c r="H89" t="str">
        <f>'Source Table'!$H$9</f>
        <v>Male</v>
      </c>
      <c r="I89" t="str">
        <f>'Source Table'!$H$8</f>
        <v>ذكر</v>
      </c>
      <c r="J89" t="str">
        <f t="shared" si="2"/>
        <v>2023/2022</v>
      </c>
      <c r="K89" t="str">
        <f t="shared" si="3"/>
        <v>2023/2022</v>
      </c>
      <c r="L89" s="21">
        <v>2317</v>
      </c>
      <c r="M89" s="18">
        <v>2022</v>
      </c>
    </row>
    <row r="90" ht="21.75" spans="1:13">
      <c r="A90" s="18" t="s">
        <v>155</v>
      </c>
      <c r="B90" s="18" t="s">
        <v>156</v>
      </c>
      <c r="C90" s="18" t="s">
        <v>162</v>
      </c>
      <c r="D90" s="18" t="s">
        <v>158</v>
      </c>
      <c r="E90" s="18" t="s">
        <v>159</v>
      </c>
      <c r="F90" s="19" t="s">
        <v>34</v>
      </c>
      <c r="G90" s="20" t="s">
        <v>35</v>
      </c>
      <c r="H90" t="str">
        <f>'Source Table'!$H$9</f>
        <v>Male</v>
      </c>
      <c r="I90" t="str">
        <f>'Source Table'!$H$8</f>
        <v>ذكر</v>
      </c>
      <c r="J90" t="str">
        <f t="shared" si="2"/>
        <v>2023/2022</v>
      </c>
      <c r="K90" t="str">
        <f t="shared" si="3"/>
        <v>2023/2022</v>
      </c>
      <c r="L90" s="23">
        <v>595</v>
      </c>
      <c r="M90" s="18">
        <v>2022</v>
      </c>
    </row>
    <row r="91" ht="21.75" spans="1:13">
      <c r="A91" s="18" t="s">
        <v>155</v>
      </c>
      <c r="B91" s="18" t="s">
        <v>156</v>
      </c>
      <c r="C91" s="18" t="s">
        <v>162</v>
      </c>
      <c r="D91" s="18" t="s">
        <v>158</v>
      </c>
      <c r="E91" s="18" t="s">
        <v>159</v>
      </c>
      <c r="F91" s="19" t="s">
        <v>36</v>
      </c>
      <c r="G91" s="20" t="s">
        <v>37</v>
      </c>
      <c r="H91" t="str">
        <f>'Source Table'!$H$9</f>
        <v>Male</v>
      </c>
      <c r="I91" t="str">
        <f>'Source Table'!$H$8</f>
        <v>ذكر</v>
      </c>
      <c r="J91" t="str">
        <f t="shared" si="2"/>
        <v>2023/2022</v>
      </c>
      <c r="K91" t="str">
        <f t="shared" si="3"/>
        <v>2023/2022</v>
      </c>
      <c r="L91" s="21">
        <v>2026</v>
      </c>
      <c r="M91" s="18">
        <v>2022</v>
      </c>
    </row>
    <row r="92" ht="21.75" spans="1:13">
      <c r="A92" s="18" t="s">
        <v>155</v>
      </c>
      <c r="B92" s="18" t="s">
        <v>156</v>
      </c>
      <c r="C92" s="18" t="s">
        <v>162</v>
      </c>
      <c r="D92" s="18" t="s">
        <v>158</v>
      </c>
      <c r="E92" s="18" t="s">
        <v>159</v>
      </c>
      <c r="F92" s="19" t="s">
        <v>38</v>
      </c>
      <c r="G92" s="20" t="s">
        <v>39</v>
      </c>
      <c r="H92" t="str">
        <f>'Source Table'!$H$9</f>
        <v>Male</v>
      </c>
      <c r="I92" t="str">
        <f>'Source Table'!$H$8</f>
        <v>ذكر</v>
      </c>
      <c r="J92" t="str">
        <f t="shared" si="2"/>
        <v>2023/2022</v>
      </c>
      <c r="K92" t="str">
        <f t="shared" si="3"/>
        <v>2023/2022</v>
      </c>
      <c r="L92" s="21">
        <v>3329</v>
      </c>
      <c r="M92" s="18">
        <v>2022</v>
      </c>
    </row>
    <row r="93" ht="21.75" spans="1:13">
      <c r="A93" s="18" t="s">
        <v>155</v>
      </c>
      <c r="B93" s="18" t="s">
        <v>156</v>
      </c>
      <c r="C93" s="18" t="s">
        <v>162</v>
      </c>
      <c r="D93" s="18" t="s">
        <v>158</v>
      </c>
      <c r="E93" s="18" t="s">
        <v>159</v>
      </c>
      <c r="F93" s="19" t="s">
        <v>40</v>
      </c>
      <c r="G93" s="20" t="s">
        <v>41</v>
      </c>
      <c r="H93" t="str">
        <f>'Source Table'!$H$9</f>
        <v>Male</v>
      </c>
      <c r="I93" t="str">
        <f>'Source Table'!$H$8</f>
        <v>ذكر</v>
      </c>
      <c r="J93" t="str">
        <f t="shared" si="2"/>
        <v>2023/2022</v>
      </c>
      <c r="K93" t="str">
        <f t="shared" si="3"/>
        <v>2023/2022</v>
      </c>
      <c r="L93" s="21">
        <v>1026</v>
      </c>
      <c r="M93" s="18">
        <v>2022</v>
      </c>
    </row>
    <row r="94" ht="21.75" spans="1:13">
      <c r="A94" s="18" t="s">
        <v>155</v>
      </c>
      <c r="B94" s="18" t="s">
        <v>156</v>
      </c>
      <c r="C94" s="18" t="s">
        <v>162</v>
      </c>
      <c r="D94" s="18" t="s">
        <v>158</v>
      </c>
      <c r="E94" s="18" t="s">
        <v>159</v>
      </c>
      <c r="F94" s="19" t="s">
        <v>42</v>
      </c>
      <c r="G94" s="20" t="s">
        <v>43</v>
      </c>
      <c r="H94" t="str">
        <f>'Source Table'!$H$9</f>
        <v>Male</v>
      </c>
      <c r="I94" t="str">
        <f>'Source Table'!$H$8</f>
        <v>ذكر</v>
      </c>
      <c r="J94" t="str">
        <f t="shared" si="2"/>
        <v>2023/2022</v>
      </c>
      <c r="K94" t="str">
        <f t="shared" si="3"/>
        <v>2023/2022</v>
      </c>
      <c r="L94" s="23">
        <v>657</v>
      </c>
      <c r="M94" s="18">
        <v>2022</v>
      </c>
    </row>
    <row r="95" ht="21.75" spans="1:13">
      <c r="A95" s="18" t="s">
        <v>155</v>
      </c>
      <c r="B95" s="18" t="s">
        <v>156</v>
      </c>
      <c r="C95" s="18" t="s">
        <v>162</v>
      </c>
      <c r="D95" s="18" t="s">
        <v>158</v>
      </c>
      <c r="E95" s="18" t="s">
        <v>159</v>
      </c>
      <c r="F95" s="19" t="s">
        <v>44</v>
      </c>
      <c r="G95" s="20" t="s">
        <v>45</v>
      </c>
      <c r="H95" t="str">
        <f>'Source Table'!$H$9</f>
        <v>Male</v>
      </c>
      <c r="I95" t="str">
        <f>'Source Table'!$H$8</f>
        <v>ذكر</v>
      </c>
      <c r="J95" t="str">
        <f t="shared" si="2"/>
        <v>2023/2022</v>
      </c>
      <c r="K95" t="str">
        <f t="shared" si="3"/>
        <v>2023/2022</v>
      </c>
      <c r="L95" s="23">
        <v>516</v>
      </c>
      <c r="M95" s="18">
        <v>2022</v>
      </c>
    </row>
    <row r="96" ht="21.75" spans="1:13">
      <c r="A96" s="18" t="s">
        <v>155</v>
      </c>
      <c r="B96" s="18" t="s">
        <v>156</v>
      </c>
      <c r="C96" s="18" t="s">
        <v>162</v>
      </c>
      <c r="D96" s="18" t="s">
        <v>158</v>
      </c>
      <c r="E96" s="18" t="s">
        <v>159</v>
      </c>
      <c r="F96" s="19" t="s">
        <v>46</v>
      </c>
      <c r="G96" s="20" t="s">
        <v>47</v>
      </c>
      <c r="H96" t="str">
        <f>'Source Table'!$H$9</f>
        <v>Male</v>
      </c>
      <c r="I96" t="str">
        <f>'Source Table'!$H$8</f>
        <v>ذكر</v>
      </c>
      <c r="J96" t="str">
        <f t="shared" si="2"/>
        <v>2023/2022</v>
      </c>
      <c r="K96" t="str">
        <f t="shared" si="3"/>
        <v>2023/2022</v>
      </c>
      <c r="L96" s="23">
        <v>713</v>
      </c>
      <c r="M96" s="18">
        <v>2022</v>
      </c>
    </row>
    <row r="97" ht="21.75" spans="1:13">
      <c r="A97" s="18" t="s">
        <v>155</v>
      </c>
      <c r="B97" s="18" t="s">
        <v>156</v>
      </c>
      <c r="C97" s="18" t="s">
        <v>162</v>
      </c>
      <c r="D97" s="18" t="s">
        <v>158</v>
      </c>
      <c r="E97" s="18" t="s">
        <v>159</v>
      </c>
      <c r="F97" s="19" t="s">
        <v>49</v>
      </c>
      <c r="G97" s="20" t="s">
        <v>50</v>
      </c>
      <c r="H97" t="str">
        <f>'Source Table'!$H$9</f>
        <v>Male</v>
      </c>
      <c r="I97" t="str">
        <f>'Source Table'!$H$8</f>
        <v>ذكر</v>
      </c>
      <c r="J97" t="str">
        <f t="shared" si="2"/>
        <v>2023/2022</v>
      </c>
      <c r="K97" t="str">
        <f t="shared" si="3"/>
        <v>2023/2022</v>
      </c>
      <c r="L97" s="23">
        <v>939</v>
      </c>
      <c r="M97" s="18">
        <v>2022</v>
      </c>
    </row>
    <row r="98" ht="21.75" spans="1:13">
      <c r="A98" s="18" t="s">
        <v>155</v>
      </c>
      <c r="B98" s="18" t="s">
        <v>156</v>
      </c>
      <c r="C98" s="18" t="s">
        <v>162</v>
      </c>
      <c r="D98" s="18" t="s">
        <v>158</v>
      </c>
      <c r="E98" s="18" t="s">
        <v>159</v>
      </c>
      <c r="F98" s="19" t="s">
        <v>52</v>
      </c>
      <c r="G98" s="20" t="s">
        <v>53</v>
      </c>
      <c r="H98" t="str">
        <f>'Source Table'!$H$9</f>
        <v>Male</v>
      </c>
      <c r="I98" t="str">
        <f>'Source Table'!$H$8</f>
        <v>ذكر</v>
      </c>
      <c r="J98" t="str">
        <f t="shared" si="2"/>
        <v>2023/2022</v>
      </c>
      <c r="K98" t="str">
        <f t="shared" si="3"/>
        <v>2023/2022</v>
      </c>
      <c r="L98" s="23">
        <v>446</v>
      </c>
      <c r="M98" s="18">
        <v>2022</v>
      </c>
    </row>
    <row r="99" ht="21.75" spans="1:13">
      <c r="A99" s="18" t="s">
        <v>155</v>
      </c>
      <c r="B99" s="18" t="s">
        <v>156</v>
      </c>
      <c r="C99" s="18" t="s">
        <v>162</v>
      </c>
      <c r="D99" s="18" t="s">
        <v>158</v>
      </c>
      <c r="E99" s="18" t="s">
        <v>159</v>
      </c>
      <c r="F99" s="19" t="s">
        <v>54</v>
      </c>
      <c r="G99" s="20" t="s">
        <v>55</v>
      </c>
      <c r="H99" t="str">
        <f>'Source Table'!$H$9</f>
        <v>Male</v>
      </c>
      <c r="I99" t="str">
        <f>'Source Table'!$H$8</f>
        <v>ذكر</v>
      </c>
      <c r="J99" t="str">
        <f t="shared" si="2"/>
        <v>2023/2022</v>
      </c>
      <c r="K99" t="str">
        <f t="shared" si="3"/>
        <v>2023/2022</v>
      </c>
      <c r="L99" s="23">
        <v>392</v>
      </c>
      <c r="M99" s="18">
        <v>2022</v>
      </c>
    </row>
    <row r="100" ht="21.75" spans="1:13">
      <c r="A100" s="18" t="s">
        <v>155</v>
      </c>
      <c r="B100" s="18" t="s">
        <v>156</v>
      </c>
      <c r="C100" s="18" t="s">
        <v>162</v>
      </c>
      <c r="D100" s="18" t="s">
        <v>158</v>
      </c>
      <c r="E100" s="18" t="s">
        <v>159</v>
      </c>
      <c r="F100" s="19" t="s">
        <v>56</v>
      </c>
      <c r="G100" s="20" t="s">
        <v>57</v>
      </c>
      <c r="H100" t="str">
        <f>'Source Table'!$H$9</f>
        <v>Male</v>
      </c>
      <c r="I100" t="str">
        <f>'Source Table'!$H$8</f>
        <v>ذكر</v>
      </c>
      <c r="J100" t="str">
        <f t="shared" si="2"/>
        <v>2023/2022</v>
      </c>
      <c r="K100" t="str">
        <f t="shared" si="3"/>
        <v>2023/2022</v>
      </c>
      <c r="L100" s="21">
        <v>1031</v>
      </c>
      <c r="M100" s="18">
        <v>2022</v>
      </c>
    </row>
    <row r="101" ht="21.75" spans="1:13">
      <c r="A101" s="18" t="s">
        <v>155</v>
      </c>
      <c r="B101" s="18" t="s">
        <v>156</v>
      </c>
      <c r="C101" s="18" t="s">
        <v>162</v>
      </c>
      <c r="D101" s="18" t="s">
        <v>158</v>
      </c>
      <c r="E101" s="18" t="s">
        <v>159</v>
      </c>
      <c r="F101" s="19" t="s">
        <v>59</v>
      </c>
      <c r="G101" s="20" t="s">
        <v>160</v>
      </c>
      <c r="H101" t="str">
        <f>'Source Table'!$H$9</f>
        <v>Male</v>
      </c>
      <c r="I101" t="str">
        <f>'Source Table'!$H$8</f>
        <v>ذكر</v>
      </c>
      <c r="J101" t="str">
        <f t="shared" si="2"/>
        <v>2023/2022</v>
      </c>
      <c r="K101" t="str">
        <f t="shared" si="3"/>
        <v>2023/2022</v>
      </c>
      <c r="L101" s="21">
        <v>2274</v>
      </c>
      <c r="M101" s="18">
        <v>2022</v>
      </c>
    </row>
    <row r="102" ht="21.75" spans="1:13">
      <c r="A102" s="18" t="s">
        <v>155</v>
      </c>
      <c r="B102" s="18" t="s">
        <v>156</v>
      </c>
      <c r="C102" s="18" t="s">
        <v>162</v>
      </c>
      <c r="D102" s="18" t="s">
        <v>158</v>
      </c>
      <c r="E102" s="18" t="s">
        <v>159</v>
      </c>
      <c r="F102" s="19" t="s">
        <v>62</v>
      </c>
      <c r="G102" s="20" t="s">
        <v>161</v>
      </c>
      <c r="H102" t="str">
        <f>'Source Table'!$H$9</f>
        <v>Male</v>
      </c>
      <c r="I102" t="str">
        <f>'Source Table'!$H$8</f>
        <v>ذكر</v>
      </c>
      <c r="J102" t="str">
        <f t="shared" si="2"/>
        <v>2023/2022</v>
      </c>
      <c r="K102" t="str">
        <f t="shared" si="3"/>
        <v>2023/2022</v>
      </c>
      <c r="L102" s="21">
        <v>1368</v>
      </c>
      <c r="M102" s="18">
        <v>2022</v>
      </c>
    </row>
    <row r="103" ht="21.75" spans="1:13">
      <c r="A103" s="18" t="s">
        <v>155</v>
      </c>
      <c r="B103" s="18" t="s">
        <v>156</v>
      </c>
      <c r="C103" s="18" t="s">
        <v>162</v>
      </c>
      <c r="D103" s="18" t="s">
        <v>158</v>
      </c>
      <c r="E103" s="18" t="s">
        <v>159</v>
      </c>
      <c r="F103" s="19" t="s">
        <v>64</v>
      </c>
      <c r="G103" s="20" t="s">
        <v>65</v>
      </c>
      <c r="H103" t="str">
        <f>'Source Table'!$H$9</f>
        <v>Male</v>
      </c>
      <c r="I103" t="str">
        <f>'Source Table'!$H$8</f>
        <v>ذكر</v>
      </c>
      <c r="J103" t="str">
        <f t="shared" si="2"/>
        <v>2023/2022</v>
      </c>
      <c r="K103" t="str">
        <f t="shared" si="3"/>
        <v>2023/2022</v>
      </c>
      <c r="L103" s="21">
        <v>1366</v>
      </c>
      <c r="M103" s="18">
        <v>2022</v>
      </c>
    </row>
    <row r="104" ht="21.75" spans="1:13">
      <c r="A104" s="18" t="s">
        <v>155</v>
      </c>
      <c r="B104" s="18" t="s">
        <v>156</v>
      </c>
      <c r="C104" s="18" t="s">
        <v>162</v>
      </c>
      <c r="D104" s="18" t="s">
        <v>158</v>
      </c>
      <c r="E104" s="18" t="s">
        <v>159</v>
      </c>
      <c r="F104" s="19" t="s">
        <v>68</v>
      </c>
      <c r="G104" s="20" t="s">
        <v>69</v>
      </c>
      <c r="H104" t="str">
        <f>'Source Table'!$H$9</f>
        <v>Male</v>
      </c>
      <c r="I104" t="str">
        <f>'Source Table'!$H$8</f>
        <v>ذكر</v>
      </c>
      <c r="J104" t="str">
        <f t="shared" si="2"/>
        <v>2023/2022</v>
      </c>
      <c r="K104" t="str">
        <f t="shared" si="3"/>
        <v>2023/2022</v>
      </c>
      <c r="L104" s="23">
        <v>929</v>
      </c>
      <c r="M104" s="18">
        <v>2022</v>
      </c>
    </row>
    <row r="105" ht="21.75" spans="1:13">
      <c r="A105" s="18" t="s">
        <v>155</v>
      </c>
      <c r="B105" s="18" t="s">
        <v>156</v>
      </c>
      <c r="C105" s="18" t="s">
        <v>162</v>
      </c>
      <c r="D105" s="18" t="s">
        <v>158</v>
      </c>
      <c r="E105" s="18" t="s">
        <v>159</v>
      </c>
      <c r="F105" s="19" t="s">
        <v>70</v>
      </c>
      <c r="G105" s="20" t="s">
        <v>71</v>
      </c>
      <c r="H105" t="str">
        <f>'Source Table'!$H$9</f>
        <v>Male</v>
      </c>
      <c r="I105" t="str">
        <f>'Source Table'!$H$8</f>
        <v>ذكر</v>
      </c>
      <c r="J105" t="str">
        <f t="shared" si="2"/>
        <v>2023/2022</v>
      </c>
      <c r="K105" t="str">
        <f t="shared" si="3"/>
        <v>2023/2022</v>
      </c>
      <c r="L105" s="23">
        <v>376</v>
      </c>
      <c r="M105" s="18">
        <v>2022</v>
      </c>
    </row>
    <row r="106" ht="21.75" spans="1:13">
      <c r="A106" s="18" t="s">
        <v>155</v>
      </c>
      <c r="B106" s="18" t="s">
        <v>156</v>
      </c>
      <c r="C106" s="18" t="s">
        <v>162</v>
      </c>
      <c r="D106" s="18" t="s">
        <v>158</v>
      </c>
      <c r="E106" s="18" t="s">
        <v>159</v>
      </c>
      <c r="F106" s="19" t="s">
        <v>74</v>
      </c>
      <c r="G106" s="20" t="s">
        <v>75</v>
      </c>
      <c r="H106" t="str">
        <f>'Source Table'!$H$9</f>
        <v>Male</v>
      </c>
      <c r="I106" t="str">
        <f>'Source Table'!$H$8</f>
        <v>ذكر</v>
      </c>
      <c r="J106" t="str">
        <f t="shared" si="2"/>
        <v>2023/2022</v>
      </c>
      <c r="K106" t="str">
        <f t="shared" si="3"/>
        <v>2023/2022</v>
      </c>
      <c r="L106" s="21">
        <v>2698</v>
      </c>
      <c r="M106" s="18">
        <v>2022</v>
      </c>
    </row>
    <row r="107" ht="21.75" spans="1:13">
      <c r="A107" s="18" t="s">
        <v>155</v>
      </c>
      <c r="B107" s="18" t="s">
        <v>156</v>
      </c>
      <c r="C107" s="18" t="s">
        <v>162</v>
      </c>
      <c r="D107" s="18" t="s">
        <v>158</v>
      </c>
      <c r="E107" s="18" t="s">
        <v>159</v>
      </c>
      <c r="F107" s="19" t="s">
        <v>76</v>
      </c>
      <c r="G107" s="20" t="s">
        <v>77</v>
      </c>
      <c r="H107" t="str">
        <f>'Source Table'!$H$9</f>
        <v>Male</v>
      </c>
      <c r="I107" t="str">
        <f>'Source Table'!$H$8</f>
        <v>ذكر</v>
      </c>
      <c r="J107" t="str">
        <f t="shared" si="2"/>
        <v>2023/2022</v>
      </c>
      <c r="K107" t="str">
        <f t="shared" si="3"/>
        <v>2023/2022</v>
      </c>
      <c r="L107" s="23">
        <v>833</v>
      </c>
      <c r="M107" s="18">
        <v>2022</v>
      </c>
    </row>
    <row r="108" ht="21.75" spans="1:13">
      <c r="A108" s="18" t="s">
        <v>155</v>
      </c>
      <c r="B108" s="18" t="s">
        <v>156</v>
      </c>
      <c r="C108" s="18" t="s">
        <v>162</v>
      </c>
      <c r="D108" s="18" t="s">
        <v>158</v>
      </c>
      <c r="E108" s="18" t="s">
        <v>159</v>
      </c>
      <c r="F108" s="19" t="s">
        <v>78</v>
      </c>
      <c r="G108" s="20" t="s">
        <v>79</v>
      </c>
      <c r="H108" t="str">
        <f>'Source Table'!$H$9</f>
        <v>Male</v>
      </c>
      <c r="I108" t="str">
        <f>'Source Table'!$H$8</f>
        <v>ذكر</v>
      </c>
      <c r="J108" t="str">
        <f t="shared" si="2"/>
        <v>2023/2022</v>
      </c>
      <c r="K108" t="str">
        <f t="shared" si="3"/>
        <v>2023/2022</v>
      </c>
      <c r="L108" s="23">
        <v>477</v>
      </c>
      <c r="M108" s="18">
        <v>2022</v>
      </c>
    </row>
    <row r="109" ht="21.75" spans="1:13">
      <c r="A109" s="18" t="s">
        <v>155</v>
      </c>
      <c r="B109" s="18" t="s">
        <v>156</v>
      </c>
      <c r="C109" s="18" t="s">
        <v>162</v>
      </c>
      <c r="D109" s="18" t="s">
        <v>158</v>
      </c>
      <c r="E109" s="18" t="s">
        <v>159</v>
      </c>
      <c r="F109" s="19" t="s">
        <v>80</v>
      </c>
      <c r="G109" s="20" t="s">
        <v>81</v>
      </c>
      <c r="H109" t="str">
        <f>'Source Table'!$H$9</f>
        <v>Male</v>
      </c>
      <c r="I109" t="str">
        <f>'Source Table'!$H$8</f>
        <v>ذكر</v>
      </c>
      <c r="J109" t="str">
        <f t="shared" si="2"/>
        <v>2023/2022</v>
      </c>
      <c r="K109" t="str">
        <f t="shared" si="3"/>
        <v>2023/2022</v>
      </c>
      <c r="L109" s="23">
        <v>474</v>
      </c>
      <c r="M109" s="18">
        <v>2022</v>
      </c>
    </row>
    <row r="110" ht="21.75" spans="1:13">
      <c r="A110" s="18" t="s">
        <v>155</v>
      </c>
      <c r="B110" s="18" t="s">
        <v>156</v>
      </c>
      <c r="C110" s="18" t="s">
        <v>162</v>
      </c>
      <c r="D110" s="18" t="s">
        <v>158</v>
      </c>
      <c r="E110" s="18" t="s">
        <v>159</v>
      </c>
      <c r="F110" s="19" t="s">
        <v>82</v>
      </c>
      <c r="G110" s="20" t="s">
        <v>83</v>
      </c>
      <c r="H110" t="str">
        <f>'Source Table'!$H$9</f>
        <v>Male</v>
      </c>
      <c r="I110" t="str">
        <f>'Source Table'!$H$8</f>
        <v>ذكر</v>
      </c>
      <c r="J110" t="str">
        <f t="shared" si="2"/>
        <v>2023/2022</v>
      </c>
      <c r="K110" t="str">
        <f t="shared" si="3"/>
        <v>2023/2022</v>
      </c>
      <c r="L110" s="23">
        <v>831</v>
      </c>
      <c r="M110" s="18">
        <v>2022</v>
      </c>
    </row>
    <row r="111" ht="21.75" spans="1:13">
      <c r="A111" s="18" t="s">
        <v>155</v>
      </c>
      <c r="B111" s="18" t="s">
        <v>156</v>
      </c>
      <c r="C111" s="18" t="s">
        <v>162</v>
      </c>
      <c r="D111" s="18" t="s">
        <v>158</v>
      </c>
      <c r="E111" s="18" t="s">
        <v>159</v>
      </c>
      <c r="F111" s="19" t="s">
        <v>84</v>
      </c>
      <c r="G111" s="20" t="s">
        <v>85</v>
      </c>
      <c r="H111" t="str">
        <f>'Source Table'!$H$9</f>
        <v>Male</v>
      </c>
      <c r="I111" t="str">
        <f>'Source Table'!$H$8</f>
        <v>ذكر</v>
      </c>
      <c r="J111" t="str">
        <f t="shared" si="2"/>
        <v>2023/2022</v>
      </c>
      <c r="K111" t="str">
        <f t="shared" si="3"/>
        <v>2023/2022</v>
      </c>
      <c r="L111" s="23">
        <v>886</v>
      </c>
      <c r="M111" s="18">
        <v>2022</v>
      </c>
    </row>
    <row r="112" ht="21.75" spans="1:13">
      <c r="A112" s="18" t="s">
        <v>155</v>
      </c>
      <c r="B112" s="18" t="s">
        <v>156</v>
      </c>
      <c r="C112" s="18" t="s">
        <v>162</v>
      </c>
      <c r="D112" s="18" t="s">
        <v>158</v>
      </c>
      <c r="E112" s="18" t="s">
        <v>159</v>
      </c>
      <c r="F112" s="19" t="s">
        <v>86</v>
      </c>
      <c r="G112" s="20" t="s">
        <v>87</v>
      </c>
      <c r="H112" t="str">
        <f>'Source Table'!$H$9</f>
        <v>Male</v>
      </c>
      <c r="I112" t="str">
        <f>'Source Table'!$H$8</f>
        <v>ذكر</v>
      </c>
      <c r="J112" t="str">
        <f t="shared" si="2"/>
        <v>2023/2022</v>
      </c>
      <c r="K112" t="str">
        <f t="shared" si="3"/>
        <v>2023/2022</v>
      </c>
      <c r="L112" s="23">
        <v>713</v>
      </c>
      <c r="M112" s="18">
        <v>2022</v>
      </c>
    </row>
    <row r="113" ht="21.75" spans="1:13">
      <c r="A113" s="18" t="s">
        <v>155</v>
      </c>
      <c r="B113" s="18" t="s">
        <v>156</v>
      </c>
      <c r="C113" s="18" t="s">
        <v>162</v>
      </c>
      <c r="D113" s="18" t="s">
        <v>158</v>
      </c>
      <c r="E113" s="18" t="s">
        <v>159</v>
      </c>
      <c r="F113" s="19" t="s">
        <v>88</v>
      </c>
      <c r="G113" s="20" t="s">
        <v>89</v>
      </c>
      <c r="H113" t="str">
        <f>'Source Table'!$H$9</f>
        <v>Male</v>
      </c>
      <c r="I113" t="str">
        <f>'Source Table'!$H$8</f>
        <v>ذكر</v>
      </c>
      <c r="J113" t="str">
        <f t="shared" si="2"/>
        <v>2023/2022</v>
      </c>
      <c r="K113" t="str">
        <f t="shared" si="3"/>
        <v>2023/2022</v>
      </c>
      <c r="L113" s="21">
        <v>1092</v>
      </c>
      <c r="M113" s="18">
        <v>2022</v>
      </c>
    </row>
    <row r="114" ht="21.75" spans="1:13">
      <c r="A114" s="18" t="s">
        <v>155</v>
      </c>
      <c r="B114" s="18" t="s">
        <v>156</v>
      </c>
      <c r="C114" s="18" t="s">
        <v>162</v>
      </c>
      <c r="D114" s="18" t="s">
        <v>158</v>
      </c>
      <c r="E114" s="18" t="s">
        <v>159</v>
      </c>
      <c r="F114" s="19" t="s">
        <v>91</v>
      </c>
      <c r="G114" s="20" t="s">
        <v>92</v>
      </c>
      <c r="H114" t="str">
        <f>'Source Table'!$H$9</f>
        <v>Male</v>
      </c>
      <c r="I114" t="str">
        <f>'Source Table'!$H$8</f>
        <v>ذكر</v>
      </c>
      <c r="J114" t="str">
        <f t="shared" si="2"/>
        <v>2023/2022</v>
      </c>
      <c r="K114" t="str">
        <f t="shared" si="3"/>
        <v>2023/2022</v>
      </c>
      <c r="L114" s="21">
        <v>1463</v>
      </c>
      <c r="M114" s="18">
        <v>2022</v>
      </c>
    </row>
    <row r="115" ht="21.75" spans="1:13">
      <c r="A115" s="18" t="s">
        <v>155</v>
      </c>
      <c r="B115" s="18" t="s">
        <v>156</v>
      </c>
      <c r="C115" s="18" t="s">
        <v>162</v>
      </c>
      <c r="D115" s="18" t="s">
        <v>158</v>
      </c>
      <c r="E115" s="18" t="s">
        <v>159</v>
      </c>
      <c r="F115" s="19" t="s">
        <v>94</v>
      </c>
      <c r="G115" s="20" t="s">
        <v>95</v>
      </c>
      <c r="H115" t="str">
        <f>'Source Table'!$H$9</f>
        <v>Male</v>
      </c>
      <c r="I115" t="str">
        <f>'Source Table'!$H$8</f>
        <v>ذكر</v>
      </c>
      <c r="J115" t="str">
        <f t="shared" si="2"/>
        <v>2023/2022</v>
      </c>
      <c r="K115" t="str">
        <f t="shared" si="3"/>
        <v>2023/2022</v>
      </c>
      <c r="L115" s="21">
        <v>1329</v>
      </c>
      <c r="M115" s="18">
        <v>2022</v>
      </c>
    </row>
    <row r="116" ht="21.75" spans="1:13">
      <c r="A116" s="18" t="s">
        <v>155</v>
      </c>
      <c r="B116" s="18" t="s">
        <v>156</v>
      </c>
      <c r="C116" s="18" t="s">
        <v>162</v>
      </c>
      <c r="D116" s="18" t="s">
        <v>158</v>
      </c>
      <c r="E116" s="18" t="s">
        <v>159</v>
      </c>
      <c r="F116" s="19" t="s">
        <v>96</v>
      </c>
      <c r="G116" s="20" t="s">
        <v>97</v>
      </c>
      <c r="H116" t="str">
        <f>'Source Table'!$H$9</f>
        <v>Male</v>
      </c>
      <c r="I116" t="str">
        <f>'Source Table'!$H$8</f>
        <v>ذكر</v>
      </c>
      <c r="J116" t="str">
        <f t="shared" si="2"/>
        <v>2023/2022</v>
      </c>
      <c r="K116" t="str">
        <f t="shared" si="3"/>
        <v>2023/2022</v>
      </c>
      <c r="L116" s="21">
        <v>1493</v>
      </c>
      <c r="M116" s="18">
        <v>2022</v>
      </c>
    </row>
    <row r="117" ht="21.75" spans="1:13">
      <c r="A117" s="18" t="s">
        <v>155</v>
      </c>
      <c r="B117" s="18" t="s">
        <v>156</v>
      </c>
      <c r="C117" s="18" t="s">
        <v>162</v>
      </c>
      <c r="D117" s="18" t="s">
        <v>158</v>
      </c>
      <c r="E117" s="18" t="s">
        <v>159</v>
      </c>
      <c r="F117" s="19" t="s">
        <v>98</v>
      </c>
      <c r="G117" s="20" t="s">
        <v>99</v>
      </c>
      <c r="H117" t="str">
        <f>'Source Table'!$H$9</f>
        <v>Male</v>
      </c>
      <c r="I117" t="str">
        <f>'Source Table'!$H$8</f>
        <v>ذكر</v>
      </c>
      <c r="J117" t="str">
        <f t="shared" si="2"/>
        <v>2023/2022</v>
      </c>
      <c r="K117" t="str">
        <f t="shared" si="3"/>
        <v>2023/2022</v>
      </c>
      <c r="L117" s="22">
        <v>1680</v>
      </c>
      <c r="M117" s="18">
        <v>2022</v>
      </c>
    </row>
    <row r="118" ht="21.75" spans="1:13">
      <c r="A118" s="18" t="s">
        <v>155</v>
      </c>
      <c r="B118" s="18" t="s">
        <v>156</v>
      </c>
      <c r="C118" s="18" t="s">
        <v>162</v>
      </c>
      <c r="D118" s="18" t="s">
        <v>158</v>
      </c>
      <c r="E118" s="18" t="s">
        <v>159</v>
      </c>
      <c r="F118" s="19" t="s">
        <v>100</v>
      </c>
      <c r="G118" s="20" t="s">
        <v>101</v>
      </c>
      <c r="H118" t="str">
        <f>'Source Table'!$H$9</f>
        <v>Male</v>
      </c>
      <c r="I118" t="str">
        <f>'Source Table'!$H$8</f>
        <v>ذكر</v>
      </c>
      <c r="J118" t="str">
        <f t="shared" si="2"/>
        <v>2023/2022</v>
      </c>
      <c r="K118" t="str">
        <f t="shared" si="3"/>
        <v>2023/2022</v>
      </c>
      <c r="L118" s="22">
        <v>1130</v>
      </c>
      <c r="M118" s="18">
        <v>2022</v>
      </c>
    </row>
    <row r="119" ht="21.75" spans="1:13">
      <c r="A119" s="18" t="s">
        <v>155</v>
      </c>
      <c r="B119" s="18" t="s">
        <v>156</v>
      </c>
      <c r="C119" s="18" t="s">
        <v>162</v>
      </c>
      <c r="D119" s="18" t="s">
        <v>158</v>
      </c>
      <c r="E119" s="18" t="s">
        <v>159</v>
      </c>
      <c r="F119" s="19" t="s">
        <v>103</v>
      </c>
      <c r="G119" s="20" t="s">
        <v>104</v>
      </c>
      <c r="H119" t="str">
        <f>'Source Table'!$H$9</f>
        <v>Male</v>
      </c>
      <c r="I119" t="str">
        <f>'Source Table'!$H$8</f>
        <v>ذكر</v>
      </c>
      <c r="J119" t="str">
        <f t="shared" si="2"/>
        <v>2023/2022</v>
      </c>
      <c r="K119" t="str">
        <f t="shared" si="3"/>
        <v>2023/2022</v>
      </c>
      <c r="L119" s="23">
        <v>913</v>
      </c>
      <c r="M119" s="18">
        <v>2022</v>
      </c>
    </row>
    <row r="120" ht="21.75" spans="1:13">
      <c r="A120" s="18" t="s">
        <v>155</v>
      </c>
      <c r="B120" s="18" t="s">
        <v>156</v>
      </c>
      <c r="C120" s="18" t="s">
        <v>162</v>
      </c>
      <c r="D120" s="18" t="s">
        <v>158</v>
      </c>
      <c r="E120" s="18" t="s">
        <v>159</v>
      </c>
      <c r="F120" s="19" t="s">
        <v>106</v>
      </c>
      <c r="G120" s="20" t="s">
        <v>107</v>
      </c>
      <c r="H120" t="str">
        <f>'Source Table'!$H$9</f>
        <v>Male</v>
      </c>
      <c r="I120" t="str">
        <f>'Source Table'!$H$8</f>
        <v>ذكر</v>
      </c>
      <c r="J120" t="str">
        <f t="shared" si="2"/>
        <v>2023/2022</v>
      </c>
      <c r="K120" t="str">
        <f t="shared" si="3"/>
        <v>2023/2022</v>
      </c>
      <c r="L120" s="23">
        <v>644</v>
      </c>
      <c r="M120" s="18">
        <v>2022</v>
      </c>
    </row>
    <row r="121" ht="21.75" spans="1:13">
      <c r="A121" s="18" t="s">
        <v>155</v>
      </c>
      <c r="B121" s="18" t="s">
        <v>156</v>
      </c>
      <c r="C121" s="18" t="s">
        <v>162</v>
      </c>
      <c r="D121" s="18" t="s">
        <v>158</v>
      </c>
      <c r="E121" s="18" t="s">
        <v>159</v>
      </c>
      <c r="F121" s="19" t="s">
        <v>108</v>
      </c>
      <c r="G121" s="20" t="s">
        <v>109</v>
      </c>
      <c r="H121" t="str">
        <f>'Source Table'!$H$9</f>
        <v>Male</v>
      </c>
      <c r="I121" t="str">
        <f>'Source Table'!$H$8</f>
        <v>ذكر</v>
      </c>
      <c r="J121" t="str">
        <f t="shared" si="2"/>
        <v>2023/2022</v>
      </c>
      <c r="K121" t="str">
        <f t="shared" si="3"/>
        <v>2023/2022</v>
      </c>
      <c r="L121" s="23">
        <v>546</v>
      </c>
      <c r="M121" s="18">
        <v>2022</v>
      </c>
    </row>
    <row r="122" ht="21.75" spans="1:13">
      <c r="A122" s="18" t="s">
        <v>155</v>
      </c>
      <c r="B122" s="18" t="s">
        <v>156</v>
      </c>
      <c r="C122" s="18" t="s">
        <v>162</v>
      </c>
      <c r="D122" s="18" t="s">
        <v>158</v>
      </c>
      <c r="E122" s="18" t="s">
        <v>159</v>
      </c>
      <c r="F122" s="19" t="s">
        <v>110</v>
      </c>
      <c r="G122" s="20" t="s">
        <v>111</v>
      </c>
      <c r="H122" t="str">
        <f>'Source Table'!$H$9</f>
        <v>Male</v>
      </c>
      <c r="I122" t="str">
        <f>'Source Table'!$H$8</f>
        <v>ذكر</v>
      </c>
      <c r="J122" t="str">
        <f t="shared" si="2"/>
        <v>2023/2022</v>
      </c>
      <c r="K122" t="str">
        <f t="shared" si="3"/>
        <v>2023/2022</v>
      </c>
      <c r="L122" s="23">
        <v>388</v>
      </c>
      <c r="M122" s="18">
        <v>2022</v>
      </c>
    </row>
    <row r="123" ht="21.75" spans="1:13">
      <c r="A123" s="18" t="s">
        <v>155</v>
      </c>
      <c r="B123" s="18" t="s">
        <v>156</v>
      </c>
      <c r="C123" s="18" t="s">
        <v>162</v>
      </c>
      <c r="D123" s="18" t="s">
        <v>158</v>
      </c>
      <c r="E123" s="18" t="s">
        <v>159</v>
      </c>
      <c r="F123" s="19" t="s">
        <v>113</v>
      </c>
      <c r="G123" s="20" t="s">
        <v>114</v>
      </c>
      <c r="H123" t="str">
        <f>'Source Table'!$H$9</f>
        <v>Male</v>
      </c>
      <c r="I123" t="str">
        <f>'Source Table'!$H$8</f>
        <v>ذكر</v>
      </c>
      <c r="J123" t="str">
        <f t="shared" si="2"/>
        <v>2023/2022</v>
      </c>
      <c r="K123" t="str">
        <f t="shared" si="3"/>
        <v>2023/2022</v>
      </c>
      <c r="L123" s="23">
        <v>679</v>
      </c>
      <c r="M123" s="18">
        <v>2022</v>
      </c>
    </row>
    <row r="124" ht="21.75" spans="1:13">
      <c r="A124" s="18" t="s">
        <v>155</v>
      </c>
      <c r="B124" s="18" t="s">
        <v>156</v>
      </c>
      <c r="C124" s="18" t="s">
        <v>162</v>
      </c>
      <c r="D124" s="18" t="s">
        <v>158</v>
      </c>
      <c r="E124" s="18" t="s">
        <v>159</v>
      </c>
      <c r="F124" s="19" t="s">
        <v>115</v>
      </c>
      <c r="G124" s="20" t="s">
        <v>116</v>
      </c>
      <c r="H124" t="str">
        <f>'Source Table'!$H$9</f>
        <v>Male</v>
      </c>
      <c r="I124" t="str">
        <f>'Source Table'!$H$8</f>
        <v>ذكر</v>
      </c>
      <c r="J124" t="str">
        <f t="shared" si="2"/>
        <v>2023/2022</v>
      </c>
      <c r="K124" t="str">
        <f t="shared" si="3"/>
        <v>2023/2022</v>
      </c>
      <c r="L124" s="23">
        <v>270</v>
      </c>
      <c r="M124" s="18">
        <v>2022</v>
      </c>
    </row>
    <row r="125" ht="21.75" spans="1:13">
      <c r="A125" s="18" t="s">
        <v>155</v>
      </c>
      <c r="B125" s="18" t="s">
        <v>156</v>
      </c>
      <c r="C125" s="18" t="s">
        <v>162</v>
      </c>
      <c r="D125" s="18" t="s">
        <v>158</v>
      </c>
      <c r="E125" s="18" t="s">
        <v>159</v>
      </c>
      <c r="F125" s="19" t="s">
        <v>118</v>
      </c>
      <c r="G125" s="20" t="s">
        <v>119</v>
      </c>
      <c r="H125" t="str">
        <f>'Source Table'!$H$9</f>
        <v>Male</v>
      </c>
      <c r="I125" t="str">
        <f>'Source Table'!$H$8</f>
        <v>ذكر</v>
      </c>
      <c r="J125" t="str">
        <f t="shared" si="2"/>
        <v>2023/2022</v>
      </c>
      <c r="K125" t="str">
        <f t="shared" si="3"/>
        <v>2023/2022</v>
      </c>
      <c r="L125" s="23">
        <v>396</v>
      </c>
      <c r="M125" s="18">
        <v>2022</v>
      </c>
    </row>
    <row r="126" ht="21.75" spans="1:13">
      <c r="A126" s="18" t="s">
        <v>155</v>
      </c>
      <c r="B126" s="18" t="s">
        <v>156</v>
      </c>
      <c r="C126" s="18" t="s">
        <v>162</v>
      </c>
      <c r="D126" s="18" t="s">
        <v>158</v>
      </c>
      <c r="E126" s="18" t="s">
        <v>159</v>
      </c>
      <c r="F126" s="19" t="s">
        <v>120</v>
      </c>
      <c r="G126" s="20" t="s">
        <v>121</v>
      </c>
      <c r="H126" t="str">
        <f>'Source Table'!$H$9</f>
        <v>Male</v>
      </c>
      <c r="I126" t="str">
        <f>'Source Table'!$H$8</f>
        <v>ذكر</v>
      </c>
      <c r="J126" t="str">
        <f t="shared" si="2"/>
        <v>2023/2022</v>
      </c>
      <c r="K126" t="str">
        <f t="shared" si="3"/>
        <v>2023/2022</v>
      </c>
      <c r="L126" s="23">
        <v>611</v>
      </c>
      <c r="M126" s="18">
        <v>2022</v>
      </c>
    </row>
    <row r="127" ht="21.75" spans="1:13">
      <c r="A127" s="18" t="s">
        <v>155</v>
      </c>
      <c r="B127" s="18" t="s">
        <v>156</v>
      </c>
      <c r="C127" s="18" t="s">
        <v>162</v>
      </c>
      <c r="D127" s="18" t="s">
        <v>158</v>
      </c>
      <c r="E127" s="18" t="s">
        <v>159</v>
      </c>
      <c r="F127" s="19" t="s">
        <v>122</v>
      </c>
      <c r="G127" s="20" t="s">
        <v>123</v>
      </c>
      <c r="H127" t="str">
        <f>'Source Table'!$H$9</f>
        <v>Male</v>
      </c>
      <c r="I127" t="str">
        <f>'Source Table'!$H$8</f>
        <v>ذكر</v>
      </c>
      <c r="J127" t="str">
        <f t="shared" si="2"/>
        <v>2023/2022</v>
      </c>
      <c r="K127" t="str">
        <f t="shared" si="3"/>
        <v>2023/2022</v>
      </c>
      <c r="L127" s="23">
        <v>260</v>
      </c>
      <c r="M127" s="18">
        <v>2022</v>
      </c>
    </row>
    <row r="128" ht="21.75" spans="1:13">
      <c r="A128" s="18" t="s">
        <v>155</v>
      </c>
      <c r="B128" s="18" t="s">
        <v>156</v>
      </c>
      <c r="C128" s="18" t="s">
        <v>162</v>
      </c>
      <c r="D128" s="18" t="s">
        <v>158</v>
      </c>
      <c r="E128" s="18" t="s">
        <v>159</v>
      </c>
      <c r="F128" s="19" t="s">
        <v>124</v>
      </c>
      <c r="G128" s="20" t="s">
        <v>125</v>
      </c>
      <c r="H128" t="str">
        <f>'Source Table'!$H$9</f>
        <v>Male</v>
      </c>
      <c r="I128" t="str">
        <f>'Source Table'!$H$8</f>
        <v>ذكر</v>
      </c>
      <c r="J128" t="str">
        <f t="shared" si="2"/>
        <v>2023/2022</v>
      </c>
      <c r="K128" t="str">
        <f t="shared" si="3"/>
        <v>2023/2022</v>
      </c>
      <c r="L128" s="23">
        <v>205</v>
      </c>
      <c r="M128" s="18">
        <v>2022</v>
      </c>
    </row>
    <row r="129" ht="21.75" spans="1:13">
      <c r="A129" s="18" t="s">
        <v>155</v>
      </c>
      <c r="B129" s="18" t="s">
        <v>156</v>
      </c>
      <c r="C129" s="18" t="s">
        <v>162</v>
      </c>
      <c r="D129" s="18" t="s">
        <v>158</v>
      </c>
      <c r="E129" s="18" t="s">
        <v>159</v>
      </c>
      <c r="F129" s="19" t="s">
        <v>126</v>
      </c>
      <c r="G129" s="20" t="s">
        <v>127</v>
      </c>
      <c r="H129" t="str">
        <f>'Source Table'!$H$9</f>
        <v>Male</v>
      </c>
      <c r="I129" t="str">
        <f>'Source Table'!$H$8</f>
        <v>ذكر</v>
      </c>
      <c r="J129" t="str">
        <f t="shared" si="2"/>
        <v>2023/2022</v>
      </c>
      <c r="K129" t="str">
        <f t="shared" si="3"/>
        <v>2023/2022</v>
      </c>
      <c r="L129" s="22">
        <v>1263</v>
      </c>
      <c r="M129" s="18">
        <v>2022</v>
      </c>
    </row>
    <row r="130" ht="21.75" spans="1:13">
      <c r="A130" s="18" t="s">
        <v>155</v>
      </c>
      <c r="B130" s="18" t="s">
        <v>156</v>
      </c>
      <c r="C130" s="18" t="s">
        <v>162</v>
      </c>
      <c r="D130" s="18" t="s">
        <v>158</v>
      </c>
      <c r="E130" s="18" t="s">
        <v>159</v>
      </c>
      <c r="F130" s="19" t="s">
        <v>29</v>
      </c>
      <c r="G130" s="20" t="s">
        <v>30</v>
      </c>
      <c r="H130" t="str">
        <f>'Source Table'!$G$9</f>
        <v>Female</v>
      </c>
      <c r="I130" t="str">
        <f>'Source Table'!$G$8</f>
        <v>أنثى</v>
      </c>
      <c r="J130" t="str">
        <f t="shared" si="2"/>
        <v>2023/2022</v>
      </c>
      <c r="K130" t="str">
        <f t="shared" si="3"/>
        <v>2023/2022</v>
      </c>
      <c r="L130" s="21">
        <v>6262</v>
      </c>
      <c r="M130" s="18">
        <v>2022</v>
      </c>
    </row>
    <row r="131" ht="21.75" spans="1:13">
      <c r="A131" s="18" t="s">
        <v>155</v>
      </c>
      <c r="B131" s="18" t="s">
        <v>156</v>
      </c>
      <c r="C131" s="18" t="s">
        <v>162</v>
      </c>
      <c r="D131" s="18" t="s">
        <v>158</v>
      </c>
      <c r="E131" s="18" t="s">
        <v>159</v>
      </c>
      <c r="F131" s="19" t="s">
        <v>32</v>
      </c>
      <c r="G131" s="20" t="s">
        <v>33</v>
      </c>
      <c r="H131" t="str">
        <f>'Source Table'!$G$9</f>
        <v>Female</v>
      </c>
      <c r="I131" t="str">
        <f>'Source Table'!$G$8</f>
        <v>أنثى</v>
      </c>
      <c r="J131" t="str">
        <f t="shared" si="2"/>
        <v>2023/2022</v>
      </c>
      <c r="K131" t="str">
        <f t="shared" si="3"/>
        <v>2023/2022</v>
      </c>
      <c r="L131" s="21">
        <v>9260</v>
      </c>
      <c r="M131" s="18">
        <v>2022</v>
      </c>
    </row>
    <row r="132" ht="21.75" spans="1:13">
      <c r="A132" s="18" t="s">
        <v>155</v>
      </c>
      <c r="B132" s="18" t="s">
        <v>156</v>
      </c>
      <c r="C132" s="18" t="s">
        <v>162</v>
      </c>
      <c r="D132" s="18" t="s">
        <v>158</v>
      </c>
      <c r="E132" s="18" t="s">
        <v>159</v>
      </c>
      <c r="F132" s="19" t="s">
        <v>34</v>
      </c>
      <c r="G132" s="20" t="s">
        <v>35</v>
      </c>
      <c r="H132" t="str">
        <f>'Source Table'!$G$9</f>
        <v>Female</v>
      </c>
      <c r="I132" t="str">
        <f>'Source Table'!$G$8</f>
        <v>أنثى</v>
      </c>
      <c r="J132" t="str">
        <f t="shared" si="2"/>
        <v>2023/2022</v>
      </c>
      <c r="K132" t="str">
        <f t="shared" si="3"/>
        <v>2023/2022</v>
      </c>
      <c r="L132" s="21">
        <v>1402</v>
      </c>
      <c r="M132" s="18">
        <v>2022</v>
      </c>
    </row>
    <row r="133" ht="21.75" spans="1:13">
      <c r="A133" s="18" t="s">
        <v>155</v>
      </c>
      <c r="B133" s="18" t="s">
        <v>156</v>
      </c>
      <c r="C133" s="18" t="s">
        <v>162</v>
      </c>
      <c r="D133" s="18" t="s">
        <v>158</v>
      </c>
      <c r="E133" s="18" t="s">
        <v>159</v>
      </c>
      <c r="F133" s="19" t="s">
        <v>36</v>
      </c>
      <c r="G133" s="20" t="s">
        <v>37</v>
      </c>
      <c r="H133" t="str">
        <f>'Source Table'!$G$9</f>
        <v>Female</v>
      </c>
      <c r="I133" t="str">
        <f>'Source Table'!$G$8</f>
        <v>أنثى</v>
      </c>
      <c r="J133" t="str">
        <f t="shared" ref="J133:J196" si="4">TEXT(M133+1,"0")&amp;"/"&amp;TEXT(M133,"0")</f>
        <v>2023/2022</v>
      </c>
      <c r="K133" t="str">
        <f t="shared" ref="K133:K196" si="5">TEXT(M133+1,"0")&amp;"/"&amp;TEXT(M133,"0")</f>
        <v>2023/2022</v>
      </c>
      <c r="L133" s="21">
        <v>6056</v>
      </c>
      <c r="M133" s="18">
        <v>2022</v>
      </c>
    </row>
    <row r="134" ht="21.75" spans="1:13">
      <c r="A134" s="18" t="s">
        <v>155</v>
      </c>
      <c r="B134" s="18" t="s">
        <v>156</v>
      </c>
      <c r="C134" s="18" t="s">
        <v>162</v>
      </c>
      <c r="D134" s="18" t="s">
        <v>158</v>
      </c>
      <c r="E134" s="18" t="s">
        <v>159</v>
      </c>
      <c r="F134" s="19" t="s">
        <v>38</v>
      </c>
      <c r="G134" s="20" t="s">
        <v>39</v>
      </c>
      <c r="H134" t="str">
        <f>'Source Table'!$G$9</f>
        <v>Female</v>
      </c>
      <c r="I134" t="str">
        <f>'Source Table'!$G$8</f>
        <v>أنثى</v>
      </c>
      <c r="J134" t="str">
        <f t="shared" si="4"/>
        <v>2023/2022</v>
      </c>
      <c r="K134" t="str">
        <f t="shared" si="5"/>
        <v>2023/2022</v>
      </c>
      <c r="L134" s="21">
        <v>7813</v>
      </c>
      <c r="M134" s="18">
        <v>2022</v>
      </c>
    </row>
    <row r="135" ht="21.75" spans="1:13">
      <c r="A135" s="18" t="s">
        <v>155</v>
      </c>
      <c r="B135" s="18" t="s">
        <v>156</v>
      </c>
      <c r="C135" s="18" t="s">
        <v>162</v>
      </c>
      <c r="D135" s="18" t="s">
        <v>158</v>
      </c>
      <c r="E135" s="18" t="s">
        <v>159</v>
      </c>
      <c r="F135" s="19" t="s">
        <v>40</v>
      </c>
      <c r="G135" s="20" t="s">
        <v>41</v>
      </c>
      <c r="H135" t="str">
        <f>'Source Table'!$G$9</f>
        <v>Female</v>
      </c>
      <c r="I135" t="str">
        <f>'Source Table'!$G$8</f>
        <v>أنثى</v>
      </c>
      <c r="J135" t="str">
        <f t="shared" si="4"/>
        <v>2023/2022</v>
      </c>
      <c r="K135" t="str">
        <f t="shared" si="5"/>
        <v>2023/2022</v>
      </c>
      <c r="L135" s="21">
        <v>3740</v>
      </c>
      <c r="M135" s="18">
        <v>2022</v>
      </c>
    </row>
    <row r="136" ht="21.75" spans="1:13">
      <c r="A136" s="18" t="s">
        <v>155</v>
      </c>
      <c r="B136" s="18" t="s">
        <v>156</v>
      </c>
      <c r="C136" s="18" t="s">
        <v>162</v>
      </c>
      <c r="D136" s="18" t="s">
        <v>158</v>
      </c>
      <c r="E136" s="18" t="s">
        <v>159</v>
      </c>
      <c r="F136" s="19" t="s">
        <v>42</v>
      </c>
      <c r="G136" s="20" t="s">
        <v>43</v>
      </c>
      <c r="H136" t="str">
        <f>'Source Table'!$G$9</f>
        <v>Female</v>
      </c>
      <c r="I136" t="str">
        <f>'Source Table'!$G$8</f>
        <v>أنثى</v>
      </c>
      <c r="J136" t="str">
        <f t="shared" si="4"/>
        <v>2023/2022</v>
      </c>
      <c r="K136" t="str">
        <f t="shared" si="5"/>
        <v>2023/2022</v>
      </c>
      <c r="L136" s="21">
        <v>1804</v>
      </c>
      <c r="M136" s="18">
        <v>2022</v>
      </c>
    </row>
    <row r="137" ht="21.75" spans="1:13">
      <c r="A137" s="18" t="s">
        <v>155</v>
      </c>
      <c r="B137" s="18" t="s">
        <v>156</v>
      </c>
      <c r="C137" s="18" t="s">
        <v>162</v>
      </c>
      <c r="D137" s="18" t="s">
        <v>158</v>
      </c>
      <c r="E137" s="18" t="s">
        <v>159</v>
      </c>
      <c r="F137" s="19" t="s">
        <v>44</v>
      </c>
      <c r="G137" s="20" t="s">
        <v>45</v>
      </c>
      <c r="H137" t="str">
        <f>'Source Table'!$G$9</f>
        <v>Female</v>
      </c>
      <c r="I137" t="str">
        <f>'Source Table'!$G$8</f>
        <v>أنثى</v>
      </c>
      <c r="J137" t="str">
        <f t="shared" si="4"/>
        <v>2023/2022</v>
      </c>
      <c r="K137" t="str">
        <f t="shared" si="5"/>
        <v>2023/2022</v>
      </c>
      <c r="L137" s="23">
        <v>849</v>
      </c>
      <c r="M137" s="18">
        <v>2022</v>
      </c>
    </row>
    <row r="138" ht="21.75" spans="1:13">
      <c r="A138" s="18" t="s">
        <v>155</v>
      </c>
      <c r="B138" s="18" t="s">
        <v>156</v>
      </c>
      <c r="C138" s="18" t="s">
        <v>162</v>
      </c>
      <c r="D138" s="18" t="s">
        <v>158</v>
      </c>
      <c r="E138" s="18" t="s">
        <v>159</v>
      </c>
      <c r="F138" s="19" t="s">
        <v>46</v>
      </c>
      <c r="G138" s="20" t="s">
        <v>47</v>
      </c>
      <c r="H138" t="str">
        <f>'Source Table'!$G$9</f>
        <v>Female</v>
      </c>
      <c r="I138" t="str">
        <f>'Source Table'!$G$8</f>
        <v>أنثى</v>
      </c>
      <c r="J138" t="str">
        <f t="shared" si="4"/>
        <v>2023/2022</v>
      </c>
      <c r="K138" t="str">
        <f t="shared" si="5"/>
        <v>2023/2022</v>
      </c>
      <c r="L138" s="21">
        <v>1179</v>
      </c>
      <c r="M138" s="18">
        <v>2022</v>
      </c>
    </row>
    <row r="139" ht="21.75" spans="1:13">
      <c r="A139" s="18" t="s">
        <v>155</v>
      </c>
      <c r="B139" s="18" t="s">
        <v>156</v>
      </c>
      <c r="C139" s="18" t="s">
        <v>162</v>
      </c>
      <c r="D139" s="18" t="s">
        <v>158</v>
      </c>
      <c r="E139" s="18" t="s">
        <v>159</v>
      </c>
      <c r="F139" s="19" t="s">
        <v>49</v>
      </c>
      <c r="G139" s="20" t="s">
        <v>50</v>
      </c>
      <c r="H139" t="str">
        <f>'Source Table'!$G$9</f>
        <v>Female</v>
      </c>
      <c r="I139" t="str">
        <f>'Source Table'!$G$8</f>
        <v>أنثى</v>
      </c>
      <c r="J139" t="str">
        <f t="shared" si="4"/>
        <v>2023/2022</v>
      </c>
      <c r="K139" t="str">
        <f t="shared" si="5"/>
        <v>2023/2022</v>
      </c>
      <c r="L139" s="21">
        <v>3002</v>
      </c>
      <c r="M139" s="18">
        <v>2022</v>
      </c>
    </row>
    <row r="140" ht="21.75" spans="1:13">
      <c r="A140" s="18" t="s">
        <v>155</v>
      </c>
      <c r="B140" s="18" t="s">
        <v>156</v>
      </c>
      <c r="C140" s="18" t="s">
        <v>162</v>
      </c>
      <c r="D140" s="18" t="s">
        <v>158</v>
      </c>
      <c r="E140" s="18" t="s">
        <v>159</v>
      </c>
      <c r="F140" s="19" t="s">
        <v>52</v>
      </c>
      <c r="G140" s="20" t="s">
        <v>53</v>
      </c>
      <c r="H140" t="str">
        <f>'Source Table'!$G$9</f>
        <v>Female</v>
      </c>
      <c r="I140" t="str">
        <f>'Source Table'!$G$8</f>
        <v>أنثى</v>
      </c>
      <c r="J140" t="str">
        <f t="shared" si="4"/>
        <v>2023/2022</v>
      </c>
      <c r="K140" t="str">
        <f t="shared" si="5"/>
        <v>2023/2022</v>
      </c>
      <c r="L140" s="23">
        <v>768</v>
      </c>
      <c r="M140" s="18">
        <v>2022</v>
      </c>
    </row>
    <row r="141" ht="21.75" spans="1:13">
      <c r="A141" s="18" t="s">
        <v>155</v>
      </c>
      <c r="B141" s="18" t="s">
        <v>156</v>
      </c>
      <c r="C141" s="18" t="s">
        <v>162</v>
      </c>
      <c r="D141" s="18" t="s">
        <v>158</v>
      </c>
      <c r="E141" s="18" t="s">
        <v>159</v>
      </c>
      <c r="F141" s="19" t="s">
        <v>54</v>
      </c>
      <c r="G141" s="20" t="s">
        <v>55</v>
      </c>
      <c r="H141" t="str">
        <f>'Source Table'!$G$9</f>
        <v>Female</v>
      </c>
      <c r="I141" t="str">
        <f>'Source Table'!$G$8</f>
        <v>أنثى</v>
      </c>
      <c r="J141" t="str">
        <f t="shared" si="4"/>
        <v>2023/2022</v>
      </c>
      <c r="K141" t="str">
        <f t="shared" si="5"/>
        <v>2023/2022</v>
      </c>
      <c r="L141" s="23">
        <v>678</v>
      </c>
      <c r="M141" s="18">
        <v>2022</v>
      </c>
    </row>
    <row r="142" ht="21.75" spans="1:13">
      <c r="A142" s="18" t="s">
        <v>155</v>
      </c>
      <c r="B142" s="18" t="s">
        <v>156</v>
      </c>
      <c r="C142" s="18" t="s">
        <v>162</v>
      </c>
      <c r="D142" s="18" t="s">
        <v>158</v>
      </c>
      <c r="E142" s="18" t="s">
        <v>159</v>
      </c>
      <c r="F142" s="19" t="s">
        <v>56</v>
      </c>
      <c r="G142" s="20" t="s">
        <v>57</v>
      </c>
      <c r="H142" t="str">
        <f>'Source Table'!$G$9</f>
        <v>Female</v>
      </c>
      <c r="I142" t="str">
        <f>'Source Table'!$G$8</f>
        <v>أنثى</v>
      </c>
      <c r="J142" t="str">
        <f t="shared" si="4"/>
        <v>2023/2022</v>
      </c>
      <c r="K142" t="str">
        <f t="shared" si="5"/>
        <v>2023/2022</v>
      </c>
      <c r="L142" s="21">
        <v>2367</v>
      </c>
      <c r="M142" s="18">
        <v>2022</v>
      </c>
    </row>
    <row r="143" ht="21.75" spans="1:13">
      <c r="A143" s="18" t="s">
        <v>155</v>
      </c>
      <c r="B143" s="18" t="s">
        <v>156</v>
      </c>
      <c r="C143" s="18" t="s">
        <v>162</v>
      </c>
      <c r="D143" s="18" t="s">
        <v>158</v>
      </c>
      <c r="E143" s="18" t="s">
        <v>159</v>
      </c>
      <c r="F143" s="19" t="s">
        <v>59</v>
      </c>
      <c r="G143" s="20" t="s">
        <v>160</v>
      </c>
      <c r="H143" t="str">
        <f>'Source Table'!$G$9</f>
        <v>Female</v>
      </c>
      <c r="I143" t="str">
        <f>'Source Table'!$G$8</f>
        <v>أنثى</v>
      </c>
      <c r="J143" t="str">
        <f t="shared" si="4"/>
        <v>2023/2022</v>
      </c>
      <c r="K143" t="str">
        <f t="shared" si="5"/>
        <v>2023/2022</v>
      </c>
      <c r="L143" s="21">
        <v>5452</v>
      </c>
      <c r="M143" s="18">
        <v>2022</v>
      </c>
    </row>
    <row r="144" ht="21.75" spans="1:13">
      <c r="A144" s="18" t="s">
        <v>155</v>
      </c>
      <c r="B144" s="18" t="s">
        <v>156</v>
      </c>
      <c r="C144" s="18" t="s">
        <v>162</v>
      </c>
      <c r="D144" s="18" t="s">
        <v>158</v>
      </c>
      <c r="E144" s="18" t="s">
        <v>159</v>
      </c>
      <c r="F144" s="19" t="s">
        <v>62</v>
      </c>
      <c r="G144" s="20" t="s">
        <v>161</v>
      </c>
      <c r="H144" t="str">
        <f>'Source Table'!$G$9</f>
        <v>Female</v>
      </c>
      <c r="I144" t="str">
        <f>'Source Table'!$G$8</f>
        <v>أنثى</v>
      </c>
      <c r="J144" t="str">
        <f t="shared" si="4"/>
        <v>2023/2022</v>
      </c>
      <c r="K144" t="str">
        <f t="shared" si="5"/>
        <v>2023/2022</v>
      </c>
      <c r="L144" s="21">
        <v>2230</v>
      </c>
      <c r="M144" s="18">
        <v>2022</v>
      </c>
    </row>
    <row r="145" ht="21.75" spans="1:13">
      <c r="A145" s="18" t="s">
        <v>155</v>
      </c>
      <c r="B145" s="18" t="s">
        <v>156</v>
      </c>
      <c r="C145" s="18" t="s">
        <v>162</v>
      </c>
      <c r="D145" s="18" t="s">
        <v>158</v>
      </c>
      <c r="E145" s="18" t="s">
        <v>159</v>
      </c>
      <c r="F145" s="19" t="s">
        <v>64</v>
      </c>
      <c r="G145" s="20" t="s">
        <v>65</v>
      </c>
      <c r="H145" t="str">
        <f>'Source Table'!$G$9</f>
        <v>Female</v>
      </c>
      <c r="I145" t="str">
        <f>'Source Table'!$G$8</f>
        <v>أنثى</v>
      </c>
      <c r="J145" t="str">
        <f t="shared" si="4"/>
        <v>2023/2022</v>
      </c>
      <c r="K145" t="str">
        <f t="shared" si="5"/>
        <v>2023/2022</v>
      </c>
      <c r="L145" s="21">
        <v>3433</v>
      </c>
      <c r="M145" s="18">
        <v>2022</v>
      </c>
    </row>
    <row r="146" ht="21.75" spans="1:13">
      <c r="A146" s="18" t="s">
        <v>155</v>
      </c>
      <c r="B146" s="18" t="s">
        <v>156</v>
      </c>
      <c r="C146" s="18" t="s">
        <v>162</v>
      </c>
      <c r="D146" s="18" t="s">
        <v>158</v>
      </c>
      <c r="E146" s="18" t="s">
        <v>159</v>
      </c>
      <c r="F146" s="19" t="s">
        <v>68</v>
      </c>
      <c r="G146" s="20" t="s">
        <v>69</v>
      </c>
      <c r="H146" t="str">
        <f>'Source Table'!$G$9</f>
        <v>Female</v>
      </c>
      <c r="I146" t="str">
        <f>'Source Table'!$G$8</f>
        <v>أنثى</v>
      </c>
      <c r="J146" t="str">
        <f t="shared" si="4"/>
        <v>2023/2022</v>
      </c>
      <c r="K146" t="str">
        <f t="shared" si="5"/>
        <v>2023/2022</v>
      </c>
      <c r="L146" s="21">
        <v>2114</v>
      </c>
      <c r="M146" s="18">
        <v>2022</v>
      </c>
    </row>
    <row r="147" ht="21.75" spans="1:13">
      <c r="A147" s="18" t="s">
        <v>155</v>
      </c>
      <c r="B147" s="18" t="s">
        <v>156</v>
      </c>
      <c r="C147" s="18" t="s">
        <v>162</v>
      </c>
      <c r="D147" s="18" t="s">
        <v>158</v>
      </c>
      <c r="E147" s="18" t="s">
        <v>159</v>
      </c>
      <c r="F147" s="19" t="s">
        <v>70</v>
      </c>
      <c r="G147" s="20" t="s">
        <v>71</v>
      </c>
      <c r="H147" t="str">
        <f>'Source Table'!$G$9</f>
        <v>Female</v>
      </c>
      <c r="I147" t="str">
        <f>'Source Table'!$G$8</f>
        <v>أنثى</v>
      </c>
      <c r="J147" t="str">
        <f t="shared" si="4"/>
        <v>2023/2022</v>
      </c>
      <c r="K147" t="str">
        <f t="shared" si="5"/>
        <v>2023/2022</v>
      </c>
      <c r="L147" s="23">
        <v>829</v>
      </c>
      <c r="M147" s="18">
        <v>2022</v>
      </c>
    </row>
    <row r="148" ht="21.75" spans="1:13">
      <c r="A148" s="18" t="s">
        <v>155</v>
      </c>
      <c r="B148" s="18" t="s">
        <v>156</v>
      </c>
      <c r="C148" s="18" t="s">
        <v>162</v>
      </c>
      <c r="D148" s="18" t="s">
        <v>158</v>
      </c>
      <c r="E148" s="18" t="s">
        <v>159</v>
      </c>
      <c r="F148" s="19" t="s">
        <v>74</v>
      </c>
      <c r="G148" s="20" t="s">
        <v>75</v>
      </c>
      <c r="H148" t="str">
        <f>'Source Table'!$G$9</f>
        <v>Female</v>
      </c>
      <c r="I148" t="str">
        <f>'Source Table'!$G$8</f>
        <v>أنثى</v>
      </c>
      <c r="J148" t="str">
        <f t="shared" si="4"/>
        <v>2023/2022</v>
      </c>
      <c r="K148" t="str">
        <f t="shared" si="5"/>
        <v>2023/2022</v>
      </c>
      <c r="L148" s="21">
        <v>6127</v>
      </c>
      <c r="M148" s="18">
        <v>2022</v>
      </c>
    </row>
    <row r="149" ht="21.75" spans="1:13">
      <c r="A149" s="18" t="s">
        <v>155</v>
      </c>
      <c r="B149" s="18" t="s">
        <v>156</v>
      </c>
      <c r="C149" s="18" t="s">
        <v>162</v>
      </c>
      <c r="D149" s="18" t="s">
        <v>158</v>
      </c>
      <c r="E149" s="18" t="s">
        <v>159</v>
      </c>
      <c r="F149" s="19" t="s">
        <v>76</v>
      </c>
      <c r="G149" s="20" t="s">
        <v>77</v>
      </c>
      <c r="H149" t="str">
        <f>'Source Table'!$G$9</f>
        <v>Female</v>
      </c>
      <c r="I149" t="str">
        <f>'Source Table'!$G$8</f>
        <v>أنثى</v>
      </c>
      <c r="J149" t="str">
        <f t="shared" si="4"/>
        <v>2023/2022</v>
      </c>
      <c r="K149" t="str">
        <f t="shared" si="5"/>
        <v>2023/2022</v>
      </c>
      <c r="L149" s="21">
        <v>2718</v>
      </c>
      <c r="M149" s="18">
        <v>2022</v>
      </c>
    </row>
    <row r="150" ht="21.75" spans="1:13">
      <c r="A150" s="18" t="s">
        <v>155</v>
      </c>
      <c r="B150" s="18" t="s">
        <v>156</v>
      </c>
      <c r="C150" s="18" t="s">
        <v>162</v>
      </c>
      <c r="D150" s="18" t="s">
        <v>158</v>
      </c>
      <c r="E150" s="18" t="s">
        <v>159</v>
      </c>
      <c r="F150" s="19" t="s">
        <v>78</v>
      </c>
      <c r="G150" s="20" t="s">
        <v>79</v>
      </c>
      <c r="H150" t="str">
        <f>'Source Table'!$G$9</f>
        <v>Female</v>
      </c>
      <c r="I150" t="str">
        <f>'Source Table'!$G$8</f>
        <v>أنثى</v>
      </c>
      <c r="J150" t="str">
        <f t="shared" si="4"/>
        <v>2023/2022</v>
      </c>
      <c r="K150" t="str">
        <f t="shared" si="5"/>
        <v>2023/2022</v>
      </c>
      <c r="L150" s="24">
        <v>768</v>
      </c>
      <c r="M150" s="18">
        <v>2022</v>
      </c>
    </row>
    <row r="151" ht="21.75" spans="1:13">
      <c r="A151" s="18" t="s">
        <v>155</v>
      </c>
      <c r="B151" s="18" t="s">
        <v>156</v>
      </c>
      <c r="C151" s="18" t="s">
        <v>162</v>
      </c>
      <c r="D151" s="18" t="s">
        <v>158</v>
      </c>
      <c r="E151" s="18" t="s">
        <v>159</v>
      </c>
      <c r="F151" s="19" t="s">
        <v>80</v>
      </c>
      <c r="G151" s="20" t="s">
        <v>81</v>
      </c>
      <c r="H151" t="str">
        <f>'Source Table'!$G$9</f>
        <v>Female</v>
      </c>
      <c r="I151" t="str">
        <f>'Source Table'!$G$8</f>
        <v>أنثى</v>
      </c>
      <c r="J151" t="str">
        <f t="shared" si="4"/>
        <v>2023/2022</v>
      </c>
      <c r="K151" t="str">
        <f t="shared" si="5"/>
        <v>2023/2022</v>
      </c>
      <c r="L151" s="25">
        <v>1028</v>
      </c>
      <c r="M151" s="18">
        <v>2022</v>
      </c>
    </row>
    <row r="152" ht="21.75" spans="1:13">
      <c r="A152" s="18" t="s">
        <v>155</v>
      </c>
      <c r="B152" s="18" t="s">
        <v>156</v>
      </c>
      <c r="C152" s="18" t="s">
        <v>162</v>
      </c>
      <c r="D152" s="18" t="s">
        <v>158</v>
      </c>
      <c r="E152" s="18" t="s">
        <v>159</v>
      </c>
      <c r="F152" s="19" t="s">
        <v>82</v>
      </c>
      <c r="G152" s="20" t="s">
        <v>83</v>
      </c>
      <c r="H152" t="str">
        <f>'Source Table'!$G$9</f>
        <v>Female</v>
      </c>
      <c r="I152" t="str">
        <f>'Source Table'!$G$8</f>
        <v>أنثى</v>
      </c>
      <c r="J152" t="str">
        <f t="shared" si="4"/>
        <v>2023/2022</v>
      </c>
      <c r="K152" t="str">
        <f t="shared" si="5"/>
        <v>2023/2022</v>
      </c>
      <c r="L152" s="25">
        <v>1709</v>
      </c>
      <c r="M152" s="18">
        <v>2022</v>
      </c>
    </row>
    <row r="153" ht="21.75" spans="1:13">
      <c r="A153" s="18" t="s">
        <v>155</v>
      </c>
      <c r="B153" s="18" t="s">
        <v>156</v>
      </c>
      <c r="C153" s="18" t="s">
        <v>162</v>
      </c>
      <c r="D153" s="18" t="s">
        <v>158</v>
      </c>
      <c r="E153" s="18" t="s">
        <v>159</v>
      </c>
      <c r="F153" s="19" t="s">
        <v>84</v>
      </c>
      <c r="G153" s="20" t="s">
        <v>85</v>
      </c>
      <c r="H153" t="str">
        <f>'Source Table'!$G$9</f>
        <v>Female</v>
      </c>
      <c r="I153" t="str">
        <f>'Source Table'!$G$8</f>
        <v>أنثى</v>
      </c>
      <c r="J153" t="str">
        <f t="shared" si="4"/>
        <v>2023/2022</v>
      </c>
      <c r="K153" t="str">
        <f t="shared" si="5"/>
        <v>2023/2022</v>
      </c>
      <c r="L153" s="25">
        <v>1459</v>
      </c>
      <c r="M153" s="18">
        <v>2022</v>
      </c>
    </row>
    <row r="154" ht="21.75" spans="1:13">
      <c r="A154" s="18" t="s">
        <v>155</v>
      </c>
      <c r="B154" s="18" t="s">
        <v>156</v>
      </c>
      <c r="C154" s="18" t="s">
        <v>162</v>
      </c>
      <c r="D154" s="18" t="s">
        <v>158</v>
      </c>
      <c r="E154" s="18" t="s">
        <v>159</v>
      </c>
      <c r="F154" s="19" t="s">
        <v>86</v>
      </c>
      <c r="G154" s="20" t="s">
        <v>87</v>
      </c>
      <c r="H154" t="str">
        <f>'Source Table'!$G$9</f>
        <v>Female</v>
      </c>
      <c r="I154" t="str">
        <f>'Source Table'!$G$8</f>
        <v>أنثى</v>
      </c>
      <c r="J154" t="str">
        <f t="shared" si="4"/>
        <v>2023/2022</v>
      </c>
      <c r="K154" t="str">
        <f t="shared" si="5"/>
        <v>2023/2022</v>
      </c>
      <c r="L154" s="25">
        <v>1151</v>
      </c>
      <c r="M154" s="18">
        <v>2022</v>
      </c>
    </row>
    <row r="155" ht="21.75" spans="1:13">
      <c r="A155" s="18" t="s">
        <v>155</v>
      </c>
      <c r="B155" s="18" t="s">
        <v>156</v>
      </c>
      <c r="C155" s="18" t="s">
        <v>162</v>
      </c>
      <c r="D155" s="18" t="s">
        <v>158</v>
      </c>
      <c r="E155" s="18" t="s">
        <v>159</v>
      </c>
      <c r="F155" s="19" t="s">
        <v>88</v>
      </c>
      <c r="G155" s="20" t="s">
        <v>89</v>
      </c>
      <c r="H155" t="str">
        <f>'Source Table'!$G$9</f>
        <v>Female</v>
      </c>
      <c r="I155" t="str">
        <f>'Source Table'!$G$8</f>
        <v>أنثى</v>
      </c>
      <c r="J155" t="str">
        <f t="shared" si="4"/>
        <v>2023/2022</v>
      </c>
      <c r="K155" t="str">
        <f t="shared" si="5"/>
        <v>2023/2022</v>
      </c>
      <c r="L155" s="25">
        <v>2221</v>
      </c>
      <c r="M155" s="18">
        <v>2022</v>
      </c>
    </row>
    <row r="156" ht="21.75" spans="1:13">
      <c r="A156" s="18" t="s">
        <v>155</v>
      </c>
      <c r="B156" s="18" t="s">
        <v>156</v>
      </c>
      <c r="C156" s="18" t="s">
        <v>162</v>
      </c>
      <c r="D156" s="18" t="s">
        <v>158</v>
      </c>
      <c r="E156" s="18" t="s">
        <v>159</v>
      </c>
      <c r="F156" s="19" t="s">
        <v>91</v>
      </c>
      <c r="G156" s="20" t="s">
        <v>92</v>
      </c>
      <c r="H156" t="str">
        <f>'Source Table'!$G$9</f>
        <v>Female</v>
      </c>
      <c r="I156" t="str">
        <f>'Source Table'!$G$8</f>
        <v>أنثى</v>
      </c>
      <c r="J156" t="str">
        <f t="shared" si="4"/>
        <v>2023/2022</v>
      </c>
      <c r="K156" t="str">
        <f t="shared" si="5"/>
        <v>2023/2022</v>
      </c>
      <c r="L156" s="25">
        <v>2616</v>
      </c>
      <c r="M156" s="18">
        <v>2022</v>
      </c>
    </row>
    <row r="157" ht="21.75" spans="1:13">
      <c r="A157" s="18" t="s">
        <v>155</v>
      </c>
      <c r="B157" s="18" t="s">
        <v>156</v>
      </c>
      <c r="C157" s="18" t="s">
        <v>162</v>
      </c>
      <c r="D157" s="18" t="s">
        <v>158</v>
      </c>
      <c r="E157" s="18" t="s">
        <v>159</v>
      </c>
      <c r="F157" s="19" t="s">
        <v>94</v>
      </c>
      <c r="G157" s="20" t="s">
        <v>95</v>
      </c>
      <c r="H157" t="str">
        <f>'Source Table'!$G$9</f>
        <v>Female</v>
      </c>
      <c r="I157" t="str">
        <f>'Source Table'!$G$8</f>
        <v>أنثى</v>
      </c>
      <c r="J157" t="str">
        <f t="shared" si="4"/>
        <v>2023/2022</v>
      </c>
      <c r="K157" t="str">
        <f t="shared" si="5"/>
        <v>2023/2022</v>
      </c>
      <c r="L157" s="25">
        <v>1966</v>
      </c>
      <c r="M157" s="18">
        <v>2022</v>
      </c>
    </row>
    <row r="158" ht="21.75" spans="1:13">
      <c r="A158" s="18" t="s">
        <v>155</v>
      </c>
      <c r="B158" s="18" t="s">
        <v>156</v>
      </c>
      <c r="C158" s="18" t="s">
        <v>162</v>
      </c>
      <c r="D158" s="18" t="s">
        <v>158</v>
      </c>
      <c r="E158" s="18" t="s">
        <v>159</v>
      </c>
      <c r="F158" s="19" t="s">
        <v>96</v>
      </c>
      <c r="G158" s="20" t="s">
        <v>97</v>
      </c>
      <c r="H158" t="str">
        <f>'Source Table'!$G$9</f>
        <v>Female</v>
      </c>
      <c r="I158" t="str">
        <f>'Source Table'!$G$8</f>
        <v>أنثى</v>
      </c>
      <c r="J158" t="str">
        <f t="shared" si="4"/>
        <v>2023/2022</v>
      </c>
      <c r="K158" t="str">
        <f t="shared" si="5"/>
        <v>2023/2022</v>
      </c>
      <c r="L158" s="25">
        <v>2448</v>
      </c>
      <c r="M158" s="18">
        <v>2022</v>
      </c>
    </row>
    <row r="159" ht="21.75" spans="1:13">
      <c r="A159" s="18" t="s">
        <v>155</v>
      </c>
      <c r="B159" s="18" t="s">
        <v>156</v>
      </c>
      <c r="C159" s="18" t="s">
        <v>162</v>
      </c>
      <c r="D159" s="18" t="s">
        <v>158</v>
      </c>
      <c r="E159" s="18" t="s">
        <v>159</v>
      </c>
      <c r="F159" s="19" t="s">
        <v>98</v>
      </c>
      <c r="G159" s="20" t="s">
        <v>99</v>
      </c>
      <c r="H159" t="str">
        <f>'Source Table'!$G$9</f>
        <v>Female</v>
      </c>
      <c r="I159" t="str">
        <f>'Source Table'!$G$8</f>
        <v>أنثى</v>
      </c>
      <c r="J159" t="str">
        <f t="shared" si="4"/>
        <v>2023/2022</v>
      </c>
      <c r="K159" t="str">
        <f t="shared" si="5"/>
        <v>2023/2022</v>
      </c>
      <c r="L159" s="25">
        <v>2896</v>
      </c>
      <c r="M159" s="18">
        <v>2022</v>
      </c>
    </row>
    <row r="160" ht="21.75" spans="1:13">
      <c r="A160" s="18" t="s">
        <v>155</v>
      </c>
      <c r="B160" s="18" t="s">
        <v>156</v>
      </c>
      <c r="C160" s="18" t="s">
        <v>162</v>
      </c>
      <c r="D160" s="18" t="s">
        <v>158</v>
      </c>
      <c r="E160" s="18" t="s">
        <v>159</v>
      </c>
      <c r="F160" s="19" t="s">
        <v>100</v>
      </c>
      <c r="G160" s="20" t="s">
        <v>101</v>
      </c>
      <c r="H160" t="str">
        <f>'Source Table'!$G$9</f>
        <v>Female</v>
      </c>
      <c r="I160" t="str">
        <f>'Source Table'!$G$8</f>
        <v>أنثى</v>
      </c>
      <c r="J160" t="str">
        <f t="shared" si="4"/>
        <v>2023/2022</v>
      </c>
      <c r="K160" t="str">
        <f t="shared" si="5"/>
        <v>2023/2022</v>
      </c>
      <c r="L160" s="25">
        <v>2560</v>
      </c>
      <c r="M160" s="18">
        <v>2022</v>
      </c>
    </row>
    <row r="161" ht="21.75" spans="1:13">
      <c r="A161" s="18" t="s">
        <v>155</v>
      </c>
      <c r="B161" s="18" t="s">
        <v>156</v>
      </c>
      <c r="C161" s="18" t="s">
        <v>162</v>
      </c>
      <c r="D161" s="18" t="s">
        <v>158</v>
      </c>
      <c r="E161" s="18" t="s">
        <v>159</v>
      </c>
      <c r="F161" s="19" t="s">
        <v>103</v>
      </c>
      <c r="G161" s="20" t="s">
        <v>104</v>
      </c>
      <c r="H161" t="str">
        <f>'Source Table'!$G$9</f>
        <v>Female</v>
      </c>
      <c r="I161" t="str">
        <f>'Source Table'!$G$8</f>
        <v>أنثى</v>
      </c>
      <c r="J161" t="str">
        <f t="shared" si="4"/>
        <v>2023/2022</v>
      </c>
      <c r="K161" t="str">
        <f t="shared" si="5"/>
        <v>2023/2022</v>
      </c>
      <c r="L161" s="25">
        <v>1866</v>
      </c>
      <c r="M161" s="18">
        <v>2022</v>
      </c>
    </row>
    <row r="162" ht="21.75" spans="1:13">
      <c r="A162" s="18" t="s">
        <v>155</v>
      </c>
      <c r="B162" s="18" t="s">
        <v>156</v>
      </c>
      <c r="C162" s="18" t="s">
        <v>162</v>
      </c>
      <c r="D162" s="18" t="s">
        <v>158</v>
      </c>
      <c r="E162" s="18" t="s">
        <v>159</v>
      </c>
      <c r="F162" s="19" t="s">
        <v>106</v>
      </c>
      <c r="G162" s="20" t="s">
        <v>107</v>
      </c>
      <c r="H162" t="str">
        <f>'Source Table'!$G$9</f>
        <v>Female</v>
      </c>
      <c r="I162" t="str">
        <f>'Source Table'!$G$8</f>
        <v>أنثى</v>
      </c>
      <c r="J162" t="str">
        <f t="shared" si="4"/>
        <v>2023/2022</v>
      </c>
      <c r="K162" t="str">
        <f t="shared" si="5"/>
        <v>2023/2022</v>
      </c>
      <c r="L162" s="25">
        <v>1507</v>
      </c>
      <c r="M162" s="18">
        <v>2022</v>
      </c>
    </row>
    <row r="163" ht="21.75" spans="1:13">
      <c r="A163" s="18" t="s">
        <v>155</v>
      </c>
      <c r="B163" s="18" t="s">
        <v>156</v>
      </c>
      <c r="C163" s="18" t="s">
        <v>162</v>
      </c>
      <c r="D163" s="18" t="s">
        <v>158</v>
      </c>
      <c r="E163" s="18" t="s">
        <v>159</v>
      </c>
      <c r="F163" s="19" t="s">
        <v>108</v>
      </c>
      <c r="G163" s="20" t="s">
        <v>109</v>
      </c>
      <c r="H163" t="str">
        <f>'Source Table'!$G$9</f>
        <v>Female</v>
      </c>
      <c r="I163" t="str">
        <f>'Source Table'!$G$8</f>
        <v>أنثى</v>
      </c>
      <c r="J163" t="str">
        <f t="shared" si="4"/>
        <v>2023/2022</v>
      </c>
      <c r="K163" t="str">
        <f t="shared" si="5"/>
        <v>2023/2022</v>
      </c>
      <c r="L163" s="25">
        <v>1028</v>
      </c>
      <c r="M163" s="18">
        <v>2022</v>
      </c>
    </row>
    <row r="164" ht="21.75" spans="1:13">
      <c r="A164" s="18" t="s">
        <v>155</v>
      </c>
      <c r="B164" s="18" t="s">
        <v>156</v>
      </c>
      <c r="C164" s="18" t="s">
        <v>162</v>
      </c>
      <c r="D164" s="18" t="s">
        <v>158</v>
      </c>
      <c r="E164" s="18" t="s">
        <v>159</v>
      </c>
      <c r="F164" s="19" t="s">
        <v>110</v>
      </c>
      <c r="G164" s="20" t="s">
        <v>111</v>
      </c>
      <c r="H164" t="str">
        <f>'Source Table'!$G$9</f>
        <v>Female</v>
      </c>
      <c r="I164" t="str">
        <f>'Source Table'!$G$8</f>
        <v>أنثى</v>
      </c>
      <c r="J164" t="str">
        <f t="shared" si="4"/>
        <v>2023/2022</v>
      </c>
      <c r="K164" t="str">
        <f t="shared" si="5"/>
        <v>2023/2022</v>
      </c>
      <c r="L164" s="24">
        <v>821</v>
      </c>
      <c r="M164" s="18">
        <v>2022</v>
      </c>
    </row>
    <row r="165" ht="21.75" spans="1:13">
      <c r="A165" s="18" t="s">
        <v>155</v>
      </c>
      <c r="B165" s="18" t="s">
        <v>156</v>
      </c>
      <c r="C165" s="18" t="s">
        <v>162</v>
      </c>
      <c r="D165" s="18" t="s">
        <v>158</v>
      </c>
      <c r="E165" s="18" t="s">
        <v>159</v>
      </c>
      <c r="F165" s="19" t="s">
        <v>113</v>
      </c>
      <c r="G165" s="20" t="s">
        <v>114</v>
      </c>
      <c r="H165" t="str">
        <f>'Source Table'!$G$9</f>
        <v>Female</v>
      </c>
      <c r="I165" t="str">
        <f>'Source Table'!$G$8</f>
        <v>أنثى</v>
      </c>
      <c r="J165" t="str">
        <f t="shared" si="4"/>
        <v>2023/2022</v>
      </c>
      <c r="K165" t="str">
        <f t="shared" si="5"/>
        <v>2023/2022</v>
      </c>
      <c r="L165" s="25">
        <v>1360</v>
      </c>
      <c r="M165" s="18">
        <v>2022</v>
      </c>
    </row>
    <row r="166" ht="21.75" spans="1:13">
      <c r="A166" s="18" t="s">
        <v>155</v>
      </c>
      <c r="B166" s="18" t="s">
        <v>156</v>
      </c>
      <c r="C166" s="18" t="s">
        <v>162</v>
      </c>
      <c r="D166" s="18" t="s">
        <v>158</v>
      </c>
      <c r="E166" s="18" t="s">
        <v>159</v>
      </c>
      <c r="F166" s="19" t="s">
        <v>115</v>
      </c>
      <c r="G166" s="20" t="s">
        <v>116</v>
      </c>
      <c r="H166" t="str">
        <f>'Source Table'!$G$9</f>
        <v>Female</v>
      </c>
      <c r="I166" t="str">
        <f>'Source Table'!$G$8</f>
        <v>أنثى</v>
      </c>
      <c r="J166" t="str">
        <f t="shared" si="4"/>
        <v>2023/2022</v>
      </c>
      <c r="K166" t="str">
        <f t="shared" si="5"/>
        <v>2023/2022</v>
      </c>
      <c r="L166" s="24">
        <v>457</v>
      </c>
      <c r="M166" s="18">
        <v>2022</v>
      </c>
    </row>
    <row r="167" ht="21.75" spans="1:13">
      <c r="A167" s="18" t="s">
        <v>155</v>
      </c>
      <c r="B167" s="18" t="s">
        <v>156</v>
      </c>
      <c r="C167" s="18" t="s">
        <v>162</v>
      </c>
      <c r="D167" s="18" t="s">
        <v>158</v>
      </c>
      <c r="E167" s="18" t="s">
        <v>159</v>
      </c>
      <c r="F167" s="19" t="s">
        <v>118</v>
      </c>
      <c r="G167" s="20" t="s">
        <v>119</v>
      </c>
      <c r="H167" t="str">
        <f>'Source Table'!$G$9</f>
        <v>Female</v>
      </c>
      <c r="I167" t="str">
        <f>'Source Table'!$G$8</f>
        <v>أنثى</v>
      </c>
      <c r="J167" t="str">
        <f t="shared" si="4"/>
        <v>2023/2022</v>
      </c>
      <c r="K167" t="str">
        <f t="shared" si="5"/>
        <v>2023/2022</v>
      </c>
      <c r="L167" s="24">
        <v>795</v>
      </c>
      <c r="M167" s="18">
        <v>2022</v>
      </c>
    </row>
    <row r="168" ht="21.75" spans="1:13">
      <c r="A168" s="18" t="s">
        <v>155</v>
      </c>
      <c r="B168" s="18" t="s">
        <v>156</v>
      </c>
      <c r="C168" s="18" t="s">
        <v>162</v>
      </c>
      <c r="D168" s="18" t="s">
        <v>158</v>
      </c>
      <c r="E168" s="18" t="s">
        <v>159</v>
      </c>
      <c r="F168" s="19" t="s">
        <v>120</v>
      </c>
      <c r="G168" s="20" t="s">
        <v>121</v>
      </c>
      <c r="H168" t="str">
        <f>'Source Table'!$G$9</f>
        <v>Female</v>
      </c>
      <c r="I168" t="str">
        <f>'Source Table'!$G$8</f>
        <v>أنثى</v>
      </c>
      <c r="J168" t="str">
        <f t="shared" si="4"/>
        <v>2023/2022</v>
      </c>
      <c r="K168" t="str">
        <f t="shared" si="5"/>
        <v>2023/2022</v>
      </c>
      <c r="L168" s="25">
        <v>1004</v>
      </c>
      <c r="M168" s="18">
        <v>2022</v>
      </c>
    </row>
    <row r="169" ht="21.75" spans="1:13">
      <c r="A169" s="18" t="s">
        <v>155</v>
      </c>
      <c r="B169" s="18" t="s">
        <v>156</v>
      </c>
      <c r="C169" s="18" t="s">
        <v>162</v>
      </c>
      <c r="D169" s="18" t="s">
        <v>158</v>
      </c>
      <c r="E169" s="18" t="s">
        <v>159</v>
      </c>
      <c r="F169" s="19" t="s">
        <v>122</v>
      </c>
      <c r="G169" s="20" t="s">
        <v>123</v>
      </c>
      <c r="H169" t="str">
        <f>'Source Table'!$G$9</f>
        <v>Female</v>
      </c>
      <c r="I169" t="str">
        <f>'Source Table'!$G$8</f>
        <v>أنثى</v>
      </c>
      <c r="J169" t="str">
        <f t="shared" si="4"/>
        <v>2023/2022</v>
      </c>
      <c r="K169" t="str">
        <f t="shared" si="5"/>
        <v>2023/2022</v>
      </c>
      <c r="L169" s="24">
        <v>606</v>
      </c>
      <c r="M169" s="18">
        <v>2022</v>
      </c>
    </row>
    <row r="170" ht="21.75" spans="1:13">
      <c r="A170" s="18" t="s">
        <v>155</v>
      </c>
      <c r="B170" s="18" t="s">
        <v>156</v>
      </c>
      <c r="C170" s="18" t="s">
        <v>162</v>
      </c>
      <c r="D170" s="18" t="s">
        <v>158</v>
      </c>
      <c r="E170" s="18" t="s">
        <v>159</v>
      </c>
      <c r="F170" s="19" t="s">
        <v>124</v>
      </c>
      <c r="G170" s="20" t="s">
        <v>125</v>
      </c>
      <c r="H170" t="str">
        <f>'Source Table'!$G$9</f>
        <v>Female</v>
      </c>
      <c r="I170" t="str">
        <f>'Source Table'!$G$8</f>
        <v>أنثى</v>
      </c>
      <c r="J170" t="str">
        <f t="shared" si="4"/>
        <v>2023/2022</v>
      </c>
      <c r="K170" t="str">
        <f t="shared" si="5"/>
        <v>2023/2022</v>
      </c>
      <c r="L170" s="24">
        <v>370</v>
      </c>
      <c r="M170" s="18">
        <v>2022</v>
      </c>
    </row>
    <row r="171" ht="21.75" spans="1:13">
      <c r="A171" s="18" t="s">
        <v>155</v>
      </c>
      <c r="B171" s="18" t="s">
        <v>156</v>
      </c>
      <c r="C171" s="18" t="s">
        <v>162</v>
      </c>
      <c r="D171" s="18" t="s">
        <v>158</v>
      </c>
      <c r="E171" s="18" t="s">
        <v>159</v>
      </c>
      <c r="F171" s="19" t="s">
        <v>126</v>
      </c>
      <c r="G171" s="20" t="s">
        <v>127</v>
      </c>
      <c r="H171" t="str">
        <f>'Source Table'!$G$9</f>
        <v>Female</v>
      </c>
      <c r="I171" t="str">
        <f>'Source Table'!$G$8</f>
        <v>أنثى</v>
      </c>
      <c r="J171" t="str">
        <f t="shared" si="4"/>
        <v>2023/2022</v>
      </c>
      <c r="K171" t="str">
        <f t="shared" si="5"/>
        <v>2023/2022</v>
      </c>
      <c r="L171" s="25">
        <v>2540</v>
      </c>
      <c r="M171" s="18">
        <v>2022</v>
      </c>
    </row>
    <row r="172" ht="21.75" spans="1:13">
      <c r="A172" s="18" t="s">
        <v>155</v>
      </c>
      <c r="B172" s="18" t="s">
        <v>156</v>
      </c>
      <c r="C172" s="18" t="s">
        <v>157</v>
      </c>
      <c r="D172" s="18" t="s">
        <v>158</v>
      </c>
      <c r="E172" s="18" t="s">
        <v>159</v>
      </c>
      <c r="F172" s="19" t="s">
        <v>29</v>
      </c>
      <c r="G172" s="20" t="s">
        <v>30</v>
      </c>
      <c r="H172" t="str">
        <f>'Source Table'!$H$9</f>
        <v>Male</v>
      </c>
      <c r="I172" t="str">
        <f>'Source Table'!$H$8</f>
        <v>ذكر</v>
      </c>
      <c r="J172" t="str">
        <f t="shared" si="4"/>
        <v>2022/2021</v>
      </c>
      <c r="K172" t="str">
        <f t="shared" si="5"/>
        <v>2022/2021</v>
      </c>
      <c r="L172" s="26">
        <v>76246</v>
      </c>
      <c r="M172" s="18">
        <v>2021</v>
      </c>
    </row>
    <row r="173" ht="21.75" spans="1:13">
      <c r="A173" s="18" t="s">
        <v>155</v>
      </c>
      <c r="B173" s="18" t="s">
        <v>156</v>
      </c>
      <c r="C173" s="18" t="s">
        <v>157</v>
      </c>
      <c r="D173" s="18" t="s">
        <v>158</v>
      </c>
      <c r="E173" s="18" t="s">
        <v>159</v>
      </c>
      <c r="F173" s="19" t="s">
        <v>32</v>
      </c>
      <c r="G173" s="20" t="s">
        <v>33</v>
      </c>
      <c r="H173" t="str">
        <f>'Source Table'!$H$9</f>
        <v>Male</v>
      </c>
      <c r="I173" t="str">
        <f>'Source Table'!$H$8</f>
        <v>ذكر</v>
      </c>
      <c r="J173" t="str">
        <f t="shared" si="4"/>
        <v>2022/2021</v>
      </c>
      <c r="K173" t="str">
        <f t="shared" si="5"/>
        <v>2022/2021</v>
      </c>
      <c r="L173" s="26">
        <v>76114</v>
      </c>
      <c r="M173" s="18">
        <v>2021</v>
      </c>
    </row>
    <row r="174" ht="21.75" spans="1:13">
      <c r="A174" s="18" t="s">
        <v>155</v>
      </c>
      <c r="B174" s="18" t="s">
        <v>156</v>
      </c>
      <c r="C174" s="18" t="s">
        <v>157</v>
      </c>
      <c r="D174" s="18" t="s">
        <v>158</v>
      </c>
      <c r="E174" s="18" t="s">
        <v>159</v>
      </c>
      <c r="F174" s="19" t="s">
        <v>34</v>
      </c>
      <c r="G174" s="20" t="s">
        <v>35</v>
      </c>
      <c r="H174" t="str">
        <f>'Source Table'!$H$9</f>
        <v>Male</v>
      </c>
      <c r="I174" t="str">
        <f>'Source Table'!$H$8</f>
        <v>ذكر</v>
      </c>
      <c r="J174" t="str">
        <f t="shared" si="4"/>
        <v>2022/2021</v>
      </c>
      <c r="K174" t="str">
        <f t="shared" si="5"/>
        <v>2022/2021</v>
      </c>
      <c r="L174" s="26">
        <v>17612</v>
      </c>
      <c r="M174" s="18">
        <v>2021</v>
      </c>
    </row>
    <row r="175" ht="21.75" spans="1:13">
      <c r="A175" s="18" t="s">
        <v>155</v>
      </c>
      <c r="B175" s="18" t="s">
        <v>156</v>
      </c>
      <c r="C175" s="18" t="s">
        <v>157</v>
      </c>
      <c r="D175" s="18" t="s">
        <v>158</v>
      </c>
      <c r="E175" s="18" t="s">
        <v>159</v>
      </c>
      <c r="F175" s="19" t="s">
        <v>36</v>
      </c>
      <c r="G175" s="20" t="s">
        <v>37</v>
      </c>
      <c r="H175" t="str">
        <f>'Source Table'!$H$9</f>
        <v>Male</v>
      </c>
      <c r="I175" t="str">
        <f>'Source Table'!$H$8</f>
        <v>ذكر</v>
      </c>
      <c r="J175" t="str">
        <f t="shared" si="4"/>
        <v>2022/2021</v>
      </c>
      <c r="K175" t="str">
        <f t="shared" si="5"/>
        <v>2022/2021</v>
      </c>
      <c r="L175" s="26">
        <v>73112</v>
      </c>
      <c r="M175" s="18">
        <v>2021</v>
      </c>
    </row>
    <row r="176" ht="21.75" spans="1:13">
      <c r="A176" s="18" t="s">
        <v>155</v>
      </c>
      <c r="B176" s="18" t="s">
        <v>156</v>
      </c>
      <c r="C176" s="18" t="s">
        <v>157</v>
      </c>
      <c r="D176" s="18" t="s">
        <v>158</v>
      </c>
      <c r="E176" s="18" t="s">
        <v>159</v>
      </c>
      <c r="F176" s="19" t="s">
        <v>38</v>
      </c>
      <c r="G176" s="20" t="s">
        <v>39</v>
      </c>
      <c r="H176" t="str">
        <f>'Source Table'!$H$9</f>
        <v>Male</v>
      </c>
      <c r="I176" t="str">
        <f>'Source Table'!$H$8</f>
        <v>ذكر</v>
      </c>
      <c r="J176" t="str">
        <f t="shared" si="4"/>
        <v>2022/2021</v>
      </c>
      <c r="K176" t="str">
        <f t="shared" si="5"/>
        <v>2022/2021</v>
      </c>
      <c r="L176" s="26">
        <v>101293</v>
      </c>
      <c r="M176" s="18">
        <v>2021</v>
      </c>
    </row>
    <row r="177" ht="21.75" spans="1:13">
      <c r="A177" s="18" t="s">
        <v>155</v>
      </c>
      <c r="B177" s="18" t="s">
        <v>156</v>
      </c>
      <c r="C177" s="18" t="s">
        <v>157</v>
      </c>
      <c r="D177" s="18" t="s">
        <v>158</v>
      </c>
      <c r="E177" s="18" t="s">
        <v>159</v>
      </c>
      <c r="F177" s="19" t="s">
        <v>40</v>
      </c>
      <c r="G177" s="20" t="s">
        <v>41</v>
      </c>
      <c r="H177" t="str">
        <f>'Source Table'!$H$9</f>
        <v>Male</v>
      </c>
      <c r="I177" t="str">
        <f>'Source Table'!$H$8</f>
        <v>ذكر</v>
      </c>
      <c r="J177" t="str">
        <f t="shared" si="4"/>
        <v>2022/2021</v>
      </c>
      <c r="K177" t="str">
        <f t="shared" si="5"/>
        <v>2022/2021</v>
      </c>
      <c r="L177" s="26">
        <v>34020</v>
      </c>
      <c r="M177" s="18">
        <v>2021</v>
      </c>
    </row>
    <row r="178" ht="21.75" spans="1:13">
      <c r="A178" s="18" t="s">
        <v>155</v>
      </c>
      <c r="B178" s="18" t="s">
        <v>156</v>
      </c>
      <c r="C178" s="18" t="s">
        <v>157</v>
      </c>
      <c r="D178" s="18" t="s">
        <v>158</v>
      </c>
      <c r="E178" s="18" t="s">
        <v>159</v>
      </c>
      <c r="F178" s="19" t="s">
        <v>42</v>
      </c>
      <c r="G178" s="20" t="s">
        <v>43</v>
      </c>
      <c r="H178" t="str">
        <f>'Source Table'!$H$9</f>
        <v>Male</v>
      </c>
      <c r="I178" t="str">
        <f>'Source Table'!$H$8</f>
        <v>ذكر</v>
      </c>
      <c r="J178" t="str">
        <f t="shared" si="4"/>
        <v>2022/2021</v>
      </c>
      <c r="K178" t="str">
        <f t="shared" si="5"/>
        <v>2022/2021</v>
      </c>
      <c r="L178" s="26">
        <v>16893</v>
      </c>
      <c r="M178" s="18">
        <v>2021</v>
      </c>
    </row>
    <row r="179" ht="21.75" spans="1:13">
      <c r="A179" s="18" t="s">
        <v>155</v>
      </c>
      <c r="B179" s="18" t="s">
        <v>156</v>
      </c>
      <c r="C179" s="18" t="s">
        <v>157</v>
      </c>
      <c r="D179" s="18" t="s">
        <v>158</v>
      </c>
      <c r="E179" s="18" t="s">
        <v>159</v>
      </c>
      <c r="F179" s="19" t="s">
        <v>44</v>
      </c>
      <c r="G179" s="20" t="s">
        <v>45</v>
      </c>
      <c r="H179" t="str">
        <f>'Source Table'!$H$9</f>
        <v>Male</v>
      </c>
      <c r="I179" t="str">
        <f>'Source Table'!$H$8</f>
        <v>ذكر</v>
      </c>
      <c r="J179" t="str">
        <f t="shared" si="4"/>
        <v>2022/2021</v>
      </c>
      <c r="K179" t="str">
        <f t="shared" si="5"/>
        <v>2022/2021</v>
      </c>
      <c r="L179" s="26">
        <v>9549</v>
      </c>
      <c r="M179" s="18">
        <v>2021</v>
      </c>
    </row>
    <row r="180" ht="21.75" spans="1:13">
      <c r="A180" s="18" t="s">
        <v>155</v>
      </c>
      <c r="B180" s="18" t="s">
        <v>156</v>
      </c>
      <c r="C180" s="18" t="s">
        <v>157</v>
      </c>
      <c r="D180" s="18" t="s">
        <v>158</v>
      </c>
      <c r="E180" s="18" t="s">
        <v>159</v>
      </c>
      <c r="F180" s="19" t="s">
        <v>46</v>
      </c>
      <c r="G180" s="20" t="s">
        <v>47</v>
      </c>
      <c r="H180" t="str">
        <f>'Source Table'!$H$9</f>
        <v>Male</v>
      </c>
      <c r="I180" t="str">
        <f>'Source Table'!$H$8</f>
        <v>ذكر</v>
      </c>
      <c r="J180" t="str">
        <f t="shared" si="4"/>
        <v>2022/2021</v>
      </c>
      <c r="K180" t="str">
        <f t="shared" si="5"/>
        <v>2022/2021</v>
      </c>
      <c r="L180" s="26">
        <v>10539</v>
      </c>
      <c r="M180" s="18">
        <v>2021</v>
      </c>
    </row>
    <row r="181" ht="21.75" spans="1:13">
      <c r="A181" s="18" t="s">
        <v>155</v>
      </c>
      <c r="B181" s="18" t="s">
        <v>156</v>
      </c>
      <c r="C181" s="18" t="s">
        <v>157</v>
      </c>
      <c r="D181" s="18" t="s">
        <v>158</v>
      </c>
      <c r="E181" s="18" t="s">
        <v>159</v>
      </c>
      <c r="F181" s="19" t="s">
        <v>49</v>
      </c>
      <c r="G181" s="20" t="s">
        <v>50</v>
      </c>
      <c r="H181" t="str">
        <f>'Source Table'!$H$9</f>
        <v>Male</v>
      </c>
      <c r="I181" t="str">
        <f>'Source Table'!$H$8</f>
        <v>ذكر</v>
      </c>
      <c r="J181" t="str">
        <f t="shared" si="4"/>
        <v>2022/2021</v>
      </c>
      <c r="K181" t="str">
        <f t="shared" si="5"/>
        <v>2022/2021</v>
      </c>
      <c r="L181" s="26">
        <v>27355</v>
      </c>
      <c r="M181" s="18">
        <v>2021</v>
      </c>
    </row>
    <row r="182" ht="21.75" spans="1:13">
      <c r="A182" s="18" t="s">
        <v>155</v>
      </c>
      <c r="B182" s="18" t="s">
        <v>156</v>
      </c>
      <c r="C182" s="18" t="s">
        <v>157</v>
      </c>
      <c r="D182" s="18" t="s">
        <v>158</v>
      </c>
      <c r="E182" s="18" t="s">
        <v>159</v>
      </c>
      <c r="F182" s="19" t="s">
        <v>52</v>
      </c>
      <c r="G182" s="20" t="s">
        <v>53</v>
      </c>
      <c r="H182" t="str">
        <f>'Source Table'!$H$9</f>
        <v>Male</v>
      </c>
      <c r="I182" t="str">
        <f>'Source Table'!$H$8</f>
        <v>ذكر</v>
      </c>
      <c r="J182" t="str">
        <f t="shared" si="4"/>
        <v>2022/2021</v>
      </c>
      <c r="K182" t="str">
        <f t="shared" si="5"/>
        <v>2022/2021</v>
      </c>
      <c r="L182" s="26">
        <v>9944</v>
      </c>
      <c r="M182" s="18">
        <v>2021</v>
      </c>
    </row>
    <row r="183" ht="21.75" spans="1:13">
      <c r="A183" s="18" t="s">
        <v>155</v>
      </c>
      <c r="B183" s="18" t="s">
        <v>156</v>
      </c>
      <c r="C183" s="18" t="s">
        <v>157</v>
      </c>
      <c r="D183" s="18" t="s">
        <v>158</v>
      </c>
      <c r="E183" s="18" t="s">
        <v>159</v>
      </c>
      <c r="F183" s="19" t="s">
        <v>54</v>
      </c>
      <c r="G183" s="20" t="s">
        <v>55</v>
      </c>
      <c r="H183" t="str">
        <f>'Source Table'!$H$9</f>
        <v>Male</v>
      </c>
      <c r="I183" t="str">
        <f>'Source Table'!$H$8</f>
        <v>ذكر</v>
      </c>
      <c r="J183" t="str">
        <f t="shared" si="4"/>
        <v>2022/2021</v>
      </c>
      <c r="K183" t="str">
        <f t="shared" si="5"/>
        <v>2022/2021</v>
      </c>
      <c r="L183" s="26">
        <v>9019</v>
      </c>
      <c r="M183" s="18">
        <v>2021</v>
      </c>
    </row>
    <row r="184" ht="21.75" spans="1:13">
      <c r="A184" s="18" t="s">
        <v>155</v>
      </c>
      <c r="B184" s="18" t="s">
        <v>156</v>
      </c>
      <c r="C184" s="18" t="s">
        <v>157</v>
      </c>
      <c r="D184" s="18" t="s">
        <v>158</v>
      </c>
      <c r="E184" s="18" t="s">
        <v>159</v>
      </c>
      <c r="F184" s="19" t="s">
        <v>56</v>
      </c>
      <c r="G184" s="20" t="s">
        <v>57</v>
      </c>
      <c r="H184" t="str">
        <f>'Source Table'!$H$9</f>
        <v>Male</v>
      </c>
      <c r="I184" t="str">
        <f>'Source Table'!$H$8</f>
        <v>ذكر</v>
      </c>
      <c r="J184" t="str">
        <f t="shared" si="4"/>
        <v>2022/2021</v>
      </c>
      <c r="K184" t="str">
        <f t="shared" si="5"/>
        <v>2022/2021</v>
      </c>
      <c r="L184" s="26">
        <v>31268</v>
      </c>
      <c r="M184" s="18">
        <v>2021</v>
      </c>
    </row>
    <row r="185" ht="21.75" spans="1:13">
      <c r="A185" s="18" t="s">
        <v>155</v>
      </c>
      <c r="B185" s="18" t="s">
        <v>156</v>
      </c>
      <c r="C185" s="18" t="s">
        <v>157</v>
      </c>
      <c r="D185" s="18" t="s">
        <v>158</v>
      </c>
      <c r="E185" s="18" t="s">
        <v>159</v>
      </c>
      <c r="F185" s="19" t="s">
        <v>59</v>
      </c>
      <c r="G185" s="20" t="s">
        <v>160</v>
      </c>
      <c r="H185" t="str">
        <f>'Source Table'!$H$9</f>
        <v>Male</v>
      </c>
      <c r="I185" t="str">
        <f>'Source Table'!$H$8</f>
        <v>ذكر</v>
      </c>
      <c r="J185" t="str">
        <f t="shared" si="4"/>
        <v>2022/2021</v>
      </c>
      <c r="K185" t="str">
        <f t="shared" si="5"/>
        <v>2022/2021</v>
      </c>
      <c r="L185" s="26">
        <v>73192</v>
      </c>
      <c r="M185" s="18">
        <v>2021</v>
      </c>
    </row>
    <row r="186" ht="21.75" spans="1:13">
      <c r="A186" s="18" t="s">
        <v>155</v>
      </c>
      <c r="B186" s="18" t="s">
        <v>156</v>
      </c>
      <c r="C186" s="18" t="s">
        <v>157</v>
      </c>
      <c r="D186" s="18" t="s">
        <v>158</v>
      </c>
      <c r="E186" s="18" t="s">
        <v>159</v>
      </c>
      <c r="F186" s="19" t="s">
        <v>62</v>
      </c>
      <c r="G186" s="20" t="s">
        <v>161</v>
      </c>
      <c r="H186" t="str">
        <f>'Source Table'!$H$9</f>
        <v>Male</v>
      </c>
      <c r="I186" t="str">
        <f>'Source Table'!$H$8</f>
        <v>ذكر</v>
      </c>
      <c r="J186" t="str">
        <f t="shared" si="4"/>
        <v>2022/2021</v>
      </c>
      <c r="K186" t="str">
        <f t="shared" si="5"/>
        <v>2022/2021</v>
      </c>
      <c r="L186" s="26">
        <v>31214</v>
      </c>
      <c r="M186" s="18">
        <v>2021</v>
      </c>
    </row>
    <row r="187" ht="21.75" spans="1:13">
      <c r="A187" s="18" t="s">
        <v>155</v>
      </c>
      <c r="B187" s="18" t="s">
        <v>156</v>
      </c>
      <c r="C187" s="18" t="s">
        <v>157</v>
      </c>
      <c r="D187" s="18" t="s">
        <v>158</v>
      </c>
      <c r="E187" s="18" t="s">
        <v>159</v>
      </c>
      <c r="F187" s="19" t="s">
        <v>64</v>
      </c>
      <c r="G187" s="20" t="s">
        <v>65</v>
      </c>
      <c r="H187" t="str">
        <f>'Source Table'!$H$9</f>
        <v>Male</v>
      </c>
      <c r="I187" t="str">
        <f>'Source Table'!$H$8</f>
        <v>ذكر</v>
      </c>
      <c r="J187" t="str">
        <f t="shared" si="4"/>
        <v>2022/2021</v>
      </c>
      <c r="K187" t="str">
        <f t="shared" si="5"/>
        <v>2022/2021</v>
      </c>
      <c r="L187" s="26">
        <v>53816</v>
      </c>
      <c r="M187" s="18">
        <v>2021</v>
      </c>
    </row>
    <row r="188" ht="21.75" spans="1:13">
      <c r="A188" s="18" t="s">
        <v>155</v>
      </c>
      <c r="B188" s="18" t="s">
        <v>156</v>
      </c>
      <c r="C188" s="18" t="s">
        <v>157</v>
      </c>
      <c r="D188" s="18" t="s">
        <v>158</v>
      </c>
      <c r="E188" s="18" t="s">
        <v>159</v>
      </c>
      <c r="F188" s="19" t="s">
        <v>68</v>
      </c>
      <c r="G188" s="20" t="s">
        <v>69</v>
      </c>
      <c r="H188" t="str">
        <f>'Source Table'!$H$9</f>
        <v>Male</v>
      </c>
      <c r="I188" t="str">
        <f>'Source Table'!$H$8</f>
        <v>ذكر</v>
      </c>
      <c r="J188" t="str">
        <f t="shared" si="4"/>
        <v>2022/2021</v>
      </c>
      <c r="K188" t="str">
        <f t="shared" si="5"/>
        <v>2022/2021</v>
      </c>
      <c r="L188" s="26">
        <v>24333</v>
      </c>
      <c r="M188" s="18">
        <v>2021</v>
      </c>
    </row>
    <row r="189" ht="21.75" spans="1:13">
      <c r="A189" s="18" t="s">
        <v>155</v>
      </c>
      <c r="B189" s="18" t="s">
        <v>156</v>
      </c>
      <c r="C189" s="18" t="s">
        <v>157</v>
      </c>
      <c r="D189" s="18" t="s">
        <v>158</v>
      </c>
      <c r="E189" s="18" t="s">
        <v>159</v>
      </c>
      <c r="F189" s="19" t="s">
        <v>70</v>
      </c>
      <c r="G189" s="20" t="s">
        <v>71</v>
      </c>
      <c r="H189" t="str">
        <f>'Source Table'!$H$9</f>
        <v>Male</v>
      </c>
      <c r="I189" t="str">
        <f>'Source Table'!$H$8</f>
        <v>ذكر</v>
      </c>
      <c r="J189" t="str">
        <f t="shared" si="4"/>
        <v>2022/2021</v>
      </c>
      <c r="K189" t="str">
        <f t="shared" si="5"/>
        <v>2022/2021</v>
      </c>
      <c r="L189" s="26">
        <v>6092</v>
      </c>
      <c r="M189" s="18">
        <v>2021</v>
      </c>
    </row>
    <row r="190" ht="21.75" spans="1:13">
      <c r="A190" s="18" t="s">
        <v>155</v>
      </c>
      <c r="B190" s="18" t="s">
        <v>156</v>
      </c>
      <c r="C190" s="18" t="s">
        <v>157</v>
      </c>
      <c r="D190" s="18" t="s">
        <v>158</v>
      </c>
      <c r="E190" s="18" t="s">
        <v>159</v>
      </c>
      <c r="F190" s="19" t="s">
        <v>74</v>
      </c>
      <c r="G190" s="20" t="s">
        <v>75</v>
      </c>
      <c r="H190" t="str">
        <f>'Source Table'!$H$9</f>
        <v>Male</v>
      </c>
      <c r="I190" t="str">
        <f>'Source Table'!$H$8</f>
        <v>ذكر</v>
      </c>
      <c r="J190" t="str">
        <f t="shared" si="4"/>
        <v>2022/2021</v>
      </c>
      <c r="K190" t="str">
        <f t="shared" si="5"/>
        <v>2022/2021</v>
      </c>
      <c r="L190" s="26">
        <v>83222</v>
      </c>
      <c r="M190" s="18">
        <v>2021</v>
      </c>
    </row>
    <row r="191" ht="21.75" spans="1:13">
      <c r="A191" s="18" t="s">
        <v>155</v>
      </c>
      <c r="B191" s="18" t="s">
        <v>156</v>
      </c>
      <c r="C191" s="18" t="s">
        <v>157</v>
      </c>
      <c r="D191" s="18" t="s">
        <v>158</v>
      </c>
      <c r="E191" s="18" t="s">
        <v>159</v>
      </c>
      <c r="F191" s="19" t="s">
        <v>76</v>
      </c>
      <c r="G191" s="20" t="s">
        <v>77</v>
      </c>
      <c r="H191" t="str">
        <f>'Source Table'!$H$9</f>
        <v>Male</v>
      </c>
      <c r="I191" t="str">
        <f>'Source Table'!$H$8</f>
        <v>ذكر</v>
      </c>
      <c r="J191" t="str">
        <f t="shared" si="4"/>
        <v>2022/2021</v>
      </c>
      <c r="K191" t="str">
        <f t="shared" si="5"/>
        <v>2022/2021</v>
      </c>
      <c r="L191" s="26">
        <v>26901</v>
      </c>
      <c r="M191" s="18">
        <v>2021</v>
      </c>
    </row>
    <row r="192" ht="21.75" spans="1:13">
      <c r="A192" s="18" t="s">
        <v>155</v>
      </c>
      <c r="B192" s="18" t="s">
        <v>156</v>
      </c>
      <c r="C192" s="18" t="s">
        <v>157</v>
      </c>
      <c r="D192" s="18" t="s">
        <v>158</v>
      </c>
      <c r="E192" s="18" t="s">
        <v>159</v>
      </c>
      <c r="F192" s="19" t="s">
        <v>78</v>
      </c>
      <c r="G192" s="20" t="s">
        <v>79</v>
      </c>
      <c r="H192" t="str">
        <f>'Source Table'!$H$9</f>
        <v>Male</v>
      </c>
      <c r="I192" t="str">
        <f>'Source Table'!$H$8</f>
        <v>ذكر</v>
      </c>
      <c r="J192" t="str">
        <f t="shared" si="4"/>
        <v>2022/2021</v>
      </c>
      <c r="K192" t="str">
        <f t="shared" si="5"/>
        <v>2022/2021</v>
      </c>
      <c r="L192" s="26">
        <v>9405</v>
      </c>
      <c r="M192" s="18">
        <v>2021</v>
      </c>
    </row>
    <row r="193" ht="21.75" spans="1:13">
      <c r="A193" s="18" t="s">
        <v>155</v>
      </c>
      <c r="B193" s="18" t="s">
        <v>156</v>
      </c>
      <c r="C193" s="18" t="s">
        <v>157</v>
      </c>
      <c r="D193" s="18" t="s">
        <v>158</v>
      </c>
      <c r="E193" s="18" t="s">
        <v>159</v>
      </c>
      <c r="F193" s="19" t="s">
        <v>80</v>
      </c>
      <c r="G193" s="20" t="s">
        <v>81</v>
      </c>
      <c r="H193" t="str">
        <f>'Source Table'!$H$9</f>
        <v>Male</v>
      </c>
      <c r="I193" t="str">
        <f>'Source Table'!$H$8</f>
        <v>ذكر</v>
      </c>
      <c r="J193" t="str">
        <f t="shared" si="4"/>
        <v>2022/2021</v>
      </c>
      <c r="K193" t="str">
        <f t="shared" si="5"/>
        <v>2022/2021</v>
      </c>
      <c r="L193" s="26">
        <v>10970</v>
      </c>
      <c r="M193" s="18">
        <v>2021</v>
      </c>
    </row>
    <row r="194" ht="21.75" spans="1:13">
      <c r="A194" s="18" t="s">
        <v>155</v>
      </c>
      <c r="B194" s="18" t="s">
        <v>156</v>
      </c>
      <c r="C194" s="18" t="s">
        <v>157</v>
      </c>
      <c r="D194" s="18" t="s">
        <v>158</v>
      </c>
      <c r="E194" s="18" t="s">
        <v>159</v>
      </c>
      <c r="F194" s="19" t="s">
        <v>82</v>
      </c>
      <c r="G194" s="20" t="s">
        <v>83</v>
      </c>
      <c r="H194" t="str">
        <f>'Source Table'!$H$9</f>
        <v>Male</v>
      </c>
      <c r="I194" t="str">
        <f>'Source Table'!$H$8</f>
        <v>ذكر</v>
      </c>
      <c r="J194" t="str">
        <f t="shared" si="4"/>
        <v>2022/2021</v>
      </c>
      <c r="K194" t="str">
        <f t="shared" si="5"/>
        <v>2022/2021</v>
      </c>
      <c r="L194" s="26">
        <v>19104</v>
      </c>
      <c r="M194" s="18">
        <v>2021</v>
      </c>
    </row>
    <row r="195" ht="21.75" spans="1:13">
      <c r="A195" s="18" t="s">
        <v>155</v>
      </c>
      <c r="B195" s="18" t="s">
        <v>156</v>
      </c>
      <c r="C195" s="18" t="s">
        <v>157</v>
      </c>
      <c r="D195" s="18" t="s">
        <v>158</v>
      </c>
      <c r="E195" s="18" t="s">
        <v>159</v>
      </c>
      <c r="F195" s="19" t="s">
        <v>84</v>
      </c>
      <c r="G195" s="20" t="s">
        <v>85</v>
      </c>
      <c r="H195" t="str">
        <f>'Source Table'!$H$9</f>
        <v>Male</v>
      </c>
      <c r="I195" t="str">
        <f>'Source Table'!$H$8</f>
        <v>ذكر</v>
      </c>
      <c r="J195" t="str">
        <f t="shared" si="4"/>
        <v>2022/2021</v>
      </c>
      <c r="K195" t="str">
        <f t="shared" si="5"/>
        <v>2022/2021</v>
      </c>
      <c r="L195" s="26">
        <v>15518</v>
      </c>
      <c r="M195" s="18">
        <v>2021</v>
      </c>
    </row>
    <row r="196" ht="21.75" spans="1:13">
      <c r="A196" s="18" t="s">
        <v>155</v>
      </c>
      <c r="B196" s="18" t="s">
        <v>156</v>
      </c>
      <c r="C196" s="18" t="s">
        <v>157</v>
      </c>
      <c r="D196" s="18" t="s">
        <v>158</v>
      </c>
      <c r="E196" s="18" t="s">
        <v>159</v>
      </c>
      <c r="F196" s="19" t="s">
        <v>86</v>
      </c>
      <c r="G196" s="20" t="s">
        <v>87</v>
      </c>
      <c r="H196" t="str">
        <f>'Source Table'!$H$9</f>
        <v>Male</v>
      </c>
      <c r="I196" t="str">
        <f>'Source Table'!$H$8</f>
        <v>ذكر</v>
      </c>
      <c r="J196" t="str">
        <f t="shared" si="4"/>
        <v>2022/2021</v>
      </c>
      <c r="K196" t="str">
        <f t="shared" si="5"/>
        <v>2022/2021</v>
      </c>
      <c r="L196" s="26">
        <v>15829</v>
      </c>
      <c r="M196" s="18">
        <v>2021</v>
      </c>
    </row>
    <row r="197" ht="21.75" spans="1:13">
      <c r="A197" s="18" t="s">
        <v>155</v>
      </c>
      <c r="B197" s="18" t="s">
        <v>156</v>
      </c>
      <c r="C197" s="18" t="s">
        <v>157</v>
      </c>
      <c r="D197" s="18" t="s">
        <v>158</v>
      </c>
      <c r="E197" s="18" t="s">
        <v>159</v>
      </c>
      <c r="F197" s="19" t="s">
        <v>88</v>
      </c>
      <c r="G197" s="20" t="s">
        <v>89</v>
      </c>
      <c r="H197" t="str">
        <f>'Source Table'!$H$9</f>
        <v>Male</v>
      </c>
      <c r="I197" t="str">
        <f>'Source Table'!$H$8</f>
        <v>ذكر</v>
      </c>
      <c r="J197" t="str">
        <f t="shared" ref="J197:J260" si="6">TEXT(M197+1,"0")&amp;"/"&amp;TEXT(M197,"0")</f>
        <v>2022/2021</v>
      </c>
      <c r="K197" t="str">
        <f t="shared" ref="K197:K260" si="7">TEXT(M197+1,"0")&amp;"/"&amp;TEXT(M197,"0")</f>
        <v>2022/2021</v>
      </c>
      <c r="L197" s="26">
        <v>28121</v>
      </c>
      <c r="M197" s="18">
        <v>2021</v>
      </c>
    </row>
    <row r="198" ht="21.75" spans="1:13">
      <c r="A198" s="18" t="s">
        <v>155</v>
      </c>
      <c r="B198" s="18" t="s">
        <v>156</v>
      </c>
      <c r="C198" s="18" t="s">
        <v>157</v>
      </c>
      <c r="D198" s="18" t="s">
        <v>158</v>
      </c>
      <c r="E198" s="18" t="s">
        <v>159</v>
      </c>
      <c r="F198" s="19" t="s">
        <v>91</v>
      </c>
      <c r="G198" s="20" t="s">
        <v>92</v>
      </c>
      <c r="H198" t="str">
        <f>'Source Table'!$H$9</f>
        <v>Male</v>
      </c>
      <c r="I198" t="str">
        <f>'Source Table'!$H$8</f>
        <v>ذكر</v>
      </c>
      <c r="J198" t="str">
        <f t="shared" si="6"/>
        <v>2022/2021</v>
      </c>
      <c r="K198" t="str">
        <f t="shared" si="7"/>
        <v>2022/2021</v>
      </c>
      <c r="L198" s="26">
        <v>28504</v>
      </c>
      <c r="M198" s="18">
        <v>2021</v>
      </c>
    </row>
    <row r="199" ht="21.75" spans="1:13">
      <c r="A199" s="18" t="s">
        <v>155</v>
      </c>
      <c r="B199" s="18" t="s">
        <v>156</v>
      </c>
      <c r="C199" s="18" t="s">
        <v>157</v>
      </c>
      <c r="D199" s="18" t="s">
        <v>158</v>
      </c>
      <c r="E199" s="18" t="s">
        <v>159</v>
      </c>
      <c r="F199" s="19" t="s">
        <v>94</v>
      </c>
      <c r="G199" s="20" t="s">
        <v>95</v>
      </c>
      <c r="H199" t="str">
        <f>'Source Table'!$H$9</f>
        <v>Male</v>
      </c>
      <c r="I199" t="str">
        <f>'Source Table'!$H$8</f>
        <v>ذكر</v>
      </c>
      <c r="J199" t="str">
        <f t="shared" si="6"/>
        <v>2022/2021</v>
      </c>
      <c r="K199" t="str">
        <f t="shared" si="7"/>
        <v>2022/2021</v>
      </c>
      <c r="L199" s="26">
        <v>18870</v>
      </c>
      <c r="M199" s="18">
        <v>2021</v>
      </c>
    </row>
    <row r="200" ht="21.75" spans="1:13">
      <c r="A200" s="18" t="s">
        <v>155</v>
      </c>
      <c r="B200" s="18" t="s">
        <v>156</v>
      </c>
      <c r="C200" s="18" t="s">
        <v>157</v>
      </c>
      <c r="D200" s="18" t="s">
        <v>158</v>
      </c>
      <c r="E200" s="18" t="s">
        <v>159</v>
      </c>
      <c r="F200" s="19" t="s">
        <v>96</v>
      </c>
      <c r="G200" s="20" t="s">
        <v>97</v>
      </c>
      <c r="H200" t="str">
        <f>'Source Table'!$H$9</f>
        <v>Male</v>
      </c>
      <c r="I200" t="str">
        <f>'Source Table'!$H$8</f>
        <v>ذكر</v>
      </c>
      <c r="J200" t="str">
        <f t="shared" si="6"/>
        <v>2022/2021</v>
      </c>
      <c r="K200" t="str">
        <f t="shared" si="7"/>
        <v>2022/2021</v>
      </c>
      <c r="L200" s="26">
        <v>32338</v>
      </c>
      <c r="M200" s="18">
        <v>2021</v>
      </c>
    </row>
    <row r="201" ht="21.75" spans="1:13">
      <c r="A201" s="18" t="s">
        <v>155</v>
      </c>
      <c r="B201" s="18" t="s">
        <v>156</v>
      </c>
      <c r="C201" s="18" t="s">
        <v>157</v>
      </c>
      <c r="D201" s="18" t="s">
        <v>158</v>
      </c>
      <c r="E201" s="18" t="s">
        <v>159</v>
      </c>
      <c r="F201" s="19" t="s">
        <v>98</v>
      </c>
      <c r="G201" s="20" t="s">
        <v>99</v>
      </c>
      <c r="H201" t="str">
        <f>'Source Table'!$H$9</f>
        <v>Male</v>
      </c>
      <c r="I201" t="str">
        <f>'Source Table'!$H$8</f>
        <v>ذكر</v>
      </c>
      <c r="J201" t="str">
        <f t="shared" si="6"/>
        <v>2022/2021</v>
      </c>
      <c r="K201" t="str">
        <f t="shared" si="7"/>
        <v>2022/2021</v>
      </c>
      <c r="L201" s="27">
        <v>33500</v>
      </c>
      <c r="M201" s="18">
        <v>2021</v>
      </c>
    </row>
    <row r="202" ht="21.75" spans="1:13">
      <c r="A202" s="18" t="s">
        <v>155</v>
      </c>
      <c r="B202" s="18" t="s">
        <v>156</v>
      </c>
      <c r="C202" s="18" t="s">
        <v>157</v>
      </c>
      <c r="D202" s="18" t="s">
        <v>158</v>
      </c>
      <c r="E202" s="18" t="s">
        <v>159</v>
      </c>
      <c r="F202" s="19" t="s">
        <v>100</v>
      </c>
      <c r="G202" s="20" t="s">
        <v>101</v>
      </c>
      <c r="H202" t="str">
        <f>'Source Table'!$H$9</f>
        <v>Male</v>
      </c>
      <c r="I202" t="str">
        <f>'Source Table'!$H$8</f>
        <v>ذكر</v>
      </c>
      <c r="J202" t="str">
        <f t="shared" si="6"/>
        <v>2022/2021</v>
      </c>
      <c r="K202" t="str">
        <f t="shared" si="7"/>
        <v>2022/2021</v>
      </c>
      <c r="L202" s="27">
        <v>25485</v>
      </c>
      <c r="M202" s="18">
        <v>2021</v>
      </c>
    </row>
    <row r="203" ht="21.75" spans="1:13">
      <c r="A203" s="18" t="s">
        <v>155</v>
      </c>
      <c r="B203" s="18" t="s">
        <v>156</v>
      </c>
      <c r="C203" s="18" t="s">
        <v>157</v>
      </c>
      <c r="D203" s="18" t="s">
        <v>158</v>
      </c>
      <c r="E203" s="18" t="s">
        <v>159</v>
      </c>
      <c r="F203" s="19" t="s">
        <v>103</v>
      </c>
      <c r="G203" s="20" t="s">
        <v>104</v>
      </c>
      <c r="H203" t="str">
        <f>'Source Table'!$H$9</f>
        <v>Male</v>
      </c>
      <c r="I203" t="str">
        <f>'Source Table'!$H$8</f>
        <v>ذكر</v>
      </c>
      <c r="J203" t="str">
        <f t="shared" si="6"/>
        <v>2022/2021</v>
      </c>
      <c r="K203" t="str">
        <f t="shared" si="7"/>
        <v>2022/2021</v>
      </c>
      <c r="L203" s="26">
        <v>16236</v>
      </c>
      <c r="M203" s="18">
        <v>2021</v>
      </c>
    </row>
    <row r="204" ht="21.75" spans="1:13">
      <c r="A204" s="18" t="s">
        <v>155</v>
      </c>
      <c r="B204" s="18" t="s">
        <v>156</v>
      </c>
      <c r="C204" s="18" t="s">
        <v>157</v>
      </c>
      <c r="D204" s="18" t="s">
        <v>158</v>
      </c>
      <c r="E204" s="18" t="s">
        <v>159</v>
      </c>
      <c r="F204" s="19" t="s">
        <v>106</v>
      </c>
      <c r="G204" s="20" t="s">
        <v>107</v>
      </c>
      <c r="H204" t="str">
        <f>'Source Table'!$H$9</f>
        <v>Male</v>
      </c>
      <c r="I204" t="str">
        <f>'Source Table'!$H$8</f>
        <v>ذكر</v>
      </c>
      <c r="J204" t="str">
        <f t="shared" si="6"/>
        <v>2022/2021</v>
      </c>
      <c r="K204" t="str">
        <f t="shared" si="7"/>
        <v>2022/2021</v>
      </c>
      <c r="L204" s="26">
        <v>12564</v>
      </c>
      <c r="M204" s="18">
        <v>2021</v>
      </c>
    </row>
    <row r="205" ht="21.75" spans="1:13">
      <c r="A205" s="18" t="s">
        <v>155</v>
      </c>
      <c r="B205" s="18" t="s">
        <v>156</v>
      </c>
      <c r="C205" s="18" t="s">
        <v>157</v>
      </c>
      <c r="D205" s="18" t="s">
        <v>158</v>
      </c>
      <c r="E205" s="18" t="s">
        <v>159</v>
      </c>
      <c r="F205" s="19" t="s">
        <v>108</v>
      </c>
      <c r="G205" s="20" t="s">
        <v>109</v>
      </c>
      <c r="H205" t="str">
        <f>'Source Table'!$H$9</f>
        <v>Male</v>
      </c>
      <c r="I205" t="str">
        <f>'Source Table'!$H$8</f>
        <v>ذكر</v>
      </c>
      <c r="J205" t="str">
        <f t="shared" si="6"/>
        <v>2022/2021</v>
      </c>
      <c r="K205" t="str">
        <f t="shared" si="7"/>
        <v>2022/2021</v>
      </c>
      <c r="L205" s="26">
        <v>7317</v>
      </c>
      <c r="M205" s="18">
        <v>2021</v>
      </c>
    </row>
    <row r="206" ht="21.75" spans="1:13">
      <c r="A206" s="18" t="s">
        <v>155</v>
      </c>
      <c r="B206" s="18" t="s">
        <v>156</v>
      </c>
      <c r="C206" s="18" t="s">
        <v>157</v>
      </c>
      <c r="D206" s="18" t="s">
        <v>158</v>
      </c>
      <c r="E206" s="18" t="s">
        <v>159</v>
      </c>
      <c r="F206" s="19" t="s">
        <v>110</v>
      </c>
      <c r="G206" s="20" t="s">
        <v>111</v>
      </c>
      <c r="H206" t="str">
        <f>'Source Table'!$H$9</f>
        <v>Male</v>
      </c>
      <c r="I206" t="str">
        <f>'Source Table'!$H$8</f>
        <v>ذكر</v>
      </c>
      <c r="J206" t="str">
        <f t="shared" si="6"/>
        <v>2022/2021</v>
      </c>
      <c r="K206" t="str">
        <f t="shared" si="7"/>
        <v>2022/2021</v>
      </c>
      <c r="L206" s="26">
        <v>8826</v>
      </c>
      <c r="M206" s="18">
        <v>2021</v>
      </c>
    </row>
    <row r="207" ht="21.75" spans="1:13">
      <c r="A207" s="18" t="s">
        <v>155</v>
      </c>
      <c r="B207" s="18" t="s">
        <v>156</v>
      </c>
      <c r="C207" s="18" t="s">
        <v>157</v>
      </c>
      <c r="D207" s="18" t="s">
        <v>158</v>
      </c>
      <c r="E207" s="18" t="s">
        <v>159</v>
      </c>
      <c r="F207" s="19" t="s">
        <v>113</v>
      </c>
      <c r="G207" s="20" t="s">
        <v>114</v>
      </c>
      <c r="H207" t="str">
        <f>'Source Table'!$H$9</f>
        <v>Male</v>
      </c>
      <c r="I207" t="str">
        <f>'Source Table'!$H$8</f>
        <v>ذكر</v>
      </c>
      <c r="J207" t="str">
        <f t="shared" si="6"/>
        <v>2022/2021</v>
      </c>
      <c r="K207" t="str">
        <f t="shared" si="7"/>
        <v>2022/2021</v>
      </c>
      <c r="L207" s="26">
        <v>11744</v>
      </c>
      <c r="M207" s="18">
        <v>2021</v>
      </c>
    </row>
    <row r="208" ht="21.75" spans="1:13">
      <c r="A208" s="18" t="s">
        <v>155</v>
      </c>
      <c r="B208" s="18" t="s">
        <v>156</v>
      </c>
      <c r="C208" s="18" t="s">
        <v>157</v>
      </c>
      <c r="D208" s="18" t="s">
        <v>158</v>
      </c>
      <c r="E208" s="18" t="s">
        <v>159</v>
      </c>
      <c r="F208" s="19" t="s">
        <v>115</v>
      </c>
      <c r="G208" s="20" t="s">
        <v>116</v>
      </c>
      <c r="H208" t="str">
        <f>'Source Table'!$H$9</f>
        <v>Male</v>
      </c>
      <c r="I208" t="str">
        <f>'Source Table'!$H$8</f>
        <v>ذكر</v>
      </c>
      <c r="J208" t="str">
        <f t="shared" si="6"/>
        <v>2022/2021</v>
      </c>
      <c r="K208" t="str">
        <f t="shared" si="7"/>
        <v>2022/2021</v>
      </c>
      <c r="L208" s="26">
        <v>4408</v>
      </c>
      <c r="M208" s="18">
        <v>2021</v>
      </c>
    </row>
    <row r="209" ht="21.75" spans="1:13">
      <c r="A209" s="18" t="s">
        <v>155</v>
      </c>
      <c r="B209" s="18" t="s">
        <v>156</v>
      </c>
      <c r="C209" s="18" t="s">
        <v>157</v>
      </c>
      <c r="D209" s="18" t="s">
        <v>158</v>
      </c>
      <c r="E209" s="18" t="s">
        <v>159</v>
      </c>
      <c r="F209" s="19" t="s">
        <v>118</v>
      </c>
      <c r="G209" s="20" t="s">
        <v>119</v>
      </c>
      <c r="H209" t="str">
        <f>'Source Table'!$H$9</f>
        <v>Male</v>
      </c>
      <c r="I209" t="str">
        <f>'Source Table'!$H$8</f>
        <v>ذكر</v>
      </c>
      <c r="J209" t="str">
        <f t="shared" si="6"/>
        <v>2022/2021</v>
      </c>
      <c r="K209" t="str">
        <f t="shared" si="7"/>
        <v>2022/2021</v>
      </c>
      <c r="L209" s="26">
        <v>7310</v>
      </c>
      <c r="M209" s="18">
        <v>2021</v>
      </c>
    </row>
    <row r="210" ht="21.75" spans="1:13">
      <c r="A210" s="18" t="s">
        <v>155</v>
      </c>
      <c r="B210" s="18" t="s">
        <v>156</v>
      </c>
      <c r="C210" s="18" t="s">
        <v>157</v>
      </c>
      <c r="D210" s="18" t="s">
        <v>158</v>
      </c>
      <c r="E210" s="18" t="s">
        <v>159</v>
      </c>
      <c r="F210" s="19" t="s">
        <v>120</v>
      </c>
      <c r="G210" s="20" t="s">
        <v>121</v>
      </c>
      <c r="H210" t="str">
        <f>'Source Table'!$H$9</f>
        <v>Male</v>
      </c>
      <c r="I210" t="str">
        <f>'Source Table'!$H$8</f>
        <v>ذكر</v>
      </c>
      <c r="J210" t="str">
        <f t="shared" si="6"/>
        <v>2022/2021</v>
      </c>
      <c r="K210" t="str">
        <f t="shared" si="7"/>
        <v>2022/2021</v>
      </c>
      <c r="L210" s="26">
        <v>8494</v>
      </c>
      <c r="M210" s="18">
        <v>2021</v>
      </c>
    </row>
    <row r="211" ht="21.75" spans="1:13">
      <c r="A211" s="18" t="s">
        <v>155</v>
      </c>
      <c r="B211" s="18" t="s">
        <v>156</v>
      </c>
      <c r="C211" s="18" t="s">
        <v>157</v>
      </c>
      <c r="D211" s="18" t="s">
        <v>158</v>
      </c>
      <c r="E211" s="18" t="s">
        <v>159</v>
      </c>
      <c r="F211" s="19" t="s">
        <v>122</v>
      </c>
      <c r="G211" s="20" t="s">
        <v>123</v>
      </c>
      <c r="H211" t="str">
        <f>'Source Table'!$H$9</f>
        <v>Male</v>
      </c>
      <c r="I211" t="str">
        <f>'Source Table'!$H$8</f>
        <v>ذكر</v>
      </c>
      <c r="J211" t="str">
        <f t="shared" si="6"/>
        <v>2022/2021</v>
      </c>
      <c r="K211" t="str">
        <f t="shared" si="7"/>
        <v>2022/2021</v>
      </c>
      <c r="L211" s="26">
        <v>4860</v>
      </c>
      <c r="M211" s="18">
        <v>2021</v>
      </c>
    </row>
    <row r="212" ht="21.75" spans="1:13">
      <c r="A212" s="18" t="s">
        <v>155</v>
      </c>
      <c r="B212" s="18" t="s">
        <v>156</v>
      </c>
      <c r="C212" s="18" t="s">
        <v>157</v>
      </c>
      <c r="D212" s="18" t="s">
        <v>158</v>
      </c>
      <c r="E212" s="18" t="s">
        <v>159</v>
      </c>
      <c r="F212" s="19" t="s">
        <v>124</v>
      </c>
      <c r="G212" s="20" t="s">
        <v>125</v>
      </c>
      <c r="H212" t="str">
        <f>'Source Table'!$H$9</f>
        <v>Male</v>
      </c>
      <c r="I212" t="str">
        <f>'Source Table'!$H$8</f>
        <v>ذكر</v>
      </c>
      <c r="J212" t="str">
        <f t="shared" si="6"/>
        <v>2022/2021</v>
      </c>
      <c r="K212" t="str">
        <f t="shared" si="7"/>
        <v>2022/2021</v>
      </c>
      <c r="L212" s="26">
        <v>1900</v>
      </c>
      <c r="M212" s="18">
        <v>2021</v>
      </c>
    </row>
    <row r="213" ht="21.75" spans="1:13">
      <c r="A213" s="18" t="s">
        <v>155</v>
      </c>
      <c r="B213" s="18" t="s">
        <v>156</v>
      </c>
      <c r="C213" s="18" t="s">
        <v>157</v>
      </c>
      <c r="D213" s="18" t="s">
        <v>158</v>
      </c>
      <c r="E213" s="18" t="s">
        <v>159</v>
      </c>
      <c r="F213" s="19" t="s">
        <v>126</v>
      </c>
      <c r="G213" s="20" t="s">
        <v>127</v>
      </c>
      <c r="H213" t="str">
        <f>'Source Table'!$H$9</f>
        <v>Male</v>
      </c>
      <c r="I213" t="str">
        <f>'Source Table'!$H$8</f>
        <v>ذكر</v>
      </c>
      <c r="J213" t="str">
        <f t="shared" si="6"/>
        <v>2022/2021</v>
      </c>
      <c r="K213" t="str">
        <f t="shared" si="7"/>
        <v>2022/2021</v>
      </c>
      <c r="L213" s="27">
        <v>27075</v>
      </c>
      <c r="M213" s="18">
        <v>2021</v>
      </c>
    </row>
    <row r="214" ht="21.75" spans="1:13">
      <c r="A214" s="18" t="s">
        <v>155</v>
      </c>
      <c r="B214" s="18" t="s">
        <v>156</v>
      </c>
      <c r="C214" s="18" t="s">
        <v>157</v>
      </c>
      <c r="D214" s="18" t="s">
        <v>158</v>
      </c>
      <c r="E214" s="18" t="s">
        <v>159</v>
      </c>
      <c r="F214" s="19" t="s">
        <v>29</v>
      </c>
      <c r="G214" s="20" t="s">
        <v>30</v>
      </c>
      <c r="H214" t="str">
        <f>'Source Table'!$G$9</f>
        <v>Female</v>
      </c>
      <c r="I214" t="str">
        <f>'Source Table'!$G$8</f>
        <v>أنثى</v>
      </c>
      <c r="J214" t="str">
        <f t="shared" si="6"/>
        <v>2022/2021</v>
      </c>
      <c r="K214" t="str">
        <f t="shared" si="7"/>
        <v>2022/2021</v>
      </c>
      <c r="L214" s="26">
        <v>78605</v>
      </c>
      <c r="M214" s="18">
        <v>2021</v>
      </c>
    </row>
    <row r="215" ht="21.75" spans="1:13">
      <c r="A215" s="18" t="s">
        <v>155</v>
      </c>
      <c r="B215" s="18" t="s">
        <v>156</v>
      </c>
      <c r="C215" s="18" t="s">
        <v>157</v>
      </c>
      <c r="D215" s="18" t="s">
        <v>158</v>
      </c>
      <c r="E215" s="18" t="s">
        <v>159</v>
      </c>
      <c r="F215" s="19" t="s">
        <v>32</v>
      </c>
      <c r="G215" s="20" t="s">
        <v>33</v>
      </c>
      <c r="H215" t="str">
        <f>'Source Table'!$G$9</f>
        <v>Female</v>
      </c>
      <c r="I215" t="str">
        <f>'Source Table'!$G$8</f>
        <v>أنثى</v>
      </c>
      <c r="J215" t="str">
        <f t="shared" si="6"/>
        <v>2022/2021</v>
      </c>
      <c r="K215" t="str">
        <f t="shared" si="7"/>
        <v>2022/2021</v>
      </c>
      <c r="L215" s="26">
        <v>72191</v>
      </c>
      <c r="M215" s="18">
        <v>2021</v>
      </c>
    </row>
    <row r="216" ht="21.75" spans="1:13">
      <c r="A216" s="18" t="s">
        <v>155</v>
      </c>
      <c r="B216" s="18" t="s">
        <v>156</v>
      </c>
      <c r="C216" s="18" t="s">
        <v>157</v>
      </c>
      <c r="D216" s="18" t="s">
        <v>158</v>
      </c>
      <c r="E216" s="18" t="s">
        <v>159</v>
      </c>
      <c r="F216" s="19" t="s">
        <v>34</v>
      </c>
      <c r="G216" s="20" t="s">
        <v>35</v>
      </c>
      <c r="H216" t="str">
        <f>'Source Table'!$G$9</f>
        <v>Female</v>
      </c>
      <c r="I216" t="str">
        <f>'Source Table'!$G$8</f>
        <v>أنثى</v>
      </c>
      <c r="J216" t="str">
        <f t="shared" si="6"/>
        <v>2022/2021</v>
      </c>
      <c r="K216" t="str">
        <f t="shared" si="7"/>
        <v>2022/2021</v>
      </c>
      <c r="L216" s="26">
        <v>17344</v>
      </c>
      <c r="M216" s="18">
        <v>2021</v>
      </c>
    </row>
    <row r="217" ht="21.75" spans="1:13">
      <c r="A217" s="18" t="s">
        <v>155</v>
      </c>
      <c r="B217" s="18" t="s">
        <v>156</v>
      </c>
      <c r="C217" s="18" t="s">
        <v>157</v>
      </c>
      <c r="D217" s="18" t="s">
        <v>158</v>
      </c>
      <c r="E217" s="18" t="s">
        <v>159</v>
      </c>
      <c r="F217" s="19" t="s">
        <v>36</v>
      </c>
      <c r="G217" s="20" t="s">
        <v>37</v>
      </c>
      <c r="H217" t="str">
        <f>'Source Table'!$G$9</f>
        <v>Female</v>
      </c>
      <c r="I217" t="str">
        <f>'Source Table'!$G$8</f>
        <v>أنثى</v>
      </c>
      <c r="J217" t="str">
        <f t="shared" si="6"/>
        <v>2022/2021</v>
      </c>
      <c r="K217" t="str">
        <f t="shared" si="7"/>
        <v>2022/2021</v>
      </c>
      <c r="L217" s="26">
        <v>73544</v>
      </c>
      <c r="M217" s="18">
        <v>2021</v>
      </c>
    </row>
    <row r="218" ht="21.75" spans="1:13">
      <c r="A218" s="18" t="s">
        <v>155</v>
      </c>
      <c r="B218" s="18" t="s">
        <v>156</v>
      </c>
      <c r="C218" s="18" t="s">
        <v>157</v>
      </c>
      <c r="D218" s="18" t="s">
        <v>158</v>
      </c>
      <c r="E218" s="18" t="s">
        <v>159</v>
      </c>
      <c r="F218" s="19" t="s">
        <v>38</v>
      </c>
      <c r="G218" s="20" t="s">
        <v>39</v>
      </c>
      <c r="H218" t="str">
        <f>'Source Table'!$G$9</f>
        <v>Female</v>
      </c>
      <c r="I218" t="str">
        <f>'Source Table'!$G$8</f>
        <v>أنثى</v>
      </c>
      <c r="J218" t="str">
        <f t="shared" si="6"/>
        <v>2022/2021</v>
      </c>
      <c r="K218" t="str">
        <f t="shared" si="7"/>
        <v>2022/2021</v>
      </c>
      <c r="L218" s="26">
        <v>94912</v>
      </c>
      <c r="M218" s="18">
        <v>2021</v>
      </c>
    </row>
    <row r="219" ht="21.75" spans="1:13">
      <c r="A219" s="18" t="s">
        <v>155</v>
      </c>
      <c r="B219" s="18" t="s">
        <v>156</v>
      </c>
      <c r="C219" s="18" t="s">
        <v>157</v>
      </c>
      <c r="D219" s="18" t="s">
        <v>158</v>
      </c>
      <c r="E219" s="18" t="s">
        <v>159</v>
      </c>
      <c r="F219" s="19" t="s">
        <v>40</v>
      </c>
      <c r="G219" s="20" t="s">
        <v>41</v>
      </c>
      <c r="H219" t="str">
        <f>'Source Table'!$G$9</f>
        <v>Female</v>
      </c>
      <c r="I219" t="str">
        <f>'Source Table'!$G$8</f>
        <v>أنثى</v>
      </c>
      <c r="J219" t="str">
        <f t="shared" si="6"/>
        <v>2022/2021</v>
      </c>
      <c r="K219" t="str">
        <f t="shared" si="7"/>
        <v>2022/2021</v>
      </c>
      <c r="L219" s="26">
        <v>33412</v>
      </c>
      <c r="M219" s="18">
        <v>2021</v>
      </c>
    </row>
    <row r="220" ht="21.75" spans="1:13">
      <c r="A220" s="18" t="s">
        <v>155</v>
      </c>
      <c r="B220" s="18" t="s">
        <v>156</v>
      </c>
      <c r="C220" s="18" t="s">
        <v>157</v>
      </c>
      <c r="D220" s="18" t="s">
        <v>158</v>
      </c>
      <c r="E220" s="18" t="s">
        <v>159</v>
      </c>
      <c r="F220" s="19" t="s">
        <v>42</v>
      </c>
      <c r="G220" s="20" t="s">
        <v>43</v>
      </c>
      <c r="H220" t="str">
        <f>'Source Table'!$G$9</f>
        <v>Female</v>
      </c>
      <c r="I220" t="str">
        <f>'Source Table'!$G$8</f>
        <v>أنثى</v>
      </c>
      <c r="J220" t="str">
        <f t="shared" si="6"/>
        <v>2022/2021</v>
      </c>
      <c r="K220" t="str">
        <f t="shared" si="7"/>
        <v>2022/2021</v>
      </c>
      <c r="L220" s="26">
        <v>16983</v>
      </c>
      <c r="M220" s="18">
        <v>2021</v>
      </c>
    </row>
    <row r="221" ht="21.75" spans="1:13">
      <c r="A221" s="18" t="s">
        <v>155</v>
      </c>
      <c r="B221" s="18" t="s">
        <v>156</v>
      </c>
      <c r="C221" s="18" t="s">
        <v>157</v>
      </c>
      <c r="D221" s="18" t="s">
        <v>158</v>
      </c>
      <c r="E221" s="18" t="s">
        <v>159</v>
      </c>
      <c r="F221" s="19" t="s">
        <v>44</v>
      </c>
      <c r="G221" s="20" t="s">
        <v>45</v>
      </c>
      <c r="H221" t="str">
        <f>'Source Table'!$G$9</f>
        <v>Female</v>
      </c>
      <c r="I221" t="str">
        <f>'Source Table'!$G$8</f>
        <v>أنثى</v>
      </c>
      <c r="J221" t="str">
        <f t="shared" si="6"/>
        <v>2022/2021</v>
      </c>
      <c r="K221" t="str">
        <f t="shared" si="7"/>
        <v>2022/2021</v>
      </c>
      <c r="L221" s="26">
        <v>9438</v>
      </c>
      <c r="M221" s="18">
        <v>2021</v>
      </c>
    </row>
    <row r="222" ht="21.75" spans="1:13">
      <c r="A222" s="18" t="s">
        <v>155</v>
      </c>
      <c r="B222" s="18" t="s">
        <v>156</v>
      </c>
      <c r="C222" s="18" t="s">
        <v>157</v>
      </c>
      <c r="D222" s="18" t="s">
        <v>158</v>
      </c>
      <c r="E222" s="18" t="s">
        <v>159</v>
      </c>
      <c r="F222" s="19" t="s">
        <v>46</v>
      </c>
      <c r="G222" s="20" t="s">
        <v>47</v>
      </c>
      <c r="H222" t="str">
        <f>'Source Table'!$G$9</f>
        <v>Female</v>
      </c>
      <c r="I222" t="str">
        <f>'Source Table'!$G$8</f>
        <v>أنثى</v>
      </c>
      <c r="J222" t="str">
        <f t="shared" si="6"/>
        <v>2022/2021</v>
      </c>
      <c r="K222" t="str">
        <f t="shared" si="7"/>
        <v>2022/2021</v>
      </c>
      <c r="L222" s="26">
        <v>10606</v>
      </c>
      <c r="M222" s="18">
        <v>2021</v>
      </c>
    </row>
    <row r="223" ht="21.75" spans="1:13">
      <c r="A223" s="18" t="s">
        <v>155</v>
      </c>
      <c r="B223" s="18" t="s">
        <v>156</v>
      </c>
      <c r="C223" s="18" t="s">
        <v>157</v>
      </c>
      <c r="D223" s="18" t="s">
        <v>158</v>
      </c>
      <c r="E223" s="18" t="s">
        <v>159</v>
      </c>
      <c r="F223" s="19" t="s">
        <v>49</v>
      </c>
      <c r="G223" s="20" t="s">
        <v>50</v>
      </c>
      <c r="H223" t="str">
        <f>'Source Table'!$G$9</f>
        <v>Female</v>
      </c>
      <c r="I223" t="str">
        <f>'Source Table'!$G$8</f>
        <v>أنثى</v>
      </c>
      <c r="J223" t="str">
        <f t="shared" si="6"/>
        <v>2022/2021</v>
      </c>
      <c r="K223" t="str">
        <f t="shared" si="7"/>
        <v>2022/2021</v>
      </c>
      <c r="L223" s="26">
        <v>25802</v>
      </c>
      <c r="M223" s="18">
        <v>2021</v>
      </c>
    </row>
    <row r="224" ht="21.75" spans="1:13">
      <c r="A224" s="18" t="s">
        <v>155</v>
      </c>
      <c r="B224" s="18" t="s">
        <v>156</v>
      </c>
      <c r="C224" s="18" t="s">
        <v>157</v>
      </c>
      <c r="D224" s="18" t="s">
        <v>158</v>
      </c>
      <c r="E224" s="18" t="s">
        <v>159</v>
      </c>
      <c r="F224" s="19" t="s">
        <v>52</v>
      </c>
      <c r="G224" s="20" t="s">
        <v>53</v>
      </c>
      <c r="H224" t="str">
        <f>'Source Table'!$G$9</f>
        <v>Female</v>
      </c>
      <c r="I224" t="str">
        <f>'Source Table'!$G$8</f>
        <v>أنثى</v>
      </c>
      <c r="J224" t="str">
        <f t="shared" si="6"/>
        <v>2022/2021</v>
      </c>
      <c r="K224" t="str">
        <f t="shared" si="7"/>
        <v>2022/2021</v>
      </c>
      <c r="L224" s="26">
        <v>9607</v>
      </c>
      <c r="M224" s="18">
        <v>2021</v>
      </c>
    </row>
    <row r="225" ht="21.75" spans="1:13">
      <c r="A225" s="18" t="s">
        <v>155</v>
      </c>
      <c r="B225" s="18" t="s">
        <v>156</v>
      </c>
      <c r="C225" s="18" t="s">
        <v>157</v>
      </c>
      <c r="D225" s="18" t="s">
        <v>158</v>
      </c>
      <c r="E225" s="18" t="s">
        <v>159</v>
      </c>
      <c r="F225" s="19" t="s">
        <v>54</v>
      </c>
      <c r="G225" s="20" t="s">
        <v>55</v>
      </c>
      <c r="H225" t="str">
        <f>'Source Table'!$G$9</f>
        <v>Female</v>
      </c>
      <c r="I225" t="str">
        <f>'Source Table'!$G$8</f>
        <v>أنثى</v>
      </c>
      <c r="J225" t="str">
        <f t="shared" si="6"/>
        <v>2022/2021</v>
      </c>
      <c r="K225" t="str">
        <f t="shared" si="7"/>
        <v>2022/2021</v>
      </c>
      <c r="L225" s="26">
        <v>8662</v>
      </c>
      <c r="M225" s="18">
        <v>2021</v>
      </c>
    </row>
    <row r="226" ht="21.75" spans="1:13">
      <c r="A226" s="18" t="s">
        <v>155</v>
      </c>
      <c r="B226" s="18" t="s">
        <v>156</v>
      </c>
      <c r="C226" s="18" t="s">
        <v>157</v>
      </c>
      <c r="D226" s="18" t="s">
        <v>158</v>
      </c>
      <c r="E226" s="18" t="s">
        <v>159</v>
      </c>
      <c r="F226" s="19" t="s">
        <v>56</v>
      </c>
      <c r="G226" s="20" t="s">
        <v>57</v>
      </c>
      <c r="H226" t="str">
        <f>'Source Table'!$G$9</f>
        <v>Female</v>
      </c>
      <c r="I226" t="str">
        <f>'Source Table'!$G$8</f>
        <v>أنثى</v>
      </c>
      <c r="J226" t="str">
        <f t="shared" si="6"/>
        <v>2022/2021</v>
      </c>
      <c r="K226" t="str">
        <f t="shared" si="7"/>
        <v>2022/2021</v>
      </c>
      <c r="L226" s="26">
        <v>30581</v>
      </c>
      <c r="M226" s="18">
        <v>2021</v>
      </c>
    </row>
    <row r="227" ht="21.75" spans="1:13">
      <c r="A227" s="18" t="s">
        <v>155</v>
      </c>
      <c r="B227" s="18" t="s">
        <v>156</v>
      </c>
      <c r="C227" s="18" t="s">
        <v>157</v>
      </c>
      <c r="D227" s="18" t="s">
        <v>158</v>
      </c>
      <c r="E227" s="18" t="s">
        <v>159</v>
      </c>
      <c r="F227" s="19" t="s">
        <v>59</v>
      </c>
      <c r="G227" s="20" t="s">
        <v>160</v>
      </c>
      <c r="H227" t="str">
        <f>'Source Table'!$G$9</f>
        <v>Female</v>
      </c>
      <c r="I227" t="str">
        <f>'Source Table'!$G$8</f>
        <v>أنثى</v>
      </c>
      <c r="J227" t="str">
        <f t="shared" si="6"/>
        <v>2022/2021</v>
      </c>
      <c r="K227" t="str">
        <f t="shared" si="7"/>
        <v>2022/2021</v>
      </c>
      <c r="L227" s="26">
        <v>70940</v>
      </c>
      <c r="M227" s="18">
        <v>2021</v>
      </c>
    </row>
    <row r="228" ht="21.75" spans="1:13">
      <c r="A228" s="18" t="s">
        <v>155</v>
      </c>
      <c r="B228" s="18" t="s">
        <v>156</v>
      </c>
      <c r="C228" s="18" t="s">
        <v>157</v>
      </c>
      <c r="D228" s="18" t="s">
        <v>158</v>
      </c>
      <c r="E228" s="18" t="s">
        <v>159</v>
      </c>
      <c r="F228" s="19" t="s">
        <v>62</v>
      </c>
      <c r="G228" s="20" t="s">
        <v>161</v>
      </c>
      <c r="H228" t="str">
        <f>'Source Table'!$G$9</f>
        <v>Female</v>
      </c>
      <c r="I228" t="str">
        <f>'Source Table'!$G$8</f>
        <v>أنثى</v>
      </c>
      <c r="J228" t="str">
        <f t="shared" si="6"/>
        <v>2022/2021</v>
      </c>
      <c r="K228" t="str">
        <f t="shared" si="7"/>
        <v>2022/2021</v>
      </c>
      <c r="L228" s="26">
        <v>30063</v>
      </c>
      <c r="M228" s="18">
        <v>2021</v>
      </c>
    </row>
    <row r="229" ht="21.75" spans="1:13">
      <c r="A229" s="18" t="s">
        <v>155</v>
      </c>
      <c r="B229" s="18" t="s">
        <v>156</v>
      </c>
      <c r="C229" s="18" t="s">
        <v>157</v>
      </c>
      <c r="D229" s="18" t="s">
        <v>158</v>
      </c>
      <c r="E229" s="18" t="s">
        <v>159</v>
      </c>
      <c r="F229" s="19" t="s">
        <v>64</v>
      </c>
      <c r="G229" s="20" t="s">
        <v>65</v>
      </c>
      <c r="H229" t="str">
        <f>'Source Table'!$G$9</f>
        <v>Female</v>
      </c>
      <c r="I229" t="str">
        <f>'Source Table'!$G$8</f>
        <v>أنثى</v>
      </c>
      <c r="J229" t="str">
        <f t="shared" si="6"/>
        <v>2022/2021</v>
      </c>
      <c r="K229" t="str">
        <f t="shared" si="7"/>
        <v>2022/2021</v>
      </c>
      <c r="L229" s="26">
        <v>52318</v>
      </c>
      <c r="M229" s="18">
        <v>2021</v>
      </c>
    </row>
    <row r="230" ht="21.75" spans="1:13">
      <c r="A230" s="18" t="s">
        <v>155</v>
      </c>
      <c r="B230" s="18" t="s">
        <v>156</v>
      </c>
      <c r="C230" s="18" t="s">
        <v>157</v>
      </c>
      <c r="D230" s="18" t="s">
        <v>158</v>
      </c>
      <c r="E230" s="18" t="s">
        <v>159</v>
      </c>
      <c r="F230" s="19" t="s">
        <v>68</v>
      </c>
      <c r="G230" s="20" t="s">
        <v>69</v>
      </c>
      <c r="H230" t="str">
        <f>'Source Table'!$G$9</f>
        <v>Female</v>
      </c>
      <c r="I230" t="str">
        <f>'Source Table'!$G$8</f>
        <v>أنثى</v>
      </c>
      <c r="J230" t="str">
        <f t="shared" si="6"/>
        <v>2022/2021</v>
      </c>
      <c r="K230" t="str">
        <f t="shared" si="7"/>
        <v>2022/2021</v>
      </c>
      <c r="L230" s="26">
        <v>23168</v>
      </c>
      <c r="M230" s="18">
        <v>2021</v>
      </c>
    </row>
    <row r="231" ht="21.75" spans="1:13">
      <c r="A231" s="18" t="s">
        <v>155</v>
      </c>
      <c r="B231" s="18" t="s">
        <v>156</v>
      </c>
      <c r="C231" s="18" t="s">
        <v>157</v>
      </c>
      <c r="D231" s="18" t="s">
        <v>158</v>
      </c>
      <c r="E231" s="18" t="s">
        <v>159</v>
      </c>
      <c r="F231" s="19" t="s">
        <v>70</v>
      </c>
      <c r="G231" s="20" t="s">
        <v>71</v>
      </c>
      <c r="H231" t="str">
        <f>'Source Table'!$G$9</f>
        <v>Female</v>
      </c>
      <c r="I231" t="str">
        <f>'Source Table'!$G$8</f>
        <v>أنثى</v>
      </c>
      <c r="J231" t="str">
        <f t="shared" si="6"/>
        <v>2022/2021</v>
      </c>
      <c r="K231" t="str">
        <f t="shared" si="7"/>
        <v>2022/2021</v>
      </c>
      <c r="L231" s="26">
        <v>5804</v>
      </c>
      <c r="M231" s="18">
        <v>2021</v>
      </c>
    </row>
    <row r="232" ht="21.75" spans="1:13">
      <c r="A232" s="18" t="s">
        <v>155</v>
      </c>
      <c r="B232" s="18" t="s">
        <v>156</v>
      </c>
      <c r="C232" s="18" t="s">
        <v>157</v>
      </c>
      <c r="D232" s="18" t="s">
        <v>158</v>
      </c>
      <c r="E232" s="18" t="s">
        <v>159</v>
      </c>
      <c r="F232" s="19" t="s">
        <v>74</v>
      </c>
      <c r="G232" s="20" t="s">
        <v>75</v>
      </c>
      <c r="H232" t="str">
        <f>'Source Table'!$G$9</f>
        <v>Female</v>
      </c>
      <c r="I232" t="str">
        <f>'Source Table'!$G$8</f>
        <v>أنثى</v>
      </c>
      <c r="J232" t="str">
        <f t="shared" si="6"/>
        <v>2022/2021</v>
      </c>
      <c r="K232" t="str">
        <f t="shared" si="7"/>
        <v>2022/2021</v>
      </c>
      <c r="L232" s="26">
        <v>78759</v>
      </c>
      <c r="M232" s="18">
        <v>2021</v>
      </c>
    </row>
    <row r="233" ht="21.75" spans="1:13">
      <c r="A233" s="18" t="s">
        <v>155</v>
      </c>
      <c r="B233" s="18" t="s">
        <v>156</v>
      </c>
      <c r="C233" s="18" t="s">
        <v>157</v>
      </c>
      <c r="D233" s="18" t="s">
        <v>158</v>
      </c>
      <c r="E233" s="18" t="s">
        <v>159</v>
      </c>
      <c r="F233" s="19" t="s">
        <v>76</v>
      </c>
      <c r="G233" s="20" t="s">
        <v>77</v>
      </c>
      <c r="H233" t="str">
        <f>'Source Table'!$G$9</f>
        <v>Female</v>
      </c>
      <c r="I233" t="str">
        <f>'Source Table'!$G$8</f>
        <v>أنثى</v>
      </c>
      <c r="J233" t="str">
        <f t="shared" si="6"/>
        <v>2022/2021</v>
      </c>
      <c r="K233" t="str">
        <f t="shared" si="7"/>
        <v>2022/2021</v>
      </c>
      <c r="L233" s="26">
        <v>26747</v>
      </c>
      <c r="M233" s="18">
        <v>2021</v>
      </c>
    </row>
    <row r="234" ht="21.75" spans="1:13">
      <c r="A234" s="18" t="s">
        <v>155</v>
      </c>
      <c r="B234" s="18" t="s">
        <v>156</v>
      </c>
      <c r="C234" s="18" t="s">
        <v>157</v>
      </c>
      <c r="D234" s="18" t="s">
        <v>158</v>
      </c>
      <c r="E234" s="18" t="s">
        <v>159</v>
      </c>
      <c r="F234" s="19" t="s">
        <v>78</v>
      </c>
      <c r="G234" s="20" t="s">
        <v>79</v>
      </c>
      <c r="H234" t="str">
        <f>'Source Table'!$G$9</f>
        <v>Female</v>
      </c>
      <c r="I234" t="str">
        <f>'Source Table'!$G$8</f>
        <v>أنثى</v>
      </c>
      <c r="J234" t="str">
        <f t="shared" si="6"/>
        <v>2022/2021</v>
      </c>
      <c r="K234" t="str">
        <f t="shared" si="7"/>
        <v>2022/2021</v>
      </c>
      <c r="L234" s="26">
        <v>8869</v>
      </c>
      <c r="M234" s="18">
        <v>2021</v>
      </c>
    </row>
    <row r="235" ht="21.75" spans="1:13">
      <c r="A235" s="18" t="s">
        <v>155</v>
      </c>
      <c r="B235" s="18" t="s">
        <v>156</v>
      </c>
      <c r="C235" s="18" t="s">
        <v>157</v>
      </c>
      <c r="D235" s="18" t="s">
        <v>158</v>
      </c>
      <c r="E235" s="18" t="s">
        <v>159</v>
      </c>
      <c r="F235" s="19" t="s">
        <v>80</v>
      </c>
      <c r="G235" s="20" t="s">
        <v>81</v>
      </c>
      <c r="H235" t="str">
        <f>'Source Table'!$G$9</f>
        <v>Female</v>
      </c>
      <c r="I235" t="str">
        <f>'Source Table'!$G$8</f>
        <v>أنثى</v>
      </c>
      <c r="J235" t="str">
        <f t="shared" si="6"/>
        <v>2022/2021</v>
      </c>
      <c r="K235" t="str">
        <f t="shared" si="7"/>
        <v>2022/2021</v>
      </c>
      <c r="L235" s="26">
        <v>10721</v>
      </c>
      <c r="M235" s="18">
        <v>2021</v>
      </c>
    </row>
    <row r="236" ht="21.75" spans="1:13">
      <c r="A236" s="18" t="s">
        <v>155</v>
      </c>
      <c r="B236" s="18" t="s">
        <v>156</v>
      </c>
      <c r="C236" s="18" t="s">
        <v>157</v>
      </c>
      <c r="D236" s="18" t="s">
        <v>158</v>
      </c>
      <c r="E236" s="18" t="s">
        <v>159</v>
      </c>
      <c r="F236" s="19" t="s">
        <v>82</v>
      </c>
      <c r="G236" s="20" t="s">
        <v>83</v>
      </c>
      <c r="H236" t="str">
        <f>'Source Table'!$G$9</f>
        <v>Female</v>
      </c>
      <c r="I236" t="str">
        <f>'Source Table'!$G$8</f>
        <v>أنثى</v>
      </c>
      <c r="J236" t="str">
        <f t="shared" si="6"/>
        <v>2022/2021</v>
      </c>
      <c r="K236" t="str">
        <f t="shared" si="7"/>
        <v>2022/2021</v>
      </c>
      <c r="L236" s="26">
        <v>18298</v>
      </c>
      <c r="M236" s="18">
        <v>2021</v>
      </c>
    </row>
    <row r="237" ht="21.75" spans="1:13">
      <c r="A237" s="18" t="s">
        <v>155</v>
      </c>
      <c r="B237" s="18" t="s">
        <v>156</v>
      </c>
      <c r="C237" s="18" t="s">
        <v>157</v>
      </c>
      <c r="D237" s="18" t="s">
        <v>158</v>
      </c>
      <c r="E237" s="18" t="s">
        <v>159</v>
      </c>
      <c r="F237" s="19" t="s">
        <v>84</v>
      </c>
      <c r="G237" s="20" t="s">
        <v>85</v>
      </c>
      <c r="H237" t="str">
        <f>'Source Table'!$G$9</f>
        <v>Female</v>
      </c>
      <c r="I237" t="str">
        <f>'Source Table'!$G$8</f>
        <v>أنثى</v>
      </c>
      <c r="J237" t="str">
        <f t="shared" si="6"/>
        <v>2022/2021</v>
      </c>
      <c r="K237" t="str">
        <f t="shared" si="7"/>
        <v>2022/2021</v>
      </c>
      <c r="L237" s="26">
        <v>14632</v>
      </c>
      <c r="M237" s="18">
        <v>2021</v>
      </c>
    </row>
    <row r="238" ht="21.75" spans="1:13">
      <c r="A238" s="18" t="s">
        <v>155</v>
      </c>
      <c r="B238" s="18" t="s">
        <v>156</v>
      </c>
      <c r="C238" s="18" t="s">
        <v>157</v>
      </c>
      <c r="D238" s="18" t="s">
        <v>158</v>
      </c>
      <c r="E238" s="18" t="s">
        <v>159</v>
      </c>
      <c r="F238" s="19" t="s">
        <v>86</v>
      </c>
      <c r="G238" s="20" t="s">
        <v>87</v>
      </c>
      <c r="H238" t="str">
        <f>'Source Table'!$G$9</f>
        <v>Female</v>
      </c>
      <c r="I238" t="str">
        <f>'Source Table'!$G$8</f>
        <v>أنثى</v>
      </c>
      <c r="J238" t="str">
        <f t="shared" si="6"/>
        <v>2022/2021</v>
      </c>
      <c r="K238" t="str">
        <f t="shared" si="7"/>
        <v>2022/2021</v>
      </c>
      <c r="L238" s="26">
        <v>14788</v>
      </c>
      <c r="M238" s="18">
        <v>2021</v>
      </c>
    </row>
    <row r="239" ht="21.75" spans="1:13">
      <c r="A239" s="18" t="s">
        <v>155</v>
      </c>
      <c r="B239" s="18" t="s">
        <v>156</v>
      </c>
      <c r="C239" s="18" t="s">
        <v>157</v>
      </c>
      <c r="D239" s="18" t="s">
        <v>158</v>
      </c>
      <c r="E239" s="18" t="s">
        <v>159</v>
      </c>
      <c r="F239" s="19" t="s">
        <v>88</v>
      </c>
      <c r="G239" s="20" t="s">
        <v>89</v>
      </c>
      <c r="H239" t="str">
        <f>'Source Table'!$G$9</f>
        <v>Female</v>
      </c>
      <c r="I239" t="str">
        <f>'Source Table'!$G$8</f>
        <v>أنثى</v>
      </c>
      <c r="J239" t="str">
        <f t="shared" si="6"/>
        <v>2022/2021</v>
      </c>
      <c r="K239" t="str">
        <f t="shared" si="7"/>
        <v>2022/2021</v>
      </c>
      <c r="L239" s="26">
        <v>27319</v>
      </c>
      <c r="M239" s="18">
        <v>2021</v>
      </c>
    </row>
    <row r="240" ht="21.75" spans="1:13">
      <c r="A240" s="18" t="s">
        <v>155</v>
      </c>
      <c r="B240" s="18" t="s">
        <v>156</v>
      </c>
      <c r="C240" s="18" t="s">
        <v>157</v>
      </c>
      <c r="D240" s="18" t="s">
        <v>158</v>
      </c>
      <c r="E240" s="18" t="s">
        <v>159</v>
      </c>
      <c r="F240" s="19" t="s">
        <v>91</v>
      </c>
      <c r="G240" s="20" t="s">
        <v>92</v>
      </c>
      <c r="H240" t="str">
        <f>'Source Table'!$G$9</f>
        <v>Female</v>
      </c>
      <c r="I240" t="str">
        <f>'Source Table'!$G$8</f>
        <v>أنثى</v>
      </c>
      <c r="J240" t="str">
        <f t="shared" si="6"/>
        <v>2022/2021</v>
      </c>
      <c r="K240" t="str">
        <f t="shared" si="7"/>
        <v>2022/2021</v>
      </c>
      <c r="L240" s="26">
        <v>26688</v>
      </c>
      <c r="M240" s="18">
        <v>2021</v>
      </c>
    </row>
    <row r="241" ht="21.75" spans="1:13">
      <c r="A241" s="18" t="s">
        <v>155</v>
      </c>
      <c r="B241" s="18" t="s">
        <v>156</v>
      </c>
      <c r="C241" s="18" t="s">
        <v>157</v>
      </c>
      <c r="D241" s="18" t="s">
        <v>158</v>
      </c>
      <c r="E241" s="18" t="s">
        <v>159</v>
      </c>
      <c r="F241" s="19" t="s">
        <v>94</v>
      </c>
      <c r="G241" s="20" t="s">
        <v>95</v>
      </c>
      <c r="H241" t="str">
        <f>'Source Table'!$G$9</f>
        <v>Female</v>
      </c>
      <c r="I241" t="str">
        <f>'Source Table'!$G$8</f>
        <v>أنثى</v>
      </c>
      <c r="J241" t="str">
        <f t="shared" si="6"/>
        <v>2022/2021</v>
      </c>
      <c r="K241" t="str">
        <f t="shared" si="7"/>
        <v>2022/2021</v>
      </c>
      <c r="L241" s="26">
        <v>17328</v>
      </c>
      <c r="M241" s="18">
        <v>2021</v>
      </c>
    </row>
    <row r="242" ht="21.75" spans="1:13">
      <c r="A242" s="18" t="s">
        <v>155</v>
      </c>
      <c r="B242" s="18" t="s">
        <v>156</v>
      </c>
      <c r="C242" s="18" t="s">
        <v>157</v>
      </c>
      <c r="D242" s="18" t="s">
        <v>158</v>
      </c>
      <c r="E242" s="18" t="s">
        <v>159</v>
      </c>
      <c r="F242" s="19" t="s">
        <v>96</v>
      </c>
      <c r="G242" s="20" t="s">
        <v>97</v>
      </c>
      <c r="H242" t="str">
        <f>'Source Table'!$G$9</f>
        <v>Female</v>
      </c>
      <c r="I242" t="str">
        <f>'Source Table'!$G$8</f>
        <v>أنثى</v>
      </c>
      <c r="J242" t="str">
        <f t="shared" si="6"/>
        <v>2022/2021</v>
      </c>
      <c r="K242" t="str">
        <f t="shared" si="7"/>
        <v>2022/2021</v>
      </c>
      <c r="L242" s="26">
        <v>31228</v>
      </c>
      <c r="M242" s="18">
        <v>2021</v>
      </c>
    </row>
    <row r="243" ht="21.75" spans="1:13">
      <c r="A243" s="18" t="s">
        <v>155</v>
      </c>
      <c r="B243" s="18" t="s">
        <v>156</v>
      </c>
      <c r="C243" s="18" t="s">
        <v>157</v>
      </c>
      <c r="D243" s="18" t="s">
        <v>158</v>
      </c>
      <c r="E243" s="18" t="s">
        <v>159</v>
      </c>
      <c r="F243" s="19" t="s">
        <v>98</v>
      </c>
      <c r="G243" s="20" t="s">
        <v>99</v>
      </c>
      <c r="H243" t="str">
        <f>'Source Table'!$G$9</f>
        <v>Female</v>
      </c>
      <c r="I243" t="str">
        <f>'Source Table'!$G$8</f>
        <v>أنثى</v>
      </c>
      <c r="J243" t="str">
        <f t="shared" si="6"/>
        <v>2022/2021</v>
      </c>
      <c r="K243" t="str">
        <f t="shared" si="7"/>
        <v>2022/2021</v>
      </c>
      <c r="L243" s="27">
        <v>33534</v>
      </c>
      <c r="M243" s="18">
        <v>2021</v>
      </c>
    </row>
    <row r="244" ht="21.75" spans="1:13">
      <c r="A244" s="18" t="s">
        <v>155</v>
      </c>
      <c r="B244" s="18" t="s">
        <v>156</v>
      </c>
      <c r="C244" s="18" t="s">
        <v>157</v>
      </c>
      <c r="D244" s="18" t="s">
        <v>158</v>
      </c>
      <c r="E244" s="18" t="s">
        <v>159</v>
      </c>
      <c r="F244" s="19" t="s">
        <v>100</v>
      </c>
      <c r="G244" s="20" t="s">
        <v>101</v>
      </c>
      <c r="H244" t="str">
        <f>'Source Table'!$G$9</f>
        <v>Female</v>
      </c>
      <c r="I244" t="str">
        <f>'Source Table'!$G$8</f>
        <v>أنثى</v>
      </c>
      <c r="J244" t="str">
        <f t="shared" si="6"/>
        <v>2022/2021</v>
      </c>
      <c r="K244" t="str">
        <f t="shared" si="7"/>
        <v>2022/2021</v>
      </c>
      <c r="L244" s="27">
        <v>24302</v>
      </c>
      <c r="M244" s="18">
        <v>2021</v>
      </c>
    </row>
    <row r="245" ht="21.75" spans="1:13">
      <c r="A245" s="18" t="s">
        <v>155</v>
      </c>
      <c r="B245" s="18" t="s">
        <v>156</v>
      </c>
      <c r="C245" s="18" t="s">
        <v>157</v>
      </c>
      <c r="D245" s="18" t="s">
        <v>158</v>
      </c>
      <c r="E245" s="18" t="s">
        <v>159</v>
      </c>
      <c r="F245" s="19" t="s">
        <v>103</v>
      </c>
      <c r="G245" s="20" t="s">
        <v>104</v>
      </c>
      <c r="H245" t="str">
        <f>'Source Table'!$G$9</f>
        <v>Female</v>
      </c>
      <c r="I245" t="str">
        <f>'Source Table'!$G$8</f>
        <v>أنثى</v>
      </c>
      <c r="J245" t="str">
        <f t="shared" si="6"/>
        <v>2022/2021</v>
      </c>
      <c r="K245" t="str">
        <f t="shared" si="7"/>
        <v>2022/2021</v>
      </c>
      <c r="L245" s="26">
        <v>15718</v>
      </c>
      <c r="M245" s="18">
        <v>2021</v>
      </c>
    </row>
    <row r="246" ht="21.75" spans="1:13">
      <c r="A246" s="18" t="s">
        <v>155</v>
      </c>
      <c r="B246" s="18" t="s">
        <v>156</v>
      </c>
      <c r="C246" s="18" t="s">
        <v>157</v>
      </c>
      <c r="D246" s="18" t="s">
        <v>158</v>
      </c>
      <c r="E246" s="18" t="s">
        <v>159</v>
      </c>
      <c r="F246" s="19" t="s">
        <v>106</v>
      </c>
      <c r="G246" s="20" t="s">
        <v>107</v>
      </c>
      <c r="H246" t="str">
        <f>'Source Table'!$G$9</f>
        <v>Female</v>
      </c>
      <c r="I246" t="str">
        <f>'Source Table'!$G$8</f>
        <v>أنثى</v>
      </c>
      <c r="J246" t="str">
        <f t="shared" si="6"/>
        <v>2022/2021</v>
      </c>
      <c r="K246" t="str">
        <f t="shared" si="7"/>
        <v>2022/2021</v>
      </c>
      <c r="L246" s="26">
        <v>12072</v>
      </c>
      <c r="M246" s="18">
        <v>2021</v>
      </c>
    </row>
    <row r="247" ht="21.75" spans="1:13">
      <c r="A247" s="18" t="s">
        <v>155</v>
      </c>
      <c r="B247" s="18" t="s">
        <v>156</v>
      </c>
      <c r="C247" s="18" t="s">
        <v>157</v>
      </c>
      <c r="D247" s="18" t="s">
        <v>158</v>
      </c>
      <c r="E247" s="18" t="s">
        <v>159</v>
      </c>
      <c r="F247" s="19" t="s">
        <v>108</v>
      </c>
      <c r="G247" s="20" t="s">
        <v>109</v>
      </c>
      <c r="H247" t="str">
        <f>'Source Table'!$G$9</f>
        <v>Female</v>
      </c>
      <c r="I247" t="str">
        <f>'Source Table'!$G$8</f>
        <v>أنثى</v>
      </c>
      <c r="J247" t="str">
        <f t="shared" si="6"/>
        <v>2022/2021</v>
      </c>
      <c r="K247" t="str">
        <f t="shared" si="7"/>
        <v>2022/2021</v>
      </c>
      <c r="L247" s="26">
        <v>7011</v>
      </c>
      <c r="M247" s="18">
        <v>2021</v>
      </c>
    </row>
    <row r="248" ht="21.75" spans="1:13">
      <c r="A248" s="18" t="s">
        <v>155</v>
      </c>
      <c r="B248" s="18" t="s">
        <v>156</v>
      </c>
      <c r="C248" s="18" t="s">
        <v>157</v>
      </c>
      <c r="D248" s="18" t="s">
        <v>158</v>
      </c>
      <c r="E248" s="18" t="s">
        <v>159</v>
      </c>
      <c r="F248" s="19" t="s">
        <v>110</v>
      </c>
      <c r="G248" s="20" t="s">
        <v>111</v>
      </c>
      <c r="H248" t="str">
        <f>'Source Table'!$G$9</f>
        <v>Female</v>
      </c>
      <c r="I248" t="str">
        <f>'Source Table'!$G$8</f>
        <v>أنثى</v>
      </c>
      <c r="J248" t="str">
        <f t="shared" si="6"/>
        <v>2022/2021</v>
      </c>
      <c r="K248" t="str">
        <f t="shared" si="7"/>
        <v>2022/2021</v>
      </c>
      <c r="L248" s="26">
        <v>8611</v>
      </c>
      <c r="M248" s="18">
        <v>2021</v>
      </c>
    </row>
    <row r="249" ht="21.75" spans="1:13">
      <c r="A249" s="18" t="s">
        <v>155</v>
      </c>
      <c r="B249" s="18" t="s">
        <v>156</v>
      </c>
      <c r="C249" s="18" t="s">
        <v>157</v>
      </c>
      <c r="D249" s="18" t="s">
        <v>158</v>
      </c>
      <c r="E249" s="18" t="s">
        <v>159</v>
      </c>
      <c r="F249" s="19" t="s">
        <v>113</v>
      </c>
      <c r="G249" s="20" t="s">
        <v>114</v>
      </c>
      <c r="H249" t="str">
        <f>'Source Table'!$G$9</f>
        <v>Female</v>
      </c>
      <c r="I249" t="str">
        <f>'Source Table'!$G$8</f>
        <v>أنثى</v>
      </c>
      <c r="J249" t="str">
        <f t="shared" si="6"/>
        <v>2022/2021</v>
      </c>
      <c r="K249" t="str">
        <f t="shared" si="7"/>
        <v>2022/2021</v>
      </c>
      <c r="L249" s="26">
        <v>11231</v>
      </c>
      <c r="M249" s="18">
        <v>2021</v>
      </c>
    </row>
    <row r="250" ht="21.75" spans="1:13">
      <c r="A250" s="18" t="s">
        <v>155</v>
      </c>
      <c r="B250" s="18" t="s">
        <v>156</v>
      </c>
      <c r="C250" s="18" t="s">
        <v>157</v>
      </c>
      <c r="D250" s="18" t="s">
        <v>158</v>
      </c>
      <c r="E250" s="18" t="s">
        <v>159</v>
      </c>
      <c r="F250" s="19" t="s">
        <v>115</v>
      </c>
      <c r="G250" s="20" t="s">
        <v>116</v>
      </c>
      <c r="H250" t="str">
        <f>'Source Table'!$G$9</f>
        <v>Female</v>
      </c>
      <c r="I250" t="str">
        <f>'Source Table'!$G$8</f>
        <v>أنثى</v>
      </c>
      <c r="J250" t="str">
        <f t="shared" si="6"/>
        <v>2022/2021</v>
      </c>
      <c r="K250" t="str">
        <f t="shared" si="7"/>
        <v>2022/2021</v>
      </c>
      <c r="L250" s="26">
        <v>4297</v>
      </c>
      <c r="M250" s="18">
        <v>2021</v>
      </c>
    </row>
    <row r="251" ht="21.75" spans="1:13">
      <c r="A251" s="18" t="s">
        <v>155</v>
      </c>
      <c r="B251" s="18" t="s">
        <v>156</v>
      </c>
      <c r="C251" s="18" t="s">
        <v>157</v>
      </c>
      <c r="D251" s="18" t="s">
        <v>158</v>
      </c>
      <c r="E251" s="18" t="s">
        <v>159</v>
      </c>
      <c r="F251" s="19" t="s">
        <v>118</v>
      </c>
      <c r="G251" s="20" t="s">
        <v>119</v>
      </c>
      <c r="H251" t="str">
        <f>'Source Table'!$G$9</f>
        <v>Female</v>
      </c>
      <c r="I251" t="str">
        <f>'Source Table'!$G$8</f>
        <v>أنثى</v>
      </c>
      <c r="J251" t="str">
        <f t="shared" si="6"/>
        <v>2022/2021</v>
      </c>
      <c r="K251" t="str">
        <f t="shared" si="7"/>
        <v>2022/2021</v>
      </c>
      <c r="L251" s="26">
        <v>7047</v>
      </c>
      <c r="M251" s="18">
        <v>2021</v>
      </c>
    </row>
    <row r="252" ht="21.75" spans="1:13">
      <c r="A252" s="18" t="s">
        <v>155</v>
      </c>
      <c r="B252" s="18" t="s">
        <v>156</v>
      </c>
      <c r="C252" s="18" t="s">
        <v>157</v>
      </c>
      <c r="D252" s="18" t="s">
        <v>158</v>
      </c>
      <c r="E252" s="18" t="s">
        <v>159</v>
      </c>
      <c r="F252" s="19" t="s">
        <v>120</v>
      </c>
      <c r="G252" s="20" t="s">
        <v>121</v>
      </c>
      <c r="H252" t="str">
        <f>'Source Table'!$G$9</f>
        <v>Female</v>
      </c>
      <c r="I252" t="str">
        <f>'Source Table'!$G$8</f>
        <v>أنثى</v>
      </c>
      <c r="J252" t="str">
        <f t="shared" si="6"/>
        <v>2022/2021</v>
      </c>
      <c r="K252" t="str">
        <f t="shared" si="7"/>
        <v>2022/2021</v>
      </c>
      <c r="L252" s="26">
        <v>8452</v>
      </c>
      <c r="M252" s="18">
        <v>2021</v>
      </c>
    </row>
    <row r="253" ht="21.75" spans="1:13">
      <c r="A253" s="18" t="s">
        <v>155</v>
      </c>
      <c r="B253" s="18" t="s">
        <v>156</v>
      </c>
      <c r="C253" s="18" t="s">
        <v>157</v>
      </c>
      <c r="D253" s="18" t="s">
        <v>158</v>
      </c>
      <c r="E253" s="18" t="s">
        <v>159</v>
      </c>
      <c r="F253" s="19" t="s">
        <v>122</v>
      </c>
      <c r="G253" s="20" t="s">
        <v>123</v>
      </c>
      <c r="H253" t="str">
        <f>'Source Table'!$G$9</f>
        <v>Female</v>
      </c>
      <c r="I253" t="str">
        <f>'Source Table'!$G$8</f>
        <v>أنثى</v>
      </c>
      <c r="J253" t="str">
        <f t="shared" si="6"/>
        <v>2022/2021</v>
      </c>
      <c r="K253" t="str">
        <f t="shared" si="7"/>
        <v>2022/2021</v>
      </c>
      <c r="L253" s="26">
        <v>5116</v>
      </c>
      <c r="M253" s="18">
        <v>2021</v>
      </c>
    </row>
    <row r="254" ht="21.75" spans="1:13">
      <c r="A254" s="18" t="s">
        <v>155</v>
      </c>
      <c r="B254" s="18" t="s">
        <v>156</v>
      </c>
      <c r="C254" s="18" t="s">
        <v>157</v>
      </c>
      <c r="D254" s="18" t="s">
        <v>158</v>
      </c>
      <c r="E254" s="18" t="s">
        <v>159</v>
      </c>
      <c r="F254" s="19" t="s">
        <v>124</v>
      </c>
      <c r="G254" s="20" t="s">
        <v>125</v>
      </c>
      <c r="H254" t="str">
        <f>'Source Table'!$G$9</f>
        <v>Female</v>
      </c>
      <c r="I254" t="str">
        <f>'Source Table'!$G$8</f>
        <v>أنثى</v>
      </c>
      <c r="J254" t="str">
        <f t="shared" si="6"/>
        <v>2022/2021</v>
      </c>
      <c r="K254" t="str">
        <f t="shared" si="7"/>
        <v>2022/2021</v>
      </c>
      <c r="L254" s="26">
        <v>1939</v>
      </c>
      <c r="M254" s="18">
        <v>2021</v>
      </c>
    </row>
    <row r="255" ht="21.75" spans="1:13">
      <c r="A255" s="18" t="s">
        <v>155</v>
      </c>
      <c r="B255" s="18" t="s">
        <v>156</v>
      </c>
      <c r="C255" s="18" t="s">
        <v>157</v>
      </c>
      <c r="D255" s="18" t="s">
        <v>158</v>
      </c>
      <c r="E255" s="18" t="s">
        <v>159</v>
      </c>
      <c r="F255" s="19" t="s">
        <v>126</v>
      </c>
      <c r="G255" s="20" t="s">
        <v>127</v>
      </c>
      <c r="H255" t="str">
        <f>'Source Table'!$G$9</f>
        <v>Female</v>
      </c>
      <c r="I255" t="str">
        <f>'Source Table'!$G$8</f>
        <v>أنثى</v>
      </c>
      <c r="J255" t="str">
        <f t="shared" si="6"/>
        <v>2022/2021</v>
      </c>
      <c r="K255" t="str">
        <f t="shared" si="7"/>
        <v>2022/2021</v>
      </c>
      <c r="L255" s="27">
        <v>25952</v>
      </c>
      <c r="M255" s="18">
        <v>2021</v>
      </c>
    </row>
    <row r="256" ht="21.75" spans="1:13">
      <c r="A256" s="18" t="s">
        <v>155</v>
      </c>
      <c r="B256" s="18" t="s">
        <v>156</v>
      </c>
      <c r="C256" s="18" t="s">
        <v>162</v>
      </c>
      <c r="D256" s="18" t="s">
        <v>158</v>
      </c>
      <c r="E256" s="18" t="s">
        <v>159</v>
      </c>
      <c r="F256" s="19" t="s">
        <v>29</v>
      </c>
      <c r="G256" s="20" t="s">
        <v>30</v>
      </c>
      <c r="H256" t="str">
        <f>'Source Table'!$H$9</f>
        <v>Male</v>
      </c>
      <c r="I256" t="str">
        <f>'Source Table'!$H$8</f>
        <v>ذكر</v>
      </c>
      <c r="J256" t="str">
        <f t="shared" si="6"/>
        <v>2022/2021</v>
      </c>
      <c r="K256" t="str">
        <f t="shared" si="7"/>
        <v>2022/2021</v>
      </c>
      <c r="L256" s="26">
        <v>2573</v>
      </c>
      <c r="M256" s="18">
        <v>2021</v>
      </c>
    </row>
    <row r="257" ht="21.75" spans="1:13">
      <c r="A257" s="18" t="s">
        <v>155</v>
      </c>
      <c r="B257" s="18" t="s">
        <v>156</v>
      </c>
      <c r="C257" s="18" t="s">
        <v>162</v>
      </c>
      <c r="D257" s="18" t="s">
        <v>158</v>
      </c>
      <c r="E257" s="18" t="s">
        <v>159</v>
      </c>
      <c r="F257" s="19" t="s">
        <v>32</v>
      </c>
      <c r="G257" s="20" t="s">
        <v>33</v>
      </c>
      <c r="H257" t="str">
        <f>'Source Table'!$H$9</f>
        <v>Male</v>
      </c>
      <c r="I257" t="str">
        <f>'Source Table'!$H$8</f>
        <v>ذكر</v>
      </c>
      <c r="J257" t="str">
        <f t="shared" si="6"/>
        <v>2022/2021</v>
      </c>
      <c r="K257" t="str">
        <f t="shared" si="7"/>
        <v>2022/2021</v>
      </c>
      <c r="L257" s="26">
        <v>2235</v>
      </c>
      <c r="M257" s="18">
        <v>2021</v>
      </c>
    </row>
    <row r="258" ht="21.75" spans="1:13">
      <c r="A258" s="18" t="s">
        <v>155</v>
      </c>
      <c r="B258" s="18" t="s">
        <v>156</v>
      </c>
      <c r="C258" s="18" t="s">
        <v>162</v>
      </c>
      <c r="D258" s="18" t="s">
        <v>158</v>
      </c>
      <c r="E258" s="18" t="s">
        <v>159</v>
      </c>
      <c r="F258" s="19" t="s">
        <v>34</v>
      </c>
      <c r="G258" s="20" t="s">
        <v>35</v>
      </c>
      <c r="H258" t="str">
        <f>'Source Table'!$H$9</f>
        <v>Male</v>
      </c>
      <c r="I258" t="str">
        <f>'Source Table'!$H$8</f>
        <v>ذكر</v>
      </c>
      <c r="J258" t="str">
        <f t="shared" si="6"/>
        <v>2022/2021</v>
      </c>
      <c r="K258" t="str">
        <f t="shared" si="7"/>
        <v>2022/2021</v>
      </c>
      <c r="L258" s="28">
        <v>553</v>
      </c>
      <c r="M258" s="18">
        <v>2021</v>
      </c>
    </row>
    <row r="259" ht="21.75" spans="1:13">
      <c r="A259" s="18" t="s">
        <v>155</v>
      </c>
      <c r="B259" s="18" t="s">
        <v>156</v>
      </c>
      <c r="C259" s="18" t="s">
        <v>162</v>
      </c>
      <c r="D259" s="18" t="s">
        <v>158</v>
      </c>
      <c r="E259" s="18" t="s">
        <v>159</v>
      </c>
      <c r="F259" s="19" t="s">
        <v>36</v>
      </c>
      <c r="G259" s="20" t="s">
        <v>37</v>
      </c>
      <c r="H259" t="str">
        <f>'Source Table'!$H$9</f>
        <v>Male</v>
      </c>
      <c r="I259" t="str">
        <f>'Source Table'!$H$8</f>
        <v>ذكر</v>
      </c>
      <c r="J259" t="str">
        <f t="shared" si="6"/>
        <v>2022/2021</v>
      </c>
      <c r="K259" t="str">
        <f t="shared" si="7"/>
        <v>2022/2021</v>
      </c>
      <c r="L259" s="26">
        <v>1820</v>
      </c>
      <c r="M259" s="18">
        <v>2021</v>
      </c>
    </row>
    <row r="260" ht="21.75" spans="1:13">
      <c r="A260" s="18" t="s">
        <v>155</v>
      </c>
      <c r="B260" s="18" t="s">
        <v>156</v>
      </c>
      <c r="C260" s="18" t="s">
        <v>162</v>
      </c>
      <c r="D260" s="18" t="s">
        <v>158</v>
      </c>
      <c r="E260" s="18" t="s">
        <v>159</v>
      </c>
      <c r="F260" s="19" t="s">
        <v>38</v>
      </c>
      <c r="G260" s="20" t="s">
        <v>39</v>
      </c>
      <c r="H260" t="str">
        <f>'Source Table'!$H$9</f>
        <v>Male</v>
      </c>
      <c r="I260" t="str">
        <f>'Source Table'!$H$8</f>
        <v>ذكر</v>
      </c>
      <c r="J260" t="str">
        <f t="shared" si="6"/>
        <v>2022/2021</v>
      </c>
      <c r="K260" t="str">
        <f t="shared" si="7"/>
        <v>2022/2021</v>
      </c>
      <c r="L260" s="26">
        <v>3211</v>
      </c>
      <c r="M260" s="18">
        <v>2021</v>
      </c>
    </row>
    <row r="261" ht="21.75" spans="1:13">
      <c r="A261" s="18" t="s">
        <v>155</v>
      </c>
      <c r="B261" s="18" t="s">
        <v>156</v>
      </c>
      <c r="C261" s="18" t="s">
        <v>162</v>
      </c>
      <c r="D261" s="18" t="s">
        <v>158</v>
      </c>
      <c r="E261" s="18" t="s">
        <v>159</v>
      </c>
      <c r="F261" s="19" t="s">
        <v>40</v>
      </c>
      <c r="G261" s="20" t="s">
        <v>41</v>
      </c>
      <c r="H261" t="str">
        <f>'Source Table'!$H$9</f>
        <v>Male</v>
      </c>
      <c r="I261" t="str">
        <f>'Source Table'!$H$8</f>
        <v>ذكر</v>
      </c>
      <c r="J261" t="str">
        <f t="shared" ref="J261:J324" si="8">TEXT(M261+1,"0")&amp;"/"&amp;TEXT(M261,"0")</f>
        <v>2022/2021</v>
      </c>
      <c r="K261" t="str">
        <f t="shared" ref="K261:K324" si="9">TEXT(M261+1,"0")&amp;"/"&amp;TEXT(M261,"0")</f>
        <v>2022/2021</v>
      </c>
      <c r="L261" s="26">
        <v>1004</v>
      </c>
      <c r="M261" s="18">
        <v>2021</v>
      </c>
    </row>
    <row r="262" ht="21.75" spans="1:13">
      <c r="A262" s="18" t="s">
        <v>155</v>
      </c>
      <c r="B262" s="18" t="s">
        <v>156</v>
      </c>
      <c r="C262" s="18" t="s">
        <v>162</v>
      </c>
      <c r="D262" s="18" t="s">
        <v>158</v>
      </c>
      <c r="E262" s="18" t="s">
        <v>159</v>
      </c>
      <c r="F262" s="19" t="s">
        <v>42</v>
      </c>
      <c r="G262" s="20" t="s">
        <v>43</v>
      </c>
      <c r="H262" t="str">
        <f>'Source Table'!$H$9</f>
        <v>Male</v>
      </c>
      <c r="I262" t="str">
        <f>'Source Table'!$H$8</f>
        <v>ذكر</v>
      </c>
      <c r="J262" t="str">
        <f t="shared" si="8"/>
        <v>2022/2021</v>
      </c>
      <c r="K262" t="str">
        <f t="shared" si="9"/>
        <v>2022/2021</v>
      </c>
      <c r="L262" s="28">
        <v>640</v>
      </c>
      <c r="M262" s="18">
        <v>2021</v>
      </c>
    </row>
    <row r="263" ht="21.75" spans="1:13">
      <c r="A263" s="18" t="s">
        <v>155</v>
      </c>
      <c r="B263" s="18" t="s">
        <v>156</v>
      </c>
      <c r="C263" s="18" t="s">
        <v>162</v>
      </c>
      <c r="D263" s="18" t="s">
        <v>158</v>
      </c>
      <c r="E263" s="18" t="s">
        <v>159</v>
      </c>
      <c r="F263" s="19" t="s">
        <v>44</v>
      </c>
      <c r="G263" s="20" t="s">
        <v>45</v>
      </c>
      <c r="H263" t="str">
        <f>'Source Table'!$H$9</f>
        <v>Male</v>
      </c>
      <c r="I263" t="str">
        <f>'Source Table'!$H$8</f>
        <v>ذكر</v>
      </c>
      <c r="J263" t="str">
        <f t="shared" si="8"/>
        <v>2022/2021</v>
      </c>
      <c r="K263" t="str">
        <f t="shared" si="9"/>
        <v>2022/2021</v>
      </c>
      <c r="L263" s="28">
        <v>495</v>
      </c>
      <c r="M263" s="18">
        <v>2021</v>
      </c>
    </row>
    <row r="264" ht="21.75" spans="1:13">
      <c r="A264" s="18" t="s">
        <v>155</v>
      </c>
      <c r="B264" s="18" t="s">
        <v>156</v>
      </c>
      <c r="C264" s="18" t="s">
        <v>162</v>
      </c>
      <c r="D264" s="18" t="s">
        <v>158</v>
      </c>
      <c r="E264" s="18" t="s">
        <v>159</v>
      </c>
      <c r="F264" s="19" t="s">
        <v>46</v>
      </c>
      <c r="G264" s="20" t="s">
        <v>47</v>
      </c>
      <c r="H264" t="str">
        <f>'Source Table'!$H$9</f>
        <v>Male</v>
      </c>
      <c r="I264" t="str">
        <f>'Source Table'!$H$8</f>
        <v>ذكر</v>
      </c>
      <c r="J264" t="str">
        <f t="shared" si="8"/>
        <v>2022/2021</v>
      </c>
      <c r="K264" t="str">
        <f t="shared" si="9"/>
        <v>2022/2021</v>
      </c>
      <c r="L264" s="28">
        <v>675</v>
      </c>
      <c r="M264" s="18">
        <v>2021</v>
      </c>
    </row>
    <row r="265" ht="21.75" spans="1:13">
      <c r="A265" s="18" t="s">
        <v>155</v>
      </c>
      <c r="B265" s="18" t="s">
        <v>156</v>
      </c>
      <c r="C265" s="18" t="s">
        <v>162</v>
      </c>
      <c r="D265" s="18" t="s">
        <v>158</v>
      </c>
      <c r="E265" s="18" t="s">
        <v>159</v>
      </c>
      <c r="F265" s="19" t="s">
        <v>49</v>
      </c>
      <c r="G265" s="20" t="s">
        <v>50</v>
      </c>
      <c r="H265" t="str">
        <f>'Source Table'!$H$9</f>
        <v>Male</v>
      </c>
      <c r="I265" t="str">
        <f>'Source Table'!$H$8</f>
        <v>ذكر</v>
      </c>
      <c r="J265" t="str">
        <f t="shared" si="8"/>
        <v>2022/2021</v>
      </c>
      <c r="K265" t="str">
        <f t="shared" si="9"/>
        <v>2022/2021</v>
      </c>
      <c r="L265" s="28">
        <v>893</v>
      </c>
      <c r="M265" s="18">
        <v>2021</v>
      </c>
    </row>
    <row r="266" ht="21.75" spans="1:13">
      <c r="A266" s="18" t="s">
        <v>155</v>
      </c>
      <c r="B266" s="18" t="s">
        <v>156</v>
      </c>
      <c r="C266" s="18" t="s">
        <v>162</v>
      </c>
      <c r="D266" s="18" t="s">
        <v>158</v>
      </c>
      <c r="E266" s="18" t="s">
        <v>159</v>
      </c>
      <c r="F266" s="19" t="s">
        <v>52</v>
      </c>
      <c r="G266" s="20" t="s">
        <v>53</v>
      </c>
      <c r="H266" t="str">
        <f>'Source Table'!$H$9</f>
        <v>Male</v>
      </c>
      <c r="I266" t="str">
        <f>'Source Table'!$H$8</f>
        <v>ذكر</v>
      </c>
      <c r="J266" t="str">
        <f t="shared" si="8"/>
        <v>2022/2021</v>
      </c>
      <c r="K266" t="str">
        <f t="shared" si="9"/>
        <v>2022/2021</v>
      </c>
      <c r="L266" s="28">
        <v>444</v>
      </c>
      <c r="M266" s="18">
        <v>2021</v>
      </c>
    </row>
    <row r="267" ht="21.75" spans="1:13">
      <c r="A267" s="18" t="s">
        <v>155</v>
      </c>
      <c r="B267" s="18" t="s">
        <v>156</v>
      </c>
      <c r="C267" s="18" t="s">
        <v>162</v>
      </c>
      <c r="D267" s="18" t="s">
        <v>158</v>
      </c>
      <c r="E267" s="18" t="s">
        <v>159</v>
      </c>
      <c r="F267" s="19" t="s">
        <v>54</v>
      </c>
      <c r="G267" s="20" t="s">
        <v>55</v>
      </c>
      <c r="H267" t="str">
        <f>'Source Table'!$H$9</f>
        <v>Male</v>
      </c>
      <c r="I267" t="str">
        <f>'Source Table'!$H$8</f>
        <v>ذكر</v>
      </c>
      <c r="J267" t="str">
        <f t="shared" si="8"/>
        <v>2022/2021</v>
      </c>
      <c r="K267" t="str">
        <f t="shared" si="9"/>
        <v>2022/2021</v>
      </c>
      <c r="L267" s="28">
        <v>366</v>
      </c>
      <c r="M267" s="18">
        <v>2021</v>
      </c>
    </row>
    <row r="268" ht="21.75" spans="1:13">
      <c r="A268" s="18" t="s">
        <v>155</v>
      </c>
      <c r="B268" s="18" t="s">
        <v>156</v>
      </c>
      <c r="C268" s="18" t="s">
        <v>162</v>
      </c>
      <c r="D268" s="18" t="s">
        <v>158</v>
      </c>
      <c r="E268" s="18" t="s">
        <v>159</v>
      </c>
      <c r="F268" s="19" t="s">
        <v>56</v>
      </c>
      <c r="G268" s="20" t="s">
        <v>57</v>
      </c>
      <c r="H268" t="str">
        <f>'Source Table'!$H$9</f>
        <v>Male</v>
      </c>
      <c r="I268" t="str">
        <f>'Source Table'!$H$8</f>
        <v>ذكر</v>
      </c>
      <c r="J268" t="str">
        <f t="shared" si="8"/>
        <v>2022/2021</v>
      </c>
      <c r="K268" t="str">
        <f t="shared" si="9"/>
        <v>2022/2021</v>
      </c>
      <c r="L268" s="28">
        <v>971</v>
      </c>
      <c r="M268" s="18">
        <v>2021</v>
      </c>
    </row>
    <row r="269" ht="21.75" spans="1:13">
      <c r="A269" s="18" t="s">
        <v>155</v>
      </c>
      <c r="B269" s="18" t="s">
        <v>156</v>
      </c>
      <c r="C269" s="18" t="s">
        <v>162</v>
      </c>
      <c r="D269" s="18" t="s">
        <v>158</v>
      </c>
      <c r="E269" s="18" t="s">
        <v>159</v>
      </c>
      <c r="F269" s="19" t="s">
        <v>59</v>
      </c>
      <c r="G269" s="20" t="s">
        <v>160</v>
      </c>
      <c r="H269" t="str">
        <f>'Source Table'!$H$9</f>
        <v>Male</v>
      </c>
      <c r="I269" t="str">
        <f>'Source Table'!$H$8</f>
        <v>ذكر</v>
      </c>
      <c r="J269" t="str">
        <f t="shared" si="8"/>
        <v>2022/2021</v>
      </c>
      <c r="K269" t="str">
        <f t="shared" si="9"/>
        <v>2022/2021</v>
      </c>
      <c r="L269" s="26">
        <v>2263</v>
      </c>
      <c r="M269" s="18">
        <v>2021</v>
      </c>
    </row>
    <row r="270" ht="21.75" spans="1:13">
      <c r="A270" s="18" t="s">
        <v>155</v>
      </c>
      <c r="B270" s="18" t="s">
        <v>156</v>
      </c>
      <c r="C270" s="18" t="s">
        <v>162</v>
      </c>
      <c r="D270" s="18" t="s">
        <v>158</v>
      </c>
      <c r="E270" s="18" t="s">
        <v>159</v>
      </c>
      <c r="F270" s="19" t="s">
        <v>62</v>
      </c>
      <c r="G270" s="20" t="s">
        <v>161</v>
      </c>
      <c r="H270" t="str">
        <f>'Source Table'!$H$9</f>
        <v>Male</v>
      </c>
      <c r="I270" t="str">
        <f>'Source Table'!$H$8</f>
        <v>ذكر</v>
      </c>
      <c r="J270" t="str">
        <f t="shared" si="8"/>
        <v>2022/2021</v>
      </c>
      <c r="K270" t="str">
        <f t="shared" si="9"/>
        <v>2022/2021</v>
      </c>
      <c r="L270" s="26">
        <v>1271</v>
      </c>
      <c r="M270" s="18">
        <v>2021</v>
      </c>
    </row>
    <row r="271" ht="21.75" spans="1:13">
      <c r="A271" s="18" t="s">
        <v>155</v>
      </c>
      <c r="B271" s="18" t="s">
        <v>156</v>
      </c>
      <c r="C271" s="18" t="s">
        <v>162</v>
      </c>
      <c r="D271" s="18" t="s">
        <v>158</v>
      </c>
      <c r="E271" s="18" t="s">
        <v>159</v>
      </c>
      <c r="F271" s="19" t="s">
        <v>64</v>
      </c>
      <c r="G271" s="20" t="s">
        <v>65</v>
      </c>
      <c r="H271" t="str">
        <f>'Source Table'!$H$9</f>
        <v>Male</v>
      </c>
      <c r="I271" t="str">
        <f>'Source Table'!$H$8</f>
        <v>ذكر</v>
      </c>
      <c r="J271" t="str">
        <f t="shared" si="8"/>
        <v>2022/2021</v>
      </c>
      <c r="K271" t="str">
        <f t="shared" si="9"/>
        <v>2022/2021</v>
      </c>
      <c r="L271" s="26">
        <v>1345</v>
      </c>
      <c r="M271" s="18">
        <v>2021</v>
      </c>
    </row>
    <row r="272" ht="21.75" spans="1:13">
      <c r="A272" s="18" t="s">
        <v>155</v>
      </c>
      <c r="B272" s="18" t="s">
        <v>156</v>
      </c>
      <c r="C272" s="18" t="s">
        <v>162</v>
      </c>
      <c r="D272" s="18" t="s">
        <v>158</v>
      </c>
      <c r="E272" s="18" t="s">
        <v>159</v>
      </c>
      <c r="F272" s="19" t="s">
        <v>68</v>
      </c>
      <c r="G272" s="20" t="s">
        <v>69</v>
      </c>
      <c r="H272" t="str">
        <f>'Source Table'!$H$9</f>
        <v>Male</v>
      </c>
      <c r="I272" t="str">
        <f>'Source Table'!$H$8</f>
        <v>ذكر</v>
      </c>
      <c r="J272" t="str">
        <f t="shared" si="8"/>
        <v>2022/2021</v>
      </c>
      <c r="K272" t="str">
        <f t="shared" si="9"/>
        <v>2022/2021</v>
      </c>
      <c r="L272" s="28">
        <v>883</v>
      </c>
      <c r="M272" s="18">
        <v>2021</v>
      </c>
    </row>
    <row r="273" ht="21.75" spans="1:13">
      <c r="A273" s="18" t="s">
        <v>155</v>
      </c>
      <c r="B273" s="18" t="s">
        <v>156</v>
      </c>
      <c r="C273" s="18" t="s">
        <v>162</v>
      </c>
      <c r="D273" s="18" t="s">
        <v>158</v>
      </c>
      <c r="E273" s="18" t="s">
        <v>159</v>
      </c>
      <c r="F273" s="19" t="s">
        <v>70</v>
      </c>
      <c r="G273" s="20" t="s">
        <v>71</v>
      </c>
      <c r="H273" t="str">
        <f>'Source Table'!$H$9</f>
        <v>Male</v>
      </c>
      <c r="I273" t="str">
        <f>'Source Table'!$H$8</f>
        <v>ذكر</v>
      </c>
      <c r="J273" t="str">
        <f t="shared" si="8"/>
        <v>2022/2021</v>
      </c>
      <c r="K273" t="str">
        <f t="shared" si="9"/>
        <v>2022/2021</v>
      </c>
      <c r="L273" s="28">
        <v>370</v>
      </c>
      <c r="M273" s="18">
        <v>2021</v>
      </c>
    </row>
    <row r="274" ht="21.75" spans="1:13">
      <c r="A274" s="18" t="s">
        <v>155</v>
      </c>
      <c r="B274" s="18" t="s">
        <v>156</v>
      </c>
      <c r="C274" s="18" t="s">
        <v>162</v>
      </c>
      <c r="D274" s="18" t="s">
        <v>158</v>
      </c>
      <c r="E274" s="18" t="s">
        <v>159</v>
      </c>
      <c r="F274" s="19" t="s">
        <v>74</v>
      </c>
      <c r="G274" s="20" t="s">
        <v>75</v>
      </c>
      <c r="H274" t="str">
        <f>'Source Table'!$H$9</f>
        <v>Male</v>
      </c>
      <c r="I274" t="str">
        <f>'Source Table'!$H$8</f>
        <v>ذكر</v>
      </c>
      <c r="J274" t="str">
        <f t="shared" si="8"/>
        <v>2022/2021</v>
      </c>
      <c r="K274" t="str">
        <f t="shared" si="9"/>
        <v>2022/2021</v>
      </c>
      <c r="L274" s="26">
        <v>2681</v>
      </c>
      <c r="M274" s="18">
        <v>2021</v>
      </c>
    </row>
    <row r="275" ht="21.75" spans="1:13">
      <c r="A275" s="18" t="s">
        <v>155</v>
      </c>
      <c r="B275" s="18" t="s">
        <v>156</v>
      </c>
      <c r="C275" s="18" t="s">
        <v>162</v>
      </c>
      <c r="D275" s="18" t="s">
        <v>158</v>
      </c>
      <c r="E275" s="18" t="s">
        <v>159</v>
      </c>
      <c r="F275" s="19" t="s">
        <v>76</v>
      </c>
      <c r="G275" s="20" t="s">
        <v>77</v>
      </c>
      <c r="H275" t="str">
        <f>'Source Table'!$H$9</f>
        <v>Male</v>
      </c>
      <c r="I275" t="str">
        <f>'Source Table'!$H$8</f>
        <v>ذكر</v>
      </c>
      <c r="J275" t="str">
        <f t="shared" si="8"/>
        <v>2022/2021</v>
      </c>
      <c r="K275" t="str">
        <f t="shared" si="9"/>
        <v>2022/2021</v>
      </c>
      <c r="L275" s="28">
        <v>785</v>
      </c>
      <c r="M275" s="18">
        <v>2021</v>
      </c>
    </row>
    <row r="276" ht="21.75" spans="1:13">
      <c r="A276" s="18" t="s">
        <v>155</v>
      </c>
      <c r="B276" s="18" t="s">
        <v>156</v>
      </c>
      <c r="C276" s="18" t="s">
        <v>162</v>
      </c>
      <c r="D276" s="18" t="s">
        <v>158</v>
      </c>
      <c r="E276" s="18" t="s">
        <v>159</v>
      </c>
      <c r="F276" s="19" t="s">
        <v>78</v>
      </c>
      <c r="G276" s="20" t="s">
        <v>79</v>
      </c>
      <c r="H276" t="str">
        <f>'Source Table'!$H$9</f>
        <v>Male</v>
      </c>
      <c r="I276" t="str">
        <f>'Source Table'!$H$8</f>
        <v>ذكر</v>
      </c>
      <c r="J276" t="str">
        <f t="shared" si="8"/>
        <v>2022/2021</v>
      </c>
      <c r="K276" t="str">
        <f t="shared" si="9"/>
        <v>2022/2021</v>
      </c>
      <c r="L276" s="28">
        <v>469</v>
      </c>
      <c r="M276" s="18">
        <v>2021</v>
      </c>
    </row>
    <row r="277" ht="21.75" spans="1:13">
      <c r="A277" s="18" t="s">
        <v>155</v>
      </c>
      <c r="B277" s="18" t="s">
        <v>156</v>
      </c>
      <c r="C277" s="18" t="s">
        <v>162</v>
      </c>
      <c r="D277" s="18" t="s">
        <v>158</v>
      </c>
      <c r="E277" s="18" t="s">
        <v>159</v>
      </c>
      <c r="F277" s="19" t="s">
        <v>80</v>
      </c>
      <c r="G277" s="20" t="s">
        <v>81</v>
      </c>
      <c r="H277" t="str">
        <f>'Source Table'!$H$9</f>
        <v>Male</v>
      </c>
      <c r="I277" t="str">
        <f>'Source Table'!$H$8</f>
        <v>ذكر</v>
      </c>
      <c r="J277" t="str">
        <f t="shared" si="8"/>
        <v>2022/2021</v>
      </c>
      <c r="K277" t="str">
        <f t="shared" si="9"/>
        <v>2022/2021</v>
      </c>
      <c r="L277" s="28">
        <v>466</v>
      </c>
      <c r="M277" s="18">
        <v>2021</v>
      </c>
    </row>
    <row r="278" ht="21.75" spans="1:13">
      <c r="A278" s="18" t="s">
        <v>155</v>
      </c>
      <c r="B278" s="18" t="s">
        <v>156</v>
      </c>
      <c r="C278" s="18" t="s">
        <v>162</v>
      </c>
      <c r="D278" s="18" t="s">
        <v>158</v>
      </c>
      <c r="E278" s="18" t="s">
        <v>159</v>
      </c>
      <c r="F278" s="19" t="s">
        <v>82</v>
      </c>
      <c r="G278" s="20" t="s">
        <v>83</v>
      </c>
      <c r="H278" t="str">
        <f>'Source Table'!$H$9</f>
        <v>Male</v>
      </c>
      <c r="I278" t="str">
        <f>'Source Table'!$H$8</f>
        <v>ذكر</v>
      </c>
      <c r="J278" t="str">
        <f t="shared" si="8"/>
        <v>2022/2021</v>
      </c>
      <c r="K278" t="str">
        <f t="shared" si="9"/>
        <v>2022/2021</v>
      </c>
      <c r="L278" s="28">
        <v>789</v>
      </c>
      <c r="M278" s="18">
        <v>2021</v>
      </c>
    </row>
    <row r="279" ht="21.75" spans="1:13">
      <c r="A279" s="18" t="s">
        <v>155</v>
      </c>
      <c r="B279" s="18" t="s">
        <v>156</v>
      </c>
      <c r="C279" s="18" t="s">
        <v>162</v>
      </c>
      <c r="D279" s="18" t="s">
        <v>158</v>
      </c>
      <c r="E279" s="18" t="s">
        <v>159</v>
      </c>
      <c r="F279" s="19" t="s">
        <v>84</v>
      </c>
      <c r="G279" s="20" t="s">
        <v>85</v>
      </c>
      <c r="H279" t="str">
        <f>'Source Table'!$H$9</f>
        <v>Male</v>
      </c>
      <c r="I279" t="str">
        <f>'Source Table'!$H$8</f>
        <v>ذكر</v>
      </c>
      <c r="J279" t="str">
        <f t="shared" si="8"/>
        <v>2022/2021</v>
      </c>
      <c r="K279" t="str">
        <f t="shared" si="9"/>
        <v>2022/2021</v>
      </c>
      <c r="L279" s="28">
        <v>863</v>
      </c>
      <c r="M279" s="18">
        <v>2021</v>
      </c>
    </row>
    <row r="280" ht="21.75" spans="1:13">
      <c r="A280" s="18" t="s">
        <v>155</v>
      </c>
      <c r="B280" s="18" t="s">
        <v>156</v>
      </c>
      <c r="C280" s="18" t="s">
        <v>162</v>
      </c>
      <c r="D280" s="18" t="s">
        <v>158</v>
      </c>
      <c r="E280" s="18" t="s">
        <v>159</v>
      </c>
      <c r="F280" s="19" t="s">
        <v>86</v>
      </c>
      <c r="G280" s="20" t="s">
        <v>87</v>
      </c>
      <c r="H280" t="str">
        <f>'Source Table'!$H$9</f>
        <v>Male</v>
      </c>
      <c r="I280" t="str">
        <f>'Source Table'!$H$8</f>
        <v>ذكر</v>
      </c>
      <c r="J280" t="str">
        <f t="shared" si="8"/>
        <v>2022/2021</v>
      </c>
      <c r="K280" t="str">
        <f t="shared" si="9"/>
        <v>2022/2021</v>
      </c>
      <c r="L280" s="28">
        <v>683</v>
      </c>
      <c r="M280" s="18">
        <v>2021</v>
      </c>
    </row>
    <row r="281" ht="21.75" spans="1:13">
      <c r="A281" s="18" t="s">
        <v>155</v>
      </c>
      <c r="B281" s="18" t="s">
        <v>156</v>
      </c>
      <c r="C281" s="18" t="s">
        <v>162</v>
      </c>
      <c r="D281" s="18" t="s">
        <v>158</v>
      </c>
      <c r="E281" s="18" t="s">
        <v>159</v>
      </c>
      <c r="F281" s="19" t="s">
        <v>88</v>
      </c>
      <c r="G281" s="20" t="s">
        <v>89</v>
      </c>
      <c r="H281" t="str">
        <f>'Source Table'!$H$9</f>
        <v>Male</v>
      </c>
      <c r="I281" t="str">
        <f>'Source Table'!$H$8</f>
        <v>ذكر</v>
      </c>
      <c r="J281" t="str">
        <f t="shared" si="8"/>
        <v>2022/2021</v>
      </c>
      <c r="K281" t="str">
        <f t="shared" si="9"/>
        <v>2022/2021</v>
      </c>
      <c r="L281" s="26">
        <v>1071</v>
      </c>
      <c r="M281" s="18">
        <v>2021</v>
      </c>
    </row>
    <row r="282" ht="21.75" spans="1:13">
      <c r="A282" s="18" t="s">
        <v>155</v>
      </c>
      <c r="B282" s="18" t="s">
        <v>156</v>
      </c>
      <c r="C282" s="18" t="s">
        <v>162</v>
      </c>
      <c r="D282" s="18" t="s">
        <v>158</v>
      </c>
      <c r="E282" s="18" t="s">
        <v>159</v>
      </c>
      <c r="F282" s="19" t="s">
        <v>91</v>
      </c>
      <c r="G282" s="20" t="s">
        <v>92</v>
      </c>
      <c r="H282" t="str">
        <f>'Source Table'!$H$9</f>
        <v>Male</v>
      </c>
      <c r="I282" t="str">
        <f>'Source Table'!$H$8</f>
        <v>ذكر</v>
      </c>
      <c r="J282" t="str">
        <f t="shared" si="8"/>
        <v>2022/2021</v>
      </c>
      <c r="K282" t="str">
        <f t="shared" si="9"/>
        <v>2022/2021</v>
      </c>
      <c r="L282" s="26">
        <v>1473</v>
      </c>
      <c r="M282" s="18">
        <v>2021</v>
      </c>
    </row>
    <row r="283" ht="21.75" spans="1:13">
      <c r="A283" s="18" t="s">
        <v>155</v>
      </c>
      <c r="B283" s="18" t="s">
        <v>156</v>
      </c>
      <c r="C283" s="18" t="s">
        <v>162</v>
      </c>
      <c r="D283" s="18" t="s">
        <v>158</v>
      </c>
      <c r="E283" s="18" t="s">
        <v>159</v>
      </c>
      <c r="F283" s="19" t="s">
        <v>94</v>
      </c>
      <c r="G283" s="20" t="s">
        <v>95</v>
      </c>
      <c r="H283" t="str">
        <f>'Source Table'!$H$9</f>
        <v>Male</v>
      </c>
      <c r="I283" t="str">
        <f>'Source Table'!$H$8</f>
        <v>ذكر</v>
      </c>
      <c r="J283" t="str">
        <f t="shared" si="8"/>
        <v>2022/2021</v>
      </c>
      <c r="K283" t="str">
        <f t="shared" si="9"/>
        <v>2022/2021</v>
      </c>
      <c r="L283" s="26">
        <v>1323</v>
      </c>
      <c r="M283" s="18">
        <v>2021</v>
      </c>
    </row>
    <row r="284" ht="21.75" spans="1:13">
      <c r="A284" s="18" t="s">
        <v>155</v>
      </c>
      <c r="B284" s="18" t="s">
        <v>156</v>
      </c>
      <c r="C284" s="18" t="s">
        <v>162</v>
      </c>
      <c r="D284" s="18" t="s">
        <v>158</v>
      </c>
      <c r="E284" s="18" t="s">
        <v>159</v>
      </c>
      <c r="F284" s="19" t="s">
        <v>96</v>
      </c>
      <c r="G284" s="20" t="s">
        <v>97</v>
      </c>
      <c r="H284" t="str">
        <f>'Source Table'!$H$9</f>
        <v>Male</v>
      </c>
      <c r="I284" t="str">
        <f>'Source Table'!$H$8</f>
        <v>ذكر</v>
      </c>
      <c r="J284" t="str">
        <f t="shared" si="8"/>
        <v>2022/2021</v>
      </c>
      <c r="K284" t="str">
        <f t="shared" si="9"/>
        <v>2022/2021</v>
      </c>
      <c r="L284" s="26">
        <v>1471</v>
      </c>
      <c r="M284" s="18">
        <v>2021</v>
      </c>
    </row>
    <row r="285" ht="21.75" spans="1:13">
      <c r="A285" s="18" t="s">
        <v>155</v>
      </c>
      <c r="B285" s="18" t="s">
        <v>156</v>
      </c>
      <c r="C285" s="18" t="s">
        <v>162</v>
      </c>
      <c r="D285" s="18" t="s">
        <v>158</v>
      </c>
      <c r="E285" s="18" t="s">
        <v>159</v>
      </c>
      <c r="F285" s="19" t="s">
        <v>98</v>
      </c>
      <c r="G285" s="20" t="s">
        <v>99</v>
      </c>
      <c r="H285" t="str">
        <f>'Source Table'!$H$9</f>
        <v>Male</v>
      </c>
      <c r="I285" t="str">
        <f>'Source Table'!$H$8</f>
        <v>ذكر</v>
      </c>
      <c r="J285" t="str">
        <f t="shared" si="8"/>
        <v>2022/2021</v>
      </c>
      <c r="K285" t="str">
        <f t="shared" si="9"/>
        <v>2022/2021</v>
      </c>
      <c r="L285" s="27">
        <v>1605</v>
      </c>
      <c r="M285" s="18">
        <v>2021</v>
      </c>
    </row>
    <row r="286" ht="21.75" spans="1:13">
      <c r="A286" s="18" t="s">
        <v>155</v>
      </c>
      <c r="B286" s="18" t="s">
        <v>156</v>
      </c>
      <c r="C286" s="18" t="s">
        <v>162</v>
      </c>
      <c r="D286" s="18" t="s">
        <v>158</v>
      </c>
      <c r="E286" s="18" t="s">
        <v>159</v>
      </c>
      <c r="F286" s="19" t="s">
        <v>100</v>
      </c>
      <c r="G286" s="20" t="s">
        <v>101</v>
      </c>
      <c r="H286" t="str">
        <f>'Source Table'!$H$9</f>
        <v>Male</v>
      </c>
      <c r="I286" t="str">
        <f>'Source Table'!$H$8</f>
        <v>ذكر</v>
      </c>
      <c r="J286" t="str">
        <f t="shared" si="8"/>
        <v>2022/2021</v>
      </c>
      <c r="K286" t="str">
        <f t="shared" si="9"/>
        <v>2022/2021</v>
      </c>
      <c r="L286" s="27">
        <v>1079</v>
      </c>
      <c r="M286" s="18">
        <v>2021</v>
      </c>
    </row>
    <row r="287" ht="21.75" spans="1:13">
      <c r="A287" s="18" t="s">
        <v>155</v>
      </c>
      <c r="B287" s="18" t="s">
        <v>156</v>
      </c>
      <c r="C287" s="18" t="s">
        <v>162</v>
      </c>
      <c r="D287" s="18" t="s">
        <v>158</v>
      </c>
      <c r="E287" s="18" t="s">
        <v>159</v>
      </c>
      <c r="F287" s="19" t="s">
        <v>103</v>
      </c>
      <c r="G287" s="20" t="s">
        <v>104</v>
      </c>
      <c r="H287" t="str">
        <f>'Source Table'!$H$9</f>
        <v>Male</v>
      </c>
      <c r="I287" t="str">
        <f>'Source Table'!$H$8</f>
        <v>ذكر</v>
      </c>
      <c r="J287" t="str">
        <f t="shared" si="8"/>
        <v>2022/2021</v>
      </c>
      <c r="K287" t="str">
        <f t="shared" si="9"/>
        <v>2022/2021</v>
      </c>
      <c r="L287" s="28">
        <v>893</v>
      </c>
      <c r="M287" s="18">
        <v>2021</v>
      </c>
    </row>
    <row r="288" ht="21.75" spans="1:13">
      <c r="A288" s="18" t="s">
        <v>155</v>
      </c>
      <c r="B288" s="18" t="s">
        <v>156</v>
      </c>
      <c r="C288" s="18" t="s">
        <v>162</v>
      </c>
      <c r="D288" s="18" t="s">
        <v>158</v>
      </c>
      <c r="E288" s="18" t="s">
        <v>159</v>
      </c>
      <c r="F288" s="19" t="s">
        <v>106</v>
      </c>
      <c r="G288" s="20" t="s">
        <v>107</v>
      </c>
      <c r="H288" t="str">
        <f>'Source Table'!$H$9</f>
        <v>Male</v>
      </c>
      <c r="I288" t="str">
        <f>'Source Table'!$H$8</f>
        <v>ذكر</v>
      </c>
      <c r="J288" t="str">
        <f t="shared" si="8"/>
        <v>2022/2021</v>
      </c>
      <c r="K288" t="str">
        <f t="shared" si="9"/>
        <v>2022/2021</v>
      </c>
      <c r="L288" s="28">
        <v>619</v>
      </c>
      <c r="M288" s="18">
        <v>2021</v>
      </c>
    </row>
    <row r="289" ht="21.75" spans="1:13">
      <c r="A289" s="18" t="s">
        <v>155</v>
      </c>
      <c r="B289" s="18" t="s">
        <v>156</v>
      </c>
      <c r="C289" s="18" t="s">
        <v>162</v>
      </c>
      <c r="D289" s="18" t="s">
        <v>158</v>
      </c>
      <c r="E289" s="18" t="s">
        <v>159</v>
      </c>
      <c r="F289" s="19" t="s">
        <v>108</v>
      </c>
      <c r="G289" s="20" t="s">
        <v>109</v>
      </c>
      <c r="H289" t="str">
        <f>'Source Table'!$H$9</f>
        <v>Male</v>
      </c>
      <c r="I289" t="str">
        <f>'Source Table'!$H$8</f>
        <v>ذكر</v>
      </c>
      <c r="J289" t="str">
        <f t="shared" si="8"/>
        <v>2022/2021</v>
      </c>
      <c r="K289" t="str">
        <f t="shared" si="9"/>
        <v>2022/2021</v>
      </c>
      <c r="L289" s="28">
        <v>530</v>
      </c>
      <c r="M289" s="18">
        <v>2021</v>
      </c>
    </row>
    <row r="290" ht="21.75" spans="1:13">
      <c r="A290" s="18" t="s">
        <v>155</v>
      </c>
      <c r="B290" s="18" t="s">
        <v>156</v>
      </c>
      <c r="C290" s="18" t="s">
        <v>162</v>
      </c>
      <c r="D290" s="18" t="s">
        <v>158</v>
      </c>
      <c r="E290" s="18" t="s">
        <v>159</v>
      </c>
      <c r="F290" s="19" t="s">
        <v>110</v>
      </c>
      <c r="G290" s="20" t="s">
        <v>111</v>
      </c>
      <c r="H290" t="str">
        <f>'Source Table'!$H$9</f>
        <v>Male</v>
      </c>
      <c r="I290" t="str">
        <f>'Source Table'!$H$8</f>
        <v>ذكر</v>
      </c>
      <c r="J290" t="str">
        <f t="shared" si="8"/>
        <v>2022/2021</v>
      </c>
      <c r="K290" t="str">
        <f t="shared" si="9"/>
        <v>2022/2021</v>
      </c>
      <c r="L290" s="28">
        <v>369</v>
      </c>
      <c r="M290" s="18">
        <v>2021</v>
      </c>
    </row>
    <row r="291" ht="21.75" spans="1:13">
      <c r="A291" s="18" t="s">
        <v>155</v>
      </c>
      <c r="B291" s="18" t="s">
        <v>156</v>
      </c>
      <c r="C291" s="18" t="s">
        <v>162</v>
      </c>
      <c r="D291" s="18" t="s">
        <v>158</v>
      </c>
      <c r="E291" s="18" t="s">
        <v>159</v>
      </c>
      <c r="F291" s="19" t="s">
        <v>113</v>
      </c>
      <c r="G291" s="20" t="s">
        <v>114</v>
      </c>
      <c r="H291" t="str">
        <f>'Source Table'!$H$9</f>
        <v>Male</v>
      </c>
      <c r="I291" t="str">
        <f>'Source Table'!$H$8</f>
        <v>ذكر</v>
      </c>
      <c r="J291" t="str">
        <f t="shared" si="8"/>
        <v>2022/2021</v>
      </c>
      <c r="K291" t="str">
        <f t="shared" si="9"/>
        <v>2022/2021</v>
      </c>
      <c r="L291" s="28">
        <v>670</v>
      </c>
      <c r="M291" s="18">
        <v>2021</v>
      </c>
    </row>
    <row r="292" ht="21.75" spans="1:13">
      <c r="A292" s="18" t="s">
        <v>155</v>
      </c>
      <c r="B292" s="18" t="s">
        <v>156</v>
      </c>
      <c r="C292" s="18" t="s">
        <v>162</v>
      </c>
      <c r="D292" s="18" t="s">
        <v>158</v>
      </c>
      <c r="E292" s="18" t="s">
        <v>159</v>
      </c>
      <c r="F292" s="19" t="s">
        <v>115</v>
      </c>
      <c r="G292" s="20" t="s">
        <v>116</v>
      </c>
      <c r="H292" t="str">
        <f>'Source Table'!$H$9</f>
        <v>Male</v>
      </c>
      <c r="I292" t="str">
        <f>'Source Table'!$H$8</f>
        <v>ذكر</v>
      </c>
      <c r="J292" t="str">
        <f t="shared" si="8"/>
        <v>2022/2021</v>
      </c>
      <c r="K292" t="str">
        <f t="shared" si="9"/>
        <v>2022/2021</v>
      </c>
      <c r="L292" s="28">
        <v>257</v>
      </c>
      <c r="M292" s="18">
        <v>2021</v>
      </c>
    </row>
    <row r="293" ht="21.75" spans="1:13">
      <c r="A293" s="18" t="s">
        <v>155</v>
      </c>
      <c r="B293" s="18" t="s">
        <v>156</v>
      </c>
      <c r="C293" s="18" t="s">
        <v>162</v>
      </c>
      <c r="D293" s="18" t="s">
        <v>158</v>
      </c>
      <c r="E293" s="18" t="s">
        <v>159</v>
      </c>
      <c r="F293" s="19" t="s">
        <v>118</v>
      </c>
      <c r="G293" s="20" t="s">
        <v>119</v>
      </c>
      <c r="H293" t="str">
        <f>'Source Table'!$H$9</f>
        <v>Male</v>
      </c>
      <c r="I293" t="str">
        <f>'Source Table'!$H$8</f>
        <v>ذكر</v>
      </c>
      <c r="J293" t="str">
        <f t="shared" si="8"/>
        <v>2022/2021</v>
      </c>
      <c r="K293" t="str">
        <f t="shared" si="9"/>
        <v>2022/2021</v>
      </c>
      <c r="L293" s="28">
        <v>390</v>
      </c>
      <c r="M293" s="18">
        <v>2021</v>
      </c>
    </row>
    <row r="294" ht="21.75" spans="1:13">
      <c r="A294" s="18" t="s">
        <v>155</v>
      </c>
      <c r="B294" s="18" t="s">
        <v>156</v>
      </c>
      <c r="C294" s="18" t="s">
        <v>162</v>
      </c>
      <c r="D294" s="18" t="s">
        <v>158</v>
      </c>
      <c r="E294" s="18" t="s">
        <v>159</v>
      </c>
      <c r="F294" s="19" t="s">
        <v>120</v>
      </c>
      <c r="G294" s="20" t="s">
        <v>121</v>
      </c>
      <c r="H294" t="str">
        <f>'Source Table'!$H$9</f>
        <v>Male</v>
      </c>
      <c r="I294" t="str">
        <f>'Source Table'!$H$8</f>
        <v>ذكر</v>
      </c>
      <c r="J294" t="str">
        <f t="shared" si="8"/>
        <v>2022/2021</v>
      </c>
      <c r="K294" t="str">
        <f t="shared" si="9"/>
        <v>2022/2021</v>
      </c>
      <c r="L294" s="28">
        <v>606</v>
      </c>
      <c r="M294" s="18">
        <v>2021</v>
      </c>
    </row>
    <row r="295" ht="21.75" spans="1:13">
      <c r="A295" s="18" t="s">
        <v>155</v>
      </c>
      <c r="B295" s="18" t="s">
        <v>156</v>
      </c>
      <c r="C295" s="18" t="s">
        <v>162</v>
      </c>
      <c r="D295" s="18" t="s">
        <v>158</v>
      </c>
      <c r="E295" s="18" t="s">
        <v>159</v>
      </c>
      <c r="F295" s="19" t="s">
        <v>122</v>
      </c>
      <c r="G295" s="20" t="s">
        <v>123</v>
      </c>
      <c r="H295" t="str">
        <f>'Source Table'!$H$9</f>
        <v>Male</v>
      </c>
      <c r="I295" t="str">
        <f>'Source Table'!$H$8</f>
        <v>ذكر</v>
      </c>
      <c r="J295" t="str">
        <f t="shared" si="8"/>
        <v>2022/2021</v>
      </c>
      <c r="K295" t="str">
        <f t="shared" si="9"/>
        <v>2022/2021</v>
      </c>
      <c r="L295" s="28">
        <v>249</v>
      </c>
      <c r="M295" s="18">
        <v>2021</v>
      </c>
    </row>
    <row r="296" ht="21.75" spans="1:13">
      <c r="A296" s="18" t="s">
        <v>155</v>
      </c>
      <c r="B296" s="18" t="s">
        <v>156</v>
      </c>
      <c r="C296" s="18" t="s">
        <v>162</v>
      </c>
      <c r="D296" s="18" t="s">
        <v>158</v>
      </c>
      <c r="E296" s="18" t="s">
        <v>159</v>
      </c>
      <c r="F296" s="19" t="s">
        <v>124</v>
      </c>
      <c r="G296" s="20" t="s">
        <v>125</v>
      </c>
      <c r="H296" t="str">
        <f>'Source Table'!$H$9</f>
        <v>Male</v>
      </c>
      <c r="I296" t="str">
        <f>'Source Table'!$H$8</f>
        <v>ذكر</v>
      </c>
      <c r="J296" t="str">
        <f t="shared" si="8"/>
        <v>2022/2021</v>
      </c>
      <c r="K296" t="str">
        <f t="shared" si="9"/>
        <v>2022/2021</v>
      </c>
      <c r="L296" s="28">
        <v>205</v>
      </c>
      <c r="M296" s="18">
        <v>2021</v>
      </c>
    </row>
    <row r="297" ht="21.75" spans="1:13">
      <c r="A297" s="18" t="s">
        <v>155</v>
      </c>
      <c r="B297" s="18" t="s">
        <v>156</v>
      </c>
      <c r="C297" s="18" t="s">
        <v>162</v>
      </c>
      <c r="D297" s="18" t="s">
        <v>158</v>
      </c>
      <c r="E297" s="18" t="s">
        <v>159</v>
      </c>
      <c r="F297" s="19" t="s">
        <v>126</v>
      </c>
      <c r="G297" s="20" t="s">
        <v>127</v>
      </c>
      <c r="H297" t="str">
        <f>'Source Table'!$H$9</f>
        <v>Male</v>
      </c>
      <c r="I297" t="str">
        <f>'Source Table'!$H$8</f>
        <v>ذكر</v>
      </c>
      <c r="J297" t="str">
        <f t="shared" si="8"/>
        <v>2022/2021</v>
      </c>
      <c r="K297" t="str">
        <f t="shared" si="9"/>
        <v>2022/2021</v>
      </c>
      <c r="L297" s="27">
        <v>1180</v>
      </c>
      <c r="M297" s="18">
        <v>2021</v>
      </c>
    </row>
    <row r="298" ht="21.75" spans="1:13">
      <c r="A298" s="18" t="s">
        <v>155</v>
      </c>
      <c r="B298" s="18" t="s">
        <v>156</v>
      </c>
      <c r="C298" s="18" t="s">
        <v>162</v>
      </c>
      <c r="D298" s="18" t="s">
        <v>158</v>
      </c>
      <c r="E298" s="18" t="s">
        <v>159</v>
      </c>
      <c r="F298" s="19" t="s">
        <v>29</v>
      </c>
      <c r="G298" s="20" t="s">
        <v>30</v>
      </c>
      <c r="H298" t="str">
        <f>'Source Table'!$G$9</f>
        <v>Female</v>
      </c>
      <c r="I298" t="str">
        <f>'Source Table'!$G$8</f>
        <v>أنثى</v>
      </c>
      <c r="J298" t="str">
        <f t="shared" si="8"/>
        <v>2022/2021</v>
      </c>
      <c r="K298" t="str">
        <f t="shared" si="9"/>
        <v>2022/2021</v>
      </c>
      <c r="L298" s="26">
        <v>6113</v>
      </c>
      <c r="M298" s="18">
        <v>2021</v>
      </c>
    </row>
    <row r="299" ht="21.75" spans="1:13">
      <c r="A299" s="18" t="s">
        <v>155</v>
      </c>
      <c r="B299" s="18" t="s">
        <v>156</v>
      </c>
      <c r="C299" s="18" t="s">
        <v>162</v>
      </c>
      <c r="D299" s="18" t="s">
        <v>158</v>
      </c>
      <c r="E299" s="18" t="s">
        <v>159</v>
      </c>
      <c r="F299" s="19" t="s">
        <v>32</v>
      </c>
      <c r="G299" s="20" t="s">
        <v>33</v>
      </c>
      <c r="H299" t="str">
        <f>'Source Table'!$G$9</f>
        <v>Female</v>
      </c>
      <c r="I299" t="str">
        <f>'Source Table'!$G$8</f>
        <v>أنثى</v>
      </c>
      <c r="J299" t="str">
        <f t="shared" si="8"/>
        <v>2022/2021</v>
      </c>
      <c r="K299" t="str">
        <f t="shared" si="9"/>
        <v>2022/2021</v>
      </c>
      <c r="L299" s="26">
        <v>8563</v>
      </c>
      <c r="M299" s="18">
        <v>2021</v>
      </c>
    </row>
    <row r="300" ht="21.75" spans="1:13">
      <c r="A300" s="18" t="s">
        <v>155</v>
      </c>
      <c r="B300" s="18" t="s">
        <v>156</v>
      </c>
      <c r="C300" s="18" t="s">
        <v>162</v>
      </c>
      <c r="D300" s="18" t="s">
        <v>158</v>
      </c>
      <c r="E300" s="18" t="s">
        <v>159</v>
      </c>
      <c r="F300" s="19" t="s">
        <v>34</v>
      </c>
      <c r="G300" s="20" t="s">
        <v>35</v>
      </c>
      <c r="H300" t="str">
        <f>'Source Table'!$G$9</f>
        <v>Female</v>
      </c>
      <c r="I300" t="str">
        <f>'Source Table'!$G$8</f>
        <v>أنثى</v>
      </c>
      <c r="J300" t="str">
        <f t="shared" si="8"/>
        <v>2022/2021</v>
      </c>
      <c r="K300" t="str">
        <f t="shared" si="9"/>
        <v>2022/2021</v>
      </c>
      <c r="L300" s="26">
        <v>1343</v>
      </c>
      <c r="M300" s="18">
        <v>2021</v>
      </c>
    </row>
    <row r="301" ht="21.75" spans="1:13">
      <c r="A301" s="18" t="s">
        <v>155</v>
      </c>
      <c r="B301" s="18" t="s">
        <v>156</v>
      </c>
      <c r="C301" s="18" t="s">
        <v>162</v>
      </c>
      <c r="D301" s="18" t="s">
        <v>158</v>
      </c>
      <c r="E301" s="18" t="s">
        <v>159</v>
      </c>
      <c r="F301" s="19" t="s">
        <v>36</v>
      </c>
      <c r="G301" s="20" t="s">
        <v>37</v>
      </c>
      <c r="H301" t="str">
        <f>'Source Table'!$G$9</f>
        <v>Female</v>
      </c>
      <c r="I301" t="str">
        <f>'Source Table'!$G$8</f>
        <v>أنثى</v>
      </c>
      <c r="J301" t="str">
        <f t="shared" si="8"/>
        <v>2022/2021</v>
      </c>
      <c r="K301" t="str">
        <f t="shared" si="9"/>
        <v>2022/2021</v>
      </c>
      <c r="L301" s="26">
        <v>5358</v>
      </c>
      <c r="M301" s="18">
        <v>2021</v>
      </c>
    </row>
    <row r="302" ht="21.75" spans="1:13">
      <c r="A302" s="18" t="s">
        <v>155</v>
      </c>
      <c r="B302" s="18" t="s">
        <v>156</v>
      </c>
      <c r="C302" s="18" t="s">
        <v>162</v>
      </c>
      <c r="D302" s="18" t="s">
        <v>158</v>
      </c>
      <c r="E302" s="18" t="s">
        <v>159</v>
      </c>
      <c r="F302" s="19" t="s">
        <v>38</v>
      </c>
      <c r="G302" s="20" t="s">
        <v>39</v>
      </c>
      <c r="H302" t="str">
        <f>'Source Table'!$G$9</f>
        <v>Female</v>
      </c>
      <c r="I302" t="str">
        <f>'Source Table'!$G$8</f>
        <v>أنثى</v>
      </c>
      <c r="J302" t="str">
        <f t="shared" si="8"/>
        <v>2022/2021</v>
      </c>
      <c r="K302" t="str">
        <f t="shared" si="9"/>
        <v>2022/2021</v>
      </c>
      <c r="L302" s="26">
        <v>7208</v>
      </c>
      <c r="M302" s="18">
        <v>2021</v>
      </c>
    </row>
    <row r="303" ht="21.75" spans="1:13">
      <c r="A303" s="18" t="s">
        <v>155</v>
      </c>
      <c r="B303" s="18" t="s">
        <v>156</v>
      </c>
      <c r="C303" s="18" t="s">
        <v>162</v>
      </c>
      <c r="D303" s="18" t="s">
        <v>158</v>
      </c>
      <c r="E303" s="18" t="s">
        <v>159</v>
      </c>
      <c r="F303" s="19" t="s">
        <v>40</v>
      </c>
      <c r="G303" s="20" t="s">
        <v>41</v>
      </c>
      <c r="H303" t="str">
        <f>'Source Table'!$G$9</f>
        <v>Female</v>
      </c>
      <c r="I303" t="str">
        <f>'Source Table'!$G$8</f>
        <v>أنثى</v>
      </c>
      <c r="J303" t="str">
        <f t="shared" si="8"/>
        <v>2022/2021</v>
      </c>
      <c r="K303" t="str">
        <f t="shared" si="9"/>
        <v>2022/2021</v>
      </c>
      <c r="L303" s="26">
        <v>3494</v>
      </c>
      <c r="M303" s="18">
        <v>2021</v>
      </c>
    </row>
    <row r="304" ht="21.75" spans="1:13">
      <c r="A304" s="18" t="s">
        <v>155</v>
      </c>
      <c r="B304" s="18" t="s">
        <v>156</v>
      </c>
      <c r="C304" s="18" t="s">
        <v>162</v>
      </c>
      <c r="D304" s="18" t="s">
        <v>158</v>
      </c>
      <c r="E304" s="18" t="s">
        <v>159</v>
      </c>
      <c r="F304" s="19" t="s">
        <v>42</v>
      </c>
      <c r="G304" s="20" t="s">
        <v>43</v>
      </c>
      <c r="H304" t="str">
        <f>'Source Table'!$G$9</f>
        <v>Female</v>
      </c>
      <c r="I304" t="str">
        <f>'Source Table'!$G$8</f>
        <v>أنثى</v>
      </c>
      <c r="J304" t="str">
        <f t="shared" si="8"/>
        <v>2022/2021</v>
      </c>
      <c r="K304" t="str">
        <f t="shared" si="9"/>
        <v>2022/2021</v>
      </c>
      <c r="L304" s="26">
        <v>1652</v>
      </c>
      <c r="M304" s="18">
        <v>2021</v>
      </c>
    </row>
    <row r="305" ht="21.75" spans="1:13">
      <c r="A305" s="18" t="s">
        <v>155</v>
      </c>
      <c r="B305" s="18" t="s">
        <v>156</v>
      </c>
      <c r="C305" s="18" t="s">
        <v>162</v>
      </c>
      <c r="D305" s="18" t="s">
        <v>158</v>
      </c>
      <c r="E305" s="18" t="s">
        <v>159</v>
      </c>
      <c r="F305" s="19" t="s">
        <v>44</v>
      </c>
      <c r="G305" s="20" t="s">
        <v>45</v>
      </c>
      <c r="H305" t="str">
        <f>'Source Table'!$G$9</f>
        <v>Female</v>
      </c>
      <c r="I305" t="str">
        <f>'Source Table'!$G$8</f>
        <v>أنثى</v>
      </c>
      <c r="J305" t="str">
        <f t="shared" si="8"/>
        <v>2022/2021</v>
      </c>
      <c r="K305" t="str">
        <f t="shared" si="9"/>
        <v>2022/2021</v>
      </c>
      <c r="L305" s="28">
        <v>793</v>
      </c>
      <c r="M305" s="18">
        <v>2021</v>
      </c>
    </row>
    <row r="306" ht="21.75" spans="1:13">
      <c r="A306" s="18" t="s">
        <v>155</v>
      </c>
      <c r="B306" s="18" t="s">
        <v>156</v>
      </c>
      <c r="C306" s="18" t="s">
        <v>162</v>
      </c>
      <c r="D306" s="18" t="s">
        <v>158</v>
      </c>
      <c r="E306" s="18" t="s">
        <v>159</v>
      </c>
      <c r="F306" s="19" t="s">
        <v>46</v>
      </c>
      <c r="G306" s="20" t="s">
        <v>47</v>
      </c>
      <c r="H306" t="str">
        <f>'Source Table'!$G$9</f>
        <v>Female</v>
      </c>
      <c r="I306" t="str">
        <f>'Source Table'!$G$8</f>
        <v>أنثى</v>
      </c>
      <c r="J306" t="str">
        <f t="shared" si="8"/>
        <v>2022/2021</v>
      </c>
      <c r="K306" t="str">
        <f t="shared" si="9"/>
        <v>2022/2021</v>
      </c>
      <c r="L306" s="26">
        <v>1151</v>
      </c>
      <c r="M306" s="18">
        <v>2021</v>
      </c>
    </row>
    <row r="307" ht="21.75" spans="1:13">
      <c r="A307" s="18" t="s">
        <v>155</v>
      </c>
      <c r="B307" s="18" t="s">
        <v>156</v>
      </c>
      <c r="C307" s="18" t="s">
        <v>162</v>
      </c>
      <c r="D307" s="18" t="s">
        <v>158</v>
      </c>
      <c r="E307" s="18" t="s">
        <v>159</v>
      </c>
      <c r="F307" s="19" t="s">
        <v>49</v>
      </c>
      <c r="G307" s="20" t="s">
        <v>50</v>
      </c>
      <c r="H307" t="str">
        <f>'Source Table'!$G$9</f>
        <v>Female</v>
      </c>
      <c r="I307" t="str">
        <f>'Source Table'!$G$8</f>
        <v>أنثى</v>
      </c>
      <c r="J307" t="str">
        <f t="shared" si="8"/>
        <v>2022/2021</v>
      </c>
      <c r="K307" t="str">
        <f t="shared" si="9"/>
        <v>2022/2021</v>
      </c>
      <c r="L307" s="26">
        <v>2778</v>
      </c>
      <c r="M307" s="18">
        <v>2021</v>
      </c>
    </row>
    <row r="308" ht="21.75" spans="1:13">
      <c r="A308" s="18" t="s">
        <v>155</v>
      </c>
      <c r="B308" s="18" t="s">
        <v>156</v>
      </c>
      <c r="C308" s="18" t="s">
        <v>162</v>
      </c>
      <c r="D308" s="18" t="s">
        <v>158</v>
      </c>
      <c r="E308" s="18" t="s">
        <v>159</v>
      </c>
      <c r="F308" s="19" t="s">
        <v>52</v>
      </c>
      <c r="G308" s="20" t="s">
        <v>53</v>
      </c>
      <c r="H308" t="str">
        <f>'Source Table'!$G$9</f>
        <v>Female</v>
      </c>
      <c r="I308" t="str">
        <f>'Source Table'!$G$8</f>
        <v>أنثى</v>
      </c>
      <c r="J308" t="str">
        <f t="shared" si="8"/>
        <v>2022/2021</v>
      </c>
      <c r="K308" t="str">
        <f t="shared" si="9"/>
        <v>2022/2021</v>
      </c>
      <c r="L308" s="28">
        <v>722</v>
      </c>
      <c r="M308" s="18">
        <v>2021</v>
      </c>
    </row>
    <row r="309" ht="21.75" spans="1:13">
      <c r="A309" s="18" t="s">
        <v>155</v>
      </c>
      <c r="B309" s="18" t="s">
        <v>156</v>
      </c>
      <c r="C309" s="18" t="s">
        <v>162</v>
      </c>
      <c r="D309" s="18" t="s">
        <v>158</v>
      </c>
      <c r="E309" s="18" t="s">
        <v>159</v>
      </c>
      <c r="F309" s="19" t="s">
        <v>54</v>
      </c>
      <c r="G309" s="20" t="s">
        <v>55</v>
      </c>
      <c r="H309" t="str">
        <f>'Source Table'!$G$9</f>
        <v>Female</v>
      </c>
      <c r="I309" t="str">
        <f>'Source Table'!$G$8</f>
        <v>أنثى</v>
      </c>
      <c r="J309" t="str">
        <f t="shared" si="8"/>
        <v>2022/2021</v>
      </c>
      <c r="K309" t="str">
        <f t="shared" si="9"/>
        <v>2022/2021</v>
      </c>
      <c r="L309" s="28">
        <v>661</v>
      </c>
      <c r="M309" s="18">
        <v>2021</v>
      </c>
    </row>
    <row r="310" ht="21.75" spans="1:13">
      <c r="A310" s="18" t="s">
        <v>155</v>
      </c>
      <c r="B310" s="18" t="s">
        <v>156</v>
      </c>
      <c r="C310" s="18" t="s">
        <v>162</v>
      </c>
      <c r="D310" s="18" t="s">
        <v>158</v>
      </c>
      <c r="E310" s="18" t="s">
        <v>159</v>
      </c>
      <c r="F310" s="19" t="s">
        <v>56</v>
      </c>
      <c r="G310" s="20" t="s">
        <v>57</v>
      </c>
      <c r="H310" t="str">
        <f>'Source Table'!$G$9</f>
        <v>Female</v>
      </c>
      <c r="I310" t="str">
        <f>'Source Table'!$G$8</f>
        <v>أنثى</v>
      </c>
      <c r="J310" t="str">
        <f t="shared" si="8"/>
        <v>2022/2021</v>
      </c>
      <c r="K310" t="str">
        <f t="shared" si="9"/>
        <v>2022/2021</v>
      </c>
      <c r="L310" s="26">
        <v>2143</v>
      </c>
      <c r="M310" s="18">
        <v>2021</v>
      </c>
    </row>
    <row r="311" ht="21.75" spans="1:13">
      <c r="A311" s="18" t="s">
        <v>155</v>
      </c>
      <c r="B311" s="18" t="s">
        <v>156</v>
      </c>
      <c r="C311" s="18" t="s">
        <v>162</v>
      </c>
      <c r="D311" s="18" t="s">
        <v>158</v>
      </c>
      <c r="E311" s="18" t="s">
        <v>159</v>
      </c>
      <c r="F311" s="19" t="s">
        <v>59</v>
      </c>
      <c r="G311" s="20" t="s">
        <v>160</v>
      </c>
      <c r="H311" t="str">
        <f>'Source Table'!$G$9</f>
        <v>Female</v>
      </c>
      <c r="I311" t="str">
        <f>'Source Table'!$G$8</f>
        <v>أنثى</v>
      </c>
      <c r="J311" t="str">
        <f t="shared" si="8"/>
        <v>2022/2021</v>
      </c>
      <c r="K311" t="str">
        <f t="shared" si="9"/>
        <v>2022/2021</v>
      </c>
      <c r="L311" s="26">
        <v>5222</v>
      </c>
      <c r="M311" s="18">
        <v>2021</v>
      </c>
    </row>
    <row r="312" ht="21.75" spans="1:13">
      <c r="A312" s="18" t="s">
        <v>155</v>
      </c>
      <c r="B312" s="18" t="s">
        <v>156</v>
      </c>
      <c r="C312" s="18" t="s">
        <v>162</v>
      </c>
      <c r="D312" s="18" t="s">
        <v>158</v>
      </c>
      <c r="E312" s="18" t="s">
        <v>159</v>
      </c>
      <c r="F312" s="19" t="s">
        <v>62</v>
      </c>
      <c r="G312" s="20" t="s">
        <v>161</v>
      </c>
      <c r="H312" t="str">
        <f>'Source Table'!$G$9</f>
        <v>Female</v>
      </c>
      <c r="I312" t="str">
        <f>'Source Table'!$G$8</f>
        <v>أنثى</v>
      </c>
      <c r="J312" t="str">
        <f t="shared" si="8"/>
        <v>2022/2021</v>
      </c>
      <c r="K312" t="str">
        <f t="shared" si="9"/>
        <v>2022/2021</v>
      </c>
      <c r="L312" s="26">
        <v>1999</v>
      </c>
      <c r="M312" s="18">
        <v>2021</v>
      </c>
    </row>
    <row r="313" ht="21.75" spans="1:13">
      <c r="A313" s="18" t="s">
        <v>155</v>
      </c>
      <c r="B313" s="18" t="s">
        <v>156</v>
      </c>
      <c r="C313" s="18" t="s">
        <v>162</v>
      </c>
      <c r="D313" s="18" t="s">
        <v>158</v>
      </c>
      <c r="E313" s="18" t="s">
        <v>159</v>
      </c>
      <c r="F313" s="19" t="s">
        <v>64</v>
      </c>
      <c r="G313" s="20" t="s">
        <v>65</v>
      </c>
      <c r="H313" t="str">
        <f>'Source Table'!$G$9</f>
        <v>Female</v>
      </c>
      <c r="I313" t="str">
        <f>'Source Table'!$G$8</f>
        <v>أنثى</v>
      </c>
      <c r="J313" t="str">
        <f t="shared" si="8"/>
        <v>2022/2021</v>
      </c>
      <c r="K313" t="str">
        <f t="shared" si="9"/>
        <v>2022/2021</v>
      </c>
      <c r="L313" s="26">
        <v>3215</v>
      </c>
      <c r="M313" s="18">
        <v>2021</v>
      </c>
    </row>
    <row r="314" ht="21.75" spans="1:13">
      <c r="A314" s="18" t="s">
        <v>155</v>
      </c>
      <c r="B314" s="18" t="s">
        <v>156</v>
      </c>
      <c r="C314" s="18" t="s">
        <v>162</v>
      </c>
      <c r="D314" s="18" t="s">
        <v>158</v>
      </c>
      <c r="E314" s="18" t="s">
        <v>159</v>
      </c>
      <c r="F314" s="19" t="s">
        <v>68</v>
      </c>
      <c r="G314" s="20" t="s">
        <v>69</v>
      </c>
      <c r="H314" t="str">
        <f>'Source Table'!$G$9</f>
        <v>Female</v>
      </c>
      <c r="I314" t="str">
        <f>'Source Table'!$G$8</f>
        <v>أنثى</v>
      </c>
      <c r="J314" t="str">
        <f t="shared" si="8"/>
        <v>2022/2021</v>
      </c>
      <c r="K314" t="str">
        <f t="shared" si="9"/>
        <v>2022/2021</v>
      </c>
      <c r="L314" s="26">
        <v>1937</v>
      </c>
      <c r="M314" s="18">
        <v>2021</v>
      </c>
    </row>
    <row r="315" ht="21.75" spans="1:13">
      <c r="A315" s="18" t="s">
        <v>155</v>
      </c>
      <c r="B315" s="18" t="s">
        <v>156</v>
      </c>
      <c r="C315" s="18" t="s">
        <v>162</v>
      </c>
      <c r="D315" s="18" t="s">
        <v>158</v>
      </c>
      <c r="E315" s="18" t="s">
        <v>159</v>
      </c>
      <c r="F315" s="19" t="s">
        <v>70</v>
      </c>
      <c r="G315" s="20" t="s">
        <v>71</v>
      </c>
      <c r="H315" t="str">
        <f>'Source Table'!$G$9</f>
        <v>Female</v>
      </c>
      <c r="I315" t="str">
        <f>'Source Table'!$G$8</f>
        <v>أنثى</v>
      </c>
      <c r="J315" t="str">
        <f t="shared" si="8"/>
        <v>2022/2021</v>
      </c>
      <c r="K315" t="str">
        <f t="shared" si="9"/>
        <v>2022/2021</v>
      </c>
      <c r="L315" s="28">
        <v>785</v>
      </c>
      <c r="M315" s="18">
        <v>2021</v>
      </c>
    </row>
    <row r="316" ht="21.75" spans="1:13">
      <c r="A316" s="18" t="s">
        <v>155</v>
      </c>
      <c r="B316" s="18" t="s">
        <v>156</v>
      </c>
      <c r="C316" s="18" t="s">
        <v>162</v>
      </c>
      <c r="D316" s="18" t="s">
        <v>158</v>
      </c>
      <c r="E316" s="18" t="s">
        <v>159</v>
      </c>
      <c r="F316" s="19" t="s">
        <v>74</v>
      </c>
      <c r="G316" s="20" t="s">
        <v>75</v>
      </c>
      <c r="H316" t="str">
        <f>'Source Table'!$G$9</f>
        <v>Female</v>
      </c>
      <c r="I316" t="str">
        <f>'Source Table'!$G$8</f>
        <v>أنثى</v>
      </c>
      <c r="J316" t="str">
        <f t="shared" si="8"/>
        <v>2022/2021</v>
      </c>
      <c r="K316" t="str">
        <f t="shared" si="9"/>
        <v>2022/2021</v>
      </c>
      <c r="L316" s="26">
        <v>5792</v>
      </c>
      <c r="M316" s="18">
        <v>2021</v>
      </c>
    </row>
    <row r="317" ht="21.75" spans="1:13">
      <c r="A317" s="18" t="s">
        <v>155</v>
      </c>
      <c r="B317" s="18" t="s">
        <v>156</v>
      </c>
      <c r="C317" s="18" t="s">
        <v>162</v>
      </c>
      <c r="D317" s="18" t="s">
        <v>158</v>
      </c>
      <c r="E317" s="18" t="s">
        <v>159</v>
      </c>
      <c r="F317" s="19" t="s">
        <v>76</v>
      </c>
      <c r="G317" s="20" t="s">
        <v>77</v>
      </c>
      <c r="H317" t="str">
        <f>'Source Table'!$G$9</f>
        <v>Female</v>
      </c>
      <c r="I317" t="str">
        <f>'Source Table'!$G$8</f>
        <v>أنثى</v>
      </c>
      <c r="J317" t="str">
        <f t="shared" si="8"/>
        <v>2022/2021</v>
      </c>
      <c r="K317" t="str">
        <f t="shared" si="9"/>
        <v>2022/2021</v>
      </c>
      <c r="L317" s="26">
        <v>2524</v>
      </c>
      <c r="M317" s="18">
        <v>2021</v>
      </c>
    </row>
    <row r="318" ht="21.75" spans="1:13">
      <c r="A318" s="18" t="s">
        <v>155</v>
      </c>
      <c r="B318" s="18" t="s">
        <v>156</v>
      </c>
      <c r="C318" s="18" t="s">
        <v>162</v>
      </c>
      <c r="D318" s="18" t="s">
        <v>158</v>
      </c>
      <c r="E318" s="18" t="s">
        <v>159</v>
      </c>
      <c r="F318" s="19" t="s">
        <v>78</v>
      </c>
      <c r="G318" s="20" t="s">
        <v>79</v>
      </c>
      <c r="H318" t="str">
        <f>'Source Table'!$G$9</f>
        <v>Female</v>
      </c>
      <c r="I318" t="str">
        <f>'Source Table'!$G$8</f>
        <v>أنثى</v>
      </c>
      <c r="J318" t="str">
        <f t="shared" si="8"/>
        <v>2022/2021</v>
      </c>
      <c r="K318" t="str">
        <f t="shared" si="9"/>
        <v>2022/2021</v>
      </c>
      <c r="L318" s="28">
        <v>756</v>
      </c>
      <c r="M318" s="18">
        <v>2021</v>
      </c>
    </row>
    <row r="319" ht="21.75" spans="1:13">
      <c r="A319" s="18" t="s">
        <v>155</v>
      </c>
      <c r="B319" s="18" t="s">
        <v>156</v>
      </c>
      <c r="C319" s="18" t="s">
        <v>162</v>
      </c>
      <c r="D319" s="18" t="s">
        <v>158</v>
      </c>
      <c r="E319" s="18" t="s">
        <v>159</v>
      </c>
      <c r="F319" s="19" t="s">
        <v>80</v>
      </c>
      <c r="G319" s="20" t="s">
        <v>81</v>
      </c>
      <c r="H319" t="str">
        <f>'Source Table'!$G$9</f>
        <v>Female</v>
      </c>
      <c r="I319" t="str">
        <f>'Source Table'!$G$8</f>
        <v>أنثى</v>
      </c>
      <c r="J319" t="str">
        <f t="shared" si="8"/>
        <v>2022/2021</v>
      </c>
      <c r="K319" t="str">
        <f t="shared" si="9"/>
        <v>2022/2021</v>
      </c>
      <c r="L319" s="26">
        <v>1003</v>
      </c>
      <c r="M319" s="18">
        <v>2021</v>
      </c>
    </row>
    <row r="320" ht="21.75" spans="1:13">
      <c r="A320" s="18" t="s">
        <v>155</v>
      </c>
      <c r="B320" s="18" t="s">
        <v>156</v>
      </c>
      <c r="C320" s="18" t="s">
        <v>162</v>
      </c>
      <c r="D320" s="18" t="s">
        <v>158</v>
      </c>
      <c r="E320" s="18" t="s">
        <v>159</v>
      </c>
      <c r="F320" s="19" t="s">
        <v>82</v>
      </c>
      <c r="G320" s="20" t="s">
        <v>83</v>
      </c>
      <c r="H320" t="str">
        <f>'Source Table'!$G$9</f>
        <v>Female</v>
      </c>
      <c r="I320" t="str">
        <f>'Source Table'!$G$8</f>
        <v>أنثى</v>
      </c>
      <c r="J320" t="str">
        <f t="shared" si="8"/>
        <v>2022/2021</v>
      </c>
      <c r="K320" t="str">
        <f t="shared" si="9"/>
        <v>2022/2021</v>
      </c>
      <c r="L320" s="26">
        <v>1630</v>
      </c>
      <c r="M320" s="18">
        <v>2021</v>
      </c>
    </row>
    <row r="321" ht="21.75" spans="1:13">
      <c r="A321" s="18" t="s">
        <v>155</v>
      </c>
      <c r="B321" s="18" t="s">
        <v>156</v>
      </c>
      <c r="C321" s="18" t="s">
        <v>162</v>
      </c>
      <c r="D321" s="18" t="s">
        <v>158</v>
      </c>
      <c r="E321" s="18" t="s">
        <v>159</v>
      </c>
      <c r="F321" s="19" t="s">
        <v>84</v>
      </c>
      <c r="G321" s="20" t="s">
        <v>85</v>
      </c>
      <c r="H321" t="str">
        <f>'Source Table'!$G$9</f>
        <v>Female</v>
      </c>
      <c r="I321" t="str">
        <f>'Source Table'!$G$8</f>
        <v>أنثى</v>
      </c>
      <c r="J321" t="str">
        <f t="shared" si="8"/>
        <v>2022/2021</v>
      </c>
      <c r="K321" t="str">
        <f t="shared" si="9"/>
        <v>2022/2021</v>
      </c>
      <c r="L321" s="26">
        <v>1416</v>
      </c>
      <c r="M321" s="18">
        <v>2021</v>
      </c>
    </row>
    <row r="322" ht="21.75" spans="1:13">
      <c r="A322" s="18" t="s">
        <v>155</v>
      </c>
      <c r="B322" s="18" t="s">
        <v>156</v>
      </c>
      <c r="C322" s="18" t="s">
        <v>162</v>
      </c>
      <c r="D322" s="18" t="s">
        <v>158</v>
      </c>
      <c r="E322" s="18" t="s">
        <v>159</v>
      </c>
      <c r="F322" s="19" t="s">
        <v>86</v>
      </c>
      <c r="G322" s="20" t="s">
        <v>87</v>
      </c>
      <c r="H322" t="str">
        <f>'Source Table'!$G$9</f>
        <v>Female</v>
      </c>
      <c r="I322" t="str">
        <f>'Source Table'!$G$8</f>
        <v>أنثى</v>
      </c>
      <c r="J322" t="str">
        <f t="shared" si="8"/>
        <v>2022/2021</v>
      </c>
      <c r="K322" t="str">
        <f t="shared" si="9"/>
        <v>2022/2021</v>
      </c>
      <c r="L322" s="26">
        <v>1091</v>
      </c>
      <c r="M322" s="18">
        <v>2021</v>
      </c>
    </row>
    <row r="323" ht="21.75" spans="1:13">
      <c r="A323" s="18" t="s">
        <v>155</v>
      </c>
      <c r="B323" s="18" t="s">
        <v>156</v>
      </c>
      <c r="C323" s="18" t="s">
        <v>162</v>
      </c>
      <c r="D323" s="18" t="s">
        <v>158</v>
      </c>
      <c r="E323" s="18" t="s">
        <v>159</v>
      </c>
      <c r="F323" s="19" t="s">
        <v>88</v>
      </c>
      <c r="G323" s="20" t="s">
        <v>89</v>
      </c>
      <c r="H323" t="str">
        <f>'Source Table'!$G$9</f>
        <v>Female</v>
      </c>
      <c r="I323" t="str">
        <f>'Source Table'!$G$8</f>
        <v>أنثى</v>
      </c>
      <c r="J323" t="str">
        <f t="shared" si="8"/>
        <v>2022/2021</v>
      </c>
      <c r="K323" t="str">
        <f t="shared" si="9"/>
        <v>2022/2021</v>
      </c>
      <c r="L323" s="26">
        <v>2092</v>
      </c>
      <c r="M323" s="18">
        <v>2021</v>
      </c>
    </row>
    <row r="324" ht="21.75" spans="1:13">
      <c r="A324" s="18" t="s">
        <v>155</v>
      </c>
      <c r="B324" s="18" t="s">
        <v>156</v>
      </c>
      <c r="C324" s="18" t="s">
        <v>162</v>
      </c>
      <c r="D324" s="18" t="s">
        <v>158</v>
      </c>
      <c r="E324" s="18" t="s">
        <v>159</v>
      </c>
      <c r="F324" s="19" t="s">
        <v>91</v>
      </c>
      <c r="G324" s="20" t="s">
        <v>92</v>
      </c>
      <c r="H324" t="str">
        <f>'Source Table'!$G$9</f>
        <v>Female</v>
      </c>
      <c r="I324" t="str">
        <f>'Source Table'!$G$8</f>
        <v>أنثى</v>
      </c>
      <c r="J324" t="str">
        <f t="shared" si="8"/>
        <v>2022/2021</v>
      </c>
      <c r="K324" t="str">
        <f t="shared" si="9"/>
        <v>2022/2021</v>
      </c>
      <c r="L324" s="26">
        <v>2461</v>
      </c>
      <c r="M324" s="18">
        <v>2021</v>
      </c>
    </row>
    <row r="325" ht="21.75" spans="1:13">
      <c r="A325" s="18" t="s">
        <v>155</v>
      </c>
      <c r="B325" s="18" t="s">
        <v>156</v>
      </c>
      <c r="C325" s="18" t="s">
        <v>162</v>
      </c>
      <c r="D325" s="18" t="s">
        <v>158</v>
      </c>
      <c r="E325" s="18" t="s">
        <v>159</v>
      </c>
      <c r="F325" s="19" t="s">
        <v>94</v>
      </c>
      <c r="G325" s="20" t="s">
        <v>95</v>
      </c>
      <c r="H325" t="str">
        <f>'Source Table'!$G$9</f>
        <v>Female</v>
      </c>
      <c r="I325" t="str">
        <f>'Source Table'!$G$8</f>
        <v>أنثى</v>
      </c>
      <c r="J325" t="str">
        <f t="shared" ref="J325:J388" si="10">TEXT(M325+1,"0")&amp;"/"&amp;TEXT(M325,"0")</f>
        <v>2022/2021</v>
      </c>
      <c r="K325" t="str">
        <f t="shared" ref="K325:K388" si="11">TEXT(M325+1,"0")&amp;"/"&amp;TEXT(M325,"0")</f>
        <v>2022/2021</v>
      </c>
      <c r="L325" s="26">
        <v>1916</v>
      </c>
      <c r="M325" s="18">
        <v>2021</v>
      </c>
    </row>
    <row r="326" ht="21.75" spans="1:13">
      <c r="A326" s="18" t="s">
        <v>155</v>
      </c>
      <c r="B326" s="18" t="s">
        <v>156</v>
      </c>
      <c r="C326" s="18" t="s">
        <v>162</v>
      </c>
      <c r="D326" s="18" t="s">
        <v>158</v>
      </c>
      <c r="E326" s="18" t="s">
        <v>159</v>
      </c>
      <c r="F326" s="19" t="s">
        <v>96</v>
      </c>
      <c r="G326" s="20" t="s">
        <v>97</v>
      </c>
      <c r="H326" t="str">
        <f>'Source Table'!$G$9</f>
        <v>Female</v>
      </c>
      <c r="I326" t="str">
        <f>'Source Table'!$G$8</f>
        <v>أنثى</v>
      </c>
      <c r="J326" t="str">
        <f t="shared" si="10"/>
        <v>2022/2021</v>
      </c>
      <c r="K326" t="str">
        <f t="shared" si="11"/>
        <v>2022/2021</v>
      </c>
      <c r="L326" s="26">
        <v>2385</v>
      </c>
      <c r="M326" s="18">
        <v>2021</v>
      </c>
    </row>
    <row r="327" ht="21.75" spans="1:13">
      <c r="A327" s="18" t="s">
        <v>155</v>
      </c>
      <c r="B327" s="18" t="s">
        <v>156</v>
      </c>
      <c r="C327" s="18" t="s">
        <v>162</v>
      </c>
      <c r="D327" s="18" t="s">
        <v>158</v>
      </c>
      <c r="E327" s="18" t="s">
        <v>159</v>
      </c>
      <c r="F327" s="19" t="s">
        <v>98</v>
      </c>
      <c r="G327" s="20" t="s">
        <v>99</v>
      </c>
      <c r="H327" t="str">
        <f>'Source Table'!$G$9</f>
        <v>Female</v>
      </c>
      <c r="I327" t="str">
        <f>'Source Table'!$G$8</f>
        <v>أنثى</v>
      </c>
      <c r="J327" t="str">
        <f t="shared" si="10"/>
        <v>2022/2021</v>
      </c>
      <c r="K327" t="str">
        <f t="shared" si="11"/>
        <v>2022/2021</v>
      </c>
      <c r="L327" s="27">
        <v>2685</v>
      </c>
      <c r="M327" s="18">
        <v>2021</v>
      </c>
    </row>
    <row r="328" ht="21.75" spans="1:13">
      <c r="A328" s="18" t="s">
        <v>155</v>
      </c>
      <c r="B328" s="18" t="s">
        <v>156</v>
      </c>
      <c r="C328" s="18" t="s">
        <v>162</v>
      </c>
      <c r="D328" s="18" t="s">
        <v>158</v>
      </c>
      <c r="E328" s="18" t="s">
        <v>159</v>
      </c>
      <c r="F328" s="19" t="s">
        <v>100</v>
      </c>
      <c r="G328" s="20" t="s">
        <v>101</v>
      </c>
      <c r="H328" t="str">
        <f>'Source Table'!$G$9</f>
        <v>Female</v>
      </c>
      <c r="I328" t="str">
        <f>'Source Table'!$G$8</f>
        <v>أنثى</v>
      </c>
      <c r="J328" t="str">
        <f t="shared" si="10"/>
        <v>2022/2021</v>
      </c>
      <c r="K328" t="str">
        <f t="shared" si="11"/>
        <v>2022/2021</v>
      </c>
      <c r="L328" s="27">
        <v>2391</v>
      </c>
      <c r="M328" s="18">
        <v>2021</v>
      </c>
    </row>
    <row r="329" ht="21.75" spans="1:13">
      <c r="A329" s="18" t="s">
        <v>155</v>
      </c>
      <c r="B329" s="18" t="s">
        <v>156</v>
      </c>
      <c r="C329" s="18" t="s">
        <v>162</v>
      </c>
      <c r="D329" s="18" t="s">
        <v>158</v>
      </c>
      <c r="E329" s="18" t="s">
        <v>159</v>
      </c>
      <c r="F329" s="19" t="s">
        <v>103</v>
      </c>
      <c r="G329" s="20" t="s">
        <v>104</v>
      </c>
      <c r="H329" t="str">
        <f>'Source Table'!$G$9</f>
        <v>Female</v>
      </c>
      <c r="I329" t="str">
        <f>'Source Table'!$G$8</f>
        <v>أنثى</v>
      </c>
      <c r="J329" t="str">
        <f t="shared" si="10"/>
        <v>2022/2021</v>
      </c>
      <c r="K329" t="str">
        <f t="shared" si="11"/>
        <v>2022/2021</v>
      </c>
      <c r="L329" s="26">
        <v>1809</v>
      </c>
      <c r="M329" s="18">
        <v>2021</v>
      </c>
    </row>
    <row r="330" ht="21.75" spans="1:13">
      <c r="A330" s="18" t="s">
        <v>155</v>
      </c>
      <c r="B330" s="18" t="s">
        <v>156</v>
      </c>
      <c r="C330" s="18" t="s">
        <v>162</v>
      </c>
      <c r="D330" s="18" t="s">
        <v>158</v>
      </c>
      <c r="E330" s="18" t="s">
        <v>159</v>
      </c>
      <c r="F330" s="19" t="s">
        <v>106</v>
      </c>
      <c r="G330" s="20" t="s">
        <v>107</v>
      </c>
      <c r="H330" t="str">
        <f>'Source Table'!$G$9</f>
        <v>Female</v>
      </c>
      <c r="I330" t="str">
        <f>'Source Table'!$G$8</f>
        <v>أنثى</v>
      </c>
      <c r="J330" t="str">
        <f t="shared" si="10"/>
        <v>2022/2021</v>
      </c>
      <c r="K330" t="str">
        <f t="shared" si="11"/>
        <v>2022/2021</v>
      </c>
      <c r="L330" s="26">
        <v>1466</v>
      </c>
      <c r="M330" s="18">
        <v>2021</v>
      </c>
    </row>
    <row r="331" ht="21.75" spans="1:13">
      <c r="A331" s="18" t="s">
        <v>155</v>
      </c>
      <c r="B331" s="18" t="s">
        <v>156</v>
      </c>
      <c r="C331" s="18" t="s">
        <v>162</v>
      </c>
      <c r="D331" s="18" t="s">
        <v>158</v>
      </c>
      <c r="E331" s="18" t="s">
        <v>159</v>
      </c>
      <c r="F331" s="19" t="s">
        <v>108</v>
      </c>
      <c r="G331" s="20" t="s">
        <v>109</v>
      </c>
      <c r="H331" t="str">
        <f>'Source Table'!$G$9</f>
        <v>Female</v>
      </c>
      <c r="I331" t="str">
        <f>'Source Table'!$G$8</f>
        <v>أنثى</v>
      </c>
      <c r="J331" t="str">
        <f t="shared" si="10"/>
        <v>2022/2021</v>
      </c>
      <c r="K331" t="str">
        <f t="shared" si="11"/>
        <v>2022/2021</v>
      </c>
      <c r="L331" s="26">
        <v>1002</v>
      </c>
      <c r="M331" s="18">
        <v>2021</v>
      </c>
    </row>
    <row r="332" ht="21.75" spans="1:13">
      <c r="A332" s="18" t="s">
        <v>155</v>
      </c>
      <c r="B332" s="18" t="s">
        <v>156</v>
      </c>
      <c r="C332" s="18" t="s">
        <v>162</v>
      </c>
      <c r="D332" s="18" t="s">
        <v>158</v>
      </c>
      <c r="E332" s="18" t="s">
        <v>159</v>
      </c>
      <c r="F332" s="19" t="s">
        <v>110</v>
      </c>
      <c r="G332" s="20" t="s">
        <v>111</v>
      </c>
      <c r="H332" t="str">
        <f>'Source Table'!$G$9</f>
        <v>Female</v>
      </c>
      <c r="I332" t="str">
        <f>'Source Table'!$G$8</f>
        <v>أنثى</v>
      </c>
      <c r="J332" t="str">
        <f t="shared" si="10"/>
        <v>2022/2021</v>
      </c>
      <c r="K332" t="str">
        <f t="shared" si="11"/>
        <v>2022/2021</v>
      </c>
      <c r="L332" s="28">
        <v>734</v>
      </c>
      <c r="M332" s="18">
        <v>2021</v>
      </c>
    </row>
    <row r="333" ht="21.75" spans="1:13">
      <c r="A333" s="18" t="s">
        <v>155</v>
      </c>
      <c r="B333" s="18" t="s">
        <v>156</v>
      </c>
      <c r="C333" s="18" t="s">
        <v>162</v>
      </c>
      <c r="D333" s="18" t="s">
        <v>158</v>
      </c>
      <c r="E333" s="18" t="s">
        <v>159</v>
      </c>
      <c r="F333" s="19" t="s">
        <v>113</v>
      </c>
      <c r="G333" s="20" t="s">
        <v>114</v>
      </c>
      <c r="H333" t="str">
        <f>'Source Table'!$G$9</f>
        <v>Female</v>
      </c>
      <c r="I333" t="str">
        <f>'Source Table'!$G$8</f>
        <v>أنثى</v>
      </c>
      <c r="J333" t="str">
        <f t="shared" si="10"/>
        <v>2022/2021</v>
      </c>
      <c r="K333" t="str">
        <f t="shared" si="11"/>
        <v>2022/2021</v>
      </c>
      <c r="L333" s="26">
        <v>1321</v>
      </c>
      <c r="M333" s="18">
        <v>2021</v>
      </c>
    </row>
    <row r="334" ht="21.75" spans="1:13">
      <c r="A334" s="18" t="s">
        <v>155</v>
      </c>
      <c r="B334" s="18" t="s">
        <v>156</v>
      </c>
      <c r="C334" s="18" t="s">
        <v>162</v>
      </c>
      <c r="D334" s="18" t="s">
        <v>158</v>
      </c>
      <c r="E334" s="18" t="s">
        <v>159</v>
      </c>
      <c r="F334" s="19" t="s">
        <v>115</v>
      </c>
      <c r="G334" s="20" t="s">
        <v>116</v>
      </c>
      <c r="H334" t="str">
        <f>'Source Table'!$G$9</f>
        <v>Female</v>
      </c>
      <c r="I334" t="str">
        <f>'Source Table'!$G$8</f>
        <v>أنثى</v>
      </c>
      <c r="J334" t="str">
        <f t="shared" si="10"/>
        <v>2022/2021</v>
      </c>
      <c r="K334" t="str">
        <f t="shared" si="11"/>
        <v>2022/2021</v>
      </c>
      <c r="L334" s="28">
        <v>436</v>
      </c>
      <c r="M334" s="18">
        <v>2021</v>
      </c>
    </row>
    <row r="335" ht="21.75" spans="1:13">
      <c r="A335" s="18" t="s">
        <v>155</v>
      </c>
      <c r="B335" s="18" t="s">
        <v>156</v>
      </c>
      <c r="C335" s="18" t="s">
        <v>162</v>
      </c>
      <c r="D335" s="18" t="s">
        <v>158</v>
      </c>
      <c r="E335" s="18" t="s">
        <v>159</v>
      </c>
      <c r="F335" s="19" t="s">
        <v>118</v>
      </c>
      <c r="G335" s="20" t="s">
        <v>119</v>
      </c>
      <c r="H335" t="str">
        <f>'Source Table'!$G$9</f>
        <v>Female</v>
      </c>
      <c r="I335" t="str">
        <f>'Source Table'!$G$8</f>
        <v>أنثى</v>
      </c>
      <c r="J335" t="str">
        <f t="shared" si="10"/>
        <v>2022/2021</v>
      </c>
      <c r="K335" t="str">
        <f t="shared" si="11"/>
        <v>2022/2021</v>
      </c>
      <c r="L335" s="28">
        <v>766</v>
      </c>
      <c r="M335" s="18">
        <v>2021</v>
      </c>
    </row>
    <row r="336" ht="21.75" spans="1:13">
      <c r="A336" s="18" t="s">
        <v>155</v>
      </c>
      <c r="B336" s="18" t="s">
        <v>156</v>
      </c>
      <c r="C336" s="18" t="s">
        <v>162</v>
      </c>
      <c r="D336" s="18" t="s">
        <v>158</v>
      </c>
      <c r="E336" s="18" t="s">
        <v>159</v>
      </c>
      <c r="F336" s="19" t="s">
        <v>120</v>
      </c>
      <c r="G336" s="20" t="s">
        <v>121</v>
      </c>
      <c r="H336" t="str">
        <f>'Source Table'!$G$9</f>
        <v>Female</v>
      </c>
      <c r="I336" t="str">
        <f>'Source Table'!$G$8</f>
        <v>أنثى</v>
      </c>
      <c r="J336" t="str">
        <f t="shared" si="10"/>
        <v>2022/2021</v>
      </c>
      <c r="K336" t="str">
        <f t="shared" si="11"/>
        <v>2022/2021</v>
      </c>
      <c r="L336" s="28">
        <v>948</v>
      </c>
      <c r="M336" s="18">
        <v>2021</v>
      </c>
    </row>
    <row r="337" ht="21.75" spans="1:13">
      <c r="A337" s="18" t="s">
        <v>155</v>
      </c>
      <c r="B337" s="18" t="s">
        <v>156</v>
      </c>
      <c r="C337" s="18" t="s">
        <v>162</v>
      </c>
      <c r="D337" s="18" t="s">
        <v>158</v>
      </c>
      <c r="E337" s="18" t="s">
        <v>159</v>
      </c>
      <c r="F337" s="19" t="s">
        <v>122</v>
      </c>
      <c r="G337" s="20" t="s">
        <v>123</v>
      </c>
      <c r="H337" t="str">
        <f>'Source Table'!$G$9</f>
        <v>Female</v>
      </c>
      <c r="I337" t="str">
        <f>'Source Table'!$G$8</f>
        <v>أنثى</v>
      </c>
      <c r="J337" t="str">
        <f t="shared" si="10"/>
        <v>2022/2021</v>
      </c>
      <c r="K337" t="str">
        <f t="shared" si="11"/>
        <v>2022/2021</v>
      </c>
      <c r="L337" s="28">
        <v>588</v>
      </c>
      <c r="M337" s="18">
        <v>2021</v>
      </c>
    </row>
    <row r="338" ht="21.75" spans="1:13">
      <c r="A338" s="18" t="s">
        <v>155</v>
      </c>
      <c r="B338" s="18" t="s">
        <v>156</v>
      </c>
      <c r="C338" s="18" t="s">
        <v>162</v>
      </c>
      <c r="D338" s="18" t="s">
        <v>158</v>
      </c>
      <c r="E338" s="18" t="s">
        <v>159</v>
      </c>
      <c r="F338" s="19" t="s">
        <v>124</v>
      </c>
      <c r="G338" s="20" t="s">
        <v>125</v>
      </c>
      <c r="H338" t="str">
        <f>'Source Table'!$G$9</f>
        <v>Female</v>
      </c>
      <c r="I338" t="str">
        <f>'Source Table'!$G$8</f>
        <v>أنثى</v>
      </c>
      <c r="J338" t="str">
        <f t="shared" si="10"/>
        <v>2022/2021</v>
      </c>
      <c r="K338" t="str">
        <f t="shared" si="11"/>
        <v>2022/2021</v>
      </c>
      <c r="L338" s="28">
        <v>371</v>
      </c>
      <c r="M338" s="18">
        <v>2021</v>
      </c>
    </row>
    <row r="339" ht="21.75" spans="1:13">
      <c r="A339" s="18" t="s">
        <v>155</v>
      </c>
      <c r="B339" s="18" t="s">
        <v>156</v>
      </c>
      <c r="C339" s="18" t="s">
        <v>162</v>
      </c>
      <c r="D339" s="18" t="s">
        <v>158</v>
      </c>
      <c r="E339" s="18" t="s">
        <v>159</v>
      </c>
      <c r="F339" s="19" t="s">
        <v>126</v>
      </c>
      <c r="G339" s="20" t="s">
        <v>127</v>
      </c>
      <c r="H339" t="str">
        <f>'Source Table'!$G$9</f>
        <v>Female</v>
      </c>
      <c r="I339" t="str">
        <f>'Source Table'!$G$8</f>
        <v>أنثى</v>
      </c>
      <c r="J339" t="str">
        <f t="shared" si="10"/>
        <v>2022/2021</v>
      </c>
      <c r="K339" t="str">
        <f t="shared" si="11"/>
        <v>2022/2021</v>
      </c>
      <c r="L339" s="27">
        <v>2347</v>
      </c>
      <c r="M339" s="18">
        <v>2021</v>
      </c>
    </row>
    <row r="340" ht="21.75" spans="1:13">
      <c r="A340" s="18" t="s">
        <v>155</v>
      </c>
      <c r="B340" s="18" t="s">
        <v>156</v>
      </c>
      <c r="C340" s="18" t="s">
        <v>157</v>
      </c>
      <c r="D340" s="18" t="s">
        <v>158</v>
      </c>
      <c r="E340" s="18" t="s">
        <v>159</v>
      </c>
      <c r="F340" s="19" t="s">
        <v>29</v>
      </c>
      <c r="G340" s="20" t="s">
        <v>30</v>
      </c>
      <c r="H340" t="str">
        <f>'Source Table'!$H$9</f>
        <v>Male</v>
      </c>
      <c r="I340" t="str">
        <f>'Source Table'!$H$8</f>
        <v>ذكر</v>
      </c>
      <c r="J340" t="str">
        <f t="shared" si="10"/>
        <v>2021/2020</v>
      </c>
      <c r="K340" t="str">
        <f t="shared" si="11"/>
        <v>2021/2020</v>
      </c>
      <c r="L340" s="29">
        <v>74637</v>
      </c>
      <c r="M340" s="18">
        <v>2020</v>
      </c>
    </row>
    <row r="341" ht="21.75" spans="1:13">
      <c r="A341" s="18" t="s">
        <v>155</v>
      </c>
      <c r="B341" s="18" t="s">
        <v>156</v>
      </c>
      <c r="C341" s="18" t="s">
        <v>157</v>
      </c>
      <c r="D341" s="18" t="s">
        <v>158</v>
      </c>
      <c r="E341" s="18" t="s">
        <v>159</v>
      </c>
      <c r="F341" s="19" t="s">
        <v>32</v>
      </c>
      <c r="G341" s="20" t="s">
        <v>33</v>
      </c>
      <c r="H341" t="str">
        <f>'Source Table'!$H$9</f>
        <v>Male</v>
      </c>
      <c r="I341" t="str">
        <f>'Source Table'!$H$8</f>
        <v>ذكر</v>
      </c>
      <c r="J341" t="str">
        <f t="shared" si="10"/>
        <v>2021/2020</v>
      </c>
      <c r="K341" t="str">
        <f t="shared" si="11"/>
        <v>2021/2020</v>
      </c>
      <c r="L341" s="29">
        <v>72148</v>
      </c>
      <c r="M341" s="18">
        <v>2020</v>
      </c>
    </row>
    <row r="342" ht="21.75" spans="1:13">
      <c r="A342" s="18" t="s">
        <v>155</v>
      </c>
      <c r="B342" s="18" t="s">
        <v>156</v>
      </c>
      <c r="C342" s="18" t="s">
        <v>157</v>
      </c>
      <c r="D342" s="18" t="s">
        <v>158</v>
      </c>
      <c r="E342" s="18" t="s">
        <v>159</v>
      </c>
      <c r="F342" s="19" t="s">
        <v>34</v>
      </c>
      <c r="G342" s="20" t="s">
        <v>35</v>
      </c>
      <c r="H342" t="str">
        <f>'Source Table'!$H$9</f>
        <v>Male</v>
      </c>
      <c r="I342" t="str">
        <f>'Source Table'!$H$8</f>
        <v>ذكر</v>
      </c>
      <c r="J342" t="str">
        <f t="shared" si="10"/>
        <v>2021/2020</v>
      </c>
      <c r="K342" t="str">
        <f t="shared" si="11"/>
        <v>2021/2020</v>
      </c>
      <c r="L342" s="29">
        <v>17269</v>
      </c>
      <c r="M342" s="18">
        <v>2020</v>
      </c>
    </row>
    <row r="343" ht="21.75" spans="1:13">
      <c r="A343" s="18" t="s">
        <v>155</v>
      </c>
      <c r="B343" s="18" t="s">
        <v>156</v>
      </c>
      <c r="C343" s="18" t="s">
        <v>157</v>
      </c>
      <c r="D343" s="18" t="s">
        <v>158</v>
      </c>
      <c r="E343" s="18" t="s">
        <v>159</v>
      </c>
      <c r="F343" s="19" t="s">
        <v>36</v>
      </c>
      <c r="G343" s="20" t="s">
        <v>37</v>
      </c>
      <c r="H343" t="str">
        <f>'Source Table'!$H$9</f>
        <v>Male</v>
      </c>
      <c r="I343" t="str">
        <f>'Source Table'!$H$8</f>
        <v>ذكر</v>
      </c>
      <c r="J343" t="str">
        <f t="shared" si="10"/>
        <v>2021/2020</v>
      </c>
      <c r="K343" t="str">
        <f t="shared" si="11"/>
        <v>2021/2020</v>
      </c>
      <c r="L343" s="29">
        <v>70522</v>
      </c>
      <c r="M343" s="18">
        <v>2020</v>
      </c>
    </row>
    <row r="344" ht="21.75" spans="1:13">
      <c r="A344" s="18" t="s">
        <v>155</v>
      </c>
      <c r="B344" s="18" t="s">
        <v>156</v>
      </c>
      <c r="C344" s="18" t="s">
        <v>157</v>
      </c>
      <c r="D344" s="18" t="s">
        <v>158</v>
      </c>
      <c r="E344" s="18" t="s">
        <v>159</v>
      </c>
      <c r="F344" s="19" t="s">
        <v>38</v>
      </c>
      <c r="G344" s="20" t="s">
        <v>39</v>
      </c>
      <c r="H344" t="str">
        <f>'Source Table'!$H$9</f>
        <v>Male</v>
      </c>
      <c r="I344" t="str">
        <f>'Source Table'!$H$8</f>
        <v>ذكر</v>
      </c>
      <c r="J344" t="str">
        <f t="shared" si="10"/>
        <v>2021/2020</v>
      </c>
      <c r="K344" t="str">
        <f t="shared" si="11"/>
        <v>2021/2020</v>
      </c>
      <c r="L344" s="29">
        <v>97327</v>
      </c>
      <c r="M344" s="18">
        <v>2020</v>
      </c>
    </row>
    <row r="345" ht="21.75" spans="1:13">
      <c r="A345" s="18" t="s">
        <v>155</v>
      </c>
      <c r="B345" s="18" t="s">
        <v>156</v>
      </c>
      <c r="C345" s="18" t="s">
        <v>157</v>
      </c>
      <c r="D345" s="18" t="s">
        <v>158</v>
      </c>
      <c r="E345" s="18" t="s">
        <v>159</v>
      </c>
      <c r="F345" s="19" t="s">
        <v>40</v>
      </c>
      <c r="G345" s="20" t="s">
        <v>41</v>
      </c>
      <c r="H345" t="str">
        <f>'Source Table'!$H$9</f>
        <v>Male</v>
      </c>
      <c r="I345" t="str">
        <f>'Source Table'!$H$8</f>
        <v>ذكر</v>
      </c>
      <c r="J345" t="str">
        <f t="shared" si="10"/>
        <v>2021/2020</v>
      </c>
      <c r="K345" t="str">
        <f t="shared" si="11"/>
        <v>2021/2020</v>
      </c>
      <c r="L345" s="29">
        <v>32214</v>
      </c>
      <c r="M345" s="18">
        <v>2020</v>
      </c>
    </row>
    <row r="346" ht="21.75" spans="1:13">
      <c r="A346" s="18" t="s">
        <v>155</v>
      </c>
      <c r="B346" s="18" t="s">
        <v>156</v>
      </c>
      <c r="C346" s="18" t="s">
        <v>157</v>
      </c>
      <c r="D346" s="18" t="s">
        <v>158</v>
      </c>
      <c r="E346" s="18" t="s">
        <v>159</v>
      </c>
      <c r="F346" s="19" t="s">
        <v>42</v>
      </c>
      <c r="G346" s="20" t="s">
        <v>43</v>
      </c>
      <c r="H346" t="str">
        <f>'Source Table'!$H$9</f>
        <v>Male</v>
      </c>
      <c r="I346" t="str">
        <f>'Source Table'!$H$8</f>
        <v>ذكر</v>
      </c>
      <c r="J346" t="str">
        <f t="shared" si="10"/>
        <v>2021/2020</v>
      </c>
      <c r="K346" t="str">
        <f t="shared" si="11"/>
        <v>2021/2020</v>
      </c>
      <c r="L346" s="29">
        <v>16217</v>
      </c>
      <c r="M346" s="18">
        <v>2020</v>
      </c>
    </row>
    <row r="347" ht="21.75" spans="1:13">
      <c r="A347" s="18" t="s">
        <v>155</v>
      </c>
      <c r="B347" s="18" t="s">
        <v>156</v>
      </c>
      <c r="C347" s="18" t="s">
        <v>157</v>
      </c>
      <c r="D347" s="18" t="s">
        <v>158</v>
      </c>
      <c r="E347" s="18" t="s">
        <v>159</v>
      </c>
      <c r="F347" s="19" t="s">
        <v>44</v>
      </c>
      <c r="G347" s="20" t="s">
        <v>45</v>
      </c>
      <c r="H347" t="str">
        <f>'Source Table'!$H$9</f>
        <v>Male</v>
      </c>
      <c r="I347" t="str">
        <f>'Source Table'!$H$8</f>
        <v>ذكر</v>
      </c>
      <c r="J347" t="str">
        <f t="shared" si="10"/>
        <v>2021/2020</v>
      </c>
      <c r="K347" t="str">
        <f t="shared" si="11"/>
        <v>2021/2020</v>
      </c>
      <c r="L347" s="29">
        <v>9027</v>
      </c>
      <c r="M347" s="18">
        <v>2020</v>
      </c>
    </row>
    <row r="348" ht="21.75" spans="1:13">
      <c r="A348" s="18" t="s">
        <v>155</v>
      </c>
      <c r="B348" s="18" t="s">
        <v>156</v>
      </c>
      <c r="C348" s="18" t="s">
        <v>157</v>
      </c>
      <c r="D348" s="18" t="s">
        <v>158</v>
      </c>
      <c r="E348" s="18" t="s">
        <v>159</v>
      </c>
      <c r="F348" s="19" t="s">
        <v>46</v>
      </c>
      <c r="G348" s="20" t="s">
        <v>47</v>
      </c>
      <c r="H348" t="str">
        <f>'Source Table'!$H$9</f>
        <v>Male</v>
      </c>
      <c r="I348" t="str">
        <f>'Source Table'!$H$8</f>
        <v>ذكر</v>
      </c>
      <c r="J348" t="str">
        <f t="shared" si="10"/>
        <v>2021/2020</v>
      </c>
      <c r="K348" t="str">
        <f t="shared" si="11"/>
        <v>2021/2020</v>
      </c>
      <c r="L348" s="29">
        <v>10193</v>
      </c>
      <c r="M348" s="18">
        <v>2020</v>
      </c>
    </row>
    <row r="349" ht="21.75" spans="1:13">
      <c r="A349" s="18" t="s">
        <v>155</v>
      </c>
      <c r="B349" s="18" t="s">
        <v>156</v>
      </c>
      <c r="C349" s="18" t="s">
        <v>157</v>
      </c>
      <c r="D349" s="18" t="s">
        <v>158</v>
      </c>
      <c r="E349" s="18" t="s">
        <v>159</v>
      </c>
      <c r="F349" s="19" t="s">
        <v>49</v>
      </c>
      <c r="G349" s="20" t="s">
        <v>50</v>
      </c>
      <c r="H349" t="str">
        <f>'Source Table'!$H$9</f>
        <v>Male</v>
      </c>
      <c r="I349" t="str">
        <f>'Source Table'!$H$8</f>
        <v>ذكر</v>
      </c>
      <c r="J349" t="str">
        <f t="shared" si="10"/>
        <v>2021/2020</v>
      </c>
      <c r="K349" t="str">
        <f t="shared" si="11"/>
        <v>2021/2020</v>
      </c>
      <c r="L349" s="29">
        <v>26425</v>
      </c>
      <c r="M349" s="18">
        <v>2020</v>
      </c>
    </row>
    <row r="350" ht="21.75" spans="1:13">
      <c r="A350" s="18" t="s">
        <v>155</v>
      </c>
      <c r="B350" s="18" t="s">
        <v>156</v>
      </c>
      <c r="C350" s="18" t="s">
        <v>157</v>
      </c>
      <c r="D350" s="18" t="s">
        <v>158</v>
      </c>
      <c r="E350" s="18" t="s">
        <v>159</v>
      </c>
      <c r="F350" s="19" t="s">
        <v>52</v>
      </c>
      <c r="G350" s="20" t="s">
        <v>53</v>
      </c>
      <c r="H350" t="str">
        <f>'Source Table'!$H$9</f>
        <v>Male</v>
      </c>
      <c r="I350" t="str">
        <f>'Source Table'!$H$8</f>
        <v>ذكر</v>
      </c>
      <c r="J350" t="str">
        <f t="shared" si="10"/>
        <v>2021/2020</v>
      </c>
      <c r="K350" t="str">
        <f t="shared" si="11"/>
        <v>2021/2020</v>
      </c>
      <c r="L350" s="29">
        <v>9660</v>
      </c>
      <c r="M350" s="18">
        <v>2020</v>
      </c>
    </row>
    <row r="351" ht="21.75" spans="1:13">
      <c r="A351" s="18" t="s">
        <v>155</v>
      </c>
      <c r="B351" s="18" t="s">
        <v>156</v>
      </c>
      <c r="C351" s="18" t="s">
        <v>157</v>
      </c>
      <c r="D351" s="18" t="s">
        <v>158</v>
      </c>
      <c r="E351" s="18" t="s">
        <v>159</v>
      </c>
      <c r="F351" s="19" t="s">
        <v>54</v>
      </c>
      <c r="G351" s="20" t="s">
        <v>55</v>
      </c>
      <c r="H351" t="str">
        <f>'Source Table'!$H$9</f>
        <v>Male</v>
      </c>
      <c r="I351" t="str">
        <f>'Source Table'!$H$8</f>
        <v>ذكر</v>
      </c>
      <c r="J351" t="str">
        <f t="shared" si="10"/>
        <v>2021/2020</v>
      </c>
      <c r="K351" t="str">
        <f t="shared" si="11"/>
        <v>2021/2020</v>
      </c>
      <c r="L351" s="29">
        <v>8726</v>
      </c>
      <c r="M351" s="18">
        <v>2020</v>
      </c>
    </row>
    <row r="352" ht="21.75" spans="1:13">
      <c r="A352" s="18" t="s">
        <v>155</v>
      </c>
      <c r="B352" s="18" t="s">
        <v>156</v>
      </c>
      <c r="C352" s="18" t="s">
        <v>157</v>
      </c>
      <c r="D352" s="18" t="s">
        <v>158</v>
      </c>
      <c r="E352" s="18" t="s">
        <v>159</v>
      </c>
      <c r="F352" s="19" t="s">
        <v>56</v>
      </c>
      <c r="G352" s="20" t="s">
        <v>57</v>
      </c>
      <c r="H352" t="str">
        <f>'Source Table'!$H$9</f>
        <v>Male</v>
      </c>
      <c r="I352" t="str">
        <f>'Source Table'!$H$8</f>
        <v>ذكر</v>
      </c>
      <c r="J352" t="str">
        <f t="shared" si="10"/>
        <v>2021/2020</v>
      </c>
      <c r="K352" t="str">
        <f t="shared" si="11"/>
        <v>2021/2020</v>
      </c>
      <c r="L352" s="29">
        <v>29891</v>
      </c>
      <c r="M352" s="18">
        <v>2020</v>
      </c>
    </row>
    <row r="353" ht="21.75" spans="1:13">
      <c r="A353" s="18" t="s">
        <v>155</v>
      </c>
      <c r="B353" s="18" t="s">
        <v>156</v>
      </c>
      <c r="C353" s="18" t="s">
        <v>157</v>
      </c>
      <c r="D353" s="18" t="s">
        <v>158</v>
      </c>
      <c r="E353" s="18" t="s">
        <v>159</v>
      </c>
      <c r="F353" s="19" t="s">
        <v>59</v>
      </c>
      <c r="G353" s="20" t="s">
        <v>160</v>
      </c>
      <c r="H353" t="str">
        <f>'Source Table'!$H$9</f>
        <v>Male</v>
      </c>
      <c r="I353" t="str">
        <f>'Source Table'!$H$8</f>
        <v>ذكر</v>
      </c>
      <c r="J353" t="str">
        <f t="shared" si="10"/>
        <v>2021/2020</v>
      </c>
      <c r="K353" t="str">
        <f t="shared" si="11"/>
        <v>2021/2020</v>
      </c>
      <c r="L353" s="29">
        <v>71441</v>
      </c>
      <c r="M353" s="18">
        <v>2020</v>
      </c>
    </row>
    <row r="354" ht="21.75" spans="1:13">
      <c r="A354" s="18" t="s">
        <v>155</v>
      </c>
      <c r="B354" s="18" t="s">
        <v>156</v>
      </c>
      <c r="C354" s="18" t="s">
        <v>157</v>
      </c>
      <c r="D354" s="18" t="s">
        <v>158</v>
      </c>
      <c r="E354" s="18" t="s">
        <v>159</v>
      </c>
      <c r="F354" s="19" t="s">
        <v>62</v>
      </c>
      <c r="G354" s="20" t="s">
        <v>161</v>
      </c>
      <c r="H354" t="str">
        <f>'Source Table'!$H$9</f>
        <v>Male</v>
      </c>
      <c r="I354" t="str">
        <f>'Source Table'!$H$8</f>
        <v>ذكر</v>
      </c>
      <c r="J354" t="str">
        <f t="shared" si="10"/>
        <v>2021/2020</v>
      </c>
      <c r="K354" t="str">
        <f t="shared" si="11"/>
        <v>2021/2020</v>
      </c>
      <c r="L354" s="29">
        <v>30783</v>
      </c>
      <c r="M354" s="18">
        <v>2020</v>
      </c>
    </row>
    <row r="355" ht="21.75" spans="1:13">
      <c r="A355" s="18" t="s">
        <v>155</v>
      </c>
      <c r="B355" s="18" t="s">
        <v>156</v>
      </c>
      <c r="C355" s="18" t="s">
        <v>157</v>
      </c>
      <c r="D355" s="18" t="s">
        <v>158</v>
      </c>
      <c r="E355" s="18" t="s">
        <v>159</v>
      </c>
      <c r="F355" s="19" t="s">
        <v>64</v>
      </c>
      <c r="G355" s="20" t="s">
        <v>65</v>
      </c>
      <c r="H355" t="str">
        <f>'Source Table'!$H$9</f>
        <v>Male</v>
      </c>
      <c r="I355" t="str">
        <f>'Source Table'!$H$8</f>
        <v>ذكر</v>
      </c>
      <c r="J355" t="str">
        <f t="shared" si="10"/>
        <v>2021/2020</v>
      </c>
      <c r="K355" t="str">
        <f t="shared" si="11"/>
        <v>2021/2020</v>
      </c>
      <c r="L355" s="29">
        <v>52146</v>
      </c>
      <c r="M355" s="18">
        <v>2020</v>
      </c>
    </row>
    <row r="356" ht="21.75" spans="1:13">
      <c r="A356" s="18" t="s">
        <v>155</v>
      </c>
      <c r="B356" s="18" t="s">
        <v>156</v>
      </c>
      <c r="C356" s="18" t="s">
        <v>157</v>
      </c>
      <c r="D356" s="18" t="s">
        <v>158</v>
      </c>
      <c r="E356" s="18" t="s">
        <v>159</v>
      </c>
      <c r="F356" s="19" t="s">
        <v>68</v>
      </c>
      <c r="G356" s="20" t="s">
        <v>69</v>
      </c>
      <c r="H356" t="str">
        <f>'Source Table'!$H$9</f>
        <v>Male</v>
      </c>
      <c r="I356" t="str">
        <f>'Source Table'!$H$8</f>
        <v>ذكر</v>
      </c>
      <c r="J356" t="str">
        <f t="shared" si="10"/>
        <v>2021/2020</v>
      </c>
      <c r="K356" t="str">
        <f t="shared" si="11"/>
        <v>2021/2020</v>
      </c>
      <c r="L356" s="29">
        <v>23555</v>
      </c>
      <c r="M356" s="18">
        <v>2020</v>
      </c>
    </row>
    <row r="357" ht="21.75" spans="1:13">
      <c r="A357" s="18" t="s">
        <v>155</v>
      </c>
      <c r="B357" s="18" t="s">
        <v>156</v>
      </c>
      <c r="C357" s="18" t="s">
        <v>157</v>
      </c>
      <c r="D357" s="18" t="s">
        <v>158</v>
      </c>
      <c r="E357" s="18" t="s">
        <v>159</v>
      </c>
      <c r="F357" s="19" t="s">
        <v>70</v>
      </c>
      <c r="G357" s="20" t="s">
        <v>71</v>
      </c>
      <c r="H357" t="str">
        <f>'Source Table'!$H$9</f>
        <v>Male</v>
      </c>
      <c r="I357" t="str">
        <f>'Source Table'!$H$8</f>
        <v>ذكر</v>
      </c>
      <c r="J357" t="str">
        <f t="shared" si="10"/>
        <v>2021/2020</v>
      </c>
      <c r="K357" t="str">
        <f t="shared" si="11"/>
        <v>2021/2020</v>
      </c>
      <c r="L357" s="29">
        <v>5956</v>
      </c>
      <c r="M357" s="18">
        <v>2020</v>
      </c>
    </row>
    <row r="358" ht="21.75" spans="1:13">
      <c r="A358" s="18" t="s">
        <v>155</v>
      </c>
      <c r="B358" s="18" t="s">
        <v>156</v>
      </c>
      <c r="C358" s="18" t="s">
        <v>157</v>
      </c>
      <c r="D358" s="18" t="s">
        <v>158</v>
      </c>
      <c r="E358" s="18" t="s">
        <v>159</v>
      </c>
      <c r="F358" s="19" t="s">
        <v>74</v>
      </c>
      <c r="G358" s="20" t="s">
        <v>75</v>
      </c>
      <c r="H358" t="str">
        <f>'Source Table'!$H$9</f>
        <v>Male</v>
      </c>
      <c r="I358" t="str">
        <f>'Source Table'!$H$8</f>
        <v>ذكر</v>
      </c>
      <c r="J358" t="str">
        <f t="shared" si="10"/>
        <v>2021/2020</v>
      </c>
      <c r="K358" t="str">
        <f t="shared" si="11"/>
        <v>2021/2020</v>
      </c>
      <c r="L358" s="29">
        <v>81024</v>
      </c>
      <c r="M358" s="18">
        <v>2020</v>
      </c>
    </row>
    <row r="359" ht="21.75" spans="1:13">
      <c r="A359" s="18" t="s">
        <v>155</v>
      </c>
      <c r="B359" s="18" t="s">
        <v>156</v>
      </c>
      <c r="C359" s="18" t="s">
        <v>157</v>
      </c>
      <c r="D359" s="18" t="s">
        <v>158</v>
      </c>
      <c r="E359" s="18" t="s">
        <v>159</v>
      </c>
      <c r="F359" s="19" t="s">
        <v>76</v>
      </c>
      <c r="G359" s="20" t="s">
        <v>77</v>
      </c>
      <c r="H359" t="str">
        <f>'Source Table'!$H$9</f>
        <v>Male</v>
      </c>
      <c r="I359" t="str">
        <f>'Source Table'!$H$8</f>
        <v>ذكر</v>
      </c>
      <c r="J359" t="str">
        <f t="shared" si="10"/>
        <v>2021/2020</v>
      </c>
      <c r="K359" t="str">
        <f t="shared" si="11"/>
        <v>2021/2020</v>
      </c>
      <c r="L359" s="29">
        <v>25528</v>
      </c>
      <c r="M359" s="18">
        <v>2020</v>
      </c>
    </row>
    <row r="360" ht="21.75" spans="1:13">
      <c r="A360" s="18" t="s">
        <v>155</v>
      </c>
      <c r="B360" s="18" t="s">
        <v>156</v>
      </c>
      <c r="C360" s="18" t="s">
        <v>157</v>
      </c>
      <c r="D360" s="18" t="s">
        <v>158</v>
      </c>
      <c r="E360" s="18" t="s">
        <v>159</v>
      </c>
      <c r="F360" s="19" t="s">
        <v>78</v>
      </c>
      <c r="G360" s="20" t="s">
        <v>79</v>
      </c>
      <c r="H360" t="str">
        <f>'Source Table'!$H$9</f>
        <v>Male</v>
      </c>
      <c r="I360" t="str">
        <f>'Source Table'!$H$8</f>
        <v>ذكر</v>
      </c>
      <c r="J360" t="str">
        <f t="shared" si="10"/>
        <v>2021/2020</v>
      </c>
      <c r="K360" t="str">
        <f t="shared" si="11"/>
        <v>2021/2020</v>
      </c>
      <c r="L360" s="29">
        <v>9069</v>
      </c>
      <c r="M360" s="18">
        <v>2020</v>
      </c>
    </row>
    <row r="361" ht="21.75" spans="1:13">
      <c r="A361" s="18" t="s">
        <v>155</v>
      </c>
      <c r="B361" s="18" t="s">
        <v>156</v>
      </c>
      <c r="C361" s="18" t="s">
        <v>157</v>
      </c>
      <c r="D361" s="18" t="s">
        <v>158</v>
      </c>
      <c r="E361" s="18" t="s">
        <v>159</v>
      </c>
      <c r="F361" s="19" t="s">
        <v>80</v>
      </c>
      <c r="G361" s="20" t="s">
        <v>81</v>
      </c>
      <c r="H361" t="str">
        <f>'Source Table'!$H$9</f>
        <v>Male</v>
      </c>
      <c r="I361" t="str">
        <f>'Source Table'!$H$8</f>
        <v>ذكر</v>
      </c>
      <c r="J361" t="str">
        <f t="shared" si="10"/>
        <v>2021/2020</v>
      </c>
      <c r="K361" t="str">
        <f t="shared" si="11"/>
        <v>2021/2020</v>
      </c>
      <c r="L361" s="29">
        <v>10669</v>
      </c>
      <c r="M361" s="18">
        <v>2020</v>
      </c>
    </row>
    <row r="362" ht="21.75" spans="1:13">
      <c r="A362" s="18" t="s">
        <v>155</v>
      </c>
      <c r="B362" s="18" t="s">
        <v>156</v>
      </c>
      <c r="C362" s="18" t="s">
        <v>157</v>
      </c>
      <c r="D362" s="18" t="s">
        <v>158</v>
      </c>
      <c r="E362" s="18" t="s">
        <v>159</v>
      </c>
      <c r="F362" s="19" t="s">
        <v>82</v>
      </c>
      <c r="G362" s="20" t="s">
        <v>83</v>
      </c>
      <c r="H362" t="str">
        <f>'Source Table'!$H$9</f>
        <v>Male</v>
      </c>
      <c r="I362" t="str">
        <f>'Source Table'!$H$8</f>
        <v>ذكر</v>
      </c>
      <c r="J362" t="str">
        <f t="shared" si="10"/>
        <v>2021/2020</v>
      </c>
      <c r="K362" t="str">
        <f t="shared" si="11"/>
        <v>2021/2020</v>
      </c>
      <c r="L362" s="29">
        <v>18473</v>
      </c>
      <c r="M362" s="18">
        <v>2020</v>
      </c>
    </row>
    <row r="363" ht="21.75" spans="1:13">
      <c r="A363" s="18" t="s">
        <v>155</v>
      </c>
      <c r="B363" s="18" t="s">
        <v>156</v>
      </c>
      <c r="C363" s="18" t="s">
        <v>157</v>
      </c>
      <c r="D363" s="18" t="s">
        <v>158</v>
      </c>
      <c r="E363" s="18" t="s">
        <v>159</v>
      </c>
      <c r="F363" s="19" t="s">
        <v>84</v>
      </c>
      <c r="G363" s="20" t="s">
        <v>85</v>
      </c>
      <c r="H363" t="str">
        <f>'Source Table'!$H$9</f>
        <v>Male</v>
      </c>
      <c r="I363" t="str">
        <f>'Source Table'!$H$8</f>
        <v>ذكر</v>
      </c>
      <c r="J363" t="str">
        <f t="shared" si="10"/>
        <v>2021/2020</v>
      </c>
      <c r="K363" t="str">
        <f t="shared" si="11"/>
        <v>2021/2020</v>
      </c>
      <c r="L363" s="29">
        <v>15123</v>
      </c>
      <c r="M363" s="18">
        <v>2020</v>
      </c>
    </row>
    <row r="364" ht="21.75" spans="1:13">
      <c r="A364" s="18" t="s">
        <v>155</v>
      </c>
      <c r="B364" s="18" t="s">
        <v>156</v>
      </c>
      <c r="C364" s="18" t="s">
        <v>157</v>
      </c>
      <c r="D364" s="18" t="s">
        <v>158</v>
      </c>
      <c r="E364" s="18" t="s">
        <v>159</v>
      </c>
      <c r="F364" s="19" t="s">
        <v>86</v>
      </c>
      <c r="G364" s="20" t="s">
        <v>87</v>
      </c>
      <c r="H364" t="str">
        <f>'Source Table'!$H$9</f>
        <v>Male</v>
      </c>
      <c r="I364" t="str">
        <f>'Source Table'!$H$8</f>
        <v>ذكر</v>
      </c>
      <c r="J364" t="str">
        <f t="shared" si="10"/>
        <v>2021/2020</v>
      </c>
      <c r="K364" t="str">
        <f t="shared" si="11"/>
        <v>2021/2020</v>
      </c>
      <c r="L364" s="29">
        <v>27212</v>
      </c>
      <c r="M364" s="18">
        <v>2020</v>
      </c>
    </row>
    <row r="365" ht="21.75" spans="1:13">
      <c r="A365" s="18" t="s">
        <v>155</v>
      </c>
      <c r="B365" s="18" t="s">
        <v>156</v>
      </c>
      <c r="C365" s="18" t="s">
        <v>157</v>
      </c>
      <c r="D365" s="18" t="s">
        <v>158</v>
      </c>
      <c r="E365" s="18" t="s">
        <v>159</v>
      </c>
      <c r="F365" s="19" t="s">
        <v>88</v>
      </c>
      <c r="G365" s="20" t="s">
        <v>89</v>
      </c>
      <c r="H365" t="str">
        <f>'Source Table'!$H$9</f>
        <v>Male</v>
      </c>
      <c r="I365" t="str">
        <f>'Source Table'!$H$8</f>
        <v>ذكر</v>
      </c>
      <c r="J365" t="str">
        <f t="shared" si="10"/>
        <v>2021/2020</v>
      </c>
      <c r="K365" t="str">
        <f t="shared" si="11"/>
        <v>2021/2020</v>
      </c>
      <c r="L365" s="29">
        <v>15245</v>
      </c>
      <c r="M365" s="18">
        <v>2020</v>
      </c>
    </row>
    <row r="366" ht="21.75" spans="1:13">
      <c r="A366" s="18" t="s">
        <v>155</v>
      </c>
      <c r="B366" s="18" t="s">
        <v>156</v>
      </c>
      <c r="C366" s="18" t="s">
        <v>157</v>
      </c>
      <c r="D366" s="18" t="s">
        <v>158</v>
      </c>
      <c r="E366" s="18" t="s">
        <v>159</v>
      </c>
      <c r="F366" s="19" t="s">
        <v>91</v>
      </c>
      <c r="G366" s="20" t="s">
        <v>92</v>
      </c>
      <c r="H366" t="str">
        <f>'Source Table'!$H$9</f>
        <v>Male</v>
      </c>
      <c r="I366" t="str">
        <f>'Source Table'!$H$8</f>
        <v>ذكر</v>
      </c>
      <c r="J366" t="str">
        <f t="shared" si="10"/>
        <v>2021/2020</v>
      </c>
      <c r="K366" t="str">
        <f t="shared" si="11"/>
        <v>2021/2020</v>
      </c>
      <c r="L366" s="29">
        <v>27144</v>
      </c>
      <c r="M366" s="18">
        <v>2020</v>
      </c>
    </row>
    <row r="367" ht="21.75" spans="1:13">
      <c r="A367" s="18" t="s">
        <v>155</v>
      </c>
      <c r="B367" s="18" t="s">
        <v>156</v>
      </c>
      <c r="C367" s="18" t="s">
        <v>157</v>
      </c>
      <c r="D367" s="18" t="s">
        <v>158</v>
      </c>
      <c r="E367" s="18" t="s">
        <v>159</v>
      </c>
      <c r="F367" s="19" t="s">
        <v>94</v>
      </c>
      <c r="G367" s="20" t="s">
        <v>95</v>
      </c>
      <c r="H367" t="str">
        <f>'Source Table'!$H$9</f>
        <v>Male</v>
      </c>
      <c r="I367" t="str">
        <f>'Source Table'!$H$8</f>
        <v>ذكر</v>
      </c>
      <c r="J367" t="str">
        <f t="shared" si="10"/>
        <v>2021/2020</v>
      </c>
      <c r="K367" t="str">
        <f t="shared" si="11"/>
        <v>2021/2020</v>
      </c>
      <c r="L367" s="29">
        <v>18419</v>
      </c>
      <c r="M367" s="18">
        <v>2020</v>
      </c>
    </row>
    <row r="368" ht="21.75" spans="1:13">
      <c r="A368" s="18" t="s">
        <v>155</v>
      </c>
      <c r="B368" s="18" t="s">
        <v>156</v>
      </c>
      <c r="C368" s="18" t="s">
        <v>157</v>
      </c>
      <c r="D368" s="18" t="s">
        <v>158</v>
      </c>
      <c r="E368" s="18" t="s">
        <v>159</v>
      </c>
      <c r="F368" s="19" t="s">
        <v>96</v>
      </c>
      <c r="G368" s="20" t="s">
        <v>97</v>
      </c>
      <c r="H368" t="str">
        <f>'Source Table'!$H$9</f>
        <v>Male</v>
      </c>
      <c r="I368" t="str">
        <f>'Source Table'!$H$8</f>
        <v>ذكر</v>
      </c>
      <c r="J368" t="str">
        <f t="shared" si="10"/>
        <v>2021/2020</v>
      </c>
      <c r="K368" t="str">
        <f t="shared" si="11"/>
        <v>2021/2020</v>
      </c>
      <c r="L368" s="29">
        <v>31818</v>
      </c>
      <c r="M368" s="18">
        <v>2020</v>
      </c>
    </row>
    <row r="369" ht="21.75" spans="1:13">
      <c r="A369" s="18" t="s">
        <v>155</v>
      </c>
      <c r="B369" s="18" t="s">
        <v>156</v>
      </c>
      <c r="C369" s="18" t="s">
        <v>157</v>
      </c>
      <c r="D369" s="18" t="s">
        <v>158</v>
      </c>
      <c r="E369" s="18" t="s">
        <v>159</v>
      </c>
      <c r="F369" s="19" t="s">
        <v>98</v>
      </c>
      <c r="G369" s="20" t="s">
        <v>99</v>
      </c>
      <c r="H369" t="str">
        <f>'Source Table'!$H$9</f>
        <v>Male</v>
      </c>
      <c r="I369" t="str">
        <f>'Source Table'!$H$8</f>
        <v>ذكر</v>
      </c>
      <c r="J369" t="str">
        <f t="shared" si="10"/>
        <v>2021/2020</v>
      </c>
      <c r="K369" t="str">
        <f t="shared" si="11"/>
        <v>2021/2020</v>
      </c>
      <c r="L369" s="30">
        <v>32552</v>
      </c>
      <c r="M369" s="18">
        <v>2020</v>
      </c>
    </row>
    <row r="370" ht="21.75" spans="1:13">
      <c r="A370" s="18" t="s">
        <v>155</v>
      </c>
      <c r="B370" s="18" t="s">
        <v>156</v>
      </c>
      <c r="C370" s="18" t="s">
        <v>157</v>
      </c>
      <c r="D370" s="18" t="s">
        <v>158</v>
      </c>
      <c r="E370" s="18" t="s">
        <v>159</v>
      </c>
      <c r="F370" s="19" t="s">
        <v>100</v>
      </c>
      <c r="G370" s="20" t="s">
        <v>101</v>
      </c>
      <c r="H370" t="str">
        <f>'Source Table'!$H$9</f>
        <v>Male</v>
      </c>
      <c r="I370" t="str">
        <f>'Source Table'!$H$8</f>
        <v>ذكر</v>
      </c>
      <c r="J370" t="str">
        <f t="shared" si="10"/>
        <v>2021/2020</v>
      </c>
      <c r="K370" t="str">
        <f t="shared" si="11"/>
        <v>2021/2020</v>
      </c>
      <c r="L370" s="30">
        <v>24707</v>
      </c>
      <c r="M370" s="18">
        <v>2020</v>
      </c>
    </row>
    <row r="371" ht="21.75" spans="1:13">
      <c r="A371" s="18" t="s">
        <v>155</v>
      </c>
      <c r="B371" s="18" t="s">
        <v>156</v>
      </c>
      <c r="C371" s="18" t="s">
        <v>157</v>
      </c>
      <c r="D371" s="18" t="s">
        <v>158</v>
      </c>
      <c r="E371" s="18" t="s">
        <v>159</v>
      </c>
      <c r="F371" s="19" t="s">
        <v>103</v>
      </c>
      <c r="G371" s="20" t="s">
        <v>104</v>
      </c>
      <c r="H371" t="str">
        <f>'Source Table'!$H$9</f>
        <v>Male</v>
      </c>
      <c r="I371" t="str">
        <f>'Source Table'!$H$8</f>
        <v>ذكر</v>
      </c>
      <c r="J371" t="str">
        <f t="shared" si="10"/>
        <v>2021/2020</v>
      </c>
      <c r="K371" t="str">
        <f t="shared" si="11"/>
        <v>2021/2020</v>
      </c>
      <c r="L371" s="29">
        <v>16102</v>
      </c>
      <c r="M371" s="18">
        <v>2020</v>
      </c>
    </row>
    <row r="372" ht="21.75" spans="1:13">
      <c r="A372" s="18" t="s">
        <v>155</v>
      </c>
      <c r="B372" s="18" t="s">
        <v>156</v>
      </c>
      <c r="C372" s="18" t="s">
        <v>157</v>
      </c>
      <c r="D372" s="18" t="s">
        <v>158</v>
      </c>
      <c r="E372" s="18" t="s">
        <v>159</v>
      </c>
      <c r="F372" s="19" t="s">
        <v>106</v>
      </c>
      <c r="G372" s="20" t="s">
        <v>107</v>
      </c>
      <c r="H372" t="str">
        <f>'Source Table'!$H$9</f>
        <v>Male</v>
      </c>
      <c r="I372" t="str">
        <f>'Source Table'!$H$8</f>
        <v>ذكر</v>
      </c>
      <c r="J372" t="str">
        <f t="shared" si="10"/>
        <v>2021/2020</v>
      </c>
      <c r="K372" t="str">
        <f t="shared" si="11"/>
        <v>2021/2020</v>
      </c>
      <c r="L372" s="29">
        <v>12005</v>
      </c>
      <c r="M372" s="18">
        <v>2020</v>
      </c>
    </row>
    <row r="373" ht="21.75" spans="1:13">
      <c r="A373" s="18" t="s">
        <v>155</v>
      </c>
      <c r="B373" s="18" t="s">
        <v>156</v>
      </c>
      <c r="C373" s="18" t="s">
        <v>157</v>
      </c>
      <c r="D373" s="18" t="s">
        <v>158</v>
      </c>
      <c r="E373" s="18" t="s">
        <v>159</v>
      </c>
      <c r="F373" s="19" t="s">
        <v>108</v>
      </c>
      <c r="G373" s="20" t="s">
        <v>109</v>
      </c>
      <c r="H373" t="str">
        <f>'Source Table'!$H$9</f>
        <v>Male</v>
      </c>
      <c r="I373" t="str">
        <f>'Source Table'!$H$8</f>
        <v>ذكر</v>
      </c>
      <c r="J373" t="str">
        <f t="shared" si="10"/>
        <v>2021/2020</v>
      </c>
      <c r="K373" t="str">
        <f t="shared" si="11"/>
        <v>2021/2020</v>
      </c>
      <c r="L373" s="29">
        <v>7359</v>
      </c>
      <c r="M373" s="18">
        <v>2020</v>
      </c>
    </row>
    <row r="374" ht="21.75" spans="1:13">
      <c r="A374" s="18" t="s">
        <v>155</v>
      </c>
      <c r="B374" s="18" t="s">
        <v>156</v>
      </c>
      <c r="C374" s="18" t="s">
        <v>157</v>
      </c>
      <c r="D374" s="18" t="s">
        <v>158</v>
      </c>
      <c r="E374" s="18" t="s">
        <v>159</v>
      </c>
      <c r="F374" s="19" t="s">
        <v>110</v>
      </c>
      <c r="G374" s="20" t="s">
        <v>111</v>
      </c>
      <c r="H374" t="str">
        <f>'Source Table'!$H$9</f>
        <v>Male</v>
      </c>
      <c r="I374" t="str">
        <f>'Source Table'!$H$8</f>
        <v>ذكر</v>
      </c>
      <c r="J374" t="str">
        <f t="shared" si="10"/>
        <v>2021/2020</v>
      </c>
      <c r="K374" t="str">
        <f t="shared" si="11"/>
        <v>2021/2020</v>
      </c>
      <c r="L374" s="29">
        <v>8509</v>
      </c>
      <c r="M374" s="18">
        <v>2020</v>
      </c>
    </row>
    <row r="375" ht="21.75" spans="1:13">
      <c r="A375" s="18" t="s">
        <v>155</v>
      </c>
      <c r="B375" s="18" t="s">
        <v>156</v>
      </c>
      <c r="C375" s="18" t="s">
        <v>157</v>
      </c>
      <c r="D375" s="18" t="s">
        <v>158</v>
      </c>
      <c r="E375" s="18" t="s">
        <v>159</v>
      </c>
      <c r="F375" s="19" t="s">
        <v>113</v>
      </c>
      <c r="G375" s="20" t="s">
        <v>114</v>
      </c>
      <c r="H375" t="str">
        <f>'Source Table'!$H$9</f>
        <v>Male</v>
      </c>
      <c r="I375" t="str">
        <f>'Source Table'!$H$8</f>
        <v>ذكر</v>
      </c>
      <c r="J375" t="str">
        <f t="shared" si="10"/>
        <v>2021/2020</v>
      </c>
      <c r="K375" t="str">
        <f t="shared" si="11"/>
        <v>2021/2020</v>
      </c>
      <c r="L375" s="29">
        <v>11410</v>
      </c>
      <c r="M375" s="18">
        <v>2020</v>
      </c>
    </row>
    <row r="376" ht="21.75" spans="1:13">
      <c r="A376" s="18" t="s">
        <v>155</v>
      </c>
      <c r="B376" s="18" t="s">
        <v>156</v>
      </c>
      <c r="C376" s="18" t="s">
        <v>157</v>
      </c>
      <c r="D376" s="18" t="s">
        <v>158</v>
      </c>
      <c r="E376" s="18" t="s">
        <v>159</v>
      </c>
      <c r="F376" s="19" t="s">
        <v>115</v>
      </c>
      <c r="G376" s="20" t="s">
        <v>116</v>
      </c>
      <c r="H376" t="str">
        <f>'Source Table'!$H$9</f>
        <v>Male</v>
      </c>
      <c r="I376" t="str">
        <f>'Source Table'!$H$8</f>
        <v>ذكر</v>
      </c>
      <c r="J376" t="str">
        <f t="shared" si="10"/>
        <v>2021/2020</v>
      </c>
      <c r="K376" t="str">
        <f t="shared" si="11"/>
        <v>2021/2020</v>
      </c>
      <c r="L376" s="29">
        <v>4284</v>
      </c>
      <c r="M376" s="18">
        <v>2020</v>
      </c>
    </row>
    <row r="377" ht="21.75" spans="1:13">
      <c r="A377" s="18" t="s">
        <v>155</v>
      </c>
      <c r="B377" s="18" t="s">
        <v>156</v>
      </c>
      <c r="C377" s="18" t="s">
        <v>157</v>
      </c>
      <c r="D377" s="18" t="s">
        <v>158</v>
      </c>
      <c r="E377" s="18" t="s">
        <v>159</v>
      </c>
      <c r="F377" s="19" t="s">
        <v>118</v>
      </c>
      <c r="G377" s="20" t="s">
        <v>119</v>
      </c>
      <c r="H377" t="str">
        <f>'Source Table'!$H$9</f>
        <v>Male</v>
      </c>
      <c r="I377" t="str">
        <f>'Source Table'!$H$8</f>
        <v>ذكر</v>
      </c>
      <c r="J377" t="str">
        <f t="shared" si="10"/>
        <v>2021/2020</v>
      </c>
      <c r="K377" t="str">
        <f t="shared" si="11"/>
        <v>2021/2020</v>
      </c>
      <c r="L377" s="29">
        <v>6772</v>
      </c>
      <c r="M377" s="18">
        <v>2020</v>
      </c>
    </row>
    <row r="378" ht="21.75" spans="1:13">
      <c r="A378" s="18" t="s">
        <v>155</v>
      </c>
      <c r="B378" s="18" t="s">
        <v>156</v>
      </c>
      <c r="C378" s="18" t="s">
        <v>157</v>
      </c>
      <c r="D378" s="18" t="s">
        <v>158</v>
      </c>
      <c r="E378" s="18" t="s">
        <v>159</v>
      </c>
      <c r="F378" s="19" t="s">
        <v>120</v>
      </c>
      <c r="G378" s="20" t="s">
        <v>121</v>
      </c>
      <c r="H378" t="str">
        <f>'Source Table'!$H$9</f>
        <v>Male</v>
      </c>
      <c r="I378" t="str">
        <f>'Source Table'!$H$8</f>
        <v>ذكر</v>
      </c>
      <c r="J378" t="str">
        <f t="shared" si="10"/>
        <v>2021/2020</v>
      </c>
      <c r="K378" t="str">
        <f t="shared" si="11"/>
        <v>2021/2020</v>
      </c>
      <c r="L378" s="29">
        <v>8260</v>
      </c>
      <c r="M378" s="18">
        <v>2020</v>
      </c>
    </row>
    <row r="379" ht="21.75" spans="1:13">
      <c r="A379" s="18" t="s">
        <v>155</v>
      </c>
      <c r="B379" s="18" t="s">
        <v>156</v>
      </c>
      <c r="C379" s="18" t="s">
        <v>157</v>
      </c>
      <c r="D379" s="18" t="s">
        <v>158</v>
      </c>
      <c r="E379" s="18" t="s">
        <v>159</v>
      </c>
      <c r="F379" s="19" t="s">
        <v>122</v>
      </c>
      <c r="G379" s="20" t="s">
        <v>123</v>
      </c>
      <c r="H379" t="str">
        <f>'Source Table'!$H$9</f>
        <v>Male</v>
      </c>
      <c r="I379" t="str">
        <f>'Source Table'!$H$8</f>
        <v>ذكر</v>
      </c>
      <c r="J379" t="str">
        <f t="shared" si="10"/>
        <v>2021/2020</v>
      </c>
      <c r="K379" t="str">
        <f t="shared" si="11"/>
        <v>2021/2020</v>
      </c>
      <c r="L379" s="29">
        <v>4767</v>
      </c>
      <c r="M379" s="18">
        <v>2020</v>
      </c>
    </row>
    <row r="380" ht="21.75" spans="1:13">
      <c r="A380" s="18" t="s">
        <v>155</v>
      </c>
      <c r="B380" s="18" t="s">
        <v>156</v>
      </c>
      <c r="C380" s="18" t="s">
        <v>157</v>
      </c>
      <c r="D380" s="18" t="s">
        <v>158</v>
      </c>
      <c r="E380" s="18" t="s">
        <v>159</v>
      </c>
      <c r="F380" s="19" t="s">
        <v>124</v>
      </c>
      <c r="G380" s="20" t="s">
        <v>125</v>
      </c>
      <c r="H380" t="str">
        <f>'Source Table'!$H$9</f>
        <v>Male</v>
      </c>
      <c r="I380" t="str">
        <f>'Source Table'!$H$8</f>
        <v>ذكر</v>
      </c>
      <c r="J380" t="str">
        <f t="shared" si="10"/>
        <v>2021/2020</v>
      </c>
      <c r="K380" t="str">
        <f t="shared" si="11"/>
        <v>2021/2020</v>
      </c>
      <c r="L380" s="29">
        <v>1898</v>
      </c>
      <c r="M380" s="18">
        <v>2020</v>
      </c>
    </row>
    <row r="381" ht="21.75" spans="1:13">
      <c r="A381" s="18" t="s">
        <v>155</v>
      </c>
      <c r="B381" s="18" t="s">
        <v>156</v>
      </c>
      <c r="C381" s="18" t="s">
        <v>157</v>
      </c>
      <c r="D381" s="18" t="s">
        <v>158</v>
      </c>
      <c r="E381" s="18" t="s">
        <v>159</v>
      </c>
      <c r="F381" s="19" t="s">
        <v>126</v>
      </c>
      <c r="G381" s="20" t="s">
        <v>127</v>
      </c>
      <c r="H381" t="str">
        <f>'Source Table'!$H$9</f>
        <v>Male</v>
      </c>
      <c r="I381" t="str">
        <f>'Source Table'!$H$8</f>
        <v>ذكر</v>
      </c>
      <c r="J381" t="str">
        <f t="shared" si="10"/>
        <v>2021/2020</v>
      </c>
      <c r="K381" t="str">
        <f t="shared" si="11"/>
        <v>2021/2020</v>
      </c>
      <c r="L381" s="30">
        <v>26165</v>
      </c>
      <c r="M381" s="18">
        <v>2020</v>
      </c>
    </row>
    <row r="382" ht="21.75" spans="1:13">
      <c r="A382" s="18" t="s">
        <v>155</v>
      </c>
      <c r="B382" s="18" t="s">
        <v>156</v>
      </c>
      <c r="C382" s="18" t="s">
        <v>157</v>
      </c>
      <c r="D382" s="18" t="s">
        <v>158</v>
      </c>
      <c r="E382" s="18" t="s">
        <v>159</v>
      </c>
      <c r="F382" s="19" t="s">
        <v>29</v>
      </c>
      <c r="G382" s="20" t="s">
        <v>30</v>
      </c>
      <c r="H382" t="str">
        <f>'Source Table'!$G$9</f>
        <v>Female</v>
      </c>
      <c r="I382" t="str">
        <f>'Source Table'!$G$8</f>
        <v>أنثى</v>
      </c>
      <c r="J382" t="str">
        <f t="shared" si="10"/>
        <v>2021/2020</v>
      </c>
      <c r="K382" t="str">
        <f t="shared" si="11"/>
        <v>2021/2020</v>
      </c>
      <c r="L382" s="29">
        <v>77325</v>
      </c>
      <c r="M382" s="18">
        <v>2020</v>
      </c>
    </row>
    <row r="383" ht="21.75" spans="1:13">
      <c r="A383" s="18" t="s">
        <v>155</v>
      </c>
      <c r="B383" s="18" t="s">
        <v>156</v>
      </c>
      <c r="C383" s="18" t="s">
        <v>157</v>
      </c>
      <c r="D383" s="18" t="s">
        <v>158</v>
      </c>
      <c r="E383" s="18" t="s">
        <v>159</v>
      </c>
      <c r="F383" s="19" t="s">
        <v>32</v>
      </c>
      <c r="G383" s="20" t="s">
        <v>33</v>
      </c>
      <c r="H383" t="str">
        <f>'Source Table'!$G$9</f>
        <v>Female</v>
      </c>
      <c r="I383" t="str">
        <f>'Source Table'!$G$8</f>
        <v>أنثى</v>
      </c>
      <c r="J383" t="str">
        <f t="shared" si="10"/>
        <v>2021/2020</v>
      </c>
      <c r="K383" t="str">
        <f t="shared" si="11"/>
        <v>2021/2020</v>
      </c>
      <c r="L383" s="29">
        <v>68714</v>
      </c>
      <c r="M383" s="18">
        <v>2020</v>
      </c>
    </row>
    <row r="384" ht="21.75" spans="1:13">
      <c r="A384" s="18" t="s">
        <v>155</v>
      </c>
      <c r="B384" s="18" t="s">
        <v>156</v>
      </c>
      <c r="C384" s="18" t="s">
        <v>157</v>
      </c>
      <c r="D384" s="18" t="s">
        <v>158</v>
      </c>
      <c r="E384" s="18" t="s">
        <v>159</v>
      </c>
      <c r="F384" s="19" t="s">
        <v>34</v>
      </c>
      <c r="G384" s="20" t="s">
        <v>35</v>
      </c>
      <c r="H384" t="str">
        <f>'Source Table'!$G$9</f>
        <v>Female</v>
      </c>
      <c r="I384" t="str">
        <f>'Source Table'!$G$8</f>
        <v>أنثى</v>
      </c>
      <c r="J384" t="str">
        <f t="shared" si="10"/>
        <v>2021/2020</v>
      </c>
      <c r="K384" t="str">
        <f t="shared" si="11"/>
        <v>2021/2020</v>
      </c>
      <c r="L384" s="29">
        <v>16678</v>
      </c>
      <c r="M384" s="18">
        <v>2020</v>
      </c>
    </row>
    <row r="385" ht="21.75" spans="1:13">
      <c r="A385" s="18" t="s">
        <v>155</v>
      </c>
      <c r="B385" s="18" t="s">
        <v>156</v>
      </c>
      <c r="C385" s="18" t="s">
        <v>157</v>
      </c>
      <c r="D385" s="18" t="s">
        <v>158</v>
      </c>
      <c r="E385" s="18" t="s">
        <v>159</v>
      </c>
      <c r="F385" s="19" t="s">
        <v>36</v>
      </c>
      <c r="G385" s="20" t="s">
        <v>37</v>
      </c>
      <c r="H385" t="str">
        <f>'Source Table'!$G$9</f>
        <v>Female</v>
      </c>
      <c r="I385" t="str">
        <f>'Source Table'!$G$8</f>
        <v>أنثى</v>
      </c>
      <c r="J385" t="str">
        <f t="shared" si="10"/>
        <v>2021/2020</v>
      </c>
      <c r="K385" t="str">
        <f t="shared" si="11"/>
        <v>2021/2020</v>
      </c>
      <c r="L385" s="29">
        <v>71207</v>
      </c>
      <c r="M385" s="18">
        <v>2020</v>
      </c>
    </row>
    <row r="386" ht="21.75" spans="1:13">
      <c r="A386" s="18" t="s">
        <v>155</v>
      </c>
      <c r="B386" s="18" t="s">
        <v>156</v>
      </c>
      <c r="C386" s="18" t="s">
        <v>157</v>
      </c>
      <c r="D386" s="18" t="s">
        <v>158</v>
      </c>
      <c r="E386" s="18" t="s">
        <v>159</v>
      </c>
      <c r="F386" s="19" t="s">
        <v>38</v>
      </c>
      <c r="G386" s="20" t="s">
        <v>39</v>
      </c>
      <c r="H386" t="str">
        <f>'Source Table'!$G$9</f>
        <v>Female</v>
      </c>
      <c r="I386" t="str">
        <f>'Source Table'!$G$8</f>
        <v>أنثى</v>
      </c>
      <c r="J386" t="str">
        <f t="shared" si="10"/>
        <v>2021/2020</v>
      </c>
      <c r="K386" t="str">
        <f t="shared" si="11"/>
        <v>2021/2020</v>
      </c>
      <c r="L386" s="29">
        <v>93509</v>
      </c>
      <c r="M386" s="18">
        <v>2020</v>
      </c>
    </row>
    <row r="387" ht="21.75" spans="1:13">
      <c r="A387" s="18" t="s">
        <v>155</v>
      </c>
      <c r="B387" s="18" t="s">
        <v>156</v>
      </c>
      <c r="C387" s="18" t="s">
        <v>157</v>
      </c>
      <c r="D387" s="18" t="s">
        <v>158</v>
      </c>
      <c r="E387" s="18" t="s">
        <v>159</v>
      </c>
      <c r="F387" s="19" t="s">
        <v>40</v>
      </c>
      <c r="G387" s="20" t="s">
        <v>41</v>
      </c>
      <c r="H387" t="str">
        <f>'Source Table'!$G$9</f>
        <v>Female</v>
      </c>
      <c r="I387" t="str">
        <f>'Source Table'!$G$8</f>
        <v>أنثى</v>
      </c>
      <c r="J387" t="str">
        <f t="shared" si="10"/>
        <v>2021/2020</v>
      </c>
      <c r="K387" t="str">
        <f t="shared" si="11"/>
        <v>2021/2020</v>
      </c>
      <c r="L387" s="29">
        <v>31858</v>
      </c>
      <c r="M387" s="18">
        <v>2020</v>
      </c>
    </row>
    <row r="388" ht="21.75" spans="1:13">
      <c r="A388" s="18" t="s">
        <v>155</v>
      </c>
      <c r="B388" s="18" t="s">
        <v>156</v>
      </c>
      <c r="C388" s="18" t="s">
        <v>157</v>
      </c>
      <c r="D388" s="18" t="s">
        <v>158</v>
      </c>
      <c r="E388" s="18" t="s">
        <v>159</v>
      </c>
      <c r="F388" s="19" t="s">
        <v>42</v>
      </c>
      <c r="G388" s="20" t="s">
        <v>43</v>
      </c>
      <c r="H388" t="str">
        <f>'Source Table'!$G$9</f>
        <v>Female</v>
      </c>
      <c r="I388" t="str">
        <f>'Source Table'!$G$8</f>
        <v>أنثى</v>
      </c>
      <c r="J388" t="str">
        <f t="shared" si="10"/>
        <v>2021/2020</v>
      </c>
      <c r="K388" t="str">
        <f t="shared" si="11"/>
        <v>2021/2020</v>
      </c>
      <c r="L388" s="29">
        <v>16130</v>
      </c>
      <c r="M388" s="18">
        <v>2020</v>
      </c>
    </row>
    <row r="389" ht="21.75" spans="1:13">
      <c r="A389" s="18" t="s">
        <v>155</v>
      </c>
      <c r="B389" s="18" t="s">
        <v>156</v>
      </c>
      <c r="C389" s="18" t="s">
        <v>157</v>
      </c>
      <c r="D389" s="18" t="s">
        <v>158</v>
      </c>
      <c r="E389" s="18" t="s">
        <v>159</v>
      </c>
      <c r="F389" s="19" t="s">
        <v>44</v>
      </c>
      <c r="G389" s="20" t="s">
        <v>45</v>
      </c>
      <c r="H389" t="str">
        <f>'Source Table'!$G$9</f>
        <v>Female</v>
      </c>
      <c r="I389" t="str">
        <f>'Source Table'!$G$8</f>
        <v>أنثى</v>
      </c>
      <c r="J389" t="str">
        <f t="shared" ref="J389:J452" si="12">TEXT(M389+1,"0")&amp;"/"&amp;TEXT(M389,"0")</f>
        <v>2021/2020</v>
      </c>
      <c r="K389" t="str">
        <f t="shared" ref="K389:K452" si="13">TEXT(M389+1,"0")&amp;"/"&amp;TEXT(M389,"0")</f>
        <v>2021/2020</v>
      </c>
      <c r="L389" s="29">
        <v>9048</v>
      </c>
      <c r="M389" s="18">
        <v>2020</v>
      </c>
    </row>
    <row r="390" ht="21.75" spans="1:13">
      <c r="A390" s="18" t="s">
        <v>155</v>
      </c>
      <c r="B390" s="18" t="s">
        <v>156</v>
      </c>
      <c r="C390" s="18" t="s">
        <v>157</v>
      </c>
      <c r="D390" s="18" t="s">
        <v>158</v>
      </c>
      <c r="E390" s="18" t="s">
        <v>159</v>
      </c>
      <c r="F390" s="19" t="s">
        <v>46</v>
      </c>
      <c r="G390" s="20" t="s">
        <v>47</v>
      </c>
      <c r="H390" t="str">
        <f>'Source Table'!$G$9</f>
        <v>Female</v>
      </c>
      <c r="I390" t="str">
        <f>'Source Table'!$G$8</f>
        <v>أنثى</v>
      </c>
      <c r="J390" t="str">
        <f t="shared" si="12"/>
        <v>2021/2020</v>
      </c>
      <c r="K390" t="str">
        <f t="shared" si="13"/>
        <v>2021/2020</v>
      </c>
      <c r="L390" s="29">
        <v>10221</v>
      </c>
      <c r="M390" s="18">
        <v>2020</v>
      </c>
    </row>
    <row r="391" ht="21.75" spans="1:13">
      <c r="A391" s="18" t="s">
        <v>155</v>
      </c>
      <c r="B391" s="18" t="s">
        <v>156</v>
      </c>
      <c r="C391" s="18" t="s">
        <v>157</v>
      </c>
      <c r="D391" s="18" t="s">
        <v>158</v>
      </c>
      <c r="E391" s="18" t="s">
        <v>159</v>
      </c>
      <c r="F391" s="19" t="s">
        <v>49</v>
      </c>
      <c r="G391" s="20" t="s">
        <v>50</v>
      </c>
      <c r="H391" t="str">
        <f>'Source Table'!$G$9</f>
        <v>Female</v>
      </c>
      <c r="I391" t="str">
        <f>'Source Table'!$G$8</f>
        <v>أنثى</v>
      </c>
      <c r="J391" t="str">
        <f t="shared" si="12"/>
        <v>2021/2020</v>
      </c>
      <c r="K391" t="str">
        <f t="shared" si="13"/>
        <v>2021/2020</v>
      </c>
      <c r="L391" s="29">
        <v>25282</v>
      </c>
      <c r="M391" s="18">
        <v>2020</v>
      </c>
    </row>
    <row r="392" ht="21.75" spans="1:13">
      <c r="A392" s="18" t="s">
        <v>155</v>
      </c>
      <c r="B392" s="18" t="s">
        <v>156</v>
      </c>
      <c r="C392" s="18" t="s">
        <v>157</v>
      </c>
      <c r="D392" s="18" t="s">
        <v>158</v>
      </c>
      <c r="E392" s="18" t="s">
        <v>159</v>
      </c>
      <c r="F392" s="19" t="s">
        <v>52</v>
      </c>
      <c r="G392" s="20" t="s">
        <v>53</v>
      </c>
      <c r="H392" t="str">
        <f>'Source Table'!$G$9</f>
        <v>Female</v>
      </c>
      <c r="I392" t="str">
        <f>'Source Table'!$G$8</f>
        <v>أنثى</v>
      </c>
      <c r="J392" t="str">
        <f t="shared" si="12"/>
        <v>2021/2020</v>
      </c>
      <c r="K392" t="str">
        <f t="shared" si="13"/>
        <v>2021/2020</v>
      </c>
      <c r="L392" s="29">
        <v>9358</v>
      </c>
      <c r="M392" s="18">
        <v>2020</v>
      </c>
    </row>
    <row r="393" ht="21.75" spans="1:13">
      <c r="A393" s="18" t="s">
        <v>155</v>
      </c>
      <c r="B393" s="18" t="s">
        <v>156</v>
      </c>
      <c r="C393" s="18" t="s">
        <v>157</v>
      </c>
      <c r="D393" s="18" t="s">
        <v>158</v>
      </c>
      <c r="E393" s="18" t="s">
        <v>159</v>
      </c>
      <c r="F393" s="19" t="s">
        <v>54</v>
      </c>
      <c r="G393" s="20" t="s">
        <v>55</v>
      </c>
      <c r="H393" t="str">
        <f>'Source Table'!$G$9</f>
        <v>Female</v>
      </c>
      <c r="I393" t="str">
        <f>'Source Table'!$G$8</f>
        <v>أنثى</v>
      </c>
      <c r="J393" t="str">
        <f t="shared" si="12"/>
        <v>2021/2020</v>
      </c>
      <c r="K393" t="str">
        <f t="shared" si="13"/>
        <v>2021/2020</v>
      </c>
      <c r="L393" s="29">
        <v>8259</v>
      </c>
      <c r="M393" s="18">
        <v>2020</v>
      </c>
    </row>
    <row r="394" ht="21.75" spans="1:13">
      <c r="A394" s="18" t="s">
        <v>155</v>
      </c>
      <c r="B394" s="18" t="s">
        <v>156</v>
      </c>
      <c r="C394" s="18" t="s">
        <v>157</v>
      </c>
      <c r="D394" s="18" t="s">
        <v>158</v>
      </c>
      <c r="E394" s="18" t="s">
        <v>159</v>
      </c>
      <c r="F394" s="19" t="s">
        <v>56</v>
      </c>
      <c r="G394" s="20" t="s">
        <v>57</v>
      </c>
      <c r="H394" t="str">
        <f>'Source Table'!$G$9</f>
        <v>Female</v>
      </c>
      <c r="I394" t="str">
        <f>'Source Table'!$G$8</f>
        <v>أنثى</v>
      </c>
      <c r="J394" t="str">
        <f t="shared" si="12"/>
        <v>2021/2020</v>
      </c>
      <c r="K394" t="str">
        <f t="shared" si="13"/>
        <v>2021/2020</v>
      </c>
      <c r="L394" s="29">
        <v>29057</v>
      </c>
      <c r="M394" s="18">
        <v>2020</v>
      </c>
    </row>
    <row r="395" ht="21.75" spans="1:13">
      <c r="A395" s="18" t="s">
        <v>155</v>
      </c>
      <c r="B395" s="18" t="s">
        <v>156</v>
      </c>
      <c r="C395" s="18" t="s">
        <v>157</v>
      </c>
      <c r="D395" s="18" t="s">
        <v>158</v>
      </c>
      <c r="E395" s="18" t="s">
        <v>159</v>
      </c>
      <c r="F395" s="19" t="s">
        <v>59</v>
      </c>
      <c r="G395" s="20" t="s">
        <v>160</v>
      </c>
      <c r="H395" t="str">
        <f>'Source Table'!$G$9</f>
        <v>Female</v>
      </c>
      <c r="I395" t="str">
        <f>'Source Table'!$G$8</f>
        <v>أنثى</v>
      </c>
      <c r="J395" t="str">
        <f t="shared" si="12"/>
        <v>2021/2020</v>
      </c>
      <c r="K395" t="str">
        <f t="shared" si="13"/>
        <v>2021/2020</v>
      </c>
      <c r="L395" s="29">
        <v>69943</v>
      </c>
      <c r="M395" s="18">
        <v>2020</v>
      </c>
    </row>
    <row r="396" ht="21.75" spans="1:13">
      <c r="A396" s="18" t="s">
        <v>155</v>
      </c>
      <c r="B396" s="18" t="s">
        <v>156</v>
      </c>
      <c r="C396" s="18" t="s">
        <v>157</v>
      </c>
      <c r="D396" s="18" t="s">
        <v>158</v>
      </c>
      <c r="E396" s="18" t="s">
        <v>159</v>
      </c>
      <c r="F396" s="19" t="s">
        <v>62</v>
      </c>
      <c r="G396" s="20" t="s">
        <v>161</v>
      </c>
      <c r="H396" t="str">
        <f>'Source Table'!$G$9</f>
        <v>Female</v>
      </c>
      <c r="I396" t="str">
        <f>'Source Table'!$G$8</f>
        <v>أنثى</v>
      </c>
      <c r="J396" t="str">
        <f t="shared" si="12"/>
        <v>2021/2020</v>
      </c>
      <c r="K396" t="str">
        <f t="shared" si="13"/>
        <v>2021/2020</v>
      </c>
      <c r="L396" s="29">
        <v>29753</v>
      </c>
      <c r="M396" s="18">
        <v>2020</v>
      </c>
    </row>
    <row r="397" ht="21.75" spans="1:13">
      <c r="A397" s="18" t="s">
        <v>155</v>
      </c>
      <c r="B397" s="18" t="s">
        <v>156</v>
      </c>
      <c r="C397" s="18" t="s">
        <v>157</v>
      </c>
      <c r="D397" s="18" t="s">
        <v>158</v>
      </c>
      <c r="E397" s="18" t="s">
        <v>159</v>
      </c>
      <c r="F397" s="19" t="s">
        <v>64</v>
      </c>
      <c r="G397" s="20" t="s">
        <v>65</v>
      </c>
      <c r="H397" t="str">
        <f>'Source Table'!$G$9</f>
        <v>Female</v>
      </c>
      <c r="I397" t="str">
        <f>'Source Table'!$G$8</f>
        <v>أنثى</v>
      </c>
      <c r="J397" t="str">
        <f t="shared" si="12"/>
        <v>2021/2020</v>
      </c>
      <c r="K397" t="str">
        <f t="shared" si="13"/>
        <v>2021/2020</v>
      </c>
      <c r="L397" s="29">
        <v>51287</v>
      </c>
      <c r="M397" s="18">
        <v>2020</v>
      </c>
    </row>
    <row r="398" ht="21.75" spans="1:13">
      <c r="A398" s="18" t="s">
        <v>155</v>
      </c>
      <c r="B398" s="18" t="s">
        <v>156</v>
      </c>
      <c r="C398" s="18" t="s">
        <v>157</v>
      </c>
      <c r="D398" s="18" t="s">
        <v>158</v>
      </c>
      <c r="E398" s="18" t="s">
        <v>159</v>
      </c>
      <c r="F398" s="19" t="s">
        <v>68</v>
      </c>
      <c r="G398" s="20" t="s">
        <v>69</v>
      </c>
      <c r="H398" t="str">
        <f>'Source Table'!$G$9</f>
        <v>Female</v>
      </c>
      <c r="I398" t="str">
        <f>'Source Table'!$G$8</f>
        <v>أنثى</v>
      </c>
      <c r="J398" t="str">
        <f t="shared" si="12"/>
        <v>2021/2020</v>
      </c>
      <c r="K398" t="str">
        <f t="shared" si="13"/>
        <v>2021/2020</v>
      </c>
      <c r="L398" s="29">
        <v>22577</v>
      </c>
      <c r="M398" s="18">
        <v>2020</v>
      </c>
    </row>
    <row r="399" ht="21.75" spans="1:13">
      <c r="A399" s="18" t="s">
        <v>155</v>
      </c>
      <c r="B399" s="18" t="s">
        <v>156</v>
      </c>
      <c r="C399" s="18" t="s">
        <v>157</v>
      </c>
      <c r="D399" s="18" t="s">
        <v>158</v>
      </c>
      <c r="E399" s="18" t="s">
        <v>159</v>
      </c>
      <c r="F399" s="19" t="s">
        <v>70</v>
      </c>
      <c r="G399" s="20" t="s">
        <v>71</v>
      </c>
      <c r="H399" t="str">
        <f>'Source Table'!$G$9</f>
        <v>Female</v>
      </c>
      <c r="I399" t="str">
        <f>'Source Table'!$G$8</f>
        <v>أنثى</v>
      </c>
      <c r="J399" t="str">
        <f t="shared" si="12"/>
        <v>2021/2020</v>
      </c>
      <c r="K399" t="str">
        <f t="shared" si="13"/>
        <v>2021/2020</v>
      </c>
      <c r="L399" s="29">
        <v>5703</v>
      </c>
      <c r="M399" s="18">
        <v>2020</v>
      </c>
    </row>
    <row r="400" ht="21.75" spans="1:13">
      <c r="A400" s="18" t="s">
        <v>155</v>
      </c>
      <c r="B400" s="18" t="s">
        <v>156</v>
      </c>
      <c r="C400" s="18" t="s">
        <v>157</v>
      </c>
      <c r="D400" s="18" t="s">
        <v>158</v>
      </c>
      <c r="E400" s="18" t="s">
        <v>159</v>
      </c>
      <c r="F400" s="19" t="s">
        <v>74</v>
      </c>
      <c r="G400" s="20" t="s">
        <v>75</v>
      </c>
      <c r="H400" t="str">
        <f>'Source Table'!$G$9</f>
        <v>Female</v>
      </c>
      <c r="I400" t="str">
        <f>'Source Table'!$G$8</f>
        <v>أنثى</v>
      </c>
      <c r="J400" t="str">
        <f t="shared" si="12"/>
        <v>2021/2020</v>
      </c>
      <c r="K400" t="str">
        <f t="shared" si="13"/>
        <v>2021/2020</v>
      </c>
      <c r="L400" s="29">
        <v>76854</v>
      </c>
      <c r="M400" s="18">
        <v>2020</v>
      </c>
    </row>
    <row r="401" ht="21.75" spans="1:13">
      <c r="A401" s="18" t="s">
        <v>155</v>
      </c>
      <c r="B401" s="18" t="s">
        <v>156</v>
      </c>
      <c r="C401" s="18" t="s">
        <v>157</v>
      </c>
      <c r="D401" s="18" t="s">
        <v>158</v>
      </c>
      <c r="E401" s="18" t="s">
        <v>159</v>
      </c>
      <c r="F401" s="19" t="s">
        <v>76</v>
      </c>
      <c r="G401" s="20" t="s">
        <v>77</v>
      </c>
      <c r="H401" t="str">
        <f>'Source Table'!$G$9</f>
        <v>Female</v>
      </c>
      <c r="I401" t="str">
        <f>'Source Table'!$G$8</f>
        <v>أنثى</v>
      </c>
      <c r="J401" t="str">
        <f t="shared" si="12"/>
        <v>2021/2020</v>
      </c>
      <c r="K401" t="str">
        <f t="shared" si="13"/>
        <v>2021/2020</v>
      </c>
      <c r="L401" s="29">
        <v>25554</v>
      </c>
      <c r="M401" s="18">
        <v>2020</v>
      </c>
    </row>
    <row r="402" ht="21.75" spans="1:13">
      <c r="A402" s="18" t="s">
        <v>155</v>
      </c>
      <c r="B402" s="18" t="s">
        <v>156</v>
      </c>
      <c r="C402" s="18" t="s">
        <v>157</v>
      </c>
      <c r="D402" s="18" t="s">
        <v>158</v>
      </c>
      <c r="E402" s="18" t="s">
        <v>159</v>
      </c>
      <c r="F402" s="19" t="s">
        <v>78</v>
      </c>
      <c r="G402" s="20" t="s">
        <v>79</v>
      </c>
      <c r="H402" t="str">
        <f>'Source Table'!$G$9</f>
        <v>Female</v>
      </c>
      <c r="I402" t="str">
        <f>'Source Table'!$G$8</f>
        <v>أنثى</v>
      </c>
      <c r="J402" t="str">
        <f t="shared" si="12"/>
        <v>2021/2020</v>
      </c>
      <c r="K402" t="str">
        <f t="shared" si="13"/>
        <v>2021/2020</v>
      </c>
      <c r="L402" s="29">
        <v>8652</v>
      </c>
      <c r="M402" s="18">
        <v>2020</v>
      </c>
    </row>
    <row r="403" ht="21.75" spans="1:13">
      <c r="A403" s="18" t="s">
        <v>155</v>
      </c>
      <c r="B403" s="18" t="s">
        <v>156</v>
      </c>
      <c r="C403" s="18" t="s">
        <v>157</v>
      </c>
      <c r="D403" s="18" t="s">
        <v>158</v>
      </c>
      <c r="E403" s="18" t="s">
        <v>159</v>
      </c>
      <c r="F403" s="19" t="s">
        <v>80</v>
      </c>
      <c r="G403" s="20" t="s">
        <v>81</v>
      </c>
      <c r="H403" t="str">
        <f>'Source Table'!$G$9</f>
        <v>Female</v>
      </c>
      <c r="I403" t="str">
        <f>'Source Table'!$G$8</f>
        <v>أنثى</v>
      </c>
      <c r="J403" t="str">
        <f t="shared" si="12"/>
        <v>2021/2020</v>
      </c>
      <c r="K403" t="str">
        <f t="shared" si="13"/>
        <v>2021/2020</v>
      </c>
      <c r="L403" s="29">
        <v>10564</v>
      </c>
      <c r="M403" s="18">
        <v>2020</v>
      </c>
    </row>
    <row r="404" ht="21.75" spans="1:13">
      <c r="A404" s="18" t="s">
        <v>155</v>
      </c>
      <c r="B404" s="18" t="s">
        <v>156</v>
      </c>
      <c r="C404" s="18" t="s">
        <v>157</v>
      </c>
      <c r="D404" s="18" t="s">
        <v>158</v>
      </c>
      <c r="E404" s="18" t="s">
        <v>159</v>
      </c>
      <c r="F404" s="19" t="s">
        <v>82</v>
      </c>
      <c r="G404" s="20" t="s">
        <v>83</v>
      </c>
      <c r="H404" t="str">
        <f>'Source Table'!$G$9</f>
        <v>Female</v>
      </c>
      <c r="I404" t="str">
        <f>'Source Table'!$G$8</f>
        <v>أنثى</v>
      </c>
      <c r="J404" t="str">
        <f t="shared" si="12"/>
        <v>2021/2020</v>
      </c>
      <c r="K404" t="str">
        <f t="shared" si="13"/>
        <v>2021/2020</v>
      </c>
      <c r="L404" s="29">
        <v>17698</v>
      </c>
      <c r="M404" s="18">
        <v>2020</v>
      </c>
    </row>
    <row r="405" ht="21.75" spans="1:13">
      <c r="A405" s="18" t="s">
        <v>155</v>
      </c>
      <c r="B405" s="18" t="s">
        <v>156</v>
      </c>
      <c r="C405" s="18" t="s">
        <v>157</v>
      </c>
      <c r="D405" s="18" t="s">
        <v>158</v>
      </c>
      <c r="E405" s="18" t="s">
        <v>159</v>
      </c>
      <c r="F405" s="19" t="s">
        <v>84</v>
      </c>
      <c r="G405" s="20" t="s">
        <v>85</v>
      </c>
      <c r="H405" t="str">
        <f>'Source Table'!$G$9</f>
        <v>Female</v>
      </c>
      <c r="I405" t="str">
        <f>'Source Table'!$G$8</f>
        <v>أنثى</v>
      </c>
      <c r="J405" t="str">
        <f t="shared" si="12"/>
        <v>2021/2020</v>
      </c>
      <c r="K405" t="str">
        <f t="shared" si="13"/>
        <v>2021/2020</v>
      </c>
      <c r="L405" s="29">
        <v>14393</v>
      </c>
      <c r="M405" s="18">
        <v>2020</v>
      </c>
    </row>
    <row r="406" ht="21.75" spans="1:13">
      <c r="A406" s="18" t="s">
        <v>155</v>
      </c>
      <c r="B406" s="18" t="s">
        <v>156</v>
      </c>
      <c r="C406" s="18" t="s">
        <v>157</v>
      </c>
      <c r="D406" s="18" t="s">
        <v>158</v>
      </c>
      <c r="E406" s="18" t="s">
        <v>159</v>
      </c>
      <c r="F406" s="19" t="s">
        <v>86</v>
      </c>
      <c r="G406" s="20" t="s">
        <v>87</v>
      </c>
      <c r="H406" t="str">
        <f>'Source Table'!$G$9</f>
        <v>Female</v>
      </c>
      <c r="I406" t="str">
        <f>'Source Table'!$G$8</f>
        <v>أنثى</v>
      </c>
      <c r="J406" t="str">
        <f t="shared" si="12"/>
        <v>2021/2020</v>
      </c>
      <c r="K406" t="str">
        <f t="shared" si="13"/>
        <v>2021/2020</v>
      </c>
      <c r="L406" s="29">
        <v>26503</v>
      </c>
      <c r="M406" s="18">
        <v>2020</v>
      </c>
    </row>
    <row r="407" ht="21.75" spans="1:13">
      <c r="A407" s="18" t="s">
        <v>155</v>
      </c>
      <c r="B407" s="18" t="s">
        <v>156</v>
      </c>
      <c r="C407" s="18" t="s">
        <v>157</v>
      </c>
      <c r="D407" s="18" t="s">
        <v>158</v>
      </c>
      <c r="E407" s="18" t="s">
        <v>159</v>
      </c>
      <c r="F407" s="19" t="s">
        <v>88</v>
      </c>
      <c r="G407" s="20" t="s">
        <v>89</v>
      </c>
      <c r="H407" t="str">
        <f>'Source Table'!$G$9</f>
        <v>Female</v>
      </c>
      <c r="I407" t="str">
        <f>'Source Table'!$G$8</f>
        <v>أنثى</v>
      </c>
      <c r="J407" t="str">
        <f t="shared" si="12"/>
        <v>2021/2020</v>
      </c>
      <c r="K407" t="str">
        <f t="shared" si="13"/>
        <v>2021/2020</v>
      </c>
      <c r="L407" s="29">
        <v>14325</v>
      </c>
      <c r="M407" s="18">
        <v>2020</v>
      </c>
    </row>
    <row r="408" ht="21.75" spans="1:13">
      <c r="A408" s="18" t="s">
        <v>155</v>
      </c>
      <c r="B408" s="18" t="s">
        <v>156</v>
      </c>
      <c r="C408" s="18" t="s">
        <v>157</v>
      </c>
      <c r="D408" s="18" t="s">
        <v>158</v>
      </c>
      <c r="E408" s="18" t="s">
        <v>159</v>
      </c>
      <c r="F408" s="19" t="s">
        <v>91</v>
      </c>
      <c r="G408" s="20" t="s">
        <v>92</v>
      </c>
      <c r="H408" t="str">
        <f>'Source Table'!$G$9</f>
        <v>Female</v>
      </c>
      <c r="I408" t="str">
        <f>'Source Table'!$G$8</f>
        <v>أنثى</v>
      </c>
      <c r="J408" t="str">
        <f t="shared" si="12"/>
        <v>2021/2020</v>
      </c>
      <c r="K408" t="str">
        <f t="shared" si="13"/>
        <v>2021/2020</v>
      </c>
      <c r="L408" s="29">
        <v>25917</v>
      </c>
      <c r="M408" s="18">
        <v>2020</v>
      </c>
    </row>
    <row r="409" ht="21.75" spans="1:13">
      <c r="A409" s="18" t="s">
        <v>155</v>
      </c>
      <c r="B409" s="18" t="s">
        <v>156</v>
      </c>
      <c r="C409" s="18" t="s">
        <v>157</v>
      </c>
      <c r="D409" s="18" t="s">
        <v>158</v>
      </c>
      <c r="E409" s="18" t="s">
        <v>159</v>
      </c>
      <c r="F409" s="19" t="s">
        <v>94</v>
      </c>
      <c r="G409" s="20" t="s">
        <v>95</v>
      </c>
      <c r="H409" t="str">
        <f>'Source Table'!$G$9</f>
        <v>Female</v>
      </c>
      <c r="I409" t="str">
        <f>'Source Table'!$G$8</f>
        <v>أنثى</v>
      </c>
      <c r="J409" t="str">
        <f t="shared" si="12"/>
        <v>2021/2020</v>
      </c>
      <c r="K409" t="str">
        <f t="shared" si="13"/>
        <v>2021/2020</v>
      </c>
      <c r="L409" s="29">
        <v>16853</v>
      </c>
      <c r="M409" s="18">
        <v>2020</v>
      </c>
    </row>
    <row r="410" ht="21.75" spans="1:13">
      <c r="A410" s="18" t="s">
        <v>155</v>
      </c>
      <c r="B410" s="18" t="s">
        <v>156</v>
      </c>
      <c r="C410" s="18" t="s">
        <v>157</v>
      </c>
      <c r="D410" s="18" t="s">
        <v>158</v>
      </c>
      <c r="E410" s="18" t="s">
        <v>159</v>
      </c>
      <c r="F410" s="19" t="s">
        <v>96</v>
      </c>
      <c r="G410" s="20" t="s">
        <v>97</v>
      </c>
      <c r="H410" t="str">
        <f>'Source Table'!$G$9</f>
        <v>Female</v>
      </c>
      <c r="I410" t="str">
        <f>'Source Table'!$G$8</f>
        <v>أنثى</v>
      </c>
      <c r="J410" t="str">
        <f t="shared" si="12"/>
        <v>2021/2020</v>
      </c>
      <c r="K410" t="str">
        <f t="shared" si="13"/>
        <v>2021/2020</v>
      </c>
      <c r="L410" s="29">
        <v>30590</v>
      </c>
      <c r="M410" s="18">
        <v>2020</v>
      </c>
    </row>
    <row r="411" ht="21.75" spans="1:13">
      <c r="A411" s="18" t="s">
        <v>155</v>
      </c>
      <c r="B411" s="18" t="s">
        <v>156</v>
      </c>
      <c r="C411" s="18" t="s">
        <v>157</v>
      </c>
      <c r="D411" s="18" t="s">
        <v>158</v>
      </c>
      <c r="E411" s="18" t="s">
        <v>159</v>
      </c>
      <c r="F411" s="19" t="s">
        <v>98</v>
      </c>
      <c r="G411" s="20" t="s">
        <v>99</v>
      </c>
      <c r="H411" t="str">
        <f>'Source Table'!$G$9</f>
        <v>Female</v>
      </c>
      <c r="I411" t="str">
        <f>'Source Table'!$G$8</f>
        <v>أنثى</v>
      </c>
      <c r="J411" t="str">
        <f t="shared" si="12"/>
        <v>2021/2020</v>
      </c>
      <c r="K411" t="str">
        <f t="shared" si="13"/>
        <v>2021/2020</v>
      </c>
      <c r="L411" s="30">
        <v>32416</v>
      </c>
      <c r="M411" s="18">
        <v>2020</v>
      </c>
    </row>
    <row r="412" ht="21.75" spans="1:13">
      <c r="A412" s="18" t="s">
        <v>155</v>
      </c>
      <c r="B412" s="18" t="s">
        <v>156</v>
      </c>
      <c r="C412" s="18" t="s">
        <v>157</v>
      </c>
      <c r="D412" s="18" t="s">
        <v>158</v>
      </c>
      <c r="E412" s="18" t="s">
        <v>159</v>
      </c>
      <c r="F412" s="19" t="s">
        <v>100</v>
      </c>
      <c r="G412" s="20" t="s">
        <v>101</v>
      </c>
      <c r="H412" t="str">
        <f>'Source Table'!$G$9</f>
        <v>Female</v>
      </c>
      <c r="I412" t="str">
        <f>'Source Table'!$G$8</f>
        <v>أنثى</v>
      </c>
      <c r="J412" t="str">
        <f t="shared" si="12"/>
        <v>2021/2020</v>
      </c>
      <c r="K412" t="str">
        <f t="shared" si="13"/>
        <v>2021/2020</v>
      </c>
      <c r="L412" s="30">
        <v>23570</v>
      </c>
      <c r="M412" s="18">
        <v>2020</v>
      </c>
    </row>
    <row r="413" ht="21.75" spans="1:13">
      <c r="A413" s="18" t="s">
        <v>155</v>
      </c>
      <c r="B413" s="18" t="s">
        <v>156</v>
      </c>
      <c r="C413" s="18" t="s">
        <v>157</v>
      </c>
      <c r="D413" s="18" t="s">
        <v>158</v>
      </c>
      <c r="E413" s="18" t="s">
        <v>159</v>
      </c>
      <c r="F413" s="19" t="s">
        <v>103</v>
      </c>
      <c r="G413" s="20" t="s">
        <v>104</v>
      </c>
      <c r="H413" t="str">
        <f>'Source Table'!$G$9</f>
        <v>Female</v>
      </c>
      <c r="I413" t="str">
        <f>'Source Table'!$G$8</f>
        <v>أنثى</v>
      </c>
      <c r="J413" t="str">
        <f t="shared" si="12"/>
        <v>2021/2020</v>
      </c>
      <c r="K413" t="str">
        <f t="shared" si="13"/>
        <v>2021/2020</v>
      </c>
      <c r="L413" s="29">
        <v>15562</v>
      </c>
      <c r="M413" s="18">
        <v>2020</v>
      </c>
    </row>
    <row r="414" ht="21.75" spans="1:13">
      <c r="A414" s="18" t="s">
        <v>155</v>
      </c>
      <c r="B414" s="18" t="s">
        <v>156</v>
      </c>
      <c r="C414" s="18" t="s">
        <v>157</v>
      </c>
      <c r="D414" s="18" t="s">
        <v>158</v>
      </c>
      <c r="E414" s="18" t="s">
        <v>159</v>
      </c>
      <c r="F414" s="19" t="s">
        <v>106</v>
      </c>
      <c r="G414" s="20" t="s">
        <v>107</v>
      </c>
      <c r="H414" t="str">
        <f>'Source Table'!$G$9</f>
        <v>Female</v>
      </c>
      <c r="I414" t="str">
        <f>'Source Table'!$G$8</f>
        <v>أنثى</v>
      </c>
      <c r="J414" t="str">
        <f t="shared" si="12"/>
        <v>2021/2020</v>
      </c>
      <c r="K414" t="str">
        <f t="shared" si="13"/>
        <v>2021/2020</v>
      </c>
      <c r="L414" s="29">
        <v>11590</v>
      </c>
      <c r="M414" s="18">
        <v>2020</v>
      </c>
    </row>
    <row r="415" ht="21.75" spans="1:13">
      <c r="A415" s="18" t="s">
        <v>155</v>
      </c>
      <c r="B415" s="18" t="s">
        <v>156</v>
      </c>
      <c r="C415" s="18" t="s">
        <v>157</v>
      </c>
      <c r="D415" s="18" t="s">
        <v>158</v>
      </c>
      <c r="E415" s="18" t="s">
        <v>159</v>
      </c>
      <c r="F415" s="19" t="s">
        <v>108</v>
      </c>
      <c r="G415" s="20" t="s">
        <v>109</v>
      </c>
      <c r="H415" t="str">
        <f>'Source Table'!$G$9</f>
        <v>Female</v>
      </c>
      <c r="I415" t="str">
        <f>'Source Table'!$G$8</f>
        <v>أنثى</v>
      </c>
      <c r="J415" t="str">
        <f t="shared" si="12"/>
        <v>2021/2020</v>
      </c>
      <c r="K415" t="str">
        <f t="shared" si="13"/>
        <v>2021/2020</v>
      </c>
      <c r="L415" s="29">
        <v>6960</v>
      </c>
      <c r="M415" s="18">
        <v>2020</v>
      </c>
    </row>
    <row r="416" ht="21.75" spans="1:13">
      <c r="A416" s="18" t="s">
        <v>155</v>
      </c>
      <c r="B416" s="18" t="s">
        <v>156</v>
      </c>
      <c r="C416" s="18" t="s">
        <v>157</v>
      </c>
      <c r="D416" s="18" t="s">
        <v>158</v>
      </c>
      <c r="E416" s="18" t="s">
        <v>159</v>
      </c>
      <c r="F416" s="19" t="s">
        <v>110</v>
      </c>
      <c r="G416" s="20" t="s">
        <v>111</v>
      </c>
      <c r="H416" t="str">
        <f>'Source Table'!$G$9</f>
        <v>Female</v>
      </c>
      <c r="I416" t="str">
        <f>'Source Table'!$G$8</f>
        <v>أنثى</v>
      </c>
      <c r="J416" t="str">
        <f t="shared" si="12"/>
        <v>2021/2020</v>
      </c>
      <c r="K416" t="str">
        <f t="shared" si="13"/>
        <v>2021/2020</v>
      </c>
      <c r="L416" s="29">
        <v>8391</v>
      </c>
      <c r="M416" s="18">
        <v>2020</v>
      </c>
    </row>
    <row r="417" ht="21.75" spans="1:13">
      <c r="A417" s="18" t="s">
        <v>155</v>
      </c>
      <c r="B417" s="18" t="s">
        <v>156</v>
      </c>
      <c r="C417" s="18" t="s">
        <v>157</v>
      </c>
      <c r="D417" s="18" t="s">
        <v>158</v>
      </c>
      <c r="E417" s="18" t="s">
        <v>159</v>
      </c>
      <c r="F417" s="19" t="s">
        <v>113</v>
      </c>
      <c r="G417" s="20" t="s">
        <v>114</v>
      </c>
      <c r="H417" t="str">
        <f>'Source Table'!$G$9</f>
        <v>Female</v>
      </c>
      <c r="I417" t="str">
        <f>'Source Table'!$G$8</f>
        <v>أنثى</v>
      </c>
      <c r="J417" t="str">
        <f t="shared" si="12"/>
        <v>2021/2020</v>
      </c>
      <c r="K417" t="str">
        <f t="shared" si="13"/>
        <v>2021/2020</v>
      </c>
      <c r="L417" s="29">
        <v>10972</v>
      </c>
      <c r="M417" s="18">
        <v>2020</v>
      </c>
    </row>
    <row r="418" ht="21.75" spans="1:13">
      <c r="A418" s="18" t="s">
        <v>155</v>
      </c>
      <c r="B418" s="18" t="s">
        <v>156</v>
      </c>
      <c r="C418" s="18" t="s">
        <v>157</v>
      </c>
      <c r="D418" s="18" t="s">
        <v>158</v>
      </c>
      <c r="E418" s="18" t="s">
        <v>159</v>
      </c>
      <c r="F418" s="19" t="s">
        <v>115</v>
      </c>
      <c r="G418" s="20" t="s">
        <v>116</v>
      </c>
      <c r="H418" t="str">
        <f>'Source Table'!$G$9</f>
        <v>Female</v>
      </c>
      <c r="I418" t="str">
        <f>'Source Table'!$G$8</f>
        <v>أنثى</v>
      </c>
      <c r="J418" t="str">
        <f t="shared" si="12"/>
        <v>2021/2020</v>
      </c>
      <c r="K418" t="str">
        <f t="shared" si="13"/>
        <v>2021/2020</v>
      </c>
      <c r="L418" s="29">
        <v>4183</v>
      </c>
      <c r="M418" s="18">
        <v>2020</v>
      </c>
    </row>
    <row r="419" ht="21.75" spans="1:13">
      <c r="A419" s="18" t="s">
        <v>155</v>
      </c>
      <c r="B419" s="18" t="s">
        <v>156</v>
      </c>
      <c r="C419" s="18" t="s">
        <v>157</v>
      </c>
      <c r="D419" s="18" t="s">
        <v>158</v>
      </c>
      <c r="E419" s="18" t="s">
        <v>159</v>
      </c>
      <c r="F419" s="19" t="s">
        <v>118</v>
      </c>
      <c r="G419" s="20" t="s">
        <v>119</v>
      </c>
      <c r="H419" t="str">
        <f>'Source Table'!$G$9</f>
        <v>Female</v>
      </c>
      <c r="I419" t="str">
        <f>'Source Table'!$G$8</f>
        <v>أنثى</v>
      </c>
      <c r="J419" t="str">
        <f t="shared" si="12"/>
        <v>2021/2020</v>
      </c>
      <c r="K419" t="str">
        <f t="shared" si="13"/>
        <v>2021/2020</v>
      </c>
      <c r="L419" s="29">
        <v>6636</v>
      </c>
      <c r="M419" s="18">
        <v>2020</v>
      </c>
    </row>
    <row r="420" ht="21.75" spans="1:13">
      <c r="A420" s="18" t="s">
        <v>155</v>
      </c>
      <c r="B420" s="18" t="s">
        <v>156</v>
      </c>
      <c r="C420" s="18" t="s">
        <v>157</v>
      </c>
      <c r="D420" s="18" t="s">
        <v>158</v>
      </c>
      <c r="E420" s="18" t="s">
        <v>159</v>
      </c>
      <c r="F420" s="19" t="s">
        <v>120</v>
      </c>
      <c r="G420" s="20" t="s">
        <v>121</v>
      </c>
      <c r="H420" t="str">
        <f>'Source Table'!$G$9</f>
        <v>Female</v>
      </c>
      <c r="I420" t="str">
        <f>'Source Table'!$G$8</f>
        <v>أنثى</v>
      </c>
      <c r="J420" t="str">
        <f t="shared" si="12"/>
        <v>2021/2020</v>
      </c>
      <c r="K420" t="str">
        <f t="shared" si="13"/>
        <v>2021/2020</v>
      </c>
      <c r="L420" s="29">
        <v>8349</v>
      </c>
      <c r="M420" s="18">
        <v>2020</v>
      </c>
    </row>
    <row r="421" ht="21.75" spans="1:13">
      <c r="A421" s="18" t="s">
        <v>155</v>
      </c>
      <c r="B421" s="18" t="s">
        <v>156</v>
      </c>
      <c r="C421" s="18" t="s">
        <v>157</v>
      </c>
      <c r="D421" s="18" t="s">
        <v>158</v>
      </c>
      <c r="E421" s="18" t="s">
        <v>159</v>
      </c>
      <c r="F421" s="19" t="s">
        <v>122</v>
      </c>
      <c r="G421" s="20" t="s">
        <v>123</v>
      </c>
      <c r="H421" t="str">
        <f>'Source Table'!$G$9</f>
        <v>Female</v>
      </c>
      <c r="I421" t="str">
        <f>'Source Table'!$G$8</f>
        <v>أنثى</v>
      </c>
      <c r="J421" t="str">
        <f t="shared" si="12"/>
        <v>2021/2020</v>
      </c>
      <c r="K421" t="str">
        <f t="shared" si="13"/>
        <v>2021/2020</v>
      </c>
      <c r="L421" s="29">
        <v>5021</v>
      </c>
      <c r="M421" s="18">
        <v>2020</v>
      </c>
    </row>
    <row r="422" ht="21.75" spans="1:13">
      <c r="A422" s="18" t="s">
        <v>155</v>
      </c>
      <c r="B422" s="18" t="s">
        <v>156</v>
      </c>
      <c r="C422" s="18" t="s">
        <v>157</v>
      </c>
      <c r="D422" s="18" t="s">
        <v>158</v>
      </c>
      <c r="E422" s="18" t="s">
        <v>159</v>
      </c>
      <c r="F422" s="19" t="s">
        <v>124</v>
      </c>
      <c r="G422" s="20" t="s">
        <v>125</v>
      </c>
      <c r="H422" t="str">
        <f>'Source Table'!$G$9</f>
        <v>Female</v>
      </c>
      <c r="I422" t="str">
        <f>'Source Table'!$G$8</f>
        <v>أنثى</v>
      </c>
      <c r="J422" t="str">
        <f t="shared" si="12"/>
        <v>2021/2020</v>
      </c>
      <c r="K422" t="str">
        <f t="shared" si="13"/>
        <v>2021/2020</v>
      </c>
      <c r="L422" s="29">
        <v>1887</v>
      </c>
      <c r="M422" s="18">
        <v>2020</v>
      </c>
    </row>
    <row r="423" ht="21.75" spans="1:13">
      <c r="A423" s="18" t="s">
        <v>155</v>
      </c>
      <c r="B423" s="18" t="s">
        <v>156</v>
      </c>
      <c r="C423" s="18" t="s">
        <v>157</v>
      </c>
      <c r="D423" s="18" t="s">
        <v>158</v>
      </c>
      <c r="E423" s="18" t="s">
        <v>159</v>
      </c>
      <c r="F423" s="19" t="s">
        <v>126</v>
      </c>
      <c r="G423" s="20" t="s">
        <v>127</v>
      </c>
      <c r="H423" t="str">
        <f>'Source Table'!$G$9</f>
        <v>Female</v>
      </c>
      <c r="I423" t="str">
        <f>'Source Table'!$G$8</f>
        <v>أنثى</v>
      </c>
      <c r="J423" t="str">
        <f t="shared" si="12"/>
        <v>2021/2020</v>
      </c>
      <c r="K423" t="str">
        <f t="shared" si="13"/>
        <v>2021/2020</v>
      </c>
      <c r="L423" s="30">
        <v>25307</v>
      </c>
      <c r="M423" s="18">
        <v>2020</v>
      </c>
    </row>
    <row r="424" ht="21.75" spans="1:13">
      <c r="A424" s="18" t="s">
        <v>155</v>
      </c>
      <c r="B424" s="18" t="s">
        <v>156</v>
      </c>
      <c r="C424" s="18" t="s">
        <v>162</v>
      </c>
      <c r="D424" s="18" t="s">
        <v>158</v>
      </c>
      <c r="E424" s="18" t="s">
        <v>159</v>
      </c>
      <c r="F424" s="19" t="s">
        <v>29</v>
      </c>
      <c r="G424" s="20" t="s">
        <v>30</v>
      </c>
      <c r="H424" t="str">
        <f>'Source Table'!$H$9</f>
        <v>Male</v>
      </c>
      <c r="I424" t="str">
        <f>'Source Table'!$H$8</f>
        <v>ذكر</v>
      </c>
      <c r="J424" t="str">
        <f t="shared" si="12"/>
        <v>2021/2020</v>
      </c>
      <c r="K424" t="str">
        <f t="shared" si="13"/>
        <v>2021/2020</v>
      </c>
      <c r="L424" s="29">
        <v>2410</v>
      </c>
      <c r="M424" s="18">
        <v>2020</v>
      </c>
    </row>
    <row r="425" ht="21.75" spans="1:13">
      <c r="A425" s="18" t="s">
        <v>155</v>
      </c>
      <c r="B425" s="18" t="s">
        <v>156</v>
      </c>
      <c r="C425" s="18" t="s">
        <v>162</v>
      </c>
      <c r="D425" s="18" t="s">
        <v>158</v>
      </c>
      <c r="E425" s="18" t="s">
        <v>159</v>
      </c>
      <c r="F425" s="19" t="s">
        <v>32</v>
      </c>
      <c r="G425" s="20" t="s">
        <v>33</v>
      </c>
      <c r="H425" t="str">
        <f>'Source Table'!$H$9</f>
        <v>Male</v>
      </c>
      <c r="I425" t="str">
        <f>'Source Table'!$H$8</f>
        <v>ذكر</v>
      </c>
      <c r="J425" t="str">
        <f t="shared" si="12"/>
        <v>2021/2020</v>
      </c>
      <c r="K425" t="str">
        <f t="shared" si="13"/>
        <v>2021/2020</v>
      </c>
      <c r="L425" s="29">
        <v>2075</v>
      </c>
      <c r="M425" s="18">
        <v>2020</v>
      </c>
    </row>
    <row r="426" ht="21.75" spans="1:13">
      <c r="A426" s="18" t="s">
        <v>155</v>
      </c>
      <c r="B426" s="18" t="s">
        <v>156</v>
      </c>
      <c r="C426" s="18" t="s">
        <v>162</v>
      </c>
      <c r="D426" s="18" t="s">
        <v>158</v>
      </c>
      <c r="E426" s="18" t="s">
        <v>159</v>
      </c>
      <c r="F426" s="19" t="s">
        <v>34</v>
      </c>
      <c r="G426" s="20" t="s">
        <v>35</v>
      </c>
      <c r="H426" t="str">
        <f>'Source Table'!$H$9</f>
        <v>Male</v>
      </c>
      <c r="I426" t="str">
        <f>'Source Table'!$H$8</f>
        <v>ذكر</v>
      </c>
      <c r="J426" t="str">
        <f t="shared" si="12"/>
        <v>2021/2020</v>
      </c>
      <c r="K426" t="str">
        <f t="shared" si="13"/>
        <v>2021/2020</v>
      </c>
      <c r="L426" s="29">
        <v>469</v>
      </c>
      <c r="M426" s="18">
        <v>2020</v>
      </c>
    </row>
    <row r="427" ht="21.75" spans="1:13">
      <c r="A427" s="18" t="s">
        <v>155</v>
      </c>
      <c r="B427" s="18" t="s">
        <v>156</v>
      </c>
      <c r="C427" s="18" t="s">
        <v>162</v>
      </c>
      <c r="D427" s="18" t="s">
        <v>158</v>
      </c>
      <c r="E427" s="18" t="s">
        <v>159</v>
      </c>
      <c r="F427" s="19" t="s">
        <v>36</v>
      </c>
      <c r="G427" s="20" t="s">
        <v>37</v>
      </c>
      <c r="H427" t="str">
        <f>'Source Table'!$H$9</f>
        <v>Male</v>
      </c>
      <c r="I427" t="str">
        <f>'Source Table'!$H$8</f>
        <v>ذكر</v>
      </c>
      <c r="J427" t="str">
        <f t="shared" si="12"/>
        <v>2021/2020</v>
      </c>
      <c r="K427" t="str">
        <f t="shared" si="13"/>
        <v>2021/2020</v>
      </c>
      <c r="L427" s="29">
        <v>1504</v>
      </c>
      <c r="M427" s="18">
        <v>2020</v>
      </c>
    </row>
    <row r="428" ht="21.75" spans="1:13">
      <c r="A428" s="18" t="s">
        <v>155</v>
      </c>
      <c r="B428" s="18" t="s">
        <v>156</v>
      </c>
      <c r="C428" s="18" t="s">
        <v>162</v>
      </c>
      <c r="D428" s="18" t="s">
        <v>158</v>
      </c>
      <c r="E428" s="18" t="s">
        <v>159</v>
      </c>
      <c r="F428" s="19" t="s">
        <v>38</v>
      </c>
      <c r="G428" s="20" t="s">
        <v>39</v>
      </c>
      <c r="H428" t="str">
        <f>'Source Table'!$H$9</f>
        <v>Male</v>
      </c>
      <c r="I428" t="str">
        <f>'Source Table'!$H$8</f>
        <v>ذكر</v>
      </c>
      <c r="J428" t="str">
        <f t="shared" si="12"/>
        <v>2021/2020</v>
      </c>
      <c r="K428" t="str">
        <f t="shared" si="13"/>
        <v>2021/2020</v>
      </c>
      <c r="L428" s="29">
        <v>2978</v>
      </c>
      <c r="M428" s="18">
        <v>2020</v>
      </c>
    </row>
    <row r="429" ht="21.75" spans="1:13">
      <c r="A429" s="18" t="s">
        <v>155</v>
      </c>
      <c r="B429" s="18" t="s">
        <v>156</v>
      </c>
      <c r="C429" s="18" t="s">
        <v>162</v>
      </c>
      <c r="D429" s="18" t="s">
        <v>158</v>
      </c>
      <c r="E429" s="18" t="s">
        <v>159</v>
      </c>
      <c r="F429" s="19" t="s">
        <v>40</v>
      </c>
      <c r="G429" s="20" t="s">
        <v>41</v>
      </c>
      <c r="H429" t="str">
        <f>'Source Table'!$H$9</f>
        <v>Male</v>
      </c>
      <c r="I429" t="str">
        <f>'Source Table'!$H$8</f>
        <v>ذكر</v>
      </c>
      <c r="J429" t="str">
        <f t="shared" si="12"/>
        <v>2021/2020</v>
      </c>
      <c r="K429" t="str">
        <f t="shared" si="13"/>
        <v>2021/2020</v>
      </c>
      <c r="L429" s="29">
        <v>922</v>
      </c>
      <c r="M429" s="18">
        <v>2020</v>
      </c>
    </row>
    <row r="430" ht="21.75" spans="1:13">
      <c r="A430" s="18" t="s">
        <v>155</v>
      </c>
      <c r="B430" s="18" t="s">
        <v>156</v>
      </c>
      <c r="C430" s="18" t="s">
        <v>162</v>
      </c>
      <c r="D430" s="18" t="s">
        <v>158</v>
      </c>
      <c r="E430" s="18" t="s">
        <v>159</v>
      </c>
      <c r="F430" s="19" t="s">
        <v>42</v>
      </c>
      <c r="G430" s="20" t="s">
        <v>43</v>
      </c>
      <c r="H430" t="str">
        <f>'Source Table'!$H$9</f>
        <v>Male</v>
      </c>
      <c r="I430" t="str">
        <f>'Source Table'!$H$8</f>
        <v>ذكر</v>
      </c>
      <c r="J430" t="str">
        <f t="shared" si="12"/>
        <v>2021/2020</v>
      </c>
      <c r="K430" t="str">
        <f t="shared" si="13"/>
        <v>2021/2020</v>
      </c>
      <c r="L430" s="29">
        <v>531</v>
      </c>
      <c r="M430" s="18">
        <v>2020</v>
      </c>
    </row>
    <row r="431" ht="21.75" spans="1:13">
      <c r="A431" s="18" t="s">
        <v>155</v>
      </c>
      <c r="B431" s="18" t="s">
        <v>156</v>
      </c>
      <c r="C431" s="18" t="s">
        <v>162</v>
      </c>
      <c r="D431" s="18" t="s">
        <v>158</v>
      </c>
      <c r="E431" s="18" t="s">
        <v>159</v>
      </c>
      <c r="F431" s="19" t="s">
        <v>44</v>
      </c>
      <c r="G431" s="20" t="s">
        <v>45</v>
      </c>
      <c r="H431" t="str">
        <f>'Source Table'!$H$9</f>
        <v>Male</v>
      </c>
      <c r="I431" t="str">
        <f>'Source Table'!$H$8</f>
        <v>ذكر</v>
      </c>
      <c r="J431" t="str">
        <f t="shared" si="12"/>
        <v>2021/2020</v>
      </c>
      <c r="K431" t="str">
        <f t="shared" si="13"/>
        <v>2021/2020</v>
      </c>
      <c r="L431" s="29">
        <v>478</v>
      </c>
      <c r="M431" s="18">
        <v>2020</v>
      </c>
    </row>
    <row r="432" ht="21.75" spans="1:13">
      <c r="A432" s="18" t="s">
        <v>155</v>
      </c>
      <c r="B432" s="18" t="s">
        <v>156</v>
      </c>
      <c r="C432" s="18" t="s">
        <v>162</v>
      </c>
      <c r="D432" s="18" t="s">
        <v>158</v>
      </c>
      <c r="E432" s="18" t="s">
        <v>159</v>
      </c>
      <c r="F432" s="19" t="s">
        <v>46</v>
      </c>
      <c r="G432" s="20" t="s">
        <v>47</v>
      </c>
      <c r="H432" t="str">
        <f>'Source Table'!$H$9</f>
        <v>Male</v>
      </c>
      <c r="I432" t="str">
        <f>'Source Table'!$H$8</f>
        <v>ذكر</v>
      </c>
      <c r="J432" t="str">
        <f t="shared" si="12"/>
        <v>2021/2020</v>
      </c>
      <c r="K432" t="str">
        <f t="shared" si="13"/>
        <v>2021/2020</v>
      </c>
      <c r="L432" s="29">
        <v>644</v>
      </c>
      <c r="M432" s="18">
        <v>2020</v>
      </c>
    </row>
    <row r="433" ht="21.75" spans="1:13">
      <c r="A433" s="18" t="s">
        <v>155</v>
      </c>
      <c r="B433" s="18" t="s">
        <v>156</v>
      </c>
      <c r="C433" s="18" t="s">
        <v>162</v>
      </c>
      <c r="D433" s="18" t="s">
        <v>158</v>
      </c>
      <c r="E433" s="18" t="s">
        <v>159</v>
      </c>
      <c r="F433" s="19" t="s">
        <v>49</v>
      </c>
      <c r="G433" s="20" t="s">
        <v>50</v>
      </c>
      <c r="H433" t="str">
        <f>'Source Table'!$H$9</f>
        <v>Male</v>
      </c>
      <c r="I433" t="str">
        <f>'Source Table'!$H$8</f>
        <v>ذكر</v>
      </c>
      <c r="J433" t="str">
        <f t="shared" si="12"/>
        <v>2021/2020</v>
      </c>
      <c r="K433" t="str">
        <f t="shared" si="13"/>
        <v>2021/2020</v>
      </c>
      <c r="L433" s="29">
        <v>794</v>
      </c>
      <c r="M433" s="18">
        <v>2020</v>
      </c>
    </row>
    <row r="434" ht="21.75" spans="1:13">
      <c r="A434" s="18" t="s">
        <v>155</v>
      </c>
      <c r="B434" s="18" t="s">
        <v>156</v>
      </c>
      <c r="C434" s="18" t="s">
        <v>162</v>
      </c>
      <c r="D434" s="18" t="s">
        <v>158</v>
      </c>
      <c r="E434" s="18" t="s">
        <v>159</v>
      </c>
      <c r="F434" s="19" t="s">
        <v>52</v>
      </c>
      <c r="G434" s="20" t="s">
        <v>53</v>
      </c>
      <c r="H434" t="str">
        <f>'Source Table'!$H$9</f>
        <v>Male</v>
      </c>
      <c r="I434" t="str">
        <f>'Source Table'!$H$8</f>
        <v>ذكر</v>
      </c>
      <c r="J434" t="str">
        <f t="shared" si="12"/>
        <v>2021/2020</v>
      </c>
      <c r="K434" t="str">
        <f t="shared" si="13"/>
        <v>2021/2020</v>
      </c>
      <c r="L434" s="29">
        <v>403</v>
      </c>
      <c r="M434" s="18">
        <v>2020</v>
      </c>
    </row>
    <row r="435" ht="21.75" spans="1:13">
      <c r="A435" s="18" t="s">
        <v>155</v>
      </c>
      <c r="B435" s="18" t="s">
        <v>156</v>
      </c>
      <c r="C435" s="18" t="s">
        <v>162</v>
      </c>
      <c r="D435" s="18" t="s">
        <v>158</v>
      </c>
      <c r="E435" s="18" t="s">
        <v>159</v>
      </c>
      <c r="F435" s="19" t="s">
        <v>54</v>
      </c>
      <c r="G435" s="20" t="s">
        <v>55</v>
      </c>
      <c r="H435" t="str">
        <f>'Source Table'!$H$9</f>
        <v>Male</v>
      </c>
      <c r="I435" t="str">
        <f>'Source Table'!$H$8</f>
        <v>ذكر</v>
      </c>
      <c r="J435" t="str">
        <f t="shared" si="12"/>
        <v>2021/2020</v>
      </c>
      <c r="K435" t="str">
        <f t="shared" si="13"/>
        <v>2021/2020</v>
      </c>
      <c r="L435" s="29">
        <v>368</v>
      </c>
      <c r="M435" s="18">
        <v>2020</v>
      </c>
    </row>
    <row r="436" ht="21.75" spans="1:13">
      <c r="A436" s="18" t="s">
        <v>155</v>
      </c>
      <c r="B436" s="18" t="s">
        <v>156</v>
      </c>
      <c r="C436" s="18" t="s">
        <v>162</v>
      </c>
      <c r="D436" s="18" t="s">
        <v>158</v>
      </c>
      <c r="E436" s="18" t="s">
        <v>159</v>
      </c>
      <c r="F436" s="19" t="s">
        <v>56</v>
      </c>
      <c r="G436" s="20" t="s">
        <v>57</v>
      </c>
      <c r="H436" t="str">
        <f>'Source Table'!$H$9</f>
        <v>Male</v>
      </c>
      <c r="I436" t="str">
        <f>'Source Table'!$H$8</f>
        <v>ذكر</v>
      </c>
      <c r="J436" t="str">
        <f t="shared" si="12"/>
        <v>2021/2020</v>
      </c>
      <c r="K436" t="str">
        <f t="shared" si="13"/>
        <v>2021/2020</v>
      </c>
      <c r="L436" s="29">
        <v>859</v>
      </c>
      <c r="M436" s="18">
        <v>2020</v>
      </c>
    </row>
    <row r="437" ht="21.75" spans="1:13">
      <c r="A437" s="18" t="s">
        <v>155</v>
      </c>
      <c r="B437" s="18" t="s">
        <v>156</v>
      </c>
      <c r="C437" s="18" t="s">
        <v>162</v>
      </c>
      <c r="D437" s="18" t="s">
        <v>158</v>
      </c>
      <c r="E437" s="18" t="s">
        <v>159</v>
      </c>
      <c r="F437" s="19" t="s">
        <v>59</v>
      </c>
      <c r="G437" s="20" t="s">
        <v>160</v>
      </c>
      <c r="H437" t="str">
        <f>'Source Table'!$H$9</f>
        <v>Male</v>
      </c>
      <c r="I437" t="str">
        <f>'Source Table'!$H$8</f>
        <v>ذكر</v>
      </c>
      <c r="J437" t="str">
        <f t="shared" si="12"/>
        <v>2021/2020</v>
      </c>
      <c r="K437" t="str">
        <f t="shared" si="13"/>
        <v>2021/2020</v>
      </c>
      <c r="L437" s="29">
        <v>2138</v>
      </c>
      <c r="M437" s="18">
        <v>2020</v>
      </c>
    </row>
    <row r="438" ht="21.75" spans="1:13">
      <c r="A438" s="18" t="s">
        <v>155</v>
      </c>
      <c r="B438" s="18" t="s">
        <v>156</v>
      </c>
      <c r="C438" s="18" t="s">
        <v>162</v>
      </c>
      <c r="D438" s="18" t="s">
        <v>158</v>
      </c>
      <c r="E438" s="18" t="s">
        <v>159</v>
      </c>
      <c r="F438" s="19" t="s">
        <v>62</v>
      </c>
      <c r="G438" s="20" t="s">
        <v>161</v>
      </c>
      <c r="H438" t="str">
        <f>'Source Table'!$H$9</f>
        <v>Male</v>
      </c>
      <c r="I438" t="str">
        <f>'Source Table'!$H$8</f>
        <v>ذكر</v>
      </c>
      <c r="J438" t="str">
        <f t="shared" si="12"/>
        <v>2021/2020</v>
      </c>
      <c r="K438" t="str">
        <f t="shared" si="13"/>
        <v>2021/2020</v>
      </c>
      <c r="L438" s="29">
        <v>1233</v>
      </c>
      <c r="M438" s="18">
        <v>2020</v>
      </c>
    </row>
    <row r="439" ht="21.75" spans="1:13">
      <c r="A439" s="18" t="s">
        <v>155</v>
      </c>
      <c r="B439" s="18" t="s">
        <v>156</v>
      </c>
      <c r="C439" s="18" t="s">
        <v>162</v>
      </c>
      <c r="D439" s="18" t="s">
        <v>158</v>
      </c>
      <c r="E439" s="18" t="s">
        <v>159</v>
      </c>
      <c r="F439" s="19" t="s">
        <v>64</v>
      </c>
      <c r="G439" s="20" t="s">
        <v>65</v>
      </c>
      <c r="H439" t="str">
        <f>'Source Table'!$H$9</f>
        <v>Male</v>
      </c>
      <c r="I439" t="str">
        <f>'Source Table'!$H$8</f>
        <v>ذكر</v>
      </c>
      <c r="J439" t="str">
        <f t="shared" si="12"/>
        <v>2021/2020</v>
      </c>
      <c r="K439" t="str">
        <f t="shared" si="13"/>
        <v>2021/2020</v>
      </c>
      <c r="L439" s="29">
        <v>1292</v>
      </c>
      <c r="M439" s="18">
        <v>2020</v>
      </c>
    </row>
    <row r="440" ht="21.75" spans="1:13">
      <c r="A440" s="18" t="s">
        <v>155</v>
      </c>
      <c r="B440" s="18" t="s">
        <v>156</v>
      </c>
      <c r="C440" s="18" t="s">
        <v>162</v>
      </c>
      <c r="D440" s="18" t="s">
        <v>158</v>
      </c>
      <c r="E440" s="18" t="s">
        <v>159</v>
      </c>
      <c r="F440" s="19" t="s">
        <v>68</v>
      </c>
      <c r="G440" s="20" t="s">
        <v>69</v>
      </c>
      <c r="H440" t="str">
        <f>'Source Table'!$H$9</f>
        <v>Male</v>
      </c>
      <c r="I440" t="str">
        <f>'Source Table'!$H$8</f>
        <v>ذكر</v>
      </c>
      <c r="J440" t="str">
        <f t="shared" si="12"/>
        <v>2021/2020</v>
      </c>
      <c r="K440" t="str">
        <f t="shared" si="13"/>
        <v>2021/2020</v>
      </c>
      <c r="L440" s="29">
        <v>784</v>
      </c>
      <c r="M440" s="18">
        <v>2020</v>
      </c>
    </row>
    <row r="441" ht="21.75" spans="1:13">
      <c r="A441" s="18" t="s">
        <v>155</v>
      </c>
      <c r="B441" s="18" t="s">
        <v>156</v>
      </c>
      <c r="C441" s="18" t="s">
        <v>162</v>
      </c>
      <c r="D441" s="18" t="s">
        <v>158</v>
      </c>
      <c r="E441" s="18" t="s">
        <v>159</v>
      </c>
      <c r="F441" s="19" t="s">
        <v>70</v>
      </c>
      <c r="G441" s="20" t="s">
        <v>71</v>
      </c>
      <c r="H441" t="str">
        <f>'Source Table'!$H$9</f>
        <v>Male</v>
      </c>
      <c r="I441" t="str">
        <f>'Source Table'!$H$8</f>
        <v>ذكر</v>
      </c>
      <c r="J441" t="str">
        <f t="shared" si="12"/>
        <v>2021/2020</v>
      </c>
      <c r="K441" t="str">
        <f t="shared" si="13"/>
        <v>2021/2020</v>
      </c>
      <c r="L441" s="29">
        <v>358</v>
      </c>
      <c r="M441" s="18">
        <v>2020</v>
      </c>
    </row>
    <row r="442" ht="21.75" spans="1:13">
      <c r="A442" s="18" t="s">
        <v>155</v>
      </c>
      <c r="B442" s="18" t="s">
        <v>156</v>
      </c>
      <c r="C442" s="18" t="s">
        <v>162</v>
      </c>
      <c r="D442" s="18" t="s">
        <v>158</v>
      </c>
      <c r="E442" s="18" t="s">
        <v>159</v>
      </c>
      <c r="F442" s="19" t="s">
        <v>74</v>
      </c>
      <c r="G442" s="20" t="s">
        <v>75</v>
      </c>
      <c r="H442" t="str">
        <f>'Source Table'!$H$9</f>
        <v>Male</v>
      </c>
      <c r="I442" t="str">
        <f>'Source Table'!$H$8</f>
        <v>ذكر</v>
      </c>
      <c r="J442" t="str">
        <f t="shared" si="12"/>
        <v>2021/2020</v>
      </c>
      <c r="K442" t="str">
        <f t="shared" si="13"/>
        <v>2021/2020</v>
      </c>
      <c r="L442" s="29">
        <v>2447</v>
      </c>
      <c r="M442" s="18">
        <v>2020</v>
      </c>
    </row>
    <row r="443" ht="21.75" spans="1:13">
      <c r="A443" s="18" t="s">
        <v>155</v>
      </c>
      <c r="B443" s="18" t="s">
        <v>156</v>
      </c>
      <c r="C443" s="18" t="s">
        <v>162</v>
      </c>
      <c r="D443" s="18" t="s">
        <v>158</v>
      </c>
      <c r="E443" s="18" t="s">
        <v>159</v>
      </c>
      <c r="F443" s="19" t="s">
        <v>76</v>
      </c>
      <c r="G443" s="20" t="s">
        <v>77</v>
      </c>
      <c r="H443" t="str">
        <f>'Source Table'!$H$9</f>
        <v>Male</v>
      </c>
      <c r="I443" t="str">
        <f>'Source Table'!$H$8</f>
        <v>ذكر</v>
      </c>
      <c r="J443" t="str">
        <f t="shared" si="12"/>
        <v>2021/2020</v>
      </c>
      <c r="K443" t="str">
        <f t="shared" si="13"/>
        <v>2021/2020</v>
      </c>
      <c r="L443" s="29">
        <v>706</v>
      </c>
      <c r="M443" s="18">
        <v>2020</v>
      </c>
    </row>
    <row r="444" ht="21.75" spans="1:13">
      <c r="A444" s="18" t="s">
        <v>155</v>
      </c>
      <c r="B444" s="18" t="s">
        <v>156</v>
      </c>
      <c r="C444" s="18" t="s">
        <v>162</v>
      </c>
      <c r="D444" s="18" t="s">
        <v>158</v>
      </c>
      <c r="E444" s="18" t="s">
        <v>159</v>
      </c>
      <c r="F444" s="19" t="s">
        <v>78</v>
      </c>
      <c r="G444" s="20" t="s">
        <v>79</v>
      </c>
      <c r="H444" t="str">
        <f>'Source Table'!$H$9</f>
        <v>Male</v>
      </c>
      <c r="I444" t="str">
        <f>'Source Table'!$H$8</f>
        <v>ذكر</v>
      </c>
      <c r="J444" t="str">
        <f t="shared" si="12"/>
        <v>2021/2020</v>
      </c>
      <c r="K444" t="str">
        <f t="shared" si="13"/>
        <v>2021/2020</v>
      </c>
      <c r="L444" s="29">
        <v>448</v>
      </c>
      <c r="M444" s="18">
        <v>2020</v>
      </c>
    </row>
    <row r="445" ht="21.75" spans="1:13">
      <c r="A445" s="18" t="s">
        <v>155</v>
      </c>
      <c r="B445" s="18" t="s">
        <v>156</v>
      </c>
      <c r="C445" s="18" t="s">
        <v>162</v>
      </c>
      <c r="D445" s="18" t="s">
        <v>158</v>
      </c>
      <c r="E445" s="18" t="s">
        <v>159</v>
      </c>
      <c r="F445" s="19" t="s">
        <v>80</v>
      </c>
      <c r="G445" s="20" t="s">
        <v>81</v>
      </c>
      <c r="H445" t="str">
        <f>'Source Table'!$H$9</f>
        <v>Male</v>
      </c>
      <c r="I445" t="str">
        <f>'Source Table'!$H$8</f>
        <v>ذكر</v>
      </c>
      <c r="J445" t="str">
        <f t="shared" si="12"/>
        <v>2021/2020</v>
      </c>
      <c r="K445" t="str">
        <f t="shared" si="13"/>
        <v>2021/2020</v>
      </c>
      <c r="L445" s="29">
        <v>444</v>
      </c>
      <c r="M445" s="18">
        <v>2020</v>
      </c>
    </row>
    <row r="446" ht="21.75" spans="1:13">
      <c r="A446" s="18" t="s">
        <v>155</v>
      </c>
      <c r="B446" s="18" t="s">
        <v>156</v>
      </c>
      <c r="C446" s="18" t="s">
        <v>162</v>
      </c>
      <c r="D446" s="18" t="s">
        <v>158</v>
      </c>
      <c r="E446" s="18" t="s">
        <v>159</v>
      </c>
      <c r="F446" s="19" t="s">
        <v>82</v>
      </c>
      <c r="G446" s="20" t="s">
        <v>83</v>
      </c>
      <c r="H446" t="str">
        <f>'Source Table'!$H$9</f>
        <v>Male</v>
      </c>
      <c r="I446" t="str">
        <f>'Source Table'!$H$8</f>
        <v>ذكر</v>
      </c>
      <c r="J446" t="str">
        <f t="shared" si="12"/>
        <v>2021/2020</v>
      </c>
      <c r="K446" t="str">
        <f t="shared" si="13"/>
        <v>2021/2020</v>
      </c>
      <c r="L446" s="29">
        <v>771</v>
      </c>
      <c r="M446" s="18">
        <v>2020</v>
      </c>
    </row>
    <row r="447" ht="21.75" spans="1:13">
      <c r="A447" s="18" t="s">
        <v>155</v>
      </c>
      <c r="B447" s="18" t="s">
        <v>156</v>
      </c>
      <c r="C447" s="18" t="s">
        <v>162</v>
      </c>
      <c r="D447" s="18" t="s">
        <v>158</v>
      </c>
      <c r="E447" s="18" t="s">
        <v>159</v>
      </c>
      <c r="F447" s="19" t="s">
        <v>84</v>
      </c>
      <c r="G447" s="20" t="s">
        <v>85</v>
      </c>
      <c r="H447" t="str">
        <f>'Source Table'!$H$9</f>
        <v>Male</v>
      </c>
      <c r="I447" t="str">
        <f>'Source Table'!$H$8</f>
        <v>ذكر</v>
      </c>
      <c r="J447" t="str">
        <f t="shared" si="12"/>
        <v>2021/2020</v>
      </c>
      <c r="K447" t="str">
        <f t="shared" si="13"/>
        <v>2021/2020</v>
      </c>
      <c r="L447" s="29">
        <v>799</v>
      </c>
      <c r="M447" s="18">
        <v>2020</v>
      </c>
    </row>
    <row r="448" ht="21.75" spans="1:13">
      <c r="A448" s="18" t="s">
        <v>155</v>
      </c>
      <c r="B448" s="18" t="s">
        <v>156</v>
      </c>
      <c r="C448" s="18" t="s">
        <v>162</v>
      </c>
      <c r="D448" s="18" t="s">
        <v>158</v>
      </c>
      <c r="E448" s="18" t="s">
        <v>159</v>
      </c>
      <c r="F448" s="19" t="s">
        <v>86</v>
      </c>
      <c r="G448" s="20" t="s">
        <v>87</v>
      </c>
      <c r="H448" t="str">
        <f>'Source Table'!$H$9</f>
        <v>Male</v>
      </c>
      <c r="I448" t="str">
        <f>'Source Table'!$H$8</f>
        <v>ذكر</v>
      </c>
      <c r="J448" t="str">
        <f t="shared" si="12"/>
        <v>2021/2020</v>
      </c>
      <c r="K448" t="str">
        <f t="shared" si="13"/>
        <v>2021/2020</v>
      </c>
      <c r="L448" s="29">
        <v>993</v>
      </c>
      <c r="M448" s="18">
        <v>2020</v>
      </c>
    </row>
    <row r="449" ht="21.75" spans="1:13">
      <c r="A449" s="18" t="s">
        <v>155</v>
      </c>
      <c r="B449" s="18" t="s">
        <v>156</v>
      </c>
      <c r="C449" s="18" t="s">
        <v>162</v>
      </c>
      <c r="D449" s="18" t="s">
        <v>158</v>
      </c>
      <c r="E449" s="18" t="s">
        <v>159</v>
      </c>
      <c r="F449" s="19" t="s">
        <v>88</v>
      </c>
      <c r="G449" s="20" t="s">
        <v>89</v>
      </c>
      <c r="H449" t="str">
        <f>'Source Table'!$H$9</f>
        <v>Male</v>
      </c>
      <c r="I449" t="str">
        <f>'Source Table'!$H$8</f>
        <v>ذكر</v>
      </c>
      <c r="J449" t="str">
        <f t="shared" si="12"/>
        <v>2021/2020</v>
      </c>
      <c r="K449" t="str">
        <f t="shared" si="13"/>
        <v>2021/2020</v>
      </c>
      <c r="L449" s="29">
        <v>663</v>
      </c>
      <c r="M449" s="18">
        <v>2020</v>
      </c>
    </row>
    <row r="450" ht="21.75" spans="1:13">
      <c r="A450" s="18" t="s">
        <v>155</v>
      </c>
      <c r="B450" s="18" t="s">
        <v>156</v>
      </c>
      <c r="C450" s="18" t="s">
        <v>162</v>
      </c>
      <c r="D450" s="18" t="s">
        <v>158</v>
      </c>
      <c r="E450" s="18" t="s">
        <v>159</v>
      </c>
      <c r="F450" s="19" t="s">
        <v>91</v>
      </c>
      <c r="G450" s="20" t="s">
        <v>92</v>
      </c>
      <c r="H450" t="str">
        <f>'Source Table'!$H$9</f>
        <v>Male</v>
      </c>
      <c r="I450" t="str">
        <f>'Source Table'!$H$8</f>
        <v>ذكر</v>
      </c>
      <c r="J450" t="str">
        <f t="shared" si="12"/>
        <v>2021/2020</v>
      </c>
      <c r="K450" t="str">
        <f t="shared" si="13"/>
        <v>2021/2020</v>
      </c>
      <c r="L450" s="29">
        <v>1404</v>
      </c>
      <c r="M450" s="18">
        <v>2020</v>
      </c>
    </row>
    <row r="451" ht="21.75" spans="1:13">
      <c r="A451" s="18" t="s">
        <v>155</v>
      </c>
      <c r="B451" s="18" t="s">
        <v>156</v>
      </c>
      <c r="C451" s="18" t="s">
        <v>162</v>
      </c>
      <c r="D451" s="18" t="s">
        <v>158</v>
      </c>
      <c r="E451" s="18" t="s">
        <v>159</v>
      </c>
      <c r="F451" s="19" t="s">
        <v>94</v>
      </c>
      <c r="G451" s="20" t="s">
        <v>95</v>
      </c>
      <c r="H451" t="str">
        <f>'Source Table'!$H$9</f>
        <v>Male</v>
      </c>
      <c r="I451" t="str">
        <f>'Source Table'!$H$8</f>
        <v>ذكر</v>
      </c>
      <c r="J451" t="str">
        <f t="shared" si="12"/>
        <v>2021/2020</v>
      </c>
      <c r="K451" t="str">
        <f t="shared" si="13"/>
        <v>2021/2020</v>
      </c>
      <c r="L451" s="29">
        <v>1242</v>
      </c>
      <c r="M451" s="18">
        <v>2020</v>
      </c>
    </row>
    <row r="452" ht="21.75" spans="1:13">
      <c r="A452" s="18" t="s">
        <v>155</v>
      </c>
      <c r="B452" s="18" t="s">
        <v>156</v>
      </c>
      <c r="C452" s="18" t="s">
        <v>162</v>
      </c>
      <c r="D452" s="18" t="s">
        <v>158</v>
      </c>
      <c r="E452" s="18" t="s">
        <v>159</v>
      </c>
      <c r="F452" s="19" t="s">
        <v>96</v>
      </c>
      <c r="G452" s="20" t="s">
        <v>97</v>
      </c>
      <c r="H452" t="str">
        <f>'Source Table'!$H$9</f>
        <v>Male</v>
      </c>
      <c r="I452" t="str">
        <f>'Source Table'!$H$8</f>
        <v>ذكر</v>
      </c>
      <c r="J452" t="str">
        <f t="shared" si="12"/>
        <v>2021/2020</v>
      </c>
      <c r="K452" t="str">
        <f t="shared" si="13"/>
        <v>2021/2020</v>
      </c>
      <c r="L452" s="29">
        <v>1398</v>
      </c>
      <c r="M452" s="18">
        <v>2020</v>
      </c>
    </row>
    <row r="453" ht="21.75" spans="1:13">
      <c r="A453" s="18" t="s">
        <v>155</v>
      </c>
      <c r="B453" s="18" t="s">
        <v>156</v>
      </c>
      <c r="C453" s="18" t="s">
        <v>162</v>
      </c>
      <c r="D453" s="18" t="s">
        <v>158</v>
      </c>
      <c r="E453" s="18" t="s">
        <v>159</v>
      </c>
      <c r="F453" s="19" t="s">
        <v>98</v>
      </c>
      <c r="G453" s="20" t="s">
        <v>99</v>
      </c>
      <c r="H453" t="str">
        <f>'Source Table'!$H$9</f>
        <v>Male</v>
      </c>
      <c r="I453" t="str">
        <f>'Source Table'!$H$8</f>
        <v>ذكر</v>
      </c>
      <c r="J453" t="str">
        <f t="shared" ref="J453:J516" si="14">TEXT(M453+1,"0")&amp;"/"&amp;TEXT(M453,"0")</f>
        <v>2021/2020</v>
      </c>
      <c r="K453" t="str">
        <f t="shared" ref="K453:K516" si="15">TEXT(M453+1,"0")&amp;"/"&amp;TEXT(M453,"0")</f>
        <v>2021/2020</v>
      </c>
      <c r="L453" s="30">
        <v>1521</v>
      </c>
      <c r="M453" s="18">
        <v>2020</v>
      </c>
    </row>
    <row r="454" ht="21.75" spans="1:13">
      <c r="A454" s="18" t="s">
        <v>155</v>
      </c>
      <c r="B454" s="18" t="s">
        <v>156</v>
      </c>
      <c r="C454" s="18" t="s">
        <v>162</v>
      </c>
      <c r="D454" s="18" t="s">
        <v>158</v>
      </c>
      <c r="E454" s="18" t="s">
        <v>159</v>
      </c>
      <c r="F454" s="19" t="s">
        <v>100</v>
      </c>
      <c r="G454" s="20" t="s">
        <v>101</v>
      </c>
      <c r="H454" t="str">
        <f>'Source Table'!$H$9</f>
        <v>Male</v>
      </c>
      <c r="I454" t="str">
        <f>'Source Table'!$H$8</f>
        <v>ذكر</v>
      </c>
      <c r="J454" t="str">
        <f t="shared" si="14"/>
        <v>2021/2020</v>
      </c>
      <c r="K454" t="str">
        <f t="shared" si="15"/>
        <v>2021/2020</v>
      </c>
      <c r="L454" s="30">
        <v>1019</v>
      </c>
      <c r="M454" s="18">
        <v>2020</v>
      </c>
    </row>
    <row r="455" ht="21.75" spans="1:13">
      <c r="A455" s="18" t="s">
        <v>155</v>
      </c>
      <c r="B455" s="18" t="s">
        <v>156</v>
      </c>
      <c r="C455" s="18" t="s">
        <v>162</v>
      </c>
      <c r="D455" s="18" t="s">
        <v>158</v>
      </c>
      <c r="E455" s="18" t="s">
        <v>159</v>
      </c>
      <c r="F455" s="19" t="s">
        <v>103</v>
      </c>
      <c r="G455" s="20" t="s">
        <v>104</v>
      </c>
      <c r="H455" t="str">
        <f>'Source Table'!$H$9</f>
        <v>Male</v>
      </c>
      <c r="I455" t="str">
        <f>'Source Table'!$H$8</f>
        <v>ذكر</v>
      </c>
      <c r="J455" t="str">
        <f t="shared" si="14"/>
        <v>2021/2020</v>
      </c>
      <c r="K455" t="str">
        <f t="shared" si="15"/>
        <v>2021/2020</v>
      </c>
      <c r="L455" s="29">
        <v>846</v>
      </c>
      <c r="M455" s="18">
        <v>2020</v>
      </c>
    </row>
    <row r="456" ht="21.75" spans="1:13">
      <c r="A456" s="18" t="s">
        <v>155</v>
      </c>
      <c r="B456" s="18" t="s">
        <v>156</v>
      </c>
      <c r="C456" s="18" t="s">
        <v>162</v>
      </c>
      <c r="D456" s="18" t="s">
        <v>158</v>
      </c>
      <c r="E456" s="18" t="s">
        <v>159</v>
      </c>
      <c r="F456" s="19" t="s">
        <v>106</v>
      </c>
      <c r="G456" s="20" t="s">
        <v>107</v>
      </c>
      <c r="H456" t="str">
        <f>'Source Table'!$H$9</f>
        <v>Male</v>
      </c>
      <c r="I456" t="str">
        <f>'Source Table'!$H$8</f>
        <v>ذكر</v>
      </c>
      <c r="J456" t="str">
        <f t="shared" si="14"/>
        <v>2021/2020</v>
      </c>
      <c r="K456" t="str">
        <f t="shared" si="15"/>
        <v>2021/2020</v>
      </c>
      <c r="L456" s="29">
        <v>620</v>
      </c>
      <c r="M456" s="18">
        <v>2020</v>
      </c>
    </row>
    <row r="457" ht="21.75" spans="1:13">
      <c r="A457" s="18" t="s">
        <v>155</v>
      </c>
      <c r="B457" s="18" t="s">
        <v>156</v>
      </c>
      <c r="C457" s="18" t="s">
        <v>162</v>
      </c>
      <c r="D457" s="18" t="s">
        <v>158</v>
      </c>
      <c r="E457" s="18" t="s">
        <v>159</v>
      </c>
      <c r="F457" s="19" t="s">
        <v>108</v>
      </c>
      <c r="G457" s="20" t="s">
        <v>109</v>
      </c>
      <c r="H457" t="str">
        <f>'Source Table'!$H$9</f>
        <v>Male</v>
      </c>
      <c r="I457" t="str">
        <f>'Source Table'!$H$8</f>
        <v>ذكر</v>
      </c>
      <c r="J457" t="str">
        <f t="shared" si="14"/>
        <v>2021/2020</v>
      </c>
      <c r="K457" t="str">
        <f t="shared" si="15"/>
        <v>2021/2020</v>
      </c>
      <c r="L457" s="29">
        <v>488</v>
      </c>
      <c r="M457" s="18">
        <v>2020</v>
      </c>
    </row>
    <row r="458" ht="21.75" spans="1:13">
      <c r="A458" s="18" t="s">
        <v>155</v>
      </c>
      <c r="B458" s="18" t="s">
        <v>156</v>
      </c>
      <c r="C458" s="18" t="s">
        <v>162</v>
      </c>
      <c r="D458" s="18" t="s">
        <v>158</v>
      </c>
      <c r="E458" s="18" t="s">
        <v>159</v>
      </c>
      <c r="F458" s="19" t="s">
        <v>110</v>
      </c>
      <c r="G458" s="20" t="s">
        <v>111</v>
      </c>
      <c r="H458" t="str">
        <f>'Source Table'!$H$9</f>
        <v>Male</v>
      </c>
      <c r="I458" t="str">
        <f>'Source Table'!$H$8</f>
        <v>ذكر</v>
      </c>
      <c r="J458" t="str">
        <f t="shared" si="14"/>
        <v>2021/2020</v>
      </c>
      <c r="K458" t="str">
        <f t="shared" si="15"/>
        <v>2021/2020</v>
      </c>
      <c r="L458" s="29">
        <v>343</v>
      </c>
      <c r="M458" s="18">
        <v>2020</v>
      </c>
    </row>
    <row r="459" ht="21.75" spans="1:13">
      <c r="A459" s="18" t="s">
        <v>155</v>
      </c>
      <c r="B459" s="18" t="s">
        <v>156</v>
      </c>
      <c r="C459" s="18" t="s">
        <v>162</v>
      </c>
      <c r="D459" s="18" t="s">
        <v>158</v>
      </c>
      <c r="E459" s="18" t="s">
        <v>159</v>
      </c>
      <c r="F459" s="19" t="s">
        <v>113</v>
      </c>
      <c r="G459" s="20" t="s">
        <v>114</v>
      </c>
      <c r="H459" t="str">
        <f>'Source Table'!$H$9</f>
        <v>Male</v>
      </c>
      <c r="I459" t="str">
        <f>'Source Table'!$H$8</f>
        <v>ذكر</v>
      </c>
      <c r="J459" t="str">
        <f t="shared" si="14"/>
        <v>2021/2020</v>
      </c>
      <c r="K459" t="str">
        <f t="shared" si="15"/>
        <v>2021/2020</v>
      </c>
      <c r="L459" s="29">
        <v>646</v>
      </c>
      <c r="M459" s="18">
        <v>2020</v>
      </c>
    </row>
    <row r="460" ht="21.75" spans="1:13">
      <c r="A460" s="18" t="s">
        <v>155</v>
      </c>
      <c r="B460" s="18" t="s">
        <v>156</v>
      </c>
      <c r="C460" s="18" t="s">
        <v>162</v>
      </c>
      <c r="D460" s="18" t="s">
        <v>158</v>
      </c>
      <c r="E460" s="18" t="s">
        <v>159</v>
      </c>
      <c r="F460" s="19" t="s">
        <v>115</v>
      </c>
      <c r="G460" s="20" t="s">
        <v>116</v>
      </c>
      <c r="H460" t="str">
        <f>'Source Table'!$H$9</f>
        <v>Male</v>
      </c>
      <c r="I460" t="str">
        <f>'Source Table'!$H$8</f>
        <v>ذكر</v>
      </c>
      <c r="J460" t="str">
        <f t="shared" si="14"/>
        <v>2021/2020</v>
      </c>
      <c r="K460" t="str">
        <f t="shared" si="15"/>
        <v>2021/2020</v>
      </c>
      <c r="L460" s="29">
        <v>236</v>
      </c>
      <c r="M460" s="18">
        <v>2020</v>
      </c>
    </row>
    <row r="461" ht="21.75" spans="1:13">
      <c r="A461" s="18" t="s">
        <v>155</v>
      </c>
      <c r="B461" s="18" t="s">
        <v>156</v>
      </c>
      <c r="C461" s="18" t="s">
        <v>162</v>
      </c>
      <c r="D461" s="18" t="s">
        <v>158</v>
      </c>
      <c r="E461" s="18" t="s">
        <v>159</v>
      </c>
      <c r="F461" s="19" t="s">
        <v>118</v>
      </c>
      <c r="G461" s="20" t="s">
        <v>119</v>
      </c>
      <c r="H461" t="str">
        <f>'Source Table'!$H$9</f>
        <v>Male</v>
      </c>
      <c r="I461" t="str">
        <f>'Source Table'!$H$8</f>
        <v>ذكر</v>
      </c>
      <c r="J461" t="str">
        <f t="shared" si="14"/>
        <v>2021/2020</v>
      </c>
      <c r="K461" t="str">
        <f t="shared" si="15"/>
        <v>2021/2020</v>
      </c>
      <c r="L461" s="29">
        <v>371</v>
      </c>
      <c r="M461" s="18">
        <v>2020</v>
      </c>
    </row>
    <row r="462" ht="21.75" spans="1:13">
      <c r="A462" s="18" t="s">
        <v>155</v>
      </c>
      <c r="B462" s="18" t="s">
        <v>156</v>
      </c>
      <c r="C462" s="18" t="s">
        <v>162</v>
      </c>
      <c r="D462" s="18" t="s">
        <v>158</v>
      </c>
      <c r="E462" s="18" t="s">
        <v>159</v>
      </c>
      <c r="F462" s="19" t="s">
        <v>120</v>
      </c>
      <c r="G462" s="20" t="s">
        <v>121</v>
      </c>
      <c r="H462" t="str">
        <f>'Source Table'!$H$9</f>
        <v>Male</v>
      </c>
      <c r="I462" t="str">
        <f>'Source Table'!$H$8</f>
        <v>ذكر</v>
      </c>
      <c r="J462" t="str">
        <f t="shared" si="14"/>
        <v>2021/2020</v>
      </c>
      <c r="K462" t="str">
        <f t="shared" si="15"/>
        <v>2021/2020</v>
      </c>
      <c r="L462" s="29">
        <v>554</v>
      </c>
      <c r="M462" s="18">
        <v>2020</v>
      </c>
    </row>
    <row r="463" ht="21.75" spans="1:13">
      <c r="A463" s="18" t="s">
        <v>155</v>
      </c>
      <c r="B463" s="18" t="s">
        <v>156</v>
      </c>
      <c r="C463" s="18" t="s">
        <v>162</v>
      </c>
      <c r="D463" s="18" t="s">
        <v>158</v>
      </c>
      <c r="E463" s="18" t="s">
        <v>159</v>
      </c>
      <c r="F463" s="19" t="s">
        <v>122</v>
      </c>
      <c r="G463" s="20" t="s">
        <v>123</v>
      </c>
      <c r="H463" t="str">
        <f>'Source Table'!$H$9</f>
        <v>Male</v>
      </c>
      <c r="I463" t="str">
        <f>'Source Table'!$H$8</f>
        <v>ذكر</v>
      </c>
      <c r="J463" t="str">
        <f t="shared" si="14"/>
        <v>2021/2020</v>
      </c>
      <c r="K463" t="str">
        <f t="shared" si="15"/>
        <v>2021/2020</v>
      </c>
      <c r="L463" s="29">
        <v>242</v>
      </c>
      <c r="M463" s="18">
        <v>2020</v>
      </c>
    </row>
    <row r="464" ht="21.75" spans="1:13">
      <c r="A464" s="18" t="s">
        <v>155</v>
      </c>
      <c r="B464" s="18" t="s">
        <v>156</v>
      </c>
      <c r="C464" s="18" t="s">
        <v>162</v>
      </c>
      <c r="D464" s="18" t="s">
        <v>158</v>
      </c>
      <c r="E464" s="18" t="s">
        <v>159</v>
      </c>
      <c r="F464" s="19" t="s">
        <v>124</v>
      </c>
      <c r="G464" s="20" t="s">
        <v>125</v>
      </c>
      <c r="H464" t="str">
        <f>'Source Table'!$H$9</f>
        <v>Male</v>
      </c>
      <c r="I464" t="str">
        <f>'Source Table'!$H$8</f>
        <v>ذكر</v>
      </c>
      <c r="J464" t="str">
        <f t="shared" si="14"/>
        <v>2021/2020</v>
      </c>
      <c r="K464" t="str">
        <f t="shared" si="15"/>
        <v>2021/2020</v>
      </c>
      <c r="L464" s="29">
        <v>195</v>
      </c>
      <c r="M464" s="18">
        <v>2020</v>
      </c>
    </row>
    <row r="465" ht="21.75" spans="1:13">
      <c r="A465" s="18" t="s">
        <v>155</v>
      </c>
      <c r="B465" s="18" t="s">
        <v>156</v>
      </c>
      <c r="C465" s="18" t="s">
        <v>162</v>
      </c>
      <c r="D465" s="18" t="s">
        <v>158</v>
      </c>
      <c r="E465" s="18" t="s">
        <v>159</v>
      </c>
      <c r="F465" s="19" t="s">
        <v>126</v>
      </c>
      <c r="G465" s="20" t="s">
        <v>127</v>
      </c>
      <c r="H465" t="str">
        <f>'Source Table'!$H$9</f>
        <v>Male</v>
      </c>
      <c r="I465" t="str">
        <f>'Source Table'!$H$8</f>
        <v>ذكر</v>
      </c>
      <c r="J465" t="str">
        <f t="shared" si="14"/>
        <v>2021/2020</v>
      </c>
      <c r="K465" t="str">
        <f t="shared" si="15"/>
        <v>2021/2020</v>
      </c>
      <c r="L465" s="30">
        <v>1017</v>
      </c>
      <c r="M465" s="18">
        <v>2020</v>
      </c>
    </row>
    <row r="466" ht="21.75" spans="1:13">
      <c r="A466" s="18" t="s">
        <v>155</v>
      </c>
      <c r="B466" s="18" t="s">
        <v>156</v>
      </c>
      <c r="C466" s="18" t="s">
        <v>162</v>
      </c>
      <c r="D466" s="18" t="s">
        <v>158</v>
      </c>
      <c r="E466" s="18" t="s">
        <v>159</v>
      </c>
      <c r="F466" s="19" t="s">
        <v>29</v>
      </c>
      <c r="G466" s="20" t="s">
        <v>30</v>
      </c>
      <c r="H466" t="str">
        <f>'Source Table'!$G$9</f>
        <v>Female</v>
      </c>
      <c r="I466" t="str">
        <f>'Source Table'!$G$8</f>
        <v>أنثى</v>
      </c>
      <c r="J466" t="str">
        <f t="shared" si="14"/>
        <v>2021/2020</v>
      </c>
      <c r="K466" t="str">
        <f t="shared" si="15"/>
        <v>2021/2020</v>
      </c>
      <c r="L466" s="29">
        <v>5929</v>
      </c>
      <c r="M466" s="18">
        <v>2020</v>
      </c>
    </row>
    <row r="467" ht="21.75" spans="1:13">
      <c r="A467" s="18" t="s">
        <v>155</v>
      </c>
      <c r="B467" s="18" t="s">
        <v>156</v>
      </c>
      <c r="C467" s="18" t="s">
        <v>162</v>
      </c>
      <c r="D467" s="18" t="s">
        <v>158</v>
      </c>
      <c r="E467" s="18" t="s">
        <v>159</v>
      </c>
      <c r="F467" s="19" t="s">
        <v>32</v>
      </c>
      <c r="G467" s="20" t="s">
        <v>33</v>
      </c>
      <c r="H467" t="str">
        <f>'Source Table'!$G$9</f>
        <v>Female</v>
      </c>
      <c r="I467" t="str">
        <f>'Source Table'!$G$8</f>
        <v>أنثى</v>
      </c>
      <c r="J467" t="str">
        <f t="shared" si="14"/>
        <v>2021/2020</v>
      </c>
      <c r="K467" t="str">
        <f t="shared" si="15"/>
        <v>2021/2020</v>
      </c>
      <c r="L467" s="29">
        <v>7826</v>
      </c>
      <c r="M467" s="18">
        <v>2020</v>
      </c>
    </row>
    <row r="468" ht="21.75" spans="1:13">
      <c r="A468" s="18" t="s">
        <v>155</v>
      </c>
      <c r="B468" s="18" t="s">
        <v>156</v>
      </c>
      <c r="C468" s="18" t="s">
        <v>162</v>
      </c>
      <c r="D468" s="18" t="s">
        <v>158</v>
      </c>
      <c r="E468" s="18" t="s">
        <v>159</v>
      </c>
      <c r="F468" s="19" t="s">
        <v>34</v>
      </c>
      <c r="G468" s="20" t="s">
        <v>35</v>
      </c>
      <c r="H468" t="str">
        <f>'Source Table'!$G$9</f>
        <v>Female</v>
      </c>
      <c r="I468" t="str">
        <f>'Source Table'!$G$8</f>
        <v>أنثى</v>
      </c>
      <c r="J468" t="str">
        <f t="shared" si="14"/>
        <v>2021/2020</v>
      </c>
      <c r="K468" t="str">
        <f t="shared" si="15"/>
        <v>2021/2020</v>
      </c>
      <c r="L468" s="29">
        <v>1270</v>
      </c>
      <c r="M468" s="18">
        <v>2020</v>
      </c>
    </row>
    <row r="469" ht="21.75" spans="1:13">
      <c r="A469" s="18" t="s">
        <v>155</v>
      </c>
      <c r="B469" s="18" t="s">
        <v>156</v>
      </c>
      <c r="C469" s="18" t="s">
        <v>162</v>
      </c>
      <c r="D469" s="18" t="s">
        <v>158</v>
      </c>
      <c r="E469" s="18" t="s">
        <v>159</v>
      </c>
      <c r="F469" s="19" t="s">
        <v>36</v>
      </c>
      <c r="G469" s="20" t="s">
        <v>37</v>
      </c>
      <c r="H469" t="str">
        <f>'Source Table'!$G$9</f>
        <v>Female</v>
      </c>
      <c r="I469" t="str">
        <f>'Source Table'!$G$8</f>
        <v>أنثى</v>
      </c>
      <c r="J469" t="str">
        <f t="shared" si="14"/>
        <v>2021/2020</v>
      </c>
      <c r="K469" t="str">
        <f t="shared" si="15"/>
        <v>2021/2020</v>
      </c>
      <c r="L469" s="29">
        <v>4994</v>
      </c>
      <c r="M469" s="18">
        <v>2020</v>
      </c>
    </row>
    <row r="470" ht="21.75" spans="1:13">
      <c r="A470" s="18" t="s">
        <v>155</v>
      </c>
      <c r="B470" s="18" t="s">
        <v>156</v>
      </c>
      <c r="C470" s="18" t="s">
        <v>162</v>
      </c>
      <c r="D470" s="18" t="s">
        <v>158</v>
      </c>
      <c r="E470" s="18" t="s">
        <v>159</v>
      </c>
      <c r="F470" s="19" t="s">
        <v>38</v>
      </c>
      <c r="G470" s="20" t="s">
        <v>39</v>
      </c>
      <c r="H470" t="str">
        <f>'Source Table'!$G$9</f>
        <v>Female</v>
      </c>
      <c r="I470" t="str">
        <f>'Source Table'!$G$8</f>
        <v>أنثى</v>
      </c>
      <c r="J470" t="str">
        <f t="shared" si="14"/>
        <v>2021/2020</v>
      </c>
      <c r="K470" t="str">
        <f t="shared" si="15"/>
        <v>2021/2020</v>
      </c>
      <c r="L470" s="29">
        <v>6708</v>
      </c>
      <c r="M470" s="18">
        <v>2020</v>
      </c>
    </row>
    <row r="471" ht="21.75" spans="1:13">
      <c r="A471" s="18" t="s">
        <v>155</v>
      </c>
      <c r="B471" s="18" t="s">
        <v>156</v>
      </c>
      <c r="C471" s="18" t="s">
        <v>162</v>
      </c>
      <c r="D471" s="18" t="s">
        <v>158</v>
      </c>
      <c r="E471" s="18" t="s">
        <v>159</v>
      </c>
      <c r="F471" s="19" t="s">
        <v>40</v>
      </c>
      <c r="G471" s="20" t="s">
        <v>41</v>
      </c>
      <c r="H471" t="str">
        <f>'Source Table'!$G$9</f>
        <v>Female</v>
      </c>
      <c r="I471" t="str">
        <f>'Source Table'!$G$8</f>
        <v>أنثى</v>
      </c>
      <c r="J471" t="str">
        <f t="shared" si="14"/>
        <v>2021/2020</v>
      </c>
      <c r="K471" t="str">
        <f t="shared" si="15"/>
        <v>2021/2020</v>
      </c>
      <c r="L471" s="29">
        <v>3268</v>
      </c>
      <c r="M471" s="18">
        <v>2020</v>
      </c>
    </row>
    <row r="472" ht="21.75" spans="1:13">
      <c r="A472" s="18" t="s">
        <v>155</v>
      </c>
      <c r="B472" s="18" t="s">
        <v>156</v>
      </c>
      <c r="C472" s="18" t="s">
        <v>162</v>
      </c>
      <c r="D472" s="18" t="s">
        <v>158</v>
      </c>
      <c r="E472" s="18" t="s">
        <v>159</v>
      </c>
      <c r="F472" s="19" t="s">
        <v>42</v>
      </c>
      <c r="G472" s="20" t="s">
        <v>43</v>
      </c>
      <c r="H472" t="str">
        <f>'Source Table'!$G$9</f>
        <v>Female</v>
      </c>
      <c r="I472" t="str">
        <f>'Source Table'!$G$8</f>
        <v>أنثى</v>
      </c>
      <c r="J472" t="str">
        <f t="shared" si="14"/>
        <v>2021/2020</v>
      </c>
      <c r="K472" t="str">
        <f t="shared" si="15"/>
        <v>2021/2020</v>
      </c>
      <c r="L472" s="29">
        <v>1499</v>
      </c>
      <c r="M472" s="18">
        <v>2020</v>
      </c>
    </row>
    <row r="473" ht="21.75" spans="1:13">
      <c r="A473" s="18" t="s">
        <v>155</v>
      </c>
      <c r="B473" s="18" t="s">
        <v>156</v>
      </c>
      <c r="C473" s="18" t="s">
        <v>162</v>
      </c>
      <c r="D473" s="18" t="s">
        <v>158</v>
      </c>
      <c r="E473" s="18" t="s">
        <v>159</v>
      </c>
      <c r="F473" s="19" t="s">
        <v>44</v>
      </c>
      <c r="G473" s="20" t="s">
        <v>45</v>
      </c>
      <c r="H473" t="str">
        <f>'Source Table'!$G$9</f>
        <v>Female</v>
      </c>
      <c r="I473" t="str">
        <f>'Source Table'!$G$8</f>
        <v>أنثى</v>
      </c>
      <c r="J473" t="str">
        <f t="shared" si="14"/>
        <v>2021/2020</v>
      </c>
      <c r="K473" t="str">
        <f t="shared" si="15"/>
        <v>2021/2020</v>
      </c>
      <c r="L473" s="29">
        <v>706</v>
      </c>
      <c r="M473" s="18">
        <v>2020</v>
      </c>
    </row>
    <row r="474" ht="21.75" spans="1:13">
      <c r="A474" s="18" t="s">
        <v>155</v>
      </c>
      <c r="B474" s="18" t="s">
        <v>156</v>
      </c>
      <c r="C474" s="18" t="s">
        <v>162</v>
      </c>
      <c r="D474" s="18" t="s">
        <v>158</v>
      </c>
      <c r="E474" s="18" t="s">
        <v>159</v>
      </c>
      <c r="F474" s="19" t="s">
        <v>46</v>
      </c>
      <c r="G474" s="20" t="s">
        <v>47</v>
      </c>
      <c r="H474" t="str">
        <f>'Source Table'!$G$9</f>
        <v>Female</v>
      </c>
      <c r="I474" t="str">
        <f>'Source Table'!$G$8</f>
        <v>أنثى</v>
      </c>
      <c r="J474" t="str">
        <f t="shared" si="14"/>
        <v>2021/2020</v>
      </c>
      <c r="K474" t="str">
        <f t="shared" si="15"/>
        <v>2021/2020</v>
      </c>
      <c r="L474" s="29">
        <v>1051</v>
      </c>
      <c r="M474" s="18">
        <v>2020</v>
      </c>
    </row>
    <row r="475" ht="21.75" spans="1:13">
      <c r="A475" s="18" t="s">
        <v>155</v>
      </c>
      <c r="B475" s="18" t="s">
        <v>156</v>
      </c>
      <c r="C475" s="18" t="s">
        <v>162</v>
      </c>
      <c r="D475" s="18" t="s">
        <v>158</v>
      </c>
      <c r="E475" s="18" t="s">
        <v>159</v>
      </c>
      <c r="F475" s="19" t="s">
        <v>49</v>
      </c>
      <c r="G475" s="20" t="s">
        <v>50</v>
      </c>
      <c r="H475" t="str">
        <f>'Source Table'!$G$9</f>
        <v>Female</v>
      </c>
      <c r="I475" t="str">
        <f>'Source Table'!$G$8</f>
        <v>أنثى</v>
      </c>
      <c r="J475" t="str">
        <f t="shared" si="14"/>
        <v>2021/2020</v>
      </c>
      <c r="K475" t="str">
        <f t="shared" si="15"/>
        <v>2021/2020</v>
      </c>
      <c r="L475" s="29">
        <v>2652</v>
      </c>
      <c r="M475" s="18">
        <v>2020</v>
      </c>
    </row>
    <row r="476" ht="21.75" spans="1:13">
      <c r="A476" s="18" t="s">
        <v>155</v>
      </c>
      <c r="B476" s="18" t="s">
        <v>156</v>
      </c>
      <c r="C476" s="18" t="s">
        <v>162</v>
      </c>
      <c r="D476" s="18" t="s">
        <v>158</v>
      </c>
      <c r="E476" s="18" t="s">
        <v>159</v>
      </c>
      <c r="F476" s="19" t="s">
        <v>52</v>
      </c>
      <c r="G476" s="20" t="s">
        <v>53</v>
      </c>
      <c r="H476" t="str">
        <f>'Source Table'!$G$9</f>
        <v>Female</v>
      </c>
      <c r="I476" t="str">
        <f>'Source Table'!$G$8</f>
        <v>أنثى</v>
      </c>
      <c r="J476" t="str">
        <f t="shared" si="14"/>
        <v>2021/2020</v>
      </c>
      <c r="K476" t="str">
        <f t="shared" si="15"/>
        <v>2021/2020</v>
      </c>
      <c r="L476" s="29">
        <v>672</v>
      </c>
      <c r="M476" s="18">
        <v>2020</v>
      </c>
    </row>
    <row r="477" ht="21.75" spans="1:13">
      <c r="A477" s="18" t="s">
        <v>155</v>
      </c>
      <c r="B477" s="18" t="s">
        <v>156</v>
      </c>
      <c r="C477" s="18" t="s">
        <v>162</v>
      </c>
      <c r="D477" s="18" t="s">
        <v>158</v>
      </c>
      <c r="E477" s="18" t="s">
        <v>159</v>
      </c>
      <c r="F477" s="19" t="s">
        <v>54</v>
      </c>
      <c r="G477" s="20" t="s">
        <v>55</v>
      </c>
      <c r="H477" t="str">
        <f>'Source Table'!$G$9</f>
        <v>Female</v>
      </c>
      <c r="I477" t="str">
        <f>'Source Table'!$G$8</f>
        <v>أنثى</v>
      </c>
      <c r="J477" t="str">
        <f t="shared" si="14"/>
        <v>2021/2020</v>
      </c>
      <c r="K477" t="str">
        <f t="shared" si="15"/>
        <v>2021/2020</v>
      </c>
      <c r="L477" s="29">
        <v>642</v>
      </c>
      <c r="M477" s="18">
        <v>2020</v>
      </c>
    </row>
    <row r="478" ht="21.75" spans="1:13">
      <c r="A478" s="18" t="s">
        <v>155</v>
      </c>
      <c r="B478" s="18" t="s">
        <v>156</v>
      </c>
      <c r="C478" s="18" t="s">
        <v>162</v>
      </c>
      <c r="D478" s="18" t="s">
        <v>158</v>
      </c>
      <c r="E478" s="18" t="s">
        <v>159</v>
      </c>
      <c r="F478" s="19" t="s">
        <v>56</v>
      </c>
      <c r="G478" s="20" t="s">
        <v>57</v>
      </c>
      <c r="H478" t="str">
        <f>'Source Table'!$G$9</f>
        <v>Female</v>
      </c>
      <c r="I478" t="str">
        <f>'Source Table'!$G$8</f>
        <v>أنثى</v>
      </c>
      <c r="J478" t="str">
        <f t="shared" si="14"/>
        <v>2021/2020</v>
      </c>
      <c r="K478" t="str">
        <f t="shared" si="15"/>
        <v>2021/2020</v>
      </c>
      <c r="L478" s="29">
        <v>2118</v>
      </c>
      <c r="M478" s="18">
        <v>2020</v>
      </c>
    </row>
    <row r="479" ht="21.75" spans="1:13">
      <c r="A479" s="18" t="s">
        <v>155</v>
      </c>
      <c r="B479" s="18" t="s">
        <v>156</v>
      </c>
      <c r="C479" s="18" t="s">
        <v>162</v>
      </c>
      <c r="D479" s="18" t="s">
        <v>158</v>
      </c>
      <c r="E479" s="18" t="s">
        <v>159</v>
      </c>
      <c r="F479" s="19" t="s">
        <v>59</v>
      </c>
      <c r="G479" s="20" t="s">
        <v>160</v>
      </c>
      <c r="H479" t="str">
        <f>'Source Table'!$G$9</f>
        <v>Female</v>
      </c>
      <c r="I479" t="str">
        <f>'Source Table'!$G$8</f>
        <v>أنثى</v>
      </c>
      <c r="J479" t="str">
        <f t="shared" si="14"/>
        <v>2021/2020</v>
      </c>
      <c r="K479" t="str">
        <f t="shared" si="15"/>
        <v>2021/2020</v>
      </c>
      <c r="L479" s="29">
        <v>5053</v>
      </c>
      <c r="M479" s="18">
        <v>2020</v>
      </c>
    </row>
    <row r="480" ht="21.75" spans="1:13">
      <c r="A480" s="18" t="s">
        <v>155</v>
      </c>
      <c r="B480" s="18" t="s">
        <v>156</v>
      </c>
      <c r="C480" s="18" t="s">
        <v>162</v>
      </c>
      <c r="D480" s="18" t="s">
        <v>158</v>
      </c>
      <c r="E480" s="18" t="s">
        <v>159</v>
      </c>
      <c r="F480" s="19" t="s">
        <v>62</v>
      </c>
      <c r="G480" s="20" t="s">
        <v>161</v>
      </c>
      <c r="H480" t="str">
        <f>'Source Table'!$G$9</f>
        <v>Female</v>
      </c>
      <c r="I480" t="str">
        <f>'Source Table'!$G$8</f>
        <v>أنثى</v>
      </c>
      <c r="J480" t="str">
        <f t="shared" si="14"/>
        <v>2021/2020</v>
      </c>
      <c r="K480" t="str">
        <f t="shared" si="15"/>
        <v>2021/2020</v>
      </c>
      <c r="L480" s="29">
        <v>1880</v>
      </c>
      <c r="M480" s="18">
        <v>2020</v>
      </c>
    </row>
    <row r="481" ht="21.75" spans="1:13">
      <c r="A481" s="18" t="s">
        <v>155</v>
      </c>
      <c r="B481" s="18" t="s">
        <v>156</v>
      </c>
      <c r="C481" s="18" t="s">
        <v>162</v>
      </c>
      <c r="D481" s="18" t="s">
        <v>158</v>
      </c>
      <c r="E481" s="18" t="s">
        <v>159</v>
      </c>
      <c r="F481" s="19" t="s">
        <v>64</v>
      </c>
      <c r="G481" s="20" t="s">
        <v>65</v>
      </c>
      <c r="H481" t="str">
        <f>'Source Table'!$G$9</f>
        <v>Female</v>
      </c>
      <c r="I481" t="str">
        <f>'Source Table'!$G$8</f>
        <v>أنثى</v>
      </c>
      <c r="J481" t="str">
        <f t="shared" si="14"/>
        <v>2021/2020</v>
      </c>
      <c r="K481" t="str">
        <f t="shared" si="15"/>
        <v>2021/2020</v>
      </c>
      <c r="L481" s="29">
        <v>3152</v>
      </c>
      <c r="M481" s="18">
        <v>2020</v>
      </c>
    </row>
    <row r="482" ht="21.75" spans="1:13">
      <c r="A482" s="18" t="s">
        <v>155</v>
      </c>
      <c r="B482" s="18" t="s">
        <v>156</v>
      </c>
      <c r="C482" s="18" t="s">
        <v>162</v>
      </c>
      <c r="D482" s="18" t="s">
        <v>158</v>
      </c>
      <c r="E482" s="18" t="s">
        <v>159</v>
      </c>
      <c r="F482" s="19" t="s">
        <v>68</v>
      </c>
      <c r="G482" s="20" t="s">
        <v>69</v>
      </c>
      <c r="H482" t="str">
        <f>'Source Table'!$G$9</f>
        <v>Female</v>
      </c>
      <c r="I482" t="str">
        <f>'Source Table'!$G$8</f>
        <v>أنثى</v>
      </c>
      <c r="J482" t="str">
        <f t="shared" si="14"/>
        <v>2021/2020</v>
      </c>
      <c r="K482" t="str">
        <f t="shared" si="15"/>
        <v>2021/2020</v>
      </c>
      <c r="L482" s="29">
        <v>1912</v>
      </c>
      <c r="M482" s="18">
        <v>2020</v>
      </c>
    </row>
    <row r="483" ht="21.75" spans="1:13">
      <c r="A483" s="18" t="s">
        <v>155</v>
      </c>
      <c r="B483" s="18" t="s">
        <v>156</v>
      </c>
      <c r="C483" s="18" t="s">
        <v>162</v>
      </c>
      <c r="D483" s="18" t="s">
        <v>158</v>
      </c>
      <c r="E483" s="18" t="s">
        <v>159</v>
      </c>
      <c r="F483" s="19" t="s">
        <v>70</v>
      </c>
      <c r="G483" s="20" t="s">
        <v>71</v>
      </c>
      <c r="H483" t="str">
        <f>'Source Table'!$G$9</f>
        <v>Female</v>
      </c>
      <c r="I483" t="str">
        <f>'Source Table'!$G$8</f>
        <v>أنثى</v>
      </c>
      <c r="J483" t="str">
        <f t="shared" si="14"/>
        <v>2021/2020</v>
      </c>
      <c r="K483" t="str">
        <f t="shared" si="15"/>
        <v>2021/2020</v>
      </c>
      <c r="L483" s="29">
        <v>793</v>
      </c>
      <c r="M483" s="18">
        <v>2020</v>
      </c>
    </row>
    <row r="484" ht="21.75" spans="1:13">
      <c r="A484" s="18" t="s">
        <v>155</v>
      </c>
      <c r="B484" s="18" t="s">
        <v>156</v>
      </c>
      <c r="C484" s="18" t="s">
        <v>162</v>
      </c>
      <c r="D484" s="18" t="s">
        <v>158</v>
      </c>
      <c r="E484" s="18" t="s">
        <v>159</v>
      </c>
      <c r="F484" s="19" t="s">
        <v>74</v>
      </c>
      <c r="G484" s="20" t="s">
        <v>75</v>
      </c>
      <c r="H484" t="str">
        <f>'Source Table'!$G$9</f>
        <v>Female</v>
      </c>
      <c r="I484" t="str">
        <f>'Source Table'!$G$8</f>
        <v>أنثى</v>
      </c>
      <c r="J484" t="str">
        <f t="shared" si="14"/>
        <v>2021/2020</v>
      </c>
      <c r="K484" t="str">
        <f t="shared" si="15"/>
        <v>2021/2020</v>
      </c>
      <c r="L484" s="29">
        <v>5531</v>
      </c>
      <c r="M484" s="18">
        <v>2020</v>
      </c>
    </row>
    <row r="485" ht="21.75" spans="1:13">
      <c r="A485" s="18" t="s">
        <v>155</v>
      </c>
      <c r="B485" s="18" t="s">
        <v>156</v>
      </c>
      <c r="C485" s="18" t="s">
        <v>162</v>
      </c>
      <c r="D485" s="18" t="s">
        <v>158</v>
      </c>
      <c r="E485" s="18" t="s">
        <v>159</v>
      </c>
      <c r="F485" s="19" t="s">
        <v>76</v>
      </c>
      <c r="G485" s="20" t="s">
        <v>77</v>
      </c>
      <c r="H485" t="str">
        <f>'Source Table'!$G$9</f>
        <v>Female</v>
      </c>
      <c r="I485" t="str">
        <f>'Source Table'!$G$8</f>
        <v>أنثى</v>
      </c>
      <c r="J485" t="str">
        <f t="shared" si="14"/>
        <v>2021/2020</v>
      </c>
      <c r="K485" t="str">
        <f t="shared" si="15"/>
        <v>2021/2020</v>
      </c>
      <c r="L485" s="29">
        <v>2398</v>
      </c>
      <c r="M485" s="18">
        <v>2020</v>
      </c>
    </row>
    <row r="486" ht="21.75" spans="1:13">
      <c r="A486" s="18" t="s">
        <v>155</v>
      </c>
      <c r="B486" s="18" t="s">
        <v>156</v>
      </c>
      <c r="C486" s="18" t="s">
        <v>162</v>
      </c>
      <c r="D486" s="18" t="s">
        <v>158</v>
      </c>
      <c r="E486" s="18" t="s">
        <v>159</v>
      </c>
      <c r="F486" s="19" t="s">
        <v>78</v>
      </c>
      <c r="G486" s="20" t="s">
        <v>79</v>
      </c>
      <c r="H486" t="str">
        <f>'Source Table'!$G$9</f>
        <v>Female</v>
      </c>
      <c r="I486" t="str">
        <f>'Source Table'!$G$8</f>
        <v>أنثى</v>
      </c>
      <c r="J486" t="str">
        <f t="shared" si="14"/>
        <v>2021/2020</v>
      </c>
      <c r="K486" t="str">
        <f t="shared" si="15"/>
        <v>2021/2020</v>
      </c>
      <c r="L486" s="29">
        <v>734</v>
      </c>
      <c r="M486" s="18">
        <v>2020</v>
      </c>
    </row>
    <row r="487" ht="21.75" spans="1:13">
      <c r="A487" s="18" t="s">
        <v>155</v>
      </c>
      <c r="B487" s="18" t="s">
        <v>156</v>
      </c>
      <c r="C487" s="18" t="s">
        <v>162</v>
      </c>
      <c r="D487" s="18" t="s">
        <v>158</v>
      </c>
      <c r="E487" s="18" t="s">
        <v>159</v>
      </c>
      <c r="F487" s="19" t="s">
        <v>80</v>
      </c>
      <c r="G487" s="20" t="s">
        <v>81</v>
      </c>
      <c r="H487" t="str">
        <f>'Source Table'!$G$9</f>
        <v>Female</v>
      </c>
      <c r="I487" t="str">
        <f>'Source Table'!$G$8</f>
        <v>أنثى</v>
      </c>
      <c r="J487" t="str">
        <f t="shared" si="14"/>
        <v>2021/2020</v>
      </c>
      <c r="K487" t="str">
        <f t="shared" si="15"/>
        <v>2021/2020</v>
      </c>
      <c r="L487" s="29">
        <v>958</v>
      </c>
      <c r="M487" s="18">
        <v>2020</v>
      </c>
    </row>
    <row r="488" ht="21.75" spans="1:13">
      <c r="A488" s="18" t="s">
        <v>155</v>
      </c>
      <c r="B488" s="18" t="s">
        <v>156</v>
      </c>
      <c r="C488" s="18" t="s">
        <v>162</v>
      </c>
      <c r="D488" s="18" t="s">
        <v>158</v>
      </c>
      <c r="E488" s="18" t="s">
        <v>159</v>
      </c>
      <c r="F488" s="19" t="s">
        <v>82</v>
      </c>
      <c r="G488" s="20" t="s">
        <v>83</v>
      </c>
      <c r="H488" t="str">
        <f>'Source Table'!$G$9</f>
        <v>Female</v>
      </c>
      <c r="I488" t="str">
        <f>'Source Table'!$G$8</f>
        <v>أنثى</v>
      </c>
      <c r="J488" t="str">
        <f t="shared" si="14"/>
        <v>2021/2020</v>
      </c>
      <c r="K488" t="str">
        <f t="shared" si="15"/>
        <v>2021/2020</v>
      </c>
      <c r="L488" s="29">
        <v>1566</v>
      </c>
      <c r="M488" s="18">
        <v>2020</v>
      </c>
    </row>
    <row r="489" ht="21.75" spans="1:13">
      <c r="A489" s="18" t="s">
        <v>155</v>
      </c>
      <c r="B489" s="18" t="s">
        <v>156</v>
      </c>
      <c r="C489" s="18" t="s">
        <v>162</v>
      </c>
      <c r="D489" s="18" t="s">
        <v>158</v>
      </c>
      <c r="E489" s="18" t="s">
        <v>159</v>
      </c>
      <c r="F489" s="19" t="s">
        <v>84</v>
      </c>
      <c r="G489" s="20" t="s">
        <v>85</v>
      </c>
      <c r="H489" t="str">
        <f>'Source Table'!$G$9</f>
        <v>Female</v>
      </c>
      <c r="I489" t="str">
        <f>'Source Table'!$G$8</f>
        <v>أنثى</v>
      </c>
      <c r="J489" t="str">
        <f t="shared" si="14"/>
        <v>2021/2020</v>
      </c>
      <c r="K489" t="str">
        <f t="shared" si="15"/>
        <v>2021/2020</v>
      </c>
      <c r="L489" s="29">
        <v>1324</v>
      </c>
      <c r="M489" s="18">
        <v>2020</v>
      </c>
    </row>
    <row r="490" ht="21.75" spans="1:13">
      <c r="A490" s="18" t="s">
        <v>155</v>
      </c>
      <c r="B490" s="18" t="s">
        <v>156</v>
      </c>
      <c r="C490" s="18" t="s">
        <v>162</v>
      </c>
      <c r="D490" s="18" t="s">
        <v>158</v>
      </c>
      <c r="E490" s="18" t="s">
        <v>159</v>
      </c>
      <c r="F490" s="19" t="s">
        <v>86</v>
      </c>
      <c r="G490" s="20" t="s">
        <v>87</v>
      </c>
      <c r="H490" t="str">
        <f>'Source Table'!$G$9</f>
        <v>Female</v>
      </c>
      <c r="I490" t="str">
        <f>'Source Table'!$G$8</f>
        <v>أنثى</v>
      </c>
      <c r="J490" t="str">
        <f t="shared" si="14"/>
        <v>2021/2020</v>
      </c>
      <c r="K490" t="str">
        <f t="shared" si="15"/>
        <v>2021/2020</v>
      </c>
      <c r="L490" s="29">
        <v>2073</v>
      </c>
      <c r="M490" s="18">
        <v>2020</v>
      </c>
    </row>
    <row r="491" ht="21.75" spans="1:13">
      <c r="A491" s="18" t="s">
        <v>155</v>
      </c>
      <c r="B491" s="18" t="s">
        <v>156</v>
      </c>
      <c r="C491" s="18" t="s">
        <v>162</v>
      </c>
      <c r="D491" s="18" t="s">
        <v>158</v>
      </c>
      <c r="E491" s="18" t="s">
        <v>159</v>
      </c>
      <c r="F491" s="19" t="s">
        <v>88</v>
      </c>
      <c r="G491" s="20" t="s">
        <v>89</v>
      </c>
      <c r="H491" t="str">
        <f>'Source Table'!$G$9</f>
        <v>Female</v>
      </c>
      <c r="I491" t="str">
        <f>'Source Table'!$G$8</f>
        <v>أنثى</v>
      </c>
      <c r="J491" t="str">
        <f t="shared" si="14"/>
        <v>2021/2020</v>
      </c>
      <c r="K491" t="str">
        <f t="shared" si="15"/>
        <v>2021/2020</v>
      </c>
      <c r="L491" s="29">
        <v>1031</v>
      </c>
      <c r="M491" s="18">
        <v>2020</v>
      </c>
    </row>
    <row r="492" ht="21.75" spans="1:13">
      <c r="A492" s="18" t="s">
        <v>155</v>
      </c>
      <c r="B492" s="18" t="s">
        <v>156</v>
      </c>
      <c r="C492" s="18" t="s">
        <v>162</v>
      </c>
      <c r="D492" s="18" t="s">
        <v>158</v>
      </c>
      <c r="E492" s="18" t="s">
        <v>159</v>
      </c>
      <c r="F492" s="19" t="s">
        <v>91</v>
      </c>
      <c r="G492" s="20" t="s">
        <v>92</v>
      </c>
      <c r="H492" t="str">
        <f>'Source Table'!$G$9</f>
        <v>Female</v>
      </c>
      <c r="I492" t="str">
        <f>'Source Table'!$G$8</f>
        <v>أنثى</v>
      </c>
      <c r="J492" t="str">
        <f t="shared" si="14"/>
        <v>2021/2020</v>
      </c>
      <c r="K492" t="str">
        <f t="shared" si="15"/>
        <v>2021/2020</v>
      </c>
      <c r="L492" s="29">
        <v>2380</v>
      </c>
      <c r="M492" s="18">
        <v>2020</v>
      </c>
    </row>
    <row r="493" ht="21.75" spans="1:13">
      <c r="A493" s="18" t="s">
        <v>155</v>
      </c>
      <c r="B493" s="18" t="s">
        <v>156</v>
      </c>
      <c r="C493" s="18" t="s">
        <v>162</v>
      </c>
      <c r="D493" s="18" t="s">
        <v>158</v>
      </c>
      <c r="E493" s="18" t="s">
        <v>159</v>
      </c>
      <c r="F493" s="19" t="s">
        <v>94</v>
      </c>
      <c r="G493" s="20" t="s">
        <v>95</v>
      </c>
      <c r="H493" t="str">
        <f>'Source Table'!$G$9</f>
        <v>Female</v>
      </c>
      <c r="I493" t="str">
        <f>'Source Table'!$G$8</f>
        <v>أنثى</v>
      </c>
      <c r="J493" t="str">
        <f t="shared" si="14"/>
        <v>2021/2020</v>
      </c>
      <c r="K493" t="str">
        <f t="shared" si="15"/>
        <v>2021/2020</v>
      </c>
      <c r="L493" s="29">
        <v>1720</v>
      </c>
      <c r="M493" s="18">
        <v>2020</v>
      </c>
    </row>
    <row r="494" ht="21.75" spans="1:13">
      <c r="A494" s="18" t="s">
        <v>155</v>
      </c>
      <c r="B494" s="18" t="s">
        <v>156</v>
      </c>
      <c r="C494" s="18" t="s">
        <v>162</v>
      </c>
      <c r="D494" s="18" t="s">
        <v>158</v>
      </c>
      <c r="E494" s="18" t="s">
        <v>159</v>
      </c>
      <c r="F494" s="19" t="s">
        <v>96</v>
      </c>
      <c r="G494" s="20" t="s">
        <v>97</v>
      </c>
      <c r="H494" t="str">
        <f>'Source Table'!$G$9</f>
        <v>Female</v>
      </c>
      <c r="I494" t="str">
        <f>'Source Table'!$G$8</f>
        <v>أنثى</v>
      </c>
      <c r="J494" t="str">
        <f t="shared" si="14"/>
        <v>2021/2020</v>
      </c>
      <c r="K494" t="str">
        <f t="shared" si="15"/>
        <v>2021/2020</v>
      </c>
      <c r="L494" s="29">
        <v>2287</v>
      </c>
      <c r="M494" s="18">
        <v>2020</v>
      </c>
    </row>
    <row r="495" ht="21.75" spans="1:13">
      <c r="A495" s="18" t="s">
        <v>155</v>
      </c>
      <c r="B495" s="18" t="s">
        <v>156</v>
      </c>
      <c r="C495" s="18" t="s">
        <v>162</v>
      </c>
      <c r="D495" s="18" t="s">
        <v>158</v>
      </c>
      <c r="E495" s="18" t="s">
        <v>159</v>
      </c>
      <c r="F495" s="19" t="s">
        <v>98</v>
      </c>
      <c r="G495" s="20" t="s">
        <v>99</v>
      </c>
      <c r="H495" t="str">
        <f>'Source Table'!$G$9</f>
        <v>Female</v>
      </c>
      <c r="I495" t="str">
        <f>'Source Table'!$G$8</f>
        <v>أنثى</v>
      </c>
      <c r="J495" t="str">
        <f t="shared" si="14"/>
        <v>2021/2020</v>
      </c>
      <c r="K495" t="str">
        <f t="shared" si="15"/>
        <v>2021/2020</v>
      </c>
      <c r="L495" s="30">
        <v>2595</v>
      </c>
      <c r="M495" s="18">
        <v>2020</v>
      </c>
    </row>
    <row r="496" ht="21.75" spans="1:13">
      <c r="A496" s="18" t="s">
        <v>155</v>
      </c>
      <c r="B496" s="18" t="s">
        <v>156</v>
      </c>
      <c r="C496" s="18" t="s">
        <v>162</v>
      </c>
      <c r="D496" s="18" t="s">
        <v>158</v>
      </c>
      <c r="E496" s="18" t="s">
        <v>159</v>
      </c>
      <c r="F496" s="19" t="s">
        <v>100</v>
      </c>
      <c r="G496" s="20" t="s">
        <v>101</v>
      </c>
      <c r="H496" t="str">
        <f>'Source Table'!$G$9</f>
        <v>Female</v>
      </c>
      <c r="I496" t="str">
        <f>'Source Table'!$G$8</f>
        <v>أنثى</v>
      </c>
      <c r="J496" t="str">
        <f t="shared" si="14"/>
        <v>2021/2020</v>
      </c>
      <c r="K496" t="str">
        <f t="shared" si="15"/>
        <v>2021/2020</v>
      </c>
      <c r="L496" s="30">
        <v>2370</v>
      </c>
      <c r="M496" s="18">
        <v>2020</v>
      </c>
    </row>
    <row r="497" ht="21.75" spans="1:13">
      <c r="A497" s="18" t="s">
        <v>155</v>
      </c>
      <c r="B497" s="18" t="s">
        <v>156</v>
      </c>
      <c r="C497" s="18" t="s">
        <v>162</v>
      </c>
      <c r="D497" s="18" t="s">
        <v>158</v>
      </c>
      <c r="E497" s="18" t="s">
        <v>159</v>
      </c>
      <c r="F497" s="19" t="s">
        <v>103</v>
      </c>
      <c r="G497" s="20" t="s">
        <v>104</v>
      </c>
      <c r="H497" t="str">
        <f>'Source Table'!$G$9</f>
        <v>Female</v>
      </c>
      <c r="I497" t="str">
        <f>'Source Table'!$G$8</f>
        <v>أنثى</v>
      </c>
      <c r="J497" t="str">
        <f t="shared" si="14"/>
        <v>2021/2020</v>
      </c>
      <c r="K497" t="str">
        <f t="shared" si="15"/>
        <v>2021/2020</v>
      </c>
      <c r="L497" s="29">
        <v>1805</v>
      </c>
      <c r="M497" s="18">
        <v>2020</v>
      </c>
    </row>
    <row r="498" ht="21.75" spans="1:13">
      <c r="A498" s="18" t="s">
        <v>155</v>
      </c>
      <c r="B498" s="18" t="s">
        <v>156</v>
      </c>
      <c r="C498" s="18" t="s">
        <v>162</v>
      </c>
      <c r="D498" s="18" t="s">
        <v>158</v>
      </c>
      <c r="E498" s="18" t="s">
        <v>159</v>
      </c>
      <c r="F498" s="19" t="s">
        <v>106</v>
      </c>
      <c r="G498" s="20" t="s">
        <v>107</v>
      </c>
      <c r="H498" t="str">
        <f>'Source Table'!$G$9</f>
        <v>Female</v>
      </c>
      <c r="I498" t="str">
        <f>'Source Table'!$G$8</f>
        <v>أنثى</v>
      </c>
      <c r="J498" t="str">
        <f t="shared" si="14"/>
        <v>2021/2020</v>
      </c>
      <c r="K498" t="str">
        <f t="shared" si="15"/>
        <v>2021/2020</v>
      </c>
      <c r="L498" s="29">
        <v>1425</v>
      </c>
      <c r="M498" s="18">
        <v>2020</v>
      </c>
    </row>
    <row r="499" ht="21.75" spans="1:13">
      <c r="A499" s="18" t="s">
        <v>155</v>
      </c>
      <c r="B499" s="18" t="s">
        <v>156</v>
      </c>
      <c r="C499" s="18" t="s">
        <v>162</v>
      </c>
      <c r="D499" s="18" t="s">
        <v>158</v>
      </c>
      <c r="E499" s="18" t="s">
        <v>159</v>
      </c>
      <c r="F499" s="19" t="s">
        <v>108</v>
      </c>
      <c r="G499" s="20" t="s">
        <v>109</v>
      </c>
      <c r="H499" t="str">
        <f>'Source Table'!$G$9</f>
        <v>Female</v>
      </c>
      <c r="I499" t="str">
        <f>'Source Table'!$G$8</f>
        <v>أنثى</v>
      </c>
      <c r="J499" t="str">
        <f t="shared" si="14"/>
        <v>2021/2020</v>
      </c>
      <c r="K499" t="str">
        <f t="shared" si="15"/>
        <v>2021/2020</v>
      </c>
      <c r="L499" s="29">
        <v>930</v>
      </c>
      <c r="M499" s="18">
        <v>2020</v>
      </c>
    </row>
    <row r="500" ht="21.75" spans="1:13">
      <c r="A500" s="18" t="s">
        <v>155</v>
      </c>
      <c r="B500" s="18" t="s">
        <v>156</v>
      </c>
      <c r="C500" s="18" t="s">
        <v>162</v>
      </c>
      <c r="D500" s="18" t="s">
        <v>158</v>
      </c>
      <c r="E500" s="18" t="s">
        <v>159</v>
      </c>
      <c r="F500" s="19" t="s">
        <v>110</v>
      </c>
      <c r="G500" s="20" t="s">
        <v>111</v>
      </c>
      <c r="H500" t="str">
        <f>'Source Table'!$G$9</f>
        <v>Female</v>
      </c>
      <c r="I500" t="str">
        <f>'Source Table'!$G$8</f>
        <v>أنثى</v>
      </c>
      <c r="J500" t="str">
        <f t="shared" si="14"/>
        <v>2021/2020</v>
      </c>
      <c r="K500" t="str">
        <f t="shared" si="15"/>
        <v>2021/2020</v>
      </c>
      <c r="L500" s="29">
        <v>670</v>
      </c>
      <c r="M500" s="18">
        <v>2020</v>
      </c>
    </row>
    <row r="501" ht="21.75" spans="1:13">
      <c r="A501" s="18" t="s">
        <v>155</v>
      </c>
      <c r="B501" s="18" t="s">
        <v>156</v>
      </c>
      <c r="C501" s="18" t="s">
        <v>162</v>
      </c>
      <c r="D501" s="18" t="s">
        <v>158</v>
      </c>
      <c r="E501" s="18" t="s">
        <v>159</v>
      </c>
      <c r="F501" s="19" t="s">
        <v>113</v>
      </c>
      <c r="G501" s="20" t="s">
        <v>114</v>
      </c>
      <c r="H501" t="str">
        <f>'Source Table'!$G$9</f>
        <v>Female</v>
      </c>
      <c r="I501" t="str">
        <f>'Source Table'!$G$8</f>
        <v>أنثى</v>
      </c>
      <c r="J501" t="str">
        <f t="shared" si="14"/>
        <v>2021/2020</v>
      </c>
      <c r="K501" t="str">
        <f t="shared" si="15"/>
        <v>2021/2020</v>
      </c>
      <c r="L501" s="29">
        <v>1292</v>
      </c>
      <c r="M501" s="18">
        <v>2020</v>
      </c>
    </row>
    <row r="502" ht="21.75" spans="1:13">
      <c r="A502" s="18" t="s">
        <v>155</v>
      </c>
      <c r="B502" s="18" t="s">
        <v>156</v>
      </c>
      <c r="C502" s="18" t="s">
        <v>162</v>
      </c>
      <c r="D502" s="18" t="s">
        <v>158</v>
      </c>
      <c r="E502" s="18" t="s">
        <v>159</v>
      </c>
      <c r="F502" s="19" t="s">
        <v>115</v>
      </c>
      <c r="G502" s="20" t="s">
        <v>116</v>
      </c>
      <c r="H502" t="str">
        <f>'Source Table'!$G$9</f>
        <v>Female</v>
      </c>
      <c r="I502" t="str">
        <f>'Source Table'!$G$8</f>
        <v>أنثى</v>
      </c>
      <c r="J502" t="str">
        <f t="shared" si="14"/>
        <v>2021/2020</v>
      </c>
      <c r="K502" t="str">
        <f t="shared" si="15"/>
        <v>2021/2020</v>
      </c>
      <c r="L502" s="29">
        <v>430</v>
      </c>
      <c r="M502" s="18">
        <v>2020</v>
      </c>
    </row>
    <row r="503" ht="21.75" spans="1:13">
      <c r="A503" s="18" t="s">
        <v>155</v>
      </c>
      <c r="B503" s="18" t="s">
        <v>156</v>
      </c>
      <c r="C503" s="18" t="s">
        <v>162</v>
      </c>
      <c r="D503" s="18" t="s">
        <v>158</v>
      </c>
      <c r="E503" s="18" t="s">
        <v>159</v>
      </c>
      <c r="F503" s="19" t="s">
        <v>118</v>
      </c>
      <c r="G503" s="20" t="s">
        <v>119</v>
      </c>
      <c r="H503" t="str">
        <f>'Source Table'!$G$9</f>
        <v>Female</v>
      </c>
      <c r="I503" t="str">
        <f>'Source Table'!$G$8</f>
        <v>أنثى</v>
      </c>
      <c r="J503" t="str">
        <f t="shared" si="14"/>
        <v>2021/2020</v>
      </c>
      <c r="K503" t="str">
        <f t="shared" si="15"/>
        <v>2021/2020</v>
      </c>
      <c r="L503" s="29">
        <v>715</v>
      </c>
      <c r="M503" s="18">
        <v>2020</v>
      </c>
    </row>
    <row r="504" ht="21.75" spans="1:13">
      <c r="A504" s="18" t="s">
        <v>155</v>
      </c>
      <c r="B504" s="18" t="s">
        <v>156</v>
      </c>
      <c r="C504" s="18" t="s">
        <v>162</v>
      </c>
      <c r="D504" s="18" t="s">
        <v>158</v>
      </c>
      <c r="E504" s="18" t="s">
        <v>159</v>
      </c>
      <c r="F504" s="19" t="s">
        <v>120</v>
      </c>
      <c r="G504" s="20" t="s">
        <v>121</v>
      </c>
      <c r="H504" t="str">
        <f>'Source Table'!$G$9</f>
        <v>Female</v>
      </c>
      <c r="I504" t="str">
        <f>'Source Table'!$G$8</f>
        <v>أنثى</v>
      </c>
      <c r="J504" t="str">
        <f t="shared" si="14"/>
        <v>2021/2020</v>
      </c>
      <c r="K504" t="str">
        <f t="shared" si="15"/>
        <v>2021/2020</v>
      </c>
      <c r="L504" s="29">
        <v>903</v>
      </c>
      <c r="M504" s="18">
        <v>2020</v>
      </c>
    </row>
    <row r="505" ht="21.75" spans="1:13">
      <c r="A505" s="18" t="s">
        <v>155</v>
      </c>
      <c r="B505" s="18" t="s">
        <v>156</v>
      </c>
      <c r="C505" s="18" t="s">
        <v>162</v>
      </c>
      <c r="D505" s="18" t="s">
        <v>158</v>
      </c>
      <c r="E505" s="18" t="s">
        <v>159</v>
      </c>
      <c r="F505" s="19" t="s">
        <v>122</v>
      </c>
      <c r="G505" s="20" t="s">
        <v>123</v>
      </c>
      <c r="H505" t="str">
        <f>'Source Table'!$G$9</f>
        <v>Female</v>
      </c>
      <c r="I505" t="str">
        <f>'Source Table'!$G$8</f>
        <v>أنثى</v>
      </c>
      <c r="J505" t="str">
        <f t="shared" si="14"/>
        <v>2021/2020</v>
      </c>
      <c r="K505" t="str">
        <f t="shared" si="15"/>
        <v>2021/2020</v>
      </c>
      <c r="L505" s="29">
        <v>572</v>
      </c>
      <c r="M505" s="18">
        <v>2020</v>
      </c>
    </row>
    <row r="506" ht="21.75" spans="1:13">
      <c r="A506" s="18" t="s">
        <v>155</v>
      </c>
      <c r="B506" s="18" t="s">
        <v>156</v>
      </c>
      <c r="C506" s="18" t="s">
        <v>162</v>
      </c>
      <c r="D506" s="18" t="s">
        <v>158</v>
      </c>
      <c r="E506" s="18" t="s">
        <v>159</v>
      </c>
      <c r="F506" s="19" t="s">
        <v>124</v>
      </c>
      <c r="G506" s="20" t="s">
        <v>125</v>
      </c>
      <c r="H506" t="str">
        <f>'Source Table'!$G$9</f>
        <v>Female</v>
      </c>
      <c r="I506" t="str">
        <f>'Source Table'!$G$8</f>
        <v>أنثى</v>
      </c>
      <c r="J506" t="str">
        <f t="shared" si="14"/>
        <v>2021/2020</v>
      </c>
      <c r="K506" t="str">
        <f t="shared" si="15"/>
        <v>2021/2020</v>
      </c>
      <c r="L506" s="29">
        <v>336</v>
      </c>
      <c r="M506" s="18">
        <v>2020</v>
      </c>
    </row>
    <row r="507" ht="21.75" spans="1:13">
      <c r="A507" s="18" t="s">
        <v>155</v>
      </c>
      <c r="B507" s="18" t="s">
        <v>156</v>
      </c>
      <c r="C507" s="18" t="s">
        <v>162</v>
      </c>
      <c r="D507" s="18" t="s">
        <v>158</v>
      </c>
      <c r="E507" s="18" t="s">
        <v>159</v>
      </c>
      <c r="F507" s="19" t="s">
        <v>126</v>
      </c>
      <c r="G507" s="20" t="s">
        <v>127</v>
      </c>
      <c r="H507" t="str">
        <f>'Source Table'!$G$9</f>
        <v>Female</v>
      </c>
      <c r="I507" t="str">
        <f>'Source Table'!$G$8</f>
        <v>أنثى</v>
      </c>
      <c r="J507" t="str">
        <f t="shared" si="14"/>
        <v>2021/2020</v>
      </c>
      <c r="K507" t="str">
        <f t="shared" si="15"/>
        <v>2021/2020</v>
      </c>
      <c r="L507" s="30">
        <v>2266</v>
      </c>
      <c r="M507" s="18">
        <v>2020</v>
      </c>
    </row>
    <row r="508" ht="21.75" spans="1:13">
      <c r="A508" s="18" t="s">
        <v>155</v>
      </c>
      <c r="B508" s="18" t="s">
        <v>156</v>
      </c>
      <c r="C508" s="18" t="s">
        <v>157</v>
      </c>
      <c r="D508" s="18" t="s">
        <v>158</v>
      </c>
      <c r="E508" s="18" t="s">
        <v>159</v>
      </c>
      <c r="F508" s="19" t="s">
        <v>29</v>
      </c>
      <c r="G508" s="20" t="s">
        <v>30</v>
      </c>
      <c r="H508" t="str">
        <f>'Source Table'!$H$9</f>
        <v>Male</v>
      </c>
      <c r="I508" t="str">
        <f>'Source Table'!$H$8</f>
        <v>ذكر</v>
      </c>
      <c r="J508" t="str">
        <f t="shared" si="14"/>
        <v>2020/2019</v>
      </c>
      <c r="K508" t="str">
        <f t="shared" si="15"/>
        <v>2020/2019</v>
      </c>
      <c r="L508" s="29">
        <v>76425</v>
      </c>
      <c r="M508" s="18">
        <v>2019</v>
      </c>
    </row>
    <row r="509" ht="21.75" spans="1:13">
      <c r="A509" s="18" t="s">
        <v>155</v>
      </c>
      <c r="B509" s="18" t="s">
        <v>156</v>
      </c>
      <c r="C509" s="18" t="s">
        <v>157</v>
      </c>
      <c r="D509" s="18" t="s">
        <v>158</v>
      </c>
      <c r="E509" s="18" t="s">
        <v>159</v>
      </c>
      <c r="F509" s="19" t="s">
        <v>32</v>
      </c>
      <c r="G509" s="20" t="s">
        <v>33</v>
      </c>
      <c r="H509" t="str">
        <f>'Source Table'!$H$9</f>
        <v>Male</v>
      </c>
      <c r="I509" t="str">
        <f>'Source Table'!$H$8</f>
        <v>ذكر</v>
      </c>
      <c r="J509" t="str">
        <f t="shared" si="14"/>
        <v>2020/2019</v>
      </c>
      <c r="K509" t="str">
        <f t="shared" si="15"/>
        <v>2020/2019</v>
      </c>
      <c r="L509" s="29">
        <v>73092</v>
      </c>
      <c r="M509" s="18">
        <v>2019</v>
      </c>
    </row>
    <row r="510" ht="21.75" spans="1:13">
      <c r="A510" s="18" t="s">
        <v>155</v>
      </c>
      <c r="B510" s="18" t="s">
        <v>156</v>
      </c>
      <c r="C510" s="18" t="s">
        <v>157</v>
      </c>
      <c r="D510" s="18" t="s">
        <v>158</v>
      </c>
      <c r="E510" s="18" t="s">
        <v>159</v>
      </c>
      <c r="F510" s="19" t="s">
        <v>34</v>
      </c>
      <c r="G510" s="20" t="s">
        <v>35</v>
      </c>
      <c r="H510" t="str">
        <f>'Source Table'!$H$9</f>
        <v>Male</v>
      </c>
      <c r="I510" t="str">
        <f>'Source Table'!$H$8</f>
        <v>ذكر</v>
      </c>
      <c r="J510" t="str">
        <f t="shared" si="14"/>
        <v>2020/2019</v>
      </c>
      <c r="K510" t="str">
        <f t="shared" si="15"/>
        <v>2020/2019</v>
      </c>
      <c r="L510" s="29">
        <v>17065</v>
      </c>
      <c r="M510" s="18">
        <v>2019</v>
      </c>
    </row>
    <row r="511" ht="21.75" spans="1:13">
      <c r="A511" s="18" t="s">
        <v>155</v>
      </c>
      <c r="B511" s="18" t="s">
        <v>156</v>
      </c>
      <c r="C511" s="18" t="s">
        <v>157</v>
      </c>
      <c r="D511" s="18" t="s">
        <v>158</v>
      </c>
      <c r="E511" s="18" t="s">
        <v>159</v>
      </c>
      <c r="F511" s="19" t="s">
        <v>36</v>
      </c>
      <c r="G511" s="20" t="s">
        <v>37</v>
      </c>
      <c r="H511" t="str">
        <f>'Source Table'!$H$9</f>
        <v>Male</v>
      </c>
      <c r="I511" t="str">
        <f>'Source Table'!$H$8</f>
        <v>ذكر</v>
      </c>
      <c r="J511" t="str">
        <f t="shared" si="14"/>
        <v>2020/2019</v>
      </c>
      <c r="K511" t="str">
        <f t="shared" si="15"/>
        <v>2020/2019</v>
      </c>
      <c r="L511" s="29">
        <v>69998</v>
      </c>
      <c r="M511" s="18">
        <v>2019</v>
      </c>
    </row>
    <row r="512" ht="21.75" spans="1:13">
      <c r="A512" s="18" t="s">
        <v>155</v>
      </c>
      <c r="B512" s="18" t="s">
        <v>156</v>
      </c>
      <c r="C512" s="18" t="s">
        <v>157</v>
      </c>
      <c r="D512" s="18" t="s">
        <v>158</v>
      </c>
      <c r="E512" s="18" t="s">
        <v>159</v>
      </c>
      <c r="F512" s="19" t="s">
        <v>38</v>
      </c>
      <c r="G512" s="20" t="s">
        <v>39</v>
      </c>
      <c r="H512" t="str">
        <f>'Source Table'!$H$9</f>
        <v>Male</v>
      </c>
      <c r="I512" t="str">
        <f>'Source Table'!$H$8</f>
        <v>ذكر</v>
      </c>
      <c r="J512" t="str">
        <f t="shared" si="14"/>
        <v>2020/2019</v>
      </c>
      <c r="K512" t="str">
        <f t="shared" si="15"/>
        <v>2020/2019</v>
      </c>
      <c r="L512" s="29">
        <v>98156</v>
      </c>
      <c r="M512" s="18">
        <v>2019</v>
      </c>
    </row>
    <row r="513" ht="21.75" spans="1:13">
      <c r="A513" s="18" t="s">
        <v>155</v>
      </c>
      <c r="B513" s="18" t="s">
        <v>156</v>
      </c>
      <c r="C513" s="18" t="s">
        <v>157</v>
      </c>
      <c r="D513" s="18" t="s">
        <v>158</v>
      </c>
      <c r="E513" s="18" t="s">
        <v>159</v>
      </c>
      <c r="F513" s="19" t="s">
        <v>40</v>
      </c>
      <c r="G513" s="20" t="s">
        <v>41</v>
      </c>
      <c r="H513" t="str">
        <f>'Source Table'!$H$9</f>
        <v>Male</v>
      </c>
      <c r="I513" t="str">
        <f>'Source Table'!$H$8</f>
        <v>ذكر</v>
      </c>
      <c r="J513" t="str">
        <f t="shared" si="14"/>
        <v>2020/2019</v>
      </c>
      <c r="K513" t="str">
        <f t="shared" si="15"/>
        <v>2020/2019</v>
      </c>
      <c r="L513" s="29">
        <v>15391</v>
      </c>
      <c r="M513" s="18">
        <v>2019</v>
      </c>
    </row>
    <row r="514" ht="21.75" spans="1:13">
      <c r="A514" s="18" t="s">
        <v>155</v>
      </c>
      <c r="B514" s="18" t="s">
        <v>156</v>
      </c>
      <c r="C514" s="18" t="s">
        <v>157</v>
      </c>
      <c r="D514" s="18" t="s">
        <v>158</v>
      </c>
      <c r="E514" s="18" t="s">
        <v>159</v>
      </c>
      <c r="F514" s="19" t="s">
        <v>42</v>
      </c>
      <c r="G514" s="20" t="s">
        <v>43</v>
      </c>
      <c r="H514" t="str">
        <f>'Source Table'!$H$9</f>
        <v>Male</v>
      </c>
      <c r="I514" t="str">
        <f>'Source Table'!$H$8</f>
        <v>ذكر</v>
      </c>
      <c r="J514" t="str">
        <f t="shared" si="14"/>
        <v>2020/2019</v>
      </c>
      <c r="K514" t="str">
        <f t="shared" si="15"/>
        <v>2020/2019</v>
      </c>
      <c r="L514" s="29">
        <v>32326</v>
      </c>
      <c r="M514" s="18">
        <v>2019</v>
      </c>
    </row>
    <row r="515" ht="21.75" spans="1:13">
      <c r="A515" s="18" t="s">
        <v>155</v>
      </c>
      <c r="B515" s="18" t="s">
        <v>156</v>
      </c>
      <c r="C515" s="18" t="s">
        <v>157</v>
      </c>
      <c r="D515" s="18" t="s">
        <v>158</v>
      </c>
      <c r="E515" s="18" t="s">
        <v>159</v>
      </c>
      <c r="F515" s="19" t="s">
        <v>44</v>
      </c>
      <c r="G515" s="20" t="s">
        <v>45</v>
      </c>
      <c r="H515" t="str">
        <f>'Source Table'!$H$9</f>
        <v>Male</v>
      </c>
      <c r="I515" t="str">
        <f>'Source Table'!$H$8</f>
        <v>ذكر</v>
      </c>
      <c r="J515" t="str">
        <f t="shared" si="14"/>
        <v>2020/2019</v>
      </c>
      <c r="K515" t="str">
        <f t="shared" si="15"/>
        <v>2020/2019</v>
      </c>
      <c r="L515" s="29">
        <v>7934</v>
      </c>
      <c r="M515" s="18">
        <v>2019</v>
      </c>
    </row>
    <row r="516" ht="21.75" spans="1:13">
      <c r="A516" s="18" t="s">
        <v>155</v>
      </c>
      <c r="B516" s="18" t="s">
        <v>156</v>
      </c>
      <c r="C516" s="18" t="s">
        <v>157</v>
      </c>
      <c r="D516" s="18" t="s">
        <v>158</v>
      </c>
      <c r="E516" s="18" t="s">
        <v>159</v>
      </c>
      <c r="F516" s="19" t="s">
        <v>46</v>
      </c>
      <c r="G516" s="20" t="s">
        <v>47</v>
      </c>
      <c r="H516" t="str">
        <f>'Source Table'!$H$9</f>
        <v>Male</v>
      </c>
      <c r="I516" t="str">
        <f>'Source Table'!$H$8</f>
        <v>ذكر</v>
      </c>
      <c r="J516" t="str">
        <f t="shared" si="14"/>
        <v>2020/2019</v>
      </c>
      <c r="K516" t="str">
        <f t="shared" si="15"/>
        <v>2020/2019</v>
      </c>
      <c r="L516" s="29">
        <v>8867</v>
      </c>
      <c r="M516" s="18">
        <v>2019</v>
      </c>
    </row>
    <row r="517" ht="21.75" spans="1:13">
      <c r="A517" s="18" t="s">
        <v>155</v>
      </c>
      <c r="B517" s="18" t="s">
        <v>156</v>
      </c>
      <c r="C517" s="18" t="s">
        <v>157</v>
      </c>
      <c r="D517" s="18" t="s">
        <v>158</v>
      </c>
      <c r="E517" s="18" t="s">
        <v>159</v>
      </c>
      <c r="F517" s="19" t="s">
        <v>49</v>
      </c>
      <c r="G517" s="20" t="s">
        <v>50</v>
      </c>
      <c r="H517" t="str">
        <f>'Source Table'!$H$9</f>
        <v>Male</v>
      </c>
      <c r="I517" t="str">
        <f>'Source Table'!$H$8</f>
        <v>ذكر</v>
      </c>
      <c r="J517" t="str">
        <f t="shared" ref="J517:J580" si="16">TEXT(M517+1,"0")&amp;"/"&amp;TEXT(M517,"0")</f>
        <v>2020/2019</v>
      </c>
      <c r="K517" t="str">
        <f t="shared" ref="K517:K580" si="17">TEXT(M517+1,"0")&amp;"/"&amp;TEXT(M517,"0")</f>
        <v>2020/2019</v>
      </c>
      <c r="L517" s="29">
        <v>26398</v>
      </c>
      <c r="M517" s="18">
        <v>2019</v>
      </c>
    </row>
    <row r="518" ht="21.75" spans="1:13">
      <c r="A518" s="18" t="s">
        <v>155</v>
      </c>
      <c r="B518" s="18" t="s">
        <v>156</v>
      </c>
      <c r="C518" s="18" t="s">
        <v>157</v>
      </c>
      <c r="D518" s="18" t="s">
        <v>158</v>
      </c>
      <c r="E518" s="18" t="s">
        <v>159</v>
      </c>
      <c r="F518" s="19" t="s">
        <v>52</v>
      </c>
      <c r="G518" s="20" t="s">
        <v>53</v>
      </c>
      <c r="H518" t="str">
        <f>'Source Table'!$H$9</f>
        <v>Male</v>
      </c>
      <c r="I518" t="str">
        <f>'Source Table'!$H$8</f>
        <v>ذكر</v>
      </c>
      <c r="J518" t="str">
        <f t="shared" si="16"/>
        <v>2020/2019</v>
      </c>
      <c r="K518" t="str">
        <f t="shared" si="17"/>
        <v>2020/2019</v>
      </c>
      <c r="L518" s="29">
        <v>9333</v>
      </c>
      <c r="M518" s="18">
        <v>2019</v>
      </c>
    </row>
    <row r="519" ht="21.75" spans="1:13">
      <c r="A519" s="18" t="s">
        <v>155</v>
      </c>
      <c r="B519" s="18" t="s">
        <v>156</v>
      </c>
      <c r="C519" s="18" t="s">
        <v>157</v>
      </c>
      <c r="D519" s="18" t="s">
        <v>158</v>
      </c>
      <c r="E519" s="18" t="s">
        <v>159</v>
      </c>
      <c r="F519" s="19" t="s">
        <v>54</v>
      </c>
      <c r="G519" s="20" t="s">
        <v>55</v>
      </c>
      <c r="H519" t="str">
        <f>'Source Table'!$H$9</f>
        <v>Male</v>
      </c>
      <c r="I519" t="str">
        <f>'Source Table'!$H$8</f>
        <v>ذكر</v>
      </c>
      <c r="J519" t="str">
        <f t="shared" si="16"/>
        <v>2020/2019</v>
      </c>
      <c r="K519" t="str">
        <f t="shared" si="17"/>
        <v>2020/2019</v>
      </c>
      <c r="L519" s="29">
        <v>8429</v>
      </c>
      <c r="M519" s="18">
        <v>2019</v>
      </c>
    </row>
    <row r="520" ht="21.75" spans="1:13">
      <c r="A520" s="18" t="s">
        <v>155</v>
      </c>
      <c r="B520" s="18" t="s">
        <v>156</v>
      </c>
      <c r="C520" s="18" t="s">
        <v>157</v>
      </c>
      <c r="D520" s="18" t="s">
        <v>158</v>
      </c>
      <c r="E520" s="18" t="s">
        <v>159</v>
      </c>
      <c r="F520" s="19" t="s">
        <v>56</v>
      </c>
      <c r="G520" s="20" t="s">
        <v>57</v>
      </c>
      <c r="H520" t="str">
        <f>'Source Table'!$H$9</f>
        <v>Male</v>
      </c>
      <c r="I520" t="str">
        <f>'Source Table'!$H$8</f>
        <v>ذكر</v>
      </c>
      <c r="J520" t="str">
        <f t="shared" si="16"/>
        <v>2020/2019</v>
      </c>
      <c r="K520" t="str">
        <f t="shared" si="17"/>
        <v>2020/2019</v>
      </c>
      <c r="L520" s="29">
        <v>30350</v>
      </c>
      <c r="M520" s="18">
        <v>2019</v>
      </c>
    </row>
    <row r="521" ht="21.75" spans="1:13">
      <c r="A521" s="18" t="s">
        <v>155</v>
      </c>
      <c r="B521" s="18" t="s">
        <v>156</v>
      </c>
      <c r="C521" s="18" t="s">
        <v>157</v>
      </c>
      <c r="D521" s="18" t="s">
        <v>158</v>
      </c>
      <c r="E521" s="18" t="s">
        <v>159</v>
      </c>
      <c r="F521" s="19" t="s">
        <v>59</v>
      </c>
      <c r="G521" s="20" t="s">
        <v>160</v>
      </c>
      <c r="H521" t="str">
        <f>'Source Table'!$H$9</f>
        <v>Male</v>
      </c>
      <c r="I521" t="str">
        <f>'Source Table'!$H$8</f>
        <v>ذكر</v>
      </c>
      <c r="J521" t="str">
        <f t="shared" si="16"/>
        <v>2020/2019</v>
      </c>
      <c r="K521" t="str">
        <f t="shared" si="17"/>
        <v>2020/2019</v>
      </c>
      <c r="L521" s="29">
        <v>71994</v>
      </c>
      <c r="M521" s="18">
        <v>2019</v>
      </c>
    </row>
    <row r="522" ht="21.75" spans="1:13">
      <c r="A522" s="18" t="s">
        <v>155</v>
      </c>
      <c r="B522" s="18" t="s">
        <v>156</v>
      </c>
      <c r="C522" s="18" t="s">
        <v>157</v>
      </c>
      <c r="D522" s="18" t="s">
        <v>158</v>
      </c>
      <c r="E522" s="18" t="s">
        <v>159</v>
      </c>
      <c r="F522" s="19" t="s">
        <v>62</v>
      </c>
      <c r="G522" s="20" t="s">
        <v>161</v>
      </c>
      <c r="H522" t="str">
        <f>'Source Table'!$H$9</f>
        <v>Male</v>
      </c>
      <c r="I522" t="str">
        <f>'Source Table'!$H$8</f>
        <v>ذكر</v>
      </c>
      <c r="J522" t="str">
        <f t="shared" si="16"/>
        <v>2020/2019</v>
      </c>
      <c r="K522" t="str">
        <f t="shared" si="17"/>
        <v>2020/2019</v>
      </c>
      <c r="L522" s="29">
        <v>29124</v>
      </c>
      <c r="M522" s="18">
        <v>2019</v>
      </c>
    </row>
    <row r="523" ht="21.75" spans="1:13">
      <c r="A523" s="18" t="s">
        <v>155</v>
      </c>
      <c r="B523" s="18" t="s">
        <v>156</v>
      </c>
      <c r="C523" s="18" t="s">
        <v>157</v>
      </c>
      <c r="D523" s="18" t="s">
        <v>158</v>
      </c>
      <c r="E523" s="18" t="s">
        <v>159</v>
      </c>
      <c r="F523" s="19" t="s">
        <v>64</v>
      </c>
      <c r="G523" s="20" t="s">
        <v>65</v>
      </c>
      <c r="H523" t="str">
        <f>'Source Table'!$H$9</f>
        <v>Male</v>
      </c>
      <c r="I523" t="str">
        <f>'Source Table'!$H$8</f>
        <v>ذكر</v>
      </c>
      <c r="J523" t="str">
        <f t="shared" si="16"/>
        <v>2020/2019</v>
      </c>
      <c r="K523" t="str">
        <f t="shared" si="17"/>
        <v>2020/2019</v>
      </c>
      <c r="L523" s="29">
        <v>51416</v>
      </c>
      <c r="M523" s="18">
        <v>2019</v>
      </c>
    </row>
    <row r="524" ht="21.75" spans="1:13">
      <c r="A524" s="18" t="s">
        <v>155</v>
      </c>
      <c r="B524" s="18" t="s">
        <v>156</v>
      </c>
      <c r="C524" s="18" t="s">
        <v>157</v>
      </c>
      <c r="D524" s="18" t="s">
        <v>158</v>
      </c>
      <c r="E524" s="18" t="s">
        <v>159</v>
      </c>
      <c r="F524" s="19" t="s">
        <v>68</v>
      </c>
      <c r="G524" s="20" t="s">
        <v>69</v>
      </c>
      <c r="H524" t="str">
        <f>'Source Table'!$H$9</f>
        <v>Male</v>
      </c>
      <c r="I524" t="str">
        <f>'Source Table'!$H$8</f>
        <v>ذكر</v>
      </c>
      <c r="J524" t="str">
        <f t="shared" si="16"/>
        <v>2020/2019</v>
      </c>
      <c r="K524" t="str">
        <f t="shared" si="17"/>
        <v>2020/2019</v>
      </c>
      <c r="L524" s="29">
        <v>23435</v>
      </c>
      <c r="M524" s="18">
        <v>2019</v>
      </c>
    </row>
    <row r="525" ht="21.75" spans="1:13">
      <c r="A525" s="18" t="s">
        <v>155</v>
      </c>
      <c r="B525" s="18" t="s">
        <v>156</v>
      </c>
      <c r="C525" s="18" t="s">
        <v>157</v>
      </c>
      <c r="D525" s="18" t="s">
        <v>158</v>
      </c>
      <c r="E525" s="18" t="s">
        <v>159</v>
      </c>
      <c r="F525" s="19" t="s">
        <v>70</v>
      </c>
      <c r="G525" s="20" t="s">
        <v>71</v>
      </c>
      <c r="H525" t="str">
        <f>'Source Table'!$H$9</f>
        <v>Male</v>
      </c>
      <c r="I525" t="str">
        <f>'Source Table'!$H$8</f>
        <v>ذكر</v>
      </c>
      <c r="J525" t="str">
        <f t="shared" si="16"/>
        <v>2020/2019</v>
      </c>
      <c r="K525" t="str">
        <f t="shared" si="17"/>
        <v>2020/2019</v>
      </c>
      <c r="L525" s="29">
        <v>5719</v>
      </c>
      <c r="M525" s="18">
        <v>2019</v>
      </c>
    </row>
    <row r="526" ht="21.75" spans="1:13">
      <c r="A526" s="18" t="s">
        <v>155</v>
      </c>
      <c r="B526" s="18" t="s">
        <v>156</v>
      </c>
      <c r="C526" s="18" t="s">
        <v>157</v>
      </c>
      <c r="D526" s="18" t="s">
        <v>158</v>
      </c>
      <c r="E526" s="18" t="s">
        <v>159</v>
      </c>
      <c r="F526" s="19" t="s">
        <v>74</v>
      </c>
      <c r="G526" s="20" t="s">
        <v>75</v>
      </c>
      <c r="H526" t="str">
        <f>'Source Table'!$H$9</f>
        <v>Male</v>
      </c>
      <c r="I526" t="str">
        <f>'Source Table'!$H$8</f>
        <v>ذكر</v>
      </c>
      <c r="J526" t="str">
        <f t="shared" si="16"/>
        <v>2020/2019</v>
      </c>
      <c r="K526" t="str">
        <f t="shared" si="17"/>
        <v>2020/2019</v>
      </c>
      <c r="L526" s="29">
        <v>79171</v>
      </c>
      <c r="M526" s="18">
        <v>2019</v>
      </c>
    </row>
    <row r="527" ht="21.75" spans="1:13">
      <c r="A527" s="18" t="s">
        <v>155</v>
      </c>
      <c r="B527" s="18" t="s">
        <v>156</v>
      </c>
      <c r="C527" s="18" t="s">
        <v>157</v>
      </c>
      <c r="D527" s="18" t="s">
        <v>158</v>
      </c>
      <c r="E527" s="18" t="s">
        <v>159</v>
      </c>
      <c r="F527" s="19" t="s">
        <v>76</v>
      </c>
      <c r="G527" s="20" t="s">
        <v>77</v>
      </c>
      <c r="H527" t="str">
        <f>'Source Table'!$H$9</f>
        <v>Male</v>
      </c>
      <c r="I527" t="str">
        <f>'Source Table'!$H$8</f>
        <v>ذكر</v>
      </c>
      <c r="J527" t="str">
        <f t="shared" si="16"/>
        <v>2020/2019</v>
      </c>
      <c r="K527" t="str">
        <f t="shared" si="17"/>
        <v>2020/2019</v>
      </c>
      <c r="L527" s="29">
        <v>25774</v>
      </c>
      <c r="M527" s="18">
        <v>2019</v>
      </c>
    </row>
    <row r="528" ht="21.75" spans="1:13">
      <c r="A528" s="18" t="s">
        <v>155</v>
      </c>
      <c r="B528" s="18" t="s">
        <v>156</v>
      </c>
      <c r="C528" s="18" t="s">
        <v>157</v>
      </c>
      <c r="D528" s="18" t="s">
        <v>158</v>
      </c>
      <c r="E528" s="18" t="s">
        <v>159</v>
      </c>
      <c r="F528" s="19" t="s">
        <v>78</v>
      </c>
      <c r="G528" s="20" t="s">
        <v>79</v>
      </c>
      <c r="H528" t="str">
        <f>'Source Table'!$H$9</f>
        <v>Male</v>
      </c>
      <c r="I528" t="str">
        <f>'Source Table'!$H$8</f>
        <v>ذكر</v>
      </c>
      <c r="J528" t="str">
        <f t="shared" si="16"/>
        <v>2020/2019</v>
      </c>
      <c r="K528" t="str">
        <f t="shared" si="17"/>
        <v>2020/2019</v>
      </c>
      <c r="L528" s="29">
        <v>8918</v>
      </c>
      <c r="M528" s="18">
        <v>2019</v>
      </c>
    </row>
    <row r="529" ht="21.75" spans="1:13">
      <c r="A529" s="18" t="s">
        <v>155</v>
      </c>
      <c r="B529" s="18" t="s">
        <v>156</v>
      </c>
      <c r="C529" s="18" t="s">
        <v>157</v>
      </c>
      <c r="D529" s="18" t="s">
        <v>158</v>
      </c>
      <c r="E529" s="18" t="s">
        <v>159</v>
      </c>
      <c r="F529" s="19" t="s">
        <v>80</v>
      </c>
      <c r="G529" s="20" t="s">
        <v>81</v>
      </c>
      <c r="H529" t="str">
        <f>'Source Table'!$H$9</f>
        <v>Male</v>
      </c>
      <c r="I529" t="str">
        <f>'Source Table'!$H$8</f>
        <v>ذكر</v>
      </c>
      <c r="J529" t="str">
        <f t="shared" si="16"/>
        <v>2020/2019</v>
      </c>
      <c r="K529" t="str">
        <f t="shared" si="17"/>
        <v>2020/2019</v>
      </c>
      <c r="L529" s="29">
        <v>10201</v>
      </c>
      <c r="M529" s="18">
        <v>2019</v>
      </c>
    </row>
    <row r="530" ht="21.75" spans="1:13">
      <c r="A530" s="18" t="s">
        <v>155</v>
      </c>
      <c r="B530" s="18" t="s">
        <v>156</v>
      </c>
      <c r="C530" s="18" t="s">
        <v>157</v>
      </c>
      <c r="D530" s="18" t="s">
        <v>158</v>
      </c>
      <c r="E530" s="18" t="s">
        <v>159</v>
      </c>
      <c r="F530" s="19" t="s">
        <v>82</v>
      </c>
      <c r="G530" s="20" t="s">
        <v>83</v>
      </c>
      <c r="H530" t="str">
        <f>'Source Table'!$H$9</f>
        <v>Male</v>
      </c>
      <c r="I530" t="str">
        <f>'Source Table'!$H$8</f>
        <v>ذكر</v>
      </c>
      <c r="J530" t="str">
        <f t="shared" si="16"/>
        <v>2020/2019</v>
      </c>
      <c r="K530" t="str">
        <f t="shared" si="17"/>
        <v>2020/2019</v>
      </c>
      <c r="L530" s="29">
        <v>18431</v>
      </c>
      <c r="M530" s="18">
        <v>2019</v>
      </c>
    </row>
    <row r="531" ht="21.75" spans="1:13">
      <c r="A531" s="18" t="s">
        <v>155</v>
      </c>
      <c r="B531" s="18" t="s">
        <v>156</v>
      </c>
      <c r="C531" s="18" t="s">
        <v>157</v>
      </c>
      <c r="D531" s="18" t="s">
        <v>158</v>
      </c>
      <c r="E531" s="18" t="s">
        <v>159</v>
      </c>
      <c r="F531" s="19" t="s">
        <v>84</v>
      </c>
      <c r="G531" s="20" t="s">
        <v>85</v>
      </c>
      <c r="H531" t="str">
        <f>'Source Table'!$H$9</f>
        <v>Male</v>
      </c>
      <c r="I531" t="str">
        <f>'Source Table'!$H$8</f>
        <v>ذكر</v>
      </c>
      <c r="J531" t="str">
        <f t="shared" si="16"/>
        <v>2020/2019</v>
      </c>
      <c r="K531" t="str">
        <f t="shared" si="17"/>
        <v>2020/2019</v>
      </c>
      <c r="L531" s="29">
        <v>14509</v>
      </c>
      <c r="M531" s="18">
        <v>2019</v>
      </c>
    </row>
    <row r="532" ht="21.75" spans="1:13">
      <c r="A532" s="18" t="s">
        <v>155</v>
      </c>
      <c r="B532" s="18" t="s">
        <v>156</v>
      </c>
      <c r="C532" s="18" t="s">
        <v>157</v>
      </c>
      <c r="D532" s="18" t="s">
        <v>158</v>
      </c>
      <c r="E532" s="18" t="s">
        <v>159</v>
      </c>
      <c r="F532" s="19" t="s">
        <v>86</v>
      </c>
      <c r="G532" s="20" t="s">
        <v>87</v>
      </c>
      <c r="H532" t="str">
        <f>'Source Table'!$H$9</f>
        <v>Male</v>
      </c>
      <c r="I532" t="str">
        <f>'Source Table'!$H$8</f>
        <v>ذكر</v>
      </c>
      <c r="J532" t="str">
        <f t="shared" si="16"/>
        <v>2020/2019</v>
      </c>
      <c r="K532" t="str">
        <f t="shared" si="17"/>
        <v>2020/2019</v>
      </c>
      <c r="L532" s="29">
        <v>14723</v>
      </c>
      <c r="M532" s="18">
        <v>2019</v>
      </c>
    </row>
    <row r="533" ht="21.75" spans="1:13">
      <c r="A533" s="18" t="s">
        <v>155</v>
      </c>
      <c r="B533" s="18" t="s">
        <v>156</v>
      </c>
      <c r="C533" s="18" t="s">
        <v>157</v>
      </c>
      <c r="D533" s="18" t="s">
        <v>158</v>
      </c>
      <c r="E533" s="18" t="s">
        <v>159</v>
      </c>
      <c r="F533" s="19" t="s">
        <v>88</v>
      </c>
      <c r="G533" s="20" t="s">
        <v>89</v>
      </c>
      <c r="H533" t="str">
        <f>'Source Table'!$H$9</f>
        <v>Male</v>
      </c>
      <c r="I533" t="str">
        <f>'Source Table'!$H$8</f>
        <v>ذكر</v>
      </c>
      <c r="J533" t="str">
        <f t="shared" si="16"/>
        <v>2020/2019</v>
      </c>
      <c r="K533" t="str">
        <f t="shared" si="17"/>
        <v>2020/2019</v>
      </c>
      <c r="L533" s="29">
        <v>26409</v>
      </c>
      <c r="M533" s="18">
        <v>2019</v>
      </c>
    </row>
    <row r="534" ht="21.75" spans="1:13">
      <c r="A534" s="18" t="s">
        <v>155</v>
      </c>
      <c r="B534" s="18" t="s">
        <v>156</v>
      </c>
      <c r="C534" s="18" t="s">
        <v>157</v>
      </c>
      <c r="D534" s="18" t="s">
        <v>158</v>
      </c>
      <c r="E534" s="18" t="s">
        <v>159</v>
      </c>
      <c r="F534" s="19" t="s">
        <v>91</v>
      </c>
      <c r="G534" s="20" t="s">
        <v>92</v>
      </c>
      <c r="H534" t="str">
        <f>'Source Table'!$H$9</f>
        <v>Male</v>
      </c>
      <c r="I534" t="str">
        <f>'Source Table'!$H$8</f>
        <v>ذكر</v>
      </c>
      <c r="J534" t="str">
        <f t="shared" si="16"/>
        <v>2020/2019</v>
      </c>
      <c r="K534" t="str">
        <f t="shared" si="17"/>
        <v>2020/2019</v>
      </c>
      <c r="L534" s="29">
        <v>26464</v>
      </c>
      <c r="M534" s="18">
        <v>2019</v>
      </c>
    </row>
    <row r="535" ht="21.75" spans="1:13">
      <c r="A535" s="18" t="s">
        <v>155</v>
      </c>
      <c r="B535" s="18" t="s">
        <v>156</v>
      </c>
      <c r="C535" s="18" t="s">
        <v>157</v>
      </c>
      <c r="D535" s="18" t="s">
        <v>158</v>
      </c>
      <c r="E535" s="18" t="s">
        <v>159</v>
      </c>
      <c r="F535" s="19" t="s">
        <v>94</v>
      </c>
      <c r="G535" s="20" t="s">
        <v>95</v>
      </c>
      <c r="H535" t="str">
        <f>'Source Table'!$H$9</f>
        <v>Male</v>
      </c>
      <c r="I535" t="str">
        <f>'Source Table'!$H$8</f>
        <v>ذكر</v>
      </c>
      <c r="J535" t="str">
        <f t="shared" si="16"/>
        <v>2020/2019</v>
      </c>
      <c r="K535" t="str">
        <f t="shared" si="17"/>
        <v>2020/2019</v>
      </c>
      <c r="L535" s="29">
        <v>17320</v>
      </c>
      <c r="M535" s="18">
        <v>2019</v>
      </c>
    </row>
    <row r="536" ht="21.75" spans="1:13">
      <c r="A536" s="18" t="s">
        <v>155</v>
      </c>
      <c r="B536" s="18" t="s">
        <v>156</v>
      </c>
      <c r="C536" s="18" t="s">
        <v>157</v>
      </c>
      <c r="D536" s="18" t="s">
        <v>158</v>
      </c>
      <c r="E536" s="18" t="s">
        <v>159</v>
      </c>
      <c r="F536" s="19" t="s">
        <v>96</v>
      </c>
      <c r="G536" s="20" t="s">
        <v>97</v>
      </c>
      <c r="H536" t="str">
        <f>'Source Table'!$H$9</f>
        <v>Male</v>
      </c>
      <c r="I536" t="str">
        <f>'Source Table'!$H$8</f>
        <v>ذكر</v>
      </c>
      <c r="J536" t="str">
        <f t="shared" si="16"/>
        <v>2020/2019</v>
      </c>
      <c r="K536" t="str">
        <f t="shared" si="17"/>
        <v>2020/2019</v>
      </c>
      <c r="L536" s="29">
        <v>29854</v>
      </c>
      <c r="M536" s="18">
        <v>2019</v>
      </c>
    </row>
    <row r="537" ht="21.75" spans="1:13">
      <c r="A537" s="18" t="s">
        <v>155</v>
      </c>
      <c r="B537" s="18" t="s">
        <v>156</v>
      </c>
      <c r="C537" s="18" t="s">
        <v>157</v>
      </c>
      <c r="D537" s="18" t="s">
        <v>158</v>
      </c>
      <c r="E537" s="18" t="s">
        <v>159</v>
      </c>
      <c r="F537" s="19" t="s">
        <v>98</v>
      </c>
      <c r="G537" s="20" t="s">
        <v>99</v>
      </c>
      <c r="H537" t="str">
        <f>'Source Table'!$H$9</f>
        <v>Male</v>
      </c>
      <c r="I537" t="str">
        <f>'Source Table'!$H$8</f>
        <v>ذكر</v>
      </c>
      <c r="J537" t="str">
        <f t="shared" si="16"/>
        <v>2020/2019</v>
      </c>
      <c r="K537" t="str">
        <f t="shared" si="17"/>
        <v>2020/2019</v>
      </c>
      <c r="L537" s="30">
        <v>31854</v>
      </c>
      <c r="M537" s="18">
        <v>2019</v>
      </c>
    </row>
    <row r="538" ht="21.75" spans="1:13">
      <c r="A538" s="18" t="s">
        <v>155</v>
      </c>
      <c r="B538" s="18" t="s">
        <v>156</v>
      </c>
      <c r="C538" s="18" t="s">
        <v>157</v>
      </c>
      <c r="D538" s="18" t="s">
        <v>158</v>
      </c>
      <c r="E538" s="18" t="s">
        <v>159</v>
      </c>
      <c r="F538" s="19" t="s">
        <v>100</v>
      </c>
      <c r="G538" s="20" t="s">
        <v>101</v>
      </c>
      <c r="H538" t="str">
        <f>'Source Table'!$H$9</f>
        <v>Male</v>
      </c>
      <c r="I538" t="str">
        <f>'Source Table'!$H$8</f>
        <v>ذكر</v>
      </c>
      <c r="J538" t="str">
        <f t="shared" si="16"/>
        <v>2020/2019</v>
      </c>
      <c r="K538" t="str">
        <f t="shared" si="17"/>
        <v>2020/2019</v>
      </c>
      <c r="L538" s="30">
        <v>23881</v>
      </c>
      <c r="M538" s="18">
        <v>2019</v>
      </c>
    </row>
    <row r="539" ht="21.75" spans="1:13">
      <c r="A539" s="18" t="s">
        <v>155</v>
      </c>
      <c r="B539" s="18" t="s">
        <v>156</v>
      </c>
      <c r="C539" s="18" t="s">
        <v>157</v>
      </c>
      <c r="D539" s="18" t="s">
        <v>158</v>
      </c>
      <c r="E539" s="18" t="s">
        <v>159</v>
      </c>
      <c r="F539" s="19" t="s">
        <v>103</v>
      </c>
      <c r="G539" s="20" t="s">
        <v>104</v>
      </c>
      <c r="H539" t="str">
        <f>'Source Table'!$H$9</f>
        <v>Male</v>
      </c>
      <c r="I539" t="str">
        <f>'Source Table'!$H$8</f>
        <v>ذكر</v>
      </c>
      <c r="J539" t="str">
        <f t="shared" si="16"/>
        <v>2020/2019</v>
      </c>
      <c r="K539" t="str">
        <f t="shared" si="17"/>
        <v>2020/2019</v>
      </c>
      <c r="L539" s="29">
        <v>15930</v>
      </c>
      <c r="M539" s="18">
        <v>2019</v>
      </c>
    </row>
    <row r="540" ht="21.75" spans="1:13">
      <c r="A540" s="18" t="s">
        <v>155</v>
      </c>
      <c r="B540" s="18" t="s">
        <v>156</v>
      </c>
      <c r="C540" s="18" t="s">
        <v>157</v>
      </c>
      <c r="D540" s="18" t="s">
        <v>158</v>
      </c>
      <c r="E540" s="18" t="s">
        <v>159</v>
      </c>
      <c r="F540" s="19" t="s">
        <v>106</v>
      </c>
      <c r="G540" s="20" t="s">
        <v>107</v>
      </c>
      <c r="H540" t="str">
        <f>'Source Table'!$H$9</f>
        <v>Male</v>
      </c>
      <c r="I540" t="str">
        <f>'Source Table'!$H$8</f>
        <v>ذكر</v>
      </c>
      <c r="J540" t="str">
        <f t="shared" si="16"/>
        <v>2020/2019</v>
      </c>
      <c r="K540" t="str">
        <f t="shared" si="17"/>
        <v>2020/2019</v>
      </c>
      <c r="L540" s="29">
        <v>11972</v>
      </c>
      <c r="M540" s="18">
        <v>2019</v>
      </c>
    </row>
    <row r="541" ht="21.75" spans="1:13">
      <c r="A541" s="18" t="s">
        <v>155</v>
      </c>
      <c r="B541" s="18" t="s">
        <v>156</v>
      </c>
      <c r="C541" s="18" t="s">
        <v>157</v>
      </c>
      <c r="D541" s="18" t="s">
        <v>158</v>
      </c>
      <c r="E541" s="18" t="s">
        <v>159</v>
      </c>
      <c r="F541" s="19" t="s">
        <v>108</v>
      </c>
      <c r="G541" s="20" t="s">
        <v>109</v>
      </c>
      <c r="H541" t="str">
        <f>'Source Table'!$H$9</f>
        <v>Male</v>
      </c>
      <c r="I541" t="str">
        <f>'Source Table'!$H$8</f>
        <v>ذكر</v>
      </c>
      <c r="J541" t="str">
        <f t="shared" si="16"/>
        <v>2020/2019</v>
      </c>
      <c r="K541" t="str">
        <f t="shared" si="17"/>
        <v>2020/2019</v>
      </c>
      <c r="L541" s="29">
        <v>6929</v>
      </c>
      <c r="M541" s="18">
        <v>2019</v>
      </c>
    </row>
    <row r="542" ht="21.75" spans="1:13">
      <c r="A542" s="18" t="s">
        <v>155</v>
      </c>
      <c r="B542" s="18" t="s">
        <v>156</v>
      </c>
      <c r="C542" s="18" t="s">
        <v>157</v>
      </c>
      <c r="D542" s="18" t="s">
        <v>158</v>
      </c>
      <c r="E542" s="18" t="s">
        <v>159</v>
      </c>
      <c r="F542" s="19" t="s">
        <v>110</v>
      </c>
      <c r="G542" s="20" t="s">
        <v>111</v>
      </c>
      <c r="H542" t="str">
        <f>'Source Table'!$H$9</f>
        <v>Male</v>
      </c>
      <c r="I542" t="str">
        <f>'Source Table'!$H$8</f>
        <v>ذكر</v>
      </c>
      <c r="J542" t="str">
        <f t="shared" si="16"/>
        <v>2020/2019</v>
      </c>
      <c r="K542" t="str">
        <f t="shared" si="17"/>
        <v>2020/2019</v>
      </c>
      <c r="L542" s="29">
        <v>8306</v>
      </c>
      <c r="M542" s="18">
        <v>2019</v>
      </c>
    </row>
    <row r="543" ht="21.75" spans="1:13">
      <c r="A543" s="18" t="s">
        <v>155</v>
      </c>
      <c r="B543" s="18" t="s">
        <v>156</v>
      </c>
      <c r="C543" s="18" t="s">
        <v>157</v>
      </c>
      <c r="D543" s="18" t="s">
        <v>158</v>
      </c>
      <c r="E543" s="18" t="s">
        <v>159</v>
      </c>
      <c r="F543" s="19" t="s">
        <v>113</v>
      </c>
      <c r="G543" s="20" t="s">
        <v>114</v>
      </c>
      <c r="H543" t="str">
        <f>'Source Table'!$H$9</f>
        <v>Male</v>
      </c>
      <c r="I543" t="str">
        <f>'Source Table'!$H$8</f>
        <v>ذكر</v>
      </c>
      <c r="J543" t="str">
        <f t="shared" si="16"/>
        <v>2020/2019</v>
      </c>
      <c r="K543" t="str">
        <f t="shared" si="17"/>
        <v>2020/2019</v>
      </c>
      <c r="L543" s="29">
        <v>11008</v>
      </c>
      <c r="M543" s="18">
        <v>2019</v>
      </c>
    </row>
    <row r="544" ht="21.75" spans="1:13">
      <c r="A544" s="18" t="s">
        <v>155</v>
      </c>
      <c r="B544" s="18" t="s">
        <v>156</v>
      </c>
      <c r="C544" s="18" t="s">
        <v>157</v>
      </c>
      <c r="D544" s="18" t="s">
        <v>158</v>
      </c>
      <c r="E544" s="18" t="s">
        <v>159</v>
      </c>
      <c r="F544" s="19" t="s">
        <v>115</v>
      </c>
      <c r="G544" s="20" t="s">
        <v>116</v>
      </c>
      <c r="H544" t="str">
        <f>'Source Table'!$H$9</f>
        <v>Male</v>
      </c>
      <c r="I544" t="str">
        <f>'Source Table'!$H$8</f>
        <v>ذكر</v>
      </c>
      <c r="J544" t="str">
        <f t="shared" si="16"/>
        <v>2020/2019</v>
      </c>
      <c r="K544" t="str">
        <f t="shared" si="17"/>
        <v>2020/2019</v>
      </c>
      <c r="L544" s="29">
        <v>4168</v>
      </c>
      <c r="M544" s="18">
        <v>2019</v>
      </c>
    </row>
    <row r="545" ht="21.75" spans="1:13">
      <c r="A545" s="18" t="s">
        <v>155</v>
      </c>
      <c r="B545" s="18" t="s">
        <v>156</v>
      </c>
      <c r="C545" s="18" t="s">
        <v>157</v>
      </c>
      <c r="D545" s="18" t="s">
        <v>158</v>
      </c>
      <c r="E545" s="18" t="s">
        <v>159</v>
      </c>
      <c r="F545" s="19" t="s">
        <v>118</v>
      </c>
      <c r="G545" s="20" t="s">
        <v>119</v>
      </c>
      <c r="H545" t="str">
        <f>'Source Table'!$H$9</f>
        <v>Male</v>
      </c>
      <c r="I545" t="str">
        <f>'Source Table'!$H$8</f>
        <v>ذكر</v>
      </c>
      <c r="J545" t="str">
        <f t="shared" si="16"/>
        <v>2020/2019</v>
      </c>
      <c r="K545" t="str">
        <f t="shared" si="17"/>
        <v>2020/2019</v>
      </c>
      <c r="L545" s="29">
        <v>6566</v>
      </c>
      <c r="M545" s="18">
        <v>2019</v>
      </c>
    </row>
    <row r="546" ht="21.75" spans="1:13">
      <c r="A546" s="18" t="s">
        <v>155</v>
      </c>
      <c r="B546" s="18" t="s">
        <v>156</v>
      </c>
      <c r="C546" s="18" t="s">
        <v>157</v>
      </c>
      <c r="D546" s="18" t="s">
        <v>158</v>
      </c>
      <c r="E546" s="18" t="s">
        <v>159</v>
      </c>
      <c r="F546" s="19" t="s">
        <v>120</v>
      </c>
      <c r="G546" s="20" t="s">
        <v>121</v>
      </c>
      <c r="H546" t="str">
        <f>'Source Table'!$H$9</f>
        <v>Male</v>
      </c>
      <c r="I546" t="str">
        <f>'Source Table'!$H$8</f>
        <v>ذكر</v>
      </c>
      <c r="J546" t="str">
        <f t="shared" si="16"/>
        <v>2020/2019</v>
      </c>
      <c r="K546" t="str">
        <f t="shared" si="17"/>
        <v>2020/2019</v>
      </c>
      <c r="L546" s="29">
        <v>7725</v>
      </c>
      <c r="M546" s="18">
        <v>2019</v>
      </c>
    </row>
    <row r="547" ht="21.75" spans="1:13">
      <c r="A547" s="18" t="s">
        <v>155</v>
      </c>
      <c r="B547" s="18" t="s">
        <v>156</v>
      </c>
      <c r="C547" s="18" t="s">
        <v>157</v>
      </c>
      <c r="D547" s="18" t="s">
        <v>158</v>
      </c>
      <c r="E547" s="18" t="s">
        <v>159</v>
      </c>
      <c r="F547" s="19" t="s">
        <v>122</v>
      </c>
      <c r="G547" s="20" t="s">
        <v>123</v>
      </c>
      <c r="H547" t="str">
        <f>'Source Table'!$H$9</f>
        <v>Male</v>
      </c>
      <c r="I547" t="str">
        <f>'Source Table'!$H$8</f>
        <v>ذكر</v>
      </c>
      <c r="J547" t="str">
        <f t="shared" si="16"/>
        <v>2020/2019</v>
      </c>
      <c r="K547" t="str">
        <f t="shared" si="17"/>
        <v>2020/2019</v>
      </c>
      <c r="L547" s="29">
        <v>4625</v>
      </c>
      <c r="M547" s="18">
        <v>2019</v>
      </c>
    </row>
    <row r="548" ht="21.75" spans="1:13">
      <c r="A548" s="18" t="s">
        <v>155</v>
      </c>
      <c r="B548" s="18" t="s">
        <v>156</v>
      </c>
      <c r="C548" s="18" t="s">
        <v>157</v>
      </c>
      <c r="D548" s="18" t="s">
        <v>158</v>
      </c>
      <c r="E548" s="18" t="s">
        <v>159</v>
      </c>
      <c r="F548" s="19" t="s">
        <v>124</v>
      </c>
      <c r="G548" s="20" t="s">
        <v>125</v>
      </c>
      <c r="H548" t="str">
        <f>'Source Table'!$H$9</f>
        <v>Male</v>
      </c>
      <c r="I548" t="str">
        <f>'Source Table'!$H$8</f>
        <v>ذكر</v>
      </c>
      <c r="J548" t="str">
        <f t="shared" si="16"/>
        <v>2020/2019</v>
      </c>
      <c r="K548" t="str">
        <f t="shared" si="17"/>
        <v>2020/2019</v>
      </c>
      <c r="L548" s="29">
        <v>1785</v>
      </c>
      <c r="M548" s="18">
        <v>2019</v>
      </c>
    </row>
    <row r="549" ht="21.75" spans="1:13">
      <c r="A549" s="18" t="s">
        <v>155</v>
      </c>
      <c r="B549" s="18" t="s">
        <v>156</v>
      </c>
      <c r="C549" s="18" t="s">
        <v>157</v>
      </c>
      <c r="D549" s="18" t="s">
        <v>158</v>
      </c>
      <c r="E549" s="18" t="s">
        <v>159</v>
      </c>
      <c r="F549" s="19" t="s">
        <v>126</v>
      </c>
      <c r="G549" s="20" t="s">
        <v>127</v>
      </c>
      <c r="H549" t="str">
        <f>'Source Table'!$H$9</f>
        <v>Male</v>
      </c>
      <c r="I549" t="str">
        <f>'Source Table'!$H$8</f>
        <v>ذكر</v>
      </c>
      <c r="J549" t="str">
        <f t="shared" si="16"/>
        <v>2020/2019</v>
      </c>
      <c r="K549" t="str">
        <f t="shared" si="17"/>
        <v>2020/2019</v>
      </c>
      <c r="L549" s="30">
        <v>25501</v>
      </c>
      <c r="M549" s="18">
        <v>2019</v>
      </c>
    </row>
    <row r="550" ht="21.75" spans="1:13">
      <c r="A550" s="18" t="s">
        <v>155</v>
      </c>
      <c r="B550" s="18" t="s">
        <v>156</v>
      </c>
      <c r="C550" s="18" t="s">
        <v>157</v>
      </c>
      <c r="D550" s="18" t="s">
        <v>158</v>
      </c>
      <c r="E550" s="18" t="s">
        <v>159</v>
      </c>
      <c r="F550" s="19" t="s">
        <v>29</v>
      </c>
      <c r="G550" s="20" t="s">
        <v>30</v>
      </c>
      <c r="H550" t="str">
        <f>'Source Table'!$G$9</f>
        <v>Female</v>
      </c>
      <c r="I550" t="str">
        <f>'Source Table'!$G$8</f>
        <v>أنثى</v>
      </c>
      <c r="J550" t="str">
        <f t="shared" si="16"/>
        <v>2020/2019</v>
      </c>
      <c r="K550" t="str">
        <f t="shared" si="17"/>
        <v>2020/2019</v>
      </c>
      <c r="L550" s="29">
        <v>79180</v>
      </c>
      <c r="M550" s="18">
        <v>2019</v>
      </c>
    </row>
    <row r="551" ht="21.75" spans="1:13">
      <c r="A551" s="18" t="s">
        <v>155</v>
      </c>
      <c r="B551" s="18" t="s">
        <v>156</v>
      </c>
      <c r="C551" s="18" t="s">
        <v>157</v>
      </c>
      <c r="D551" s="18" t="s">
        <v>158</v>
      </c>
      <c r="E551" s="18" t="s">
        <v>159</v>
      </c>
      <c r="F551" s="19" t="s">
        <v>32</v>
      </c>
      <c r="G551" s="20" t="s">
        <v>33</v>
      </c>
      <c r="H551" t="str">
        <f>'Source Table'!$G$9</f>
        <v>Female</v>
      </c>
      <c r="I551" t="str">
        <f>'Source Table'!$G$8</f>
        <v>أنثى</v>
      </c>
      <c r="J551" t="str">
        <f t="shared" si="16"/>
        <v>2020/2019</v>
      </c>
      <c r="K551" t="str">
        <f t="shared" si="17"/>
        <v>2020/2019</v>
      </c>
      <c r="L551" s="29">
        <v>69721</v>
      </c>
      <c r="M551" s="18">
        <v>2019</v>
      </c>
    </row>
    <row r="552" ht="21.75" spans="1:13">
      <c r="A552" s="18" t="s">
        <v>155</v>
      </c>
      <c r="B552" s="18" t="s">
        <v>156</v>
      </c>
      <c r="C552" s="18" t="s">
        <v>157</v>
      </c>
      <c r="D552" s="18" t="s">
        <v>158</v>
      </c>
      <c r="E552" s="18" t="s">
        <v>159</v>
      </c>
      <c r="F552" s="19" t="s">
        <v>34</v>
      </c>
      <c r="G552" s="20" t="s">
        <v>35</v>
      </c>
      <c r="H552" t="str">
        <f>'Source Table'!$G$9</f>
        <v>Female</v>
      </c>
      <c r="I552" t="str">
        <f>'Source Table'!$G$8</f>
        <v>أنثى</v>
      </c>
      <c r="J552" t="str">
        <f t="shared" si="16"/>
        <v>2020/2019</v>
      </c>
      <c r="K552" t="str">
        <f t="shared" si="17"/>
        <v>2020/2019</v>
      </c>
      <c r="L552" s="29">
        <v>16233</v>
      </c>
      <c r="M552" s="18">
        <v>2019</v>
      </c>
    </row>
    <row r="553" ht="21.75" spans="1:13">
      <c r="A553" s="18" t="s">
        <v>155</v>
      </c>
      <c r="B553" s="18" t="s">
        <v>156</v>
      </c>
      <c r="C553" s="18" t="s">
        <v>157</v>
      </c>
      <c r="D553" s="18" t="s">
        <v>158</v>
      </c>
      <c r="E553" s="18" t="s">
        <v>159</v>
      </c>
      <c r="F553" s="19" t="s">
        <v>36</v>
      </c>
      <c r="G553" s="20" t="s">
        <v>37</v>
      </c>
      <c r="H553" t="str">
        <f>'Source Table'!$G$9</f>
        <v>Female</v>
      </c>
      <c r="I553" t="str">
        <f>'Source Table'!$G$8</f>
        <v>أنثى</v>
      </c>
      <c r="J553" t="str">
        <f t="shared" si="16"/>
        <v>2020/2019</v>
      </c>
      <c r="K553" t="str">
        <f t="shared" si="17"/>
        <v>2020/2019</v>
      </c>
      <c r="L553" s="29">
        <v>70920</v>
      </c>
      <c r="M553" s="18">
        <v>2019</v>
      </c>
    </row>
    <row r="554" ht="21.75" spans="1:13">
      <c r="A554" s="18" t="s">
        <v>155</v>
      </c>
      <c r="B554" s="18" t="s">
        <v>156</v>
      </c>
      <c r="C554" s="18" t="s">
        <v>157</v>
      </c>
      <c r="D554" s="18" t="s">
        <v>158</v>
      </c>
      <c r="E554" s="18" t="s">
        <v>159</v>
      </c>
      <c r="F554" s="19" t="s">
        <v>38</v>
      </c>
      <c r="G554" s="20" t="s">
        <v>39</v>
      </c>
      <c r="H554" t="str">
        <f>'Source Table'!$G$9</f>
        <v>Female</v>
      </c>
      <c r="I554" t="str">
        <f>'Source Table'!$G$8</f>
        <v>أنثى</v>
      </c>
      <c r="J554" t="str">
        <f t="shared" si="16"/>
        <v>2020/2019</v>
      </c>
      <c r="K554" t="str">
        <f t="shared" si="17"/>
        <v>2020/2019</v>
      </c>
      <c r="L554" s="29">
        <v>94846</v>
      </c>
      <c r="M554" s="18">
        <v>2019</v>
      </c>
    </row>
    <row r="555" ht="21.75" spans="1:13">
      <c r="A555" s="18" t="s">
        <v>155</v>
      </c>
      <c r="B555" s="18" t="s">
        <v>156</v>
      </c>
      <c r="C555" s="18" t="s">
        <v>157</v>
      </c>
      <c r="D555" s="18" t="s">
        <v>158</v>
      </c>
      <c r="E555" s="18" t="s">
        <v>159</v>
      </c>
      <c r="F555" s="19" t="s">
        <v>40</v>
      </c>
      <c r="G555" s="20" t="s">
        <v>41</v>
      </c>
      <c r="H555" t="str">
        <f>'Source Table'!$G$9</f>
        <v>Female</v>
      </c>
      <c r="I555" t="str">
        <f>'Source Table'!$G$8</f>
        <v>أنثى</v>
      </c>
      <c r="J555" t="str">
        <f t="shared" si="16"/>
        <v>2020/2019</v>
      </c>
      <c r="K555" t="str">
        <f t="shared" si="17"/>
        <v>2020/2019</v>
      </c>
      <c r="L555" s="29">
        <v>15203</v>
      </c>
      <c r="M555" s="18">
        <v>2019</v>
      </c>
    </row>
    <row r="556" ht="21.75" spans="1:13">
      <c r="A556" s="18" t="s">
        <v>155</v>
      </c>
      <c r="B556" s="18" t="s">
        <v>156</v>
      </c>
      <c r="C556" s="18" t="s">
        <v>157</v>
      </c>
      <c r="D556" s="18" t="s">
        <v>158</v>
      </c>
      <c r="E556" s="18" t="s">
        <v>159</v>
      </c>
      <c r="F556" s="19" t="s">
        <v>42</v>
      </c>
      <c r="G556" s="20" t="s">
        <v>43</v>
      </c>
      <c r="H556" t="str">
        <f>'Source Table'!$G$9</f>
        <v>Female</v>
      </c>
      <c r="I556" t="str">
        <f>'Source Table'!$G$8</f>
        <v>أنثى</v>
      </c>
      <c r="J556" t="str">
        <f t="shared" si="16"/>
        <v>2020/2019</v>
      </c>
      <c r="K556" t="str">
        <f t="shared" si="17"/>
        <v>2020/2019</v>
      </c>
      <c r="L556" s="29">
        <v>31711</v>
      </c>
      <c r="M556" s="18">
        <v>2019</v>
      </c>
    </row>
    <row r="557" ht="21.75" spans="1:13">
      <c r="A557" s="18" t="s">
        <v>155</v>
      </c>
      <c r="B557" s="18" t="s">
        <v>156</v>
      </c>
      <c r="C557" s="18" t="s">
        <v>157</v>
      </c>
      <c r="D557" s="18" t="s">
        <v>158</v>
      </c>
      <c r="E557" s="18" t="s">
        <v>159</v>
      </c>
      <c r="F557" s="19" t="s">
        <v>44</v>
      </c>
      <c r="G557" s="20" t="s">
        <v>45</v>
      </c>
      <c r="H557" t="str">
        <f>'Source Table'!$G$9</f>
        <v>Female</v>
      </c>
      <c r="I557" t="str">
        <f>'Source Table'!$G$8</f>
        <v>أنثى</v>
      </c>
      <c r="J557" t="str">
        <f t="shared" si="16"/>
        <v>2020/2019</v>
      </c>
      <c r="K557" t="str">
        <f t="shared" si="17"/>
        <v>2020/2019</v>
      </c>
      <c r="L557" s="29">
        <v>8313</v>
      </c>
      <c r="M557" s="18">
        <v>2019</v>
      </c>
    </row>
    <row r="558" ht="21.75" spans="1:13">
      <c r="A558" s="18" t="s">
        <v>155</v>
      </c>
      <c r="B558" s="18" t="s">
        <v>156</v>
      </c>
      <c r="C558" s="18" t="s">
        <v>157</v>
      </c>
      <c r="D558" s="18" t="s">
        <v>158</v>
      </c>
      <c r="E558" s="18" t="s">
        <v>159</v>
      </c>
      <c r="F558" s="19" t="s">
        <v>46</v>
      </c>
      <c r="G558" s="20" t="s">
        <v>47</v>
      </c>
      <c r="H558" t="str">
        <f>'Source Table'!$G$9</f>
        <v>Female</v>
      </c>
      <c r="I558" t="str">
        <f>'Source Table'!$G$8</f>
        <v>أنثى</v>
      </c>
      <c r="J558" t="str">
        <f t="shared" si="16"/>
        <v>2020/2019</v>
      </c>
      <c r="K558" t="str">
        <f t="shared" si="17"/>
        <v>2020/2019</v>
      </c>
      <c r="L558" s="31">
        <v>9600</v>
      </c>
      <c r="M558" s="18">
        <v>2019</v>
      </c>
    </row>
    <row r="559" ht="21.75" spans="1:13">
      <c r="A559" s="18" t="s">
        <v>155</v>
      </c>
      <c r="B559" s="18" t="s">
        <v>156</v>
      </c>
      <c r="C559" s="18" t="s">
        <v>157</v>
      </c>
      <c r="D559" s="18" t="s">
        <v>158</v>
      </c>
      <c r="E559" s="18" t="s">
        <v>159</v>
      </c>
      <c r="F559" s="19" t="s">
        <v>49</v>
      </c>
      <c r="G559" s="20" t="s">
        <v>50</v>
      </c>
      <c r="H559" t="str">
        <f>'Source Table'!$G$9</f>
        <v>Female</v>
      </c>
      <c r="I559" t="str">
        <f>'Source Table'!$G$8</f>
        <v>أنثى</v>
      </c>
      <c r="J559" t="str">
        <f t="shared" si="16"/>
        <v>2020/2019</v>
      </c>
      <c r="K559" t="str">
        <f t="shared" si="17"/>
        <v>2020/2019</v>
      </c>
      <c r="L559" s="29">
        <v>25318</v>
      </c>
      <c r="M559" s="18">
        <v>2019</v>
      </c>
    </row>
    <row r="560" ht="21.75" spans="1:13">
      <c r="A560" s="18" t="s">
        <v>155</v>
      </c>
      <c r="B560" s="18" t="s">
        <v>156</v>
      </c>
      <c r="C560" s="18" t="s">
        <v>157</v>
      </c>
      <c r="D560" s="18" t="s">
        <v>158</v>
      </c>
      <c r="E560" s="18" t="s">
        <v>159</v>
      </c>
      <c r="F560" s="19" t="s">
        <v>52</v>
      </c>
      <c r="G560" s="20" t="s">
        <v>53</v>
      </c>
      <c r="H560" t="str">
        <f>'Source Table'!$G$9</f>
        <v>Female</v>
      </c>
      <c r="I560" t="str">
        <f>'Source Table'!$G$8</f>
        <v>أنثى</v>
      </c>
      <c r="J560" t="str">
        <f t="shared" si="16"/>
        <v>2020/2019</v>
      </c>
      <c r="K560" t="str">
        <f t="shared" si="17"/>
        <v>2020/2019</v>
      </c>
      <c r="L560" s="29">
        <v>9126</v>
      </c>
      <c r="M560" s="18">
        <v>2019</v>
      </c>
    </row>
    <row r="561" ht="21.75" spans="1:13">
      <c r="A561" s="18" t="s">
        <v>155</v>
      </c>
      <c r="B561" s="18" t="s">
        <v>156</v>
      </c>
      <c r="C561" s="18" t="s">
        <v>157</v>
      </c>
      <c r="D561" s="18" t="s">
        <v>158</v>
      </c>
      <c r="E561" s="18" t="s">
        <v>159</v>
      </c>
      <c r="F561" s="19" t="s">
        <v>54</v>
      </c>
      <c r="G561" s="20" t="s">
        <v>55</v>
      </c>
      <c r="H561" t="str">
        <f>'Source Table'!$G$9</f>
        <v>Female</v>
      </c>
      <c r="I561" t="str">
        <f>'Source Table'!$G$8</f>
        <v>أنثى</v>
      </c>
      <c r="J561" t="str">
        <f t="shared" si="16"/>
        <v>2020/2019</v>
      </c>
      <c r="K561" t="str">
        <f t="shared" si="17"/>
        <v>2020/2019</v>
      </c>
      <c r="L561" s="29">
        <v>8051</v>
      </c>
      <c r="M561" s="18">
        <v>2019</v>
      </c>
    </row>
    <row r="562" ht="21.75" spans="1:13">
      <c r="A562" s="18" t="s">
        <v>155</v>
      </c>
      <c r="B562" s="18" t="s">
        <v>156</v>
      </c>
      <c r="C562" s="18" t="s">
        <v>157</v>
      </c>
      <c r="D562" s="18" t="s">
        <v>158</v>
      </c>
      <c r="E562" s="18" t="s">
        <v>159</v>
      </c>
      <c r="F562" s="19" t="s">
        <v>56</v>
      </c>
      <c r="G562" s="20" t="s">
        <v>57</v>
      </c>
      <c r="H562" t="str">
        <f>'Source Table'!$G$9</f>
        <v>Female</v>
      </c>
      <c r="I562" t="str">
        <f>'Source Table'!$G$8</f>
        <v>أنثى</v>
      </c>
      <c r="J562" t="str">
        <f t="shared" si="16"/>
        <v>2020/2019</v>
      </c>
      <c r="K562" t="str">
        <f t="shared" si="17"/>
        <v>2020/2019</v>
      </c>
      <c r="L562" s="29">
        <v>29430</v>
      </c>
      <c r="M562" s="18">
        <v>2019</v>
      </c>
    </row>
    <row r="563" ht="21.75" spans="1:13">
      <c r="A563" s="18" t="s">
        <v>155</v>
      </c>
      <c r="B563" s="18" t="s">
        <v>156</v>
      </c>
      <c r="C563" s="18" t="s">
        <v>157</v>
      </c>
      <c r="D563" s="18" t="s">
        <v>158</v>
      </c>
      <c r="E563" s="18" t="s">
        <v>159</v>
      </c>
      <c r="F563" s="19" t="s">
        <v>59</v>
      </c>
      <c r="G563" s="20" t="s">
        <v>160</v>
      </c>
      <c r="H563" t="str">
        <f>'Source Table'!$G$9</f>
        <v>Female</v>
      </c>
      <c r="I563" t="str">
        <f>'Source Table'!$G$8</f>
        <v>أنثى</v>
      </c>
      <c r="J563" t="str">
        <f t="shared" si="16"/>
        <v>2020/2019</v>
      </c>
      <c r="K563" t="str">
        <f t="shared" si="17"/>
        <v>2020/2019</v>
      </c>
      <c r="L563" s="29">
        <v>70505</v>
      </c>
      <c r="M563" s="18">
        <v>2019</v>
      </c>
    </row>
    <row r="564" ht="21.75" spans="1:13">
      <c r="A564" s="18" t="s">
        <v>155</v>
      </c>
      <c r="B564" s="18" t="s">
        <v>156</v>
      </c>
      <c r="C564" s="18" t="s">
        <v>157</v>
      </c>
      <c r="D564" s="18" t="s">
        <v>158</v>
      </c>
      <c r="E564" s="18" t="s">
        <v>159</v>
      </c>
      <c r="F564" s="19" t="s">
        <v>62</v>
      </c>
      <c r="G564" s="20" t="s">
        <v>161</v>
      </c>
      <c r="H564" t="str">
        <f>'Source Table'!$G$9</f>
        <v>Female</v>
      </c>
      <c r="I564" t="str">
        <f>'Source Table'!$G$8</f>
        <v>أنثى</v>
      </c>
      <c r="J564" t="str">
        <f t="shared" si="16"/>
        <v>2020/2019</v>
      </c>
      <c r="K564" t="str">
        <f t="shared" si="17"/>
        <v>2020/2019</v>
      </c>
      <c r="L564" s="29">
        <v>28464</v>
      </c>
      <c r="M564" s="18">
        <v>2019</v>
      </c>
    </row>
    <row r="565" ht="21.75" spans="1:13">
      <c r="A565" s="18" t="s">
        <v>155</v>
      </c>
      <c r="B565" s="18" t="s">
        <v>156</v>
      </c>
      <c r="C565" s="18" t="s">
        <v>157</v>
      </c>
      <c r="D565" s="18" t="s">
        <v>158</v>
      </c>
      <c r="E565" s="18" t="s">
        <v>159</v>
      </c>
      <c r="F565" s="19" t="s">
        <v>64</v>
      </c>
      <c r="G565" s="20" t="s">
        <v>65</v>
      </c>
      <c r="H565" t="str">
        <f>'Source Table'!$G$9</f>
        <v>Female</v>
      </c>
      <c r="I565" t="str">
        <f>'Source Table'!$G$8</f>
        <v>أنثى</v>
      </c>
      <c r="J565" t="str">
        <f t="shared" si="16"/>
        <v>2020/2019</v>
      </c>
      <c r="K565" t="str">
        <f t="shared" si="17"/>
        <v>2020/2019</v>
      </c>
      <c r="L565" s="29">
        <v>51036</v>
      </c>
      <c r="M565" s="18">
        <v>2019</v>
      </c>
    </row>
    <row r="566" ht="21.75" spans="1:13">
      <c r="A566" s="18" t="s">
        <v>155</v>
      </c>
      <c r="B566" s="18" t="s">
        <v>156</v>
      </c>
      <c r="C566" s="18" t="s">
        <v>157</v>
      </c>
      <c r="D566" s="18" t="s">
        <v>158</v>
      </c>
      <c r="E566" s="18" t="s">
        <v>159</v>
      </c>
      <c r="F566" s="19" t="s">
        <v>68</v>
      </c>
      <c r="G566" s="20" t="s">
        <v>69</v>
      </c>
      <c r="H566" t="str">
        <f>'Source Table'!$G$9</f>
        <v>Female</v>
      </c>
      <c r="I566" t="str">
        <f>'Source Table'!$G$8</f>
        <v>أنثى</v>
      </c>
      <c r="J566" t="str">
        <f t="shared" si="16"/>
        <v>2020/2019</v>
      </c>
      <c r="K566" t="str">
        <f t="shared" si="17"/>
        <v>2020/2019</v>
      </c>
      <c r="L566" s="29">
        <v>22369</v>
      </c>
      <c r="M566" s="18">
        <v>2019</v>
      </c>
    </row>
    <row r="567" ht="21.75" spans="1:13">
      <c r="A567" s="18" t="s">
        <v>155</v>
      </c>
      <c r="B567" s="18" t="s">
        <v>156</v>
      </c>
      <c r="C567" s="18" t="s">
        <v>157</v>
      </c>
      <c r="D567" s="18" t="s">
        <v>158</v>
      </c>
      <c r="E567" s="18" t="s">
        <v>159</v>
      </c>
      <c r="F567" s="19" t="s">
        <v>70</v>
      </c>
      <c r="G567" s="20" t="s">
        <v>71</v>
      </c>
      <c r="H567" t="str">
        <f>'Source Table'!$G$9</f>
        <v>Female</v>
      </c>
      <c r="I567" t="str">
        <f>'Source Table'!$G$8</f>
        <v>أنثى</v>
      </c>
      <c r="J567" t="str">
        <f t="shared" si="16"/>
        <v>2020/2019</v>
      </c>
      <c r="K567" t="str">
        <f t="shared" si="17"/>
        <v>2020/2019</v>
      </c>
      <c r="L567" s="29">
        <v>5580</v>
      </c>
      <c r="M567" s="18">
        <v>2019</v>
      </c>
    </row>
    <row r="568" ht="21.75" spans="1:13">
      <c r="A568" s="18" t="s">
        <v>155</v>
      </c>
      <c r="B568" s="18" t="s">
        <v>156</v>
      </c>
      <c r="C568" s="18" t="s">
        <v>157</v>
      </c>
      <c r="D568" s="18" t="s">
        <v>158</v>
      </c>
      <c r="E568" s="18" t="s">
        <v>159</v>
      </c>
      <c r="F568" s="19" t="s">
        <v>74</v>
      </c>
      <c r="G568" s="20" t="s">
        <v>75</v>
      </c>
      <c r="H568" t="str">
        <f>'Source Table'!$G$9</f>
        <v>Female</v>
      </c>
      <c r="I568" t="str">
        <f>'Source Table'!$G$8</f>
        <v>أنثى</v>
      </c>
      <c r="J568" t="str">
        <f t="shared" si="16"/>
        <v>2020/2019</v>
      </c>
      <c r="K568" t="str">
        <f t="shared" si="17"/>
        <v>2020/2019</v>
      </c>
      <c r="L568" s="29">
        <v>75981</v>
      </c>
      <c r="M568" s="18">
        <v>2019</v>
      </c>
    </row>
    <row r="569" ht="21.75" spans="1:13">
      <c r="A569" s="18" t="s">
        <v>155</v>
      </c>
      <c r="B569" s="18" t="s">
        <v>156</v>
      </c>
      <c r="C569" s="18" t="s">
        <v>157</v>
      </c>
      <c r="D569" s="18" t="s">
        <v>158</v>
      </c>
      <c r="E569" s="18" t="s">
        <v>159</v>
      </c>
      <c r="F569" s="19" t="s">
        <v>76</v>
      </c>
      <c r="G569" s="20" t="s">
        <v>77</v>
      </c>
      <c r="H569" t="str">
        <f>'Source Table'!$G$9</f>
        <v>Female</v>
      </c>
      <c r="I569" t="str">
        <f>'Source Table'!$G$8</f>
        <v>أنثى</v>
      </c>
      <c r="J569" t="str">
        <f t="shared" si="16"/>
        <v>2020/2019</v>
      </c>
      <c r="K569" t="str">
        <f t="shared" si="17"/>
        <v>2020/2019</v>
      </c>
      <c r="L569" s="29">
        <v>25310</v>
      </c>
      <c r="M569" s="18">
        <v>2019</v>
      </c>
    </row>
    <row r="570" ht="21.75" spans="1:13">
      <c r="A570" s="18" t="s">
        <v>155</v>
      </c>
      <c r="B570" s="18" t="s">
        <v>156</v>
      </c>
      <c r="C570" s="18" t="s">
        <v>157</v>
      </c>
      <c r="D570" s="18" t="s">
        <v>158</v>
      </c>
      <c r="E570" s="18" t="s">
        <v>159</v>
      </c>
      <c r="F570" s="19" t="s">
        <v>78</v>
      </c>
      <c r="G570" s="20" t="s">
        <v>79</v>
      </c>
      <c r="H570" t="str">
        <f>'Source Table'!$G$9</f>
        <v>Female</v>
      </c>
      <c r="I570" t="str">
        <f>'Source Table'!$G$8</f>
        <v>أنثى</v>
      </c>
      <c r="J570" t="str">
        <f t="shared" si="16"/>
        <v>2020/2019</v>
      </c>
      <c r="K570" t="str">
        <f t="shared" si="17"/>
        <v>2020/2019</v>
      </c>
      <c r="L570" s="29">
        <v>8507</v>
      </c>
      <c r="M570" s="18">
        <v>2019</v>
      </c>
    </row>
    <row r="571" ht="21.75" spans="1:13">
      <c r="A571" s="18" t="s">
        <v>155</v>
      </c>
      <c r="B571" s="18" t="s">
        <v>156</v>
      </c>
      <c r="C571" s="18" t="s">
        <v>157</v>
      </c>
      <c r="D571" s="18" t="s">
        <v>158</v>
      </c>
      <c r="E571" s="18" t="s">
        <v>159</v>
      </c>
      <c r="F571" s="19" t="s">
        <v>80</v>
      </c>
      <c r="G571" s="20" t="s">
        <v>81</v>
      </c>
      <c r="H571" t="str">
        <f>'Source Table'!$G$9</f>
        <v>Female</v>
      </c>
      <c r="I571" t="str">
        <f>'Source Table'!$G$8</f>
        <v>أنثى</v>
      </c>
      <c r="J571" t="str">
        <f t="shared" si="16"/>
        <v>2020/2019</v>
      </c>
      <c r="K571" t="str">
        <f t="shared" si="17"/>
        <v>2020/2019</v>
      </c>
      <c r="L571" s="29">
        <v>10154</v>
      </c>
      <c r="M571" s="18">
        <v>2019</v>
      </c>
    </row>
    <row r="572" ht="21.75" spans="1:13">
      <c r="A572" s="18" t="s">
        <v>155</v>
      </c>
      <c r="B572" s="18" t="s">
        <v>156</v>
      </c>
      <c r="C572" s="18" t="s">
        <v>157</v>
      </c>
      <c r="D572" s="18" t="s">
        <v>158</v>
      </c>
      <c r="E572" s="18" t="s">
        <v>159</v>
      </c>
      <c r="F572" s="19" t="s">
        <v>82</v>
      </c>
      <c r="G572" s="20" t="s">
        <v>83</v>
      </c>
      <c r="H572" t="str">
        <f>'Source Table'!$G$9</f>
        <v>Female</v>
      </c>
      <c r="I572" t="str">
        <f>'Source Table'!$G$8</f>
        <v>أنثى</v>
      </c>
      <c r="J572" t="str">
        <f t="shared" si="16"/>
        <v>2020/2019</v>
      </c>
      <c r="K572" t="str">
        <f t="shared" si="17"/>
        <v>2020/2019</v>
      </c>
      <c r="L572" s="29">
        <v>17534</v>
      </c>
      <c r="M572" s="18">
        <v>2019</v>
      </c>
    </row>
    <row r="573" ht="21.75" spans="1:13">
      <c r="A573" s="18" t="s">
        <v>155</v>
      </c>
      <c r="B573" s="18" t="s">
        <v>156</v>
      </c>
      <c r="C573" s="18" t="s">
        <v>157</v>
      </c>
      <c r="D573" s="18" t="s">
        <v>158</v>
      </c>
      <c r="E573" s="18" t="s">
        <v>159</v>
      </c>
      <c r="F573" s="19" t="s">
        <v>84</v>
      </c>
      <c r="G573" s="20" t="s">
        <v>85</v>
      </c>
      <c r="H573" t="str">
        <f>'Source Table'!$G$9</f>
        <v>Female</v>
      </c>
      <c r="I573" t="str">
        <f>'Source Table'!$G$8</f>
        <v>أنثى</v>
      </c>
      <c r="J573" t="str">
        <f t="shared" si="16"/>
        <v>2020/2019</v>
      </c>
      <c r="K573" t="str">
        <f t="shared" si="17"/>
        <v>2020/2019</v>
      </c>
      <c r="L573" s="29">
        <v>14024</v>
      </c>
      <c r="M573" s="18">
        <v>2019</v>
      </c>
    </row>
    <row r="574" ht="21.75" spans="1:13">
      <c r="A574" s="18" t="s">
        <v>155</v>
      </c>
      <c r="B574" s="18" t="s">
        <v>156</v>
      </c>
      <c r="C574" s="18" t="s">
        <v>157</v>
      </c>
      <c r="D574" s="18" t="s">
        <v>158</v>
      </c>
      <c r="E574" s="18" t="s">
        <v>159</v>
      </c>
      <c r="F574" s="19" t="s">
        <v>86</v>
      </c>
      <c r="G574" s="20" t="s">
        <v>87</v>
      </c>
      <c r="H574" t="str">
        <f>'Source Table'!$G$9</f>
        <v>Female</v>
      </c>
      <c r="I574" t="str">
        <f>'Source Table'!$G$8</f>
        <v>أنثى</v>
      </c>
      <c r="J574" t="str">
        <f t="shared" si="16"/>
        <v>2020/2019</v>
      </c>
      <c r="K574" t="str">
        <f t="shared" si="17"/>
        <v>2020/2019</v>
      </c>
      <c r="L574" s="29">
        <v>13785</v>
      </c>
      <c r="M574" s="18">
        <v>2019</v>
      </c>
    </row>
    <row r="575" ht="21.75" spans="1:13">
      <c r="A575" s="18" t="s">
        <v>155</v>
      </c>
      <c r="B575" s="18" t="s">
        <v>156</v>
      </c>
      <c r="C575" s="18" t="s">
        <v>157</v>
      </c>
      <c r="D575" s="18" t="s">
        <v>158</v>
      </c>
      <c r="E575" s="18" t="s">
        <v>159</v>
      </c>
      <c r="F575" s="19" t="s">
        <v>88</v>
      </c>
      <c r="G575" s="20" t="s">
        <v>89</v>
      </c>
      <c r="H575" t="str">
        <f>'Source Table'!$G$9</f>
        <v>Female</v>
      </c>
      <c r="I575" t="str">
        <f>'Source Table'!$G$8</f>
        <v>أنثى</v>
      </c>
      <c r="J575" t="str">
        <f t="shared" si="16"/>
        <v>2020/2019</v>
      </c>
      <c r="K575" t="str">
        <f t="shared" si="17"/>
        <v>2020/2019</v>
      </c>
      <c r="L575" s="29">
        <v>25673</v>
      </c>
      <c r="M575" s="18">
        <v>2019</v>
      </c>
    </row>
    <row r="576" ht="21.75" spans="1:13">
      <c r="A576" s="18" t="s">
        <v>155</v>
      </c>
      <c r="B576" s="18" t="s">
        <v>156</v>
      </c>
      <c r="C576" s="18" t="s">
        <v>157</v>
      </c>
      <c r="D576" s="18" t="s">
        <v>158</v>
      </c>
      <c r="E576" s="18" t="s">
        <v>159</v>
      </c>
      <c r="F576" s="19" t="s">
        <v>91</v>
      </c>
      <c r="G576" s="20" t="s">
        <v>92</v>
      </c>
      <c r="H576" t="str">
        <f>'Source Table'!$G$9</f>
        <v>Female</v>
      </c>
      <c r="I576" t="str">
        <f>'Source Table'!$G$8</f>
        <v>أنثى</v>
      </c>
      <c r="J576" t="str">
        <f t="shared" si="16"/>
        <v>2020/2019</v>
      </c>
      <c r="K576" t="str">
        <f t="shared" si="17"/>
        <v>2020/2019</v>
      </c>
      <c r="L576" s="29">
        <v>25217</v>
      </c>
      <c r="M576" s="18">
        <v>2019</v>
      </c>
    </row>
    <row r="577" ht="21.75" spans="1:13">
      <c r="A577" s="18" t="s">
        <v>155</v>
      </c>
      <c r="B577" s="18" t="s">
        <v>156</v>
      </c>
      <c r="C577" s="18" t="s">
        <v>157</v>
      </c>
      <c r="D577" s="18" t="s">
        <v>158</v>
      </c>
      <c r="E577" s="18" t="s">
        <v>159</v>
      </c>
      <c r="F577" s="19" t="s">
        <v>94</v>
      </c>
      <c r="G577" s="20" t="s">
        <v>95</v>
      </c>
      <c r="H577" t="str">
        <f>'Source Table'!$G$9</f>
        <v>Female</v>
      </c>
      <c r="I577" t="str">
        <f>'Source Table'!$G$8</f>
        <v>أنثى</v>
      </c>
      <c r="J577" t="str">
        <f t="shared" si="16"/>
        <v>2020/2019</v>
      </c>
      <c r="K577" t="str">
        <f t="shared" si="17"/>
        <v>2020/2019</v>
      </c>
      <c r="L577" s="29">
        <v>15740</v>
      </c>
      <c r="M577" s="18">
        <v>2019</v>
      </c>
    </row>
    <row r="578" ht="21.75" spans="1:13">
      <c r="A578" s="18" t="s">
        <v>155</v>
      </c>
      <c r="B578" s="18" t="s">
        <v>156</v>
      </c>
      <c r="C578" s="18" t="s">
        <v>157</v>
      </c>
      <c r="D578" s="18" t="s">
        <v>158</v>
      </c>
      <c r="E578" s="18" t="s">
        <v>159</v>
      </c>
      <c r="F578" s="19" t="s">
        <v>96</v>
      </c>
      <c r="G578" s="20" t="s">
        <v>97</v>
      </c>
      <c r="H578" t="str">
        <f>'Source Table'!$G$9</f>
        <v>Female</v>
      </c>
      <c r="I578" t="str">
        <f>'Source Table'!$G$8</f>
        <v>أنثى</v>
      </c>
      <c r="J578" t="str">
        <f t="shared" si="16"/>
        <v>2020/2019</v>
      </c>
      <c r="K578" t="str">
        <f t="shared" si="17"/>
        <v>2020/2019</v>
      </c>
      <c r="L578" s="29">
        <v>29119</v>
      </c>
      <c r="M578" s="18">
        <v>2019</v>
      </c>
    </row>
    <row r="579" ht="21.75" spans="1:13">
      <c r="A579" s="18" t="s">
        <v>155</v>
      </c>
      <c r="B579" s="18" t="s">
        <v>156</v>
      </c>
      <c r="C579" s="18" t="s">
        <v>157</v>
      </c>
      <c r="D579" s="18" t="s">
        <v>158</v>
      </c>
      <c r="E579" s="18" t="s">
        <v>159</v>
      </c>
      <c r="F579" s="19" t="s">
        <v>98</v>
      </c>
      <c r="G579" s="20" t="s">
        <v>99</v>
      </c>
      <c r="H579" t="str">
        <f>'Source Table'!$G$9</f>
        <v>Female</v>
      </c>
      <c r="I579" t="str">
        <f>'Source Table'!$G$8</f>
        <v>أنثى</v>
      </c>
      <c r="J579" t="str">
        <f t="shared" si="16"/>
        <v>2020/2019</v>
      </c>
      <c r="K579" t="str">
        <f t="shared" si="17"/>
        <v>2020/2019</v>
      </c>
      <c r="L579" s="30">
        <v>31840</v>
      </c>
      <c r="M579" s="18">
        <v>2019</v>
      </c>
    </row>
    <row r="580" ht="21.75" spans="1:13">
      <c r="A580" s="18" t="s">
        <v>155</v>
      </c>
      <c r="B580" s="18" t="s">
        <v>156</v>
      </c>
      <c r="C580" s="18" t="s">
        <v>157</v>
      </c>
      <c r="D580" s="18" t="s">
        <v>158</v>
      </c>
      <c r="E580" s="18" t="s">
        <v>159</v>
      </c>
      <c r="F580" s="19" t="s">
        <v>100</v>
      </c>
      <c r="G580" s="20" t="s">
        <v>101</v>
      </c>
      <c r="H580" t="str">
        <f>'Source Table'!$G$9</f>
        <v>Female</v>
      </c>
      <c r="I580" t="str">
        <f>'Source Table'!$G$8</f>
        <v>أنثى</v>
      </c>
      <c r="J580" t="str">
        <f t="shared" si="16"/>
        <v>2020/2019</v>
      </c>
      <c r="K580" t="str">
        <f t="shared" si="17"/>
        <v>2020/2019</v>
      </c>
      <c r="L580" s="30">
        <v>23004</v>
      </c>
      <c r="M580" s="18">
        <v>2019</v>
      </c>
    </row>
    <row r="581" ht="21.75" spans="1:13">
      <c r="A581" s="18" t="s">
        <v>155</v>
      </c>
      <c r="B581" s="18" t="s">
        <v>156</v>
      </c>
      <c r="C581" s="18" t="s">
        <v>157</v>
      </c>
      <c r="D581" s="18" t="s">
        <v>158</v>
      </c>
      <c r="E581" s="18" t="s">
        <v>159</v>
      </c>
      <c r="F581" s="19" t="s">
        <v>103</v>
      </c>
      <c r="G581" s="20" t="s">
        <v>104</v>
      </c>
      <c r="H581" t="str">
        <f>'Source Table'!$G$9</f>
        <v>Female</v>
      </c>
      <c r="I581" t="str">
        <f>'Source Table'!$G$8</f>
        <v>أنثى</v>
      </c>
      <c r="J581" t="str">
        <f t="shared" ref="J581:J644" si="18">TEXT(M581+1,"0")&amp;"/"&amp;TEXT(M581,"0")</f>
        <v>2020/2019</v>
      </c>
      <c r="K581" t="str">
        <f t="shared" ref="K581:K644" si="19">TEXT(M581+1,"0")&amp;"/"&amp;TEXT(M581,"0")</f>
        <v>2020/2019</v>
      </c>
      <c r="L581" s="29">
        <v>15372</v>
      </c>
      <c r="M581" s="18">
        <v>2019</v>
      </c>
    </row>
    <row r="582" ht="21.75" spans="1:13">
      <c r="A582" s="18" t="s">
        <v>155</v>
      </c>
      <c r="B582" s="18" t="s">
        <v>156</v>
      </c>
      <c r="C582" s="18" t="s">
        <v>157</v>
      </c>
      <c r="D582" s="18" t="s">
        <v>158</v>
      </c>
      <c r="E582" s="18" t="s">
        <v>159</v>
      </c>
      <c r="F582" s="19" t="s">
        <v>106</v>
      </c>
      <c r="G582" s="20" t="s">
        <v>107</v>
      </c>
      <c r="H582" t="str">
        <f>'Source Table'!$G$9</f>
        <v>Female</v>
      </c>
      <c r="I582" t="str">
        <f>'Source Table'!$G$8</f>
        <v>أنثى</v>
      </c>
      <c r="J582" t="str">
        <f t="shared" si="18"/>
        <v>2020/2019</v>
      </c>
      <c r="K582" t="str">
        <f t="shared" si="19"/>
        <v>2020/2019</v>
      </c>
      <c r="L582" s="29">
        <v>11640</v>
      </c>
      <c r="M582" s="18">
        <v>2019</v>
      </c>
    </row>
    <row r="583" ht="21.75" spans="1:13">
      <c r="A583" s="18" t="s">
        <v>155</v>
      </c>
      <c r="B583" s="18" t="s">
        <v>156</v>
      </c>
      <c r="C583" s="18" t="s">
        <v>157</v>
      </c>
      <c r="D583" s="18" t="s">
        <v>158</v>
      </c>
      <c r="E583" s="18" t="s">
        <v>159</v>
      </c>
      <c r="F583" s="19" t="s">
        <v>108</v>
      </c>
      <c r="G583" s="20" t="s">
        <v>109</v>
      </c>
      <c r="H583" t="str">
        <f>'Source Table'!$G$9</f>
        <v>Female</v>
      </c>
      <c r="I583" t="str">
        <f>'Source Table'!$G$8</f>
        <v>أنثى</v>
      </c>
      <c r="J583" t="str">
        <f t="shared" si="18"/>
        <v>2020/2019</v>
      </c>
      <c r="K583" t="str">
        <f t="shared" si="19"/>
        <v>2020/2019</v>
      </c>
      <c r="L583" s="29">
        <v>6702</v>
      </c>
      <c r="M583" s="18">
        <v>2019</v>
      </c>
    </row>
    <row r="584" ht="21.75" spans="1:13">
      <c r="A584" s="18" t="s">
        <v>155</v>
      </c>
      <c r="B584" s="18" t="s">
        <v>156</v>
      </c>
      <c r="C584" s="18" t="s">
        <v>157</v>
      </c>
      <c r="D584" s="18" t="s">
        <v>158</v>
      </c>
      <c r="E584" s="18" t="s">
        <v>159</v>
      </c>
      <c r="F584" s="19" t="s">
        <v>110</v>
      </c>
      <c r="G584" s="20" t="s">
        <v>111</v>
      </c>
      <c r="H584" t="str">
        <f>'Source Table'!$G$9</f>
        <v>Female</v>
      </c>
      <c r="I584" t="str">
        <f>'Source Table'!$G$8</f>
        <v>أنثى</v>
      </c>
      <c r="J584" t="str">
        <f t="shared" si="18"/>
        <v>2020/2019</v>
      </c>
      <c r="K584" t="str">
        <f t="shared" si="19"/>
        <v>2020/2019</v>
      </c>
      <c r="L584" s="29">
        <v>8191</v>
      </c>
      <c r="M584" s="18">
        <v>2019</v>
      </c>
    </row>
    <row r="585" ht="21.75" spans="1:13">
      <c r="A585" s="18" t="s">
        <v>155</v>
      </c>
      <c r="B585" s="18" t="s">
        <v>156</v>
      </c>
      <c r="C585" s="18" t="s">
        <v>157</v>
      </c>
      <c r="D585" s="18" t="s">
        <v>158</v>
      </c>
      <c r="E585" s="18" t="s">
        <v>159</v>
      </c>
      <c r="F585" s="19" t="s">
        <v>113</v>
      </c>
      <c r="G585" s="20" t="s">
        <v>114</v>
      </c>
      <c r="H585" t="str">
        <f>'Source Table'!$G$9</f>
        <v>Female</v>
      </c>
      <c r="I585" t="str">
        <f>'Source Table'!$G$8</f>
        <v>أنثى</v>
      </c>
      <c r="J585" t="str">
        <f t="shared" si="18"/>
        <v>2020/2019</v>
      </c>
      <c r="K585" t="str">
        <f t="shared" si="19"/>
        <v>2020/2019</v>
      </c>
      <c r="L585" s="29">
        <v>10779</v>
      </c>
      <c r="M585" s="18">
        <v>2019</v>
      </c>
    </row>
    <row r="586" ht="21.75" spans="1:13">
      <c r="A586" s="18" t="s">
        <v>155</v>
      </c>
      <c r="B586" s="18" t="s">
        <v>156</v>
      </c>
      <c r="C586" s="18" t="s">
        <v>157</v>
      </c>
      <c r="D586" s="18" t="s">
        <v>158</v>
      </c>
      <c r="E586" s="18" t="s">
        <v>159</v>
      </c>
      <c r="F586" s="19" t="s">
        <v>115</v>
      </c>
      <c r="G586" s="20" t="s">
        <v>116</v>
      </c>
      <c r="H586" t="str">
        <f>'Source Table'!$G$9</f>
        <v>Female</v>
      </c>
      <c r="I586" t="str">
        <f>'Source Table'!$G$8</f>
        <v>أنثى</v>
      </c>
      <c r="J586" t="str">
        <f t="shared" si="18"/>
        <v>2020/2019</v>
      </c>
      <c r="K586" t="str">
        <f t="shared" si="19"/>
        <v>2020/2019</v>
      </c>
      <c r="L586" s="29">
        <v>4098</v>
      </c>
      <c r="M586" s="18">
        <v>2019</v>
      </c>
    </row>
    <row r="587" ht="21.75" spans="1:13">
      <c r="A587" s="18" t="s">
        <v>155</v>
      </c>
      <c r="B587" s="18" t="s">
        <v>156</v>
      </c>
      <c r="C587" s="18" t="s">
        <v>157</v>
      </c>
      <c r="D587" s="18" t="s">
        <v>158</v>
      </c>
      <c r="E587" s="18" t="s">
        <v>159</v>
      </c>
      <c r="F587" s="19" t="s">
        <v>118</v>
      </c>
      <c r="G587" s="20" t="s">
        <v>119</v>
      </c>
      <c r="H587" t="str">
        <f>'Source Table'!$G$9</f>
        <v>Female</v>
      </c>
      <c r="I587" t="str">
        <f>'Source Table'!$G$8</f>
        <v>أنثى</v>
      </c>
      <c r="J587" t="str">
        <f t="shared" si="18"/>
        <v>2020/2019</v>
      </c>
      <c r="K587" t="str">
        <f t="shared" si="19"/>
        <v>2020/2019</v>
      </c>
      <c r="L587" s="29">
        <v>6379</v>
      </c>
      <c r="M587" s="18">
        <v>2019</v>
      </c>
    </row>
    <row r="588" ht="21.75" spans="1:13">
      <c r="A588" s="18" t="s">
        <v>155</v>
      </c>
      <c r="B588" s="18" t="s">
        <v>156</v>
      </c>
      <c r="C588" s="18" t="s">
        <v>157</v>
      </c>
      <c r="D588" s="18" t="s">
        <v>158</v>
      </c>
      <c r="E588" s="18" t="s">
        <v>159</v>
      </c>
      <c r="F588" s="19" t="s">
        <v>120</v>
      </c>
      <c r="G588" s="20" t="s">
        <v>121</v>
      </c>
      <c r="H588" t="str">
        <f>'Source Table'!$G$9</f>
        <v>Female</v>
      </c>
      <c r="I588" t="str">
        <f>'Source Table'!$G$8</f>
        <v>أنثى</v>
      </c>
      <c r="J588" t="str">
        <f t="shared" si="18"/>
        <v>2020/2019</v>
      </c>
      <c r="K588" t="str">
        <f t="shared" si="19"/>
        <v>2020/2019</v>
      </c>
      <c r="L588" s="29">
        <v>7895</v>
      </c>
      <c r="M588" s="18">
        <v>2019</v>
      </c>
    </row>
    <row r="589" ht="21.75" spans="1:13">
      <c r="A589" s="18" t="s">
        <v>155</v>
      </c>
      <c r="B589" s="18" t="s">
        <v>156</v>
      </c>
      <c r="C589" s="18" t="s">
        <v>157</v>
      </c>
      <c r="D589" s="18" t="s">
        <v>158</v>
      </c>
      <c r="E589" s="18" t="s">
        <v>159</v>
      </c>
      <c r="F589" s="19" t="s">
        <v>122</v>
      </c>
      <c r="G589" s="20" t="s">
        <v>123</v>
      </c>
      <c r="H589" t="str">
        <f>'Source Table'!$G$9</f>
        <v>Female</v>
      </c>
      <c r="I589" t="str">
        <f>'Source Table'!$G$8</f>
        <v>أنثى</v>
      </c>
      <c r="J589" t="str">
        <f t="shared" si="18"/>
        <v>2020/2019</v>
      </c>
      <c r="K589" t="str">
        <f t="shared" si="19"/>
        <v>2020/2019</v>
      </c>
      <c r="L589" s="29">
        <v>4949</v>
      </c>
      <c r="M589" s="18">
        <v>2019</v>
      </c>
    </row>
    <row r="590" ht="21.75" spans="1:13">
      <c r="A590" s="18" t="s">
        <v>155</v>
      </c>
      <c r="B590" s="18" t="s">
        <v>156</v>
      </c>
      <c r="C590" s="18" t="s">
        <v>157</v>
      </c>
      <c r="D590" s="18" t="s">
        <v>158</v>
      </c>
      <c r="E590" s="18" t="s">
        <v>159</v>
      </c>
      <c r="F590" s="19" t="s">
        <v>124</v>
      </c>
      <c r="G590" s="20" t="s">
        <v>125</v>
      </c>
      <c r="H590" t="str">
        <f>'Source Table'!$G$9</f>
        <v>Female</v>
      </c>
      <c r="I590" t="str">
        <f>'Source Table'!$G$8</f>
        <v>أنثى</v>
      </c>
      <c r="J590" t="str">
        <f t="shared" si="18"/>
        <v>2020/2019</v>
      </c>
      <c r="K590" t="str">
        <f t="shared" si="19"/>
        <v>2020/2019</v>
      </c>
      <c r="L590" s="29">
        <v>1818</v>
      </c>
      <c r="M590" s="18">
        <v>2019</v>
      </c>
    </row>
    <row r="591" ht="21.75" spans="1:13">
      <c r="A591" s="18" t="s">
        <v>155</v>
      </c>
      <c r="B591" s="18" t="s">
        <v>156</v>
      </c>
      <c r="C591" s="18" t="s">
        <v>157</v>
      </c>
      <c r="D591" s="18" t="s">
        <v>158</v>
      </c>
      <c r="E591" s="18" t="s">
        <v>159</v>
      </c>
      <c r="F591" s="19" t="s">
        <v>126</v>
      </c>
      <c r="G591" s="20" t="s">
        <v>127</v>
      </c>
      <c r="H591" t="str">
        <f>'Source Table'!$G$9</f>
        <v>Female</v>
      </c>
      <c r="I591" t="str">
        <f>'Source Table'!$G$8</f>
        <v>أنثى</v>
      </c>
      <c r="J591" t="str">
        <f t="shared" si="18"/>
        <v>2020/2019</v>
      </c>
      <c r="K591" t="str">
        <f t="shared" si="19"/>
        <v>2020/2019</v>
      </c>
      <c r="L591" s="30">
        <v>24877</v>
      </c>
      <c r="M591" s="18">
        <v>2019</v>
      </c>
    </row>
    <row r="592" ht="21.75" spans="1:13">
      <c r="A592" s="18" t="s">
        <v>155</v>
      </c>
      <c r="B592" s="18" t="s">
        <v>156</v>
      </c>
      <c r="C592" s="18" t="s">
        <v>162</v>
      </c>
      <c r="D592" s="18" t="s">
        <v>158</v>
      </c>
      <c r="E592" s="18" t="s">
        <v>159</v>
      </c>
      <c r="F592" s="19" t="s">
        <v>29</v>
      </c>
      <c r="G592" s="20" t="s">
        <v>30</v>
      </c>
      <c r="H592" t="str">
        <f>'Source Table'!$H$9</f>
        <v>Male</v>
      </c>
      <c r="I592" t="str">
        <f>'Source Table'!$H$8</f>
        <v>ذكر</v>
      </c>
      <c r="J592" t="str">
        <f t="shared" si="18"/>
        <v>2020/2019</v>
      </c>
      <c r="K592" t="str">
        <f t="shared" si="19"/>
        <v>2020/2019</v>
      </c>
      <c r="L592" s="29">
        <v>2615</v>
      </c>
      <c r="M592" s="18">
        <v>2019</v>
      </c>
    </row>
    <row r="593" ht="21.75" spans="1:13">
      <c r="A593" s="18" t="s">
        <v>155</v>
      </c>
      <c r="B593" s="18" t="s">
        <v>156</v>
      </c>
      <c r="C593" s="18" t="s">
        <v>162</v>
      </c>
      <c r="D593" s="18" t="s">
        <v>158</v>
      </c>
      <c r="E593" s="18" t="s">
        <v>159</v>
      </c>
      <c r="F593" s="19" t="s">
        <v>32</v>
      </c>
      <c r="G593" s="20" t="s">
        <v>33</v>
      </c>
      <c r="H593" t="str">
        <f>'Source Table'!$H$9</f>
        <v>Male</v>
      </c>
      <c r="I593" t="str">
        <f>'Source Table'!$H$8</f>
        <v>ذكر</v>
      </c>
      <c r="J593" t="str">
        <f t="shared" si="18"/>
        <v>2020/2019</v>
      </c>
      <c r="K593" t="str">
        <f t="shared" si="19"/>
        <v>2020/2019</v>
      </c>
      <c r="L593" s="29">
        <v>2210</v>
      </c>
      <c r="M593" s="18">
        <v>2019</v>
      </c>
    </row>
    <row r="594" ht="21.75" spans="1:13">
      <c r="A594" s="18" t="s">
        <v>155</v>
      </c>
      <c r="B594" s="18" t="s">
        <v>156</v>
      </c>
      <c r="C594" s="18" t="s">
        <v>162</v>
      </c>
      <c r="D594" s="18" t="s">
        <v>158</v>
      </c>
      <c r="E594" s="18" t="s">
        <v>159</v>
      </c>
      <c r="F594" s="19" t="s">
        <v>34</v>
      </c>
      <c r="G594" s="20" t="s">
        <v>35</v>
      </c>
      <c r="H594" t="str">
        <f>'Source Table'!$H$9</f>
        <v>Male</v>
      </c>
      <c r="I594" t="str">
        <f>'Source Table'!$H$8</f>
        <v>ذكر</v>
      </c>
      <c r="J594" t="str">
        <f t="shared" si="18"/>
        <v>2020/2019</v>
      </c>
      <c r="K594" t="str">
        <f t="shared" si="19"/>
        <v>2020/2019</v>
      </c>
      <c r="L594" s="29">
        <v>496</v>
      </c>
      <c r="M594" s="18">
        <v>2019</v>
      </c>
    </row>
    <row r="595" ht="21.75" spans="1:13">
      <c r="A595" s="18" t="s">
        <v>155</v>
      </c>
      <c r="B595" s="18" t="s">
        <v>156</v>
      </c>
      <c r="C595" s="18" t="s">
        <v>162</v>
      </c>
      <c r="D595" s="18" t="s">
        <v>158</v>
      </c>
      <c r="E595" s="18" t="s">
        <v>159</v>
      </c>
      <c r="F595" s="19" t="s">
        <v>36</v>
      </c>
      <c r="G595" s="20" t="s">
        <v>37</v>
      </c>
      <c r="H595" t="str">
        <f>'Source Table'!$H$9</f>
        <v>Male</v>
      </c>
      <c r="I595" t="str">
        <f>'Source Table'!$H$8</f>
        <v>ذكر</v>
      </c>
      <c r="J595" t="str">
        <f t="shared" si="18"/>
        <v>2020/2019</v>
      </c>
      <c r="K595" t="str">
        <f t="shared" si="19"/>
        <v>2020/2019</v>
      </c>
      <c r="L595" s="29">
        <v>1701</v>
      </c>
      <c r="M595" s="18">
        <v>2019</v>
      </c>
    </row>
    <row r="596" ht="21.75" spans="1:13">
      <c r="A596" s="18" t="s">
        <v>155</v>
      </c>
      <c r="B596" s="18" t="s">
        <v>156</v>
      </c>
      <c r="C596" s="18" t="s">
        <v>162</v>
      </c>
      <c r="D596" s="18" t="s">
        <v>158</v>
      </c>
      <c r="E596" s="18" t="s">
        <v>159</v>
      </c>
      <c r="F596" s="19" t="s">
        <v>38</v>
      </c>
      <c r="G596" s="20" t="s">
        <v>39</v>
      </c>
      <c r="H596" t="str">
        <f>'Source Table'!$H$9</f>
        <v>Male</v>
      </c>
      <c r="I596" t="str">
        <f>'Source Table'!$H$8</f>
        <v>ذكر</v>
      </c>
      <c r="J596" t="str">
        <f t="shared" si="18"/>
        <v>2020/2019</v>
      </c>
      <c r="K596" t="str">
        <f t="shared" si="19"/>
        <v>2020/2019</v>
      </c>
      <c r="L596" s="29">
        <v>3113</v>
      </c>
      <c r="M596" s="18">
        <v>2019</v>
      </c>
    </row>
    <row r="597" ht="21.75" spans="1:13">
      <c r="A597" s="18" t="s">
        <v>155</v>
      </c>
      <c r="B597" s="18" t="s">
        <v>156</v>
      </c>
      <c r="C597" s="18" t="s">
        <v>162</v>
      </c>
      <c r="D597" s="18" t="s">
        <v>158</v>
      </c>
      <c r="E597" s="18" t="s">
        <v>159</v>
      </c>
      <c r="F597" s="19" t="s">
        <v>40</v>
      </c>
      <c r="G597" s="20" t="s">
        <v>41</v>
      </c>
      <c r="H597" t="str">
        <f>'Source Table'!$H$9</f>
        <v>Male</v>
      </c>
      <c r="I597" t="str">
        <f>'Source Table'!$H$8</f>
        <v>ذكر</v>
      </c>
      <c r="J597" t="str">
        <f t="shared" si="18"/>
        <v>2020/2019</v>
      </c>
      <c r="K597" t="str">
        <f t="shared" si="19"/>
        <v>2020/2019</v>
      </c>
      <c r="L597" s="29">
        <v>557</v>
      </c>
      <c r="M597" s="18">
        <v>2019</v>
      </c>
    </row>
    <row r="598" ht="21.75" spans="1:13">
      <c r="A598" s="18" t="s">
        <v>155</v>
      </c>
      <c r="B598" s="18" t="s">
        <v>156</v>
      </c>
      <c r="C598" s="18" t="s">
        <v>162</v>
      </c>
      <c r="D598" s="18" t="s">
        <v>158</v>
      </c>
      <c r="E598" s="18" t="s">
        <v>159</v>
      </c>
      <c r="F598" s="19" t="s">
        <v>42</v>
      </c>
      <c r="G598" s="20" t="s">
        <v>43</v>
      </c>
      <c r="H598" t="str">
        <f>'Source Table'!$H$9</f>
        <v>Male</v>
      </c>
      <c r="I598" t="str">
        <f>'Source Table'!$H$8</f>
        <v>ذكر</v>
      </c>
      <c r="J598" t="str">
        <f t="shared" si="18"/>
        <v>2020/2019</v>
      </c>
      <c r="K598" t="str">
        <f t="shared" si="19"/>
        <v>2020/2019</v>
      </c>
      <c r="L598" s="29">
        <v>964</v>
      </c>
      <c r="M598" s="18">
        <v>2019</v>
      </c>
    </row>
    <row r="599" ht="21.75" spans="1:13">
      <c r="A599" s="18" t="s">
        <v>155</v>
      </c>
      <c r="B599" s="18" t="s">
        <v>156</v>
      </c>
      <c r="C599" s="18" t="s">
        <v>162</v>
      </c>
      <c r="D599" s="18" t="s">
        <v>158</v>
      </c>
      <c r="E599" s="18" t="s">
        <v>159</v>
      </c>
      <c r="F599" s="19" t="s">
        <v>44</v>
      </c>
      <c r="G599" s="20" t="s">
        <v>45</v>
      </c>
      <c r="H599" t="str">
        <f>'Source Table'!$H$9</f>
        <v>Male</v>
      </c>
      <c r="I599" t="str">
        <f>'Source Table'!$H$8</f>
        <v>ذكر</v>
      </c>
      <c r="J599" t="str">
        <f t="shared" si="18"/>
        <v>2020/2019</v>
      </c>
      <c r="K599" t="str">
        <f t="shared" si="19"/>
        <v>2020/2019</v>
      </c>
      <c r="L599" s="29">
        <v>488</v>
      </c>
      <c r="M599" s="18">
        <v>2019</v>
      </c>
    </row>
    <row r="600" ht="21.75" spans="1:13">
      <c r="A600" s="18" t="s">
        <v>155</v>
      </c>
      <c r="B600" s="18" t="s">
        <v>156</v>
      </c>
      <c r="C600" s="18" t="s">
        <v>162</v>
      </c>
      <c r="D600" s="18" t="s">
        <v>158</v>
      </c>
      <c r="E600" s="18" t="s">
        <v>159</v>
      </c>
      <c r="F600" s="19" t="s">
        <v>46</v>
      </c>
      <c r="G600" s="20" t="s">
        <v>47</v>
      </c>
      <c r="H600" t="str">
        <f>'Source Table'!$H$9</f>
        <v>Male</v>
      </c>
      <c r="I600" t="str">
        <f>'Source Table'!$H$8</f>
        <v>ذكر</v>
      </c>
      <c r="J600" t="str">
        <f t="shared" si="18"/>
        <v>2020/2019</v>
      </c>
      <c r="K600" t="str">
        <f t="shared" si="19"/>
        <v>2020/2019</v>
      </c>
      <c r="L600" s="29">
        <v>658</v>
      </c>
      <c r="M600" s="18">
        <v>2019</v>
      </c>
    </row>
    <row r="601" ht="21.75" spans="1:13">
      <c r="A601" s="18" t="s">
        <v>155</v>
      </c>
      <c r="B601" s="18" t="s">
        <v>156</v>
      </c>
      <c r="C601" s="18" t="s">
        <v>162</v>
      </c>
      <c r="D601" s="18" t="s">
        <v>158</v>
      </c>
      <c r="E601" s="18" t="s">
        <v>159</v>
      </c>
      <c r="F601" s="19" t="s">
        <v>49</v>
      </c>
      <c r="G601" s="20" t="s">
        <v>50</v>
      </c>
      <c r="H601" t="str">
        <f>'Source Table'!$H$9</f>
        <v>Male</v>
      </c>
      <c r="I601" t="str">
        <f>'Source Table'!$H$8</f>
        <v>ذكر</v>
      </c>
      <c r="J601" t="str">
        <f t="shared" si="18"/>
        <v>2020/2019</v>
      </c>
      <c r="K601" t="str">
        <f t="shared" si="19"/>
        <v>2020/2019</v>
      </c>
      <c r="L601" s="29">
        <v>833</v>
      </c>
      <c r="M601" s="18">
        <v>2019</v>
      </c>
    </row>
    <row r="602" ht="21.75" spans="1:13">
      <c r="A602" s="18" t="s">
        <v>155</v>
      </c>
      <c r="B602" s="18" t="s">
        <v>156</v>
      </c>
      <c r="C602" s="18" t="s">
        <v>162</v>
      </c>
      <c r="D602" s="18" t="s">
        <v>158</v>
      </c>
      <c r="E602" s="18" t="s">
        <v>159</v>
      </c>
      <c r="F602" s="19" t="s">
        <v>52</v>
      </c>
      <c r="G602" s="20" t="s">
        <v>53</v>
      </c>
      <c r="H602" t="str">
        <f>'Source Table'!$H$9</f>
        <v>Male</v>
      </c>
      <c r="I602" t="str">
        <f>'Source Table'!$H$8</f>
        <v>ذكر</v>
      </c>
      <c r="J602" t="str">
        <f t="shared" si="18"/>
        <v>2020/2019</v>
      </c>
      <c r="K602" t="str">
        <f t="shared" si="19"/>
        <v>2020/2019</v>
      </c>
      <c r="L602" s="29">
        <v>441</v>
      </c>
      <c r="M602" s="18">
        <v>2019</v>
      </c>
    </row>
    <row r="603" ht="21.75" spans="1:13">
      <c r="A603" s="18" t="s">
        <v>155</v>
      </c>
      <c r="B603" s="18" t="s">
        <v>156</v>
      </c>
      <c r="C603" s="18" t="s">
        <v>162</v>
      </c>
      <c r="D603" s="18" t="s">
        <v>158</v>
      </c>
      <c r="E603" s="18" t="s">
        <v>159</v>
      </c>
      <c r="F603" s="19" t="s">
        <v>54</v>
      </c>
      <c r="G603" s="20" t="s">
        <v>55</v>
      </c>
      <c r="H603" t="str">
        <f>'Source Table'!$H$9</f>
        <v>Male</v>
      </c>
      <c r="I603" t="str">
        <f>'Source Table'!$H$8</f>
        <v>ذكر</v>
      </c>
      <c r="J603" t="str">
        <f t="shared" si="18"/>
        <v>2020/2019</v>
      </c>
      <c r="K603" t="str">
        <f t="shared" si="19"/>
        <v>2020/2019</v>
      </c>
      <c r="L603" s="29">
        <v>382</v>
      </c>
      <c r="M603" s="18">
        <v>2019</v>
      </c>
    </row>
    <row r="604" ht="21.75" spans="1:13">
      <c r="A604" s="18" t="s">
        <v>155</v>
      </c>
      <c r="B604" s="18" t="s">
        <v>156</v>
      </c>
      <c r="C604" s="18" t="s">
        <v>162</v>
      </c>
      <c r="D604" s="18" t="s">
        <v>158</v>
      </c>
      <c r="E604" s="18" t="s">
        <v>159</v>
      </c>
      <c r="F604" s="19" t="s">
        <v>56</v>
      </c>
      <c r="G604" s="20" t="s">
        <v>57</v>
      </c>
      <c r="H604" t="str">
        <f>'Source Table'!$H$9</f>
        <v>Male</v>
      </c>
      <c r="I604" t="str">
        <f>'Source Table'!$H$8</f>
        <v>ذكر</v>
      </c>
      <c r="J604" t="str">
        <f t="shared" si="18"/>
        <v>2020/2019</v>
      </c>
      <c r="K604" t="str">
        <f t="shared" si="19"/>
        <v>2020/2019</v>
      </c>
      <c r="L604" s="29">
        <v>832</v>
      </c>
      <c r="M604" s="18">
        <v>2019</v>
      </c>
    </row>
    <row r="605" ht="21.75" spans="1:13">
      <c r="A605" s="18" t="s">
        <v>155</v>
      </c>
      <c r="B605" s="18" t="s">
        <v>156</v>
      </c>
      <c r="C605" s="18" t="s">
        <v>162</v>
      </c>
      <c r="D605" s="18" t="s">
        <v>158</v>
      </c>
      <c r="E605" s="18" t="s">
        <v>159</v>
      </c>
      <c r="F605" s="19" t="s">
        <v>59</v>
      </c>
      <c r="G605" s="20" t="s">
        <v>160</v>
      </c>
      <c r="H605" t="str">
        <f>'Source Table'!$H$9</f>
        <v>Male</v>
      </c>
      <c r="I605" t="str">
        <f>'Source Table'!$H$8</f>
        <v>ذكر</v>
      </c>
      <c r="J605" t="str">
        <f t="shared" si="18"/>
        <v>2020/2019</v>
      </c>
      <c r="K605" t="str">
        <f t="shared" si="19"/>
        <v>2020/2019</v>
      </c>
      <c r="L605" s="29">
        <v>2232</v>
      </c>
      <c r="M605" s="18">
        <v>2019</v>
      </c>
    </row>
    <row r="606" ht="21.75" spans="1:13">
      <c r="A606" s="18" t="s">
        <v>155</v>
      </c>
      <c r="B606" s="18" t="s">
        <v>156</v>
      </c>
      <c r="C606" s="18" t="s">
        <v>162</v>
      </c>
      <c r="D606" s="18" t="s">
        <v>158</v>
      </c>
      <c r="E606" s="18" t="s">
        <v>159</v>
      </c>
      <c r="F606" s="19" t="s">
        <v>62</v>
      </c>
      <c r="G606" s="20" t="s">
        <v>161</v>
      </c>
      <c r="H606" t="str">
        <f>'Source Table'!$H$9</f>
        <v>Male</v>
      </c>
      <c r="I606" t="str">
        <f>'Source Table'!$H$8</f>
        <v>ذكر</v>
      </c>
      <c r="J606" t="str">
        <f t="shared" si="18"/>
        <v>2020/2019</v>
      </c>
      <c r="K606" t="str">
        <f t="shared" si="19"/>
        <v>2020/2019</v>
      </c>
      <c r="L606" s="29">
        <v>1284</v>
      </c>
      <c r="M606" s="18">
        <v>2019</v>
      </c>
    </row>
    <row r="607" ht="21.75" spans="1:13">
      <c r="A607" s="18" t="s">
        <v>155</v>
      </c>
      <c r="B607" s="18" t="s">
        <v>156</v>
      </c>
      <c r="C607" s="18" t="s">
        <v>162</v>
      </c>
      <c r="D607" s="18" t="s">
        <v>158</v>
      </c>
      <c r="E607" s="18" t="s">
        <v>159</v>
      </c>
      <c r="F607" s="19" t="s">
        <v>64</v>
      </c>
      <c r="G607" s="20" t="s">
        <v>65</v>
      </c>
      <c r="H607" t="str">
        <f>'Source Table'!$H$9</f>
        <v>Male</v>
      </c>
      <c r="I607" t="str">
        <f>'Source Table'!$H$8</f>
        <v>ذكر</v>
      </c>
      <c r="J607" t="str">
        <f t="shared" si="18"/>
        <v>2020/2019</v>
      </c>
      <c r="K607" t="str">
        <f t="shared" si="19"/>
        <v>2020/2019</v>
      </c>
      <c r="L607" s="29">
        <v>1349</v>
      </c>
      <c r="M607" s="18">
        <v>2019</v>
      </c>
    </row>
    <row r="608" ht="21.75" spans="1:13">
      <c r="A608" s="18" t="s">
        <v>155</v>
      </c>
      <c r="B608" s="18" t="s">
        <v>156</v>
      </c>
      <c r="C608" s="18" t="s">
        <v>162</v>
      </c>
      <c r="D608" s="18" t="s">
        <v>158</v>
      </c>
      <c r="E608" s="18" t="s">
        <v>159</v>
      </c>
      <c r="F608" s="19" t="s">
        <v>68</v>
      </c>
      <c r="G608" s="20" t="s">
        <v>69</v>
      </c>
      <c r="H608" t="str">
        <f>'Source Table'!$H$9</f>
        <v>Male</v>
      </c>
      <c r="I608" t="str">
        <f>'Source Table'!$H$8</f>
        <v>ذكر</v>
      </c>
      <c r="J608" t="str">
        <f t="shared" si="18"/>
        <v>2020/2019</v>
      </c>
      <c r="K608" t="str">
        <f t="shared" si="19"/>
        <v>2020/2019</v>
      </c>
      <c r="L608" s="29">
        <v>813</v>
      </c>
      <c r="M608" s="18">
        <v>2019</v>
      </c>
    </row>
    <row r="609" ht="21.75" spans="1:13">
      <c r="A609" s="18" t="s">
        <v>155</v>
      </c>
      <c r="B609" s="18" t="s">
        <v>156</v>
      </c>
      <c r="C609" s="18" t="s">
        <v>162</v>
      </c>
      <c r="D609" s="18" t="s">
        <v>158</v>
      </c>
      <c r="E609" s="18" t="s">
        <v>159</v>
      </c>
      <c r="F609" s="19" t="s">
        <v>70</v>
      </c>
      <c r="G609" s="20" t="s">
        <v>71</v>
      </c>
      <c r="H609" t="str">
        <f>'Source Table'!$H$9</f>
        <v>Male</v>
      </c>
      <c r="I609" t="str">
        <f>'Source Table'!$H$8</f>
        <v>ذكر</v>
      </c>
      <c r="J609" t="str">
        <f t="shared" si="18"/>
        <v>2020/2019</v>
      </c>
      <c r="K609" t="str">
        <f t="shared" si="19"/>
        <v>2020/2019</v>
      </c>
      <c r="L609" s="29">
        <v>377</v>
      </c>
      <c r="M609" s="18">
        <v>2019</v>
      </c>
    </row>
    <row r="610" ht="21.75" spans="1:13">
      <c r="A610" s="18" t="s">
        <v>155</v>
      </c>
      <c r="B610" s="18" t="s">
        <v>156</v>
      </c>
      <c r="C610" s="18" t="s">
        <v>162</v>
      </c>
      <c r="D610" s="18" t="s">
        <v>158</v>
      </c>
      <c r="E610" s="18" t="s">
        <v>159</v>
      </c>
      <c r="F610" s="19" t="s">
        <v>74</v>
      </c>
      <c r="G610" s="20" t="s">
        <v>75</v>
      </c>
      <c r="H610" t="str">
        <f>'Source Table'!$H$9</f>
        <v>Male</v>
      </c>
      <c r="I610" t="str">
        <f>'Source Table'!$H$8</f>
        <v>ذكر</v>
      </c>
      <c r="J610" t="str">
        <f t="shared" si="18"/>
        <v>2020/2019</v>
      </c>
      <c r="K610" t="str">
        <f t="shared" si="19"/>
        <v>2020/2019</v>
      </c>
      <c r="L610" s="29">
        <v>2699</v>
      </c>
      <c r="M610" s="18">
        <v>2019</v>
      </c>
    </row>
    <row r="611" ht="21.75" spans="1:13">
      <c r="A611" s="18" t="s">
        <v>155</v>
      </c>
      <c r="B611" s="18" t="s">
        <v>156</v>
      </c>
      <c r="C611" s="18" t="s">
        <v>162</v>
      </c>
      <c r="D611" s="18" t="s">
        <v>158</v>
      </c>
      <c r="E611" s="18" t="s">
        <v>159</v>
      </c>
      <c r="F611" s="19" t="s">
        <v>76</v>
      </c>
      <c r="G611" s="20" t="s">
        <v>77</v>
      </c>
      <c r="H611" t="str">
        <f>'Source Table'!$H$9</f>
        <v>Male</v>
      </c>
      <c r="I611" t="str">
        <f>'Source Table'!$H$8</f>
        <v>ذكر</v>
      </c>
      <c r="J611" t="str">
        <f t="shared" si="18"/>
        <v>2020/2019</v>
      </c>
      <c r="K611" t="str">
        <f t="shared" si="19"/>
        <v>2020/2019</v>
      </c>
      <c r="L611" s="29">
        <v>757</v>
      </c>
      <c r="M611" s="18">
        <v>2019</v>
      </c>
    </row>
    <row r="612" ht="21.75" spans="1:13">
      <c r="A612" s="18" t="s">
        <v>155</v>
      </c>
      <c r="B612" s="18" t="s">
        <v>156</v>
      </c>
      <c r="C612" s="18" t="s">
        <v>162</v>
      </c>
      <c r="D612" s="18" t="s">
        <v>158</v>
      </c>
      <c r="E612" s="18" t="s">
        <v>159</v>
      </c>
      <c r="F612" s="19" t="s">
        <v>78</v>
      </c>
      <c r="G612" s="20" t="s">
        <v>79</v>
      </c>
      <c r="H612" t="str">
        <f>'Source Table'!$H$9</f>
        <v>Male</v>
      </c>
      <c r="I612" t="str">
        <f>'Source Table'!$H$8</f>
        <v>ذكر</v>
      </c>
      <c r="J612" t="str">
        <f t="shared" si="18"/>
        <v>2020/2019</v>
      </c>
      <c r="K612" t="str">
        <f t="shared" si="19"/>
        <v>2020/2019</v>
      </c>
      <c r="L612" s="29">
        <v>478</v>
      </c>
      <c r="M612" s="18">
        <v>2019</v>
      </c>
    </row>
    <row r="613" ht="21.75" spans="1:13">
      <c r="A613" s="18" t="s">
        <v>155</v>
      </c>
      <c r="B613" s="18" t="s">
        <v>156</v>
      </c>
      <c r="C613" s="18" t="s">
        <v>162</v>
      </c>
      <c r="D613" s="18" t="s">
        <v>158</v>
      </c>
      <c r="E613" s="18" t="s">
        <v>159</v>
      </c>
      <c r="F613" s="19" t="s">
        <v>80</v>
      </c>
      <c r="G613" s="20" t="s">
        <v>81</v>
      </c>
      <c r="H613" t="str">
        <f>'Source Table'!$H$9</f>
        <v>Male</v>
      </c>
      <c r="I613" t="str">
        <f>'Source Table'!$H$8</f>
        <v>ذكر</v>
      </c>
      <c r="J613" t="str">
        <f t="shared" si="18"/>
        <v>2020/2019</v>
      </c>
      <c r="K613" t="str">
        <f t="shared" si="19"/>
        <v>2020/2019</v>
      </c>
      <c r="L613" s="29">
        <v>451</v>
      </c>
      <c r="M613" s="18">
        <v>2019</v>
      </c>
    </row>
    <row r="614" ht="21.75" spans="1:13">
      <c r="A614" s="18" t="s">
        <v>155</v>
      </c>
      <c r="B614" s="18" t="s">
        <v>156</v>
      </c>
      <c r="C614" s="18" t="s">
        <v>162</v>
      </c>
      <c r="D614" s="18" t="s">
        <v>158</v>
      </c>
      <c r="E614" s="18" t="s">
        <v>159</v>
      </c>
      <c r="F614" s="19" t="s">
        <v>82</v>
      </c>
      <c r="G614" s="20" t="s">
        <v>83</v>
      </c>
      <c r="H614" t="str">
        <f>'Source Table'!$H$9</f>
        <v>Male</v>
      </c>
      <c r="I614" t="str">
        <f>'Source Table'!$H$8</f>
        <v>ذكر</v>
      </c>
      <c r="J614" t="str">
        <f t="shared" si="18"/>
        <v>2020/2019</v>
      </c>
      <c r="K614" t="str">
        <f t="shared" si="19"/>
        <v>2020/2019</v>
      </c>
      <c r="L614" s="29">
        <v>828</v>
      </c>
      <c r="M614" s="18">
        <v>2019</v>
      </c>
    </row>
    <row r="615" ht="21.75" spans="1:13">
      <c r="A615" s="18" t="s">
        <v>155</v>
      </c>
      <c r="B615" s="18" t="s">
        <v>156</v>
      </c>
      <c r="C615" s="18" t="s">
        <v>162</v>
      </c>
      <c r="D615" s="18" t="s">
        <v>158</v>
      </c>
      <c r="E615" s="18" t="s">
        <v>159</v>
      </c>
      <c r="F615" s="19" t="s">
        <v>84</v>
      </c>
      <c r="G615" s="20" t="s">
        <v>85</v>
      </c>
      <c r="H615" t="str">
        <f>'Source Table'!$H$9</f>
        <v>Male</v>
      </c>
      <c r="I615" t="str">
        <f>'Source Table'!$H$8</f>
        <v>ذكر</v>
      </c>
      <c r="J615" t="str">
        <f t="shared" si="18"/>
        <v>2020/2019</v>
      </c>
      <c r="K615" t="str">
        <f t="shared" si="19"/>
        <v>2020/2019</v>
      </c>
      <c r="L615" s="29">
        <v>825</v>
      </c>
      <c r="M615" s="18">
        <v>2019</v>
      </c>
    </row>
    <row r="616" ht="21.75" spans="1:13">
      <c r="A616" s="18" t="s">
        <v>155</v>
      </c>
      <c r="B616" s="18" t="s">
        <v>156</v>
      </c>
      <c r="C616" s="18" t="s">
        <v>162</v>
      </c>
      <c r="D616" s="18" t="s">
        <v>158</v>
      </c>
      <c r="E616" s="18" t="s">
        <v>159</v>
      </c>
      <c r="F616" s="19" t="s">
        <v>86</v>
      </c>
      <c r="G616" s="20" t="s">
        <v>87</v>
      </c>
      <c r="H616" t="str">
        <f>'Source Table'!$H$9</f>
        <v>Male</v>
      </c>
      <c r="I616" t="str">
        <f>'Source Table'!$H$8</f>
        <v>ذكر</v>
      </c>
      <c r="J616" t="str">
        <f t="shared" si="18"/>
        <v>2020/2019</v>
      </c>
      <c r="K616" t="str">
        <f t="shared" si="19"/>
        <v>2020/2019</v>
      </c>
      <c r="L616" s="29">
        <v>686</v>
      </c>
      <c r="M616" s="18">
        <v>2019</v>
      </c>
    </row>
    <row r="617" ht="21.75" spans="1:13">
      <c r="A617" s="18" t="s">
        <v>155</v>
      </c>
      <c r="B617" s="18" t="s">
        <v>156</v>
      </c>
      <c r="C617" s="18" t="s">
        <v>162</v>
      </c>
      <c r="D617" s="18" t="s">
        <v>158</v>
      </c>
      <c r="E617" s="18" t="s">
        <v>159</v>
      </c>
      <c r="F617" s="19" t="s">
        <v>88</v>
      </c>
      <c r="G617" s="20" t="s">
        <v>89</v>
      </c>
      <c r="H617" t="str">
        <f>'Source Table'!$H$9</f>
        <v>Male</v>
      </c>
      <c r="I617" t="str">
        <f>'Source Table'!$H$8</f>
        <v>ذكر</v>
      </c>
      <c r="J617" t="str">
        <f t="shared" si="18"/>
        <v>2020/2019</v>
      </c>
      <c r="K617" t="str">
        <f t="shared" si="19"/>
        <v>2020/2019</v>
      </c>
      <c r="L617" s="29">
        <v>1041</v>
      </c>
      <c r="M617" s="18">
        <v>2019</v>
      </c>
    </row>
    <row r="618" ht="21.75" spans="1:13">
      <c r="A618" s="18" t="s">
        <v>155</v>
      </c>
      <c r="B618" s="18" t="s">
        <v>156</v>
      </c>
      <c r="C618" s="18" t="s">
        <v>162</v>
      </c>
      <c r="D618" s="18" t="s">
        <v>158</v>
      </c>
      <c r="E618" s="18" t="s">
        <v>159</v>
      </c>
      <c r="F618" s="19" t="s">
        <v>91</v>
      </c>
      <c r="G618" s="20" t="s">
        <v>92</v>
      </c>
      <c r="H618" t="str">
        <f>'Source Table'!$H$9</f>
        <v>Male</v>
      </c>
      <c r="I618" t="str">
        <f>'Source Table'!$H$8</f>
        <v>ذكر</v>
      </c>
      <c r="J618" t="str">
        <f t="shared" si="18"/>
        <v>2020/2019</v>
      </c>
      <c r="K618" t="str">
        <f t="shared" si="19"/>
        <v>2020/2019</v>
      </c>
      <c r="L618" s="29">
        <v>1486</v>
      </c>
      <c r="M618" s="18">
        <v>2019</v>
      </c>
    </row>
    <row r="619" ht="21.75" spans="1:13">
      <c r="A619" s="18" t="s">
        <v>155</v>
      </c>
      <c r="B619" s="18" t="s">
        <v>156</v>
      </c>
      <c r="C619" s="18" t="s">
        <v>162</v>
      </c>
      <c r="D619" s="18" t="s">
        <v>158</v>
      </c>
      <c r="E619" s="18" t="s">
        <v>159</v>
      </c>
      <c r="F619" s="19" t="s">
        <v>94</v>
      </c>
      <c r="G619" s="20" t="s">
        <v>95</v>
      </c>
      <c r="H619" t="str">
        <f>'Source Table'!$H$9</f>
        <v>Male</v>
      </c>
      <c r="I619" t="str">
        <f>'Source Table'!$H$8</f>
        <v>ذكر</v>
      </c>
      <c r="J619" t="str">
        <f t="shared" si="18"/>
        <v>2020/2019</v>
      </c>
      <c r="K619" t="str">
        <f t="shared" si="19"/>
        <v>2020/2019</v>
      </c>
      <c r="L619" s="29">
        <v>1311</v>
      </c>
      <c r="M619" s="18">
        <v>2019</v>
      </c>
    </row>
    <row r="620" ht="21.75" spans="1:13">
      <c r="A620" s="18" t="s">
        <v>155</v>
      </c>
      <c r="B620" s="18" t="s">
        <v>156</v>
      </c>
      <c r="C620" s="18" t="s">
        <v>162</v>
      </c>
      <c r="D620" s="18" t="s">
        <v>158</v>
      </c>
      <c r="E620" s="18" t="s">
        <v>159</v>
      </c>
      <c r="F620" s="19" t="s">
        <v>96</v>
      </c>
      <c r="G620" s="20" t="s">
        <v>97</v>
      </c>
      <c r="H620" t="str">
        <f>'Source Table'!$H$9</f>
        <v>Male</v>
      </c>
      <c r="I620" t="str">
        <f>'Source Table'!$H$8</f>
        <v>ذكر</v>
      </c>
      <c r="J620" t="str">
        <f t="shared" si="18"/>
        <v>2020/2019</v>
      </c>
      <c r="K620" t="str">
        <f t="shared" si="19"/>
        <v>2020/2019</v>
      </c>
      <c r="L620" s="29">
        <v>1424</v>
      </c>
      <c r="M620" s="18">
        <v>2019</v>
      </c>
    </row>
    <row r="621" ht="21.75" spans="1:13">
      <c r="A621" s="18" t="s">
        <v>155</v>
      </c>
      <c r="B621" s="18" t="s">
        <v>156</v>
      </c>
      <c r="C621" s="18" t="s">
        <v>162</v>
      </c>
      <c r="D621" s="18" t="s">
        <v>158</v>
      </c>
      <c r="E621" s="18" t="s">
        <v>159</v>
      </c>
      <c r="F621" s="19" t="s">
        <v>98</v>
      </c>
      <c r="G621" s="20" t="s">
        <v>99</v>
      </c>
      <c r="H621" t="str">
        <f>'Source Table'!$H$9</f>
        <v>Male</v>
      </c>
      <c r="I621" t="str">
        <f>'Source Table'!$H$8</f>
        <v>ذكر</v>
      </c>
      <c r="J621" t="str">
        <f t="shared" si="18"/>
        <v>2020/2019</v>
      </c>
      <c r="K621" t="str">
        <f t="shared" si="19"/>
        <v>2020/2019</v>
      </c>
      <c r="L621" s="30">
        <v>1664</v>
      </c>
      <c r="M621" s="18">
        <v>2019</v>
      </c>
    </row>
    <row r="622" ht="21.75" spans="1:13">
      <c r="A622" s="18" t="s">
        <v>155</v>
      </c>
      <c r="B622" s="18" t="s">
        <v>156</v>
      </c>
      <c r="C622" s="18" t="s">
        <v>162</v>
      </c>
      <c r="D622" s="18" t="s">
        <v>158</v>
      </c>
      <c r="E622" s="18" t="s">
        <v>159</v>
      </c>
      <c r="F622" s="19" t="s">
        <v>100</v>
      </c>
      <c r="G622" s="20" t="s">
        <v>101</v>
      </c>
      <c r="H622" t="str">
        <f>'Source Table'!$H$9</f>
        <v>Male</v>
      </c>
      <c r="I622" t="str">
        <f>'Source Table'!$H$8</f>
        <v>ذكر</v>
      </c>
      <c r="J622" t="str">
        <f t="shared" si="18"/>
        <v>2020/2019</v>
      </c>
      <c r="K622" t="str">
        <f t="shared" si="19"/>
        <v>2020/2019</v>
      </c>
      <c r="L622" s="30">
        <v>1102</v>
      </c>
      <c r="M622" s="18">
        <v>2019</v>
      </c>
    </row>
    <row r="623" ht="21.75" spans="1:13">
      <c r="A623" s="18" t="s">
        <v>155</v>
      </c>
      <c r="B623" s="18" t="s">
        <v>156</v>
      </c>
      <c r="C623" s="18" t="s">
        <v>162</v>
      </c>
      <c r="D623" s="18" t="s">
        <v>158</v>
      </c>
      <c r="E623" s="18" t="s">
        <v>159</v>
      </c>
      <c r="F623" s="19" t="s">
        <v>103</v>
      </c>
      <c r="G623" s="20" t="s">
        <v>104</v>
      </c>
      <c r="H623" t="str">
        <f>'Source Table'!$H$9</f>
        <v>Male</v>
      </c>
      <c r="I623" t="str">
        <f>'Source Table'!$H$8</f>
        <v>ذكر</v>
      </c>
      <c r="J623" t="str">
        <f t="shared" si="18"/>
        <v>2020/2019</v>
      </c>
      <c r="K623" t="str">
        <f t="shared" si="19"/>
        <v>2020/2019</v>
      </c>
      <c r="L623" s="29">
        <v>919</v>
      </c>
      <c r="M623" s="18">
        <v>2019</v>
      </c>
    </row>
    <row r="624" ht="21.75" spans="1:13">
      <c r="A624" s="18" t="s">
        <v>155</v>
      </c>
      <c r="B624" s="18" t="s">
        <v>156</v>
      </c>
      <c r="C624" s="18" t="s">
        <v>162</v>
      </c>
      <c r="D624" s="18" t="s">
        <v>158</v>
      </c>
      <c r="E624" s="18" t="s">
        <v>159</v>
      </c>
      <c r="F624" s="19" t="s">
        <v>106</v>
      </c>
      <c r="G624" s="20" t="s">
        <v>107</v>
      </c>
      <c r="H624" t="str">
        <f>'Source Table'!$H$9</f>
        <v>Male</v>
      </c>
      <c r="I624" t="str">
        <f>'Source Table'!$H$8</f>
        <v>ذكر</v>
      </c>
      <c r="J624" t="str">
        <f t="shared" si="18"/>
        <v>2020/2019</v>
      </c>
      <c r="K624" t="str">
        <f t="shared" si="19"/>
        <v>2020/2019</v>
      </c>
      <c r="L624" s="29">
        <v>653</v>
      </c>
      <c r="M624" s="18">
        <v>2019</v>
      </c>
    </row>
    <row r="625" ht="21.75" spans="1:13">
      <c r="A625" s="18" t="s">
        <v>155</v>
      </c>
      <c r="B625" s="18" t="s">
        <v>156</v>
      </c>
      <c r="C625" s="18" t="s">
        <v>162</v>
      </c>
      <c r="D625" s="18" t="s">
        <v>158</v>
      </c>
      <c r="E625" s="18" t="s">
        <v>159</v>
      </c>
      <c r="F625" s="19" t="s">
        <v>108</v>
      </c>
      <c r="G625" s="20" t="s">
        <v>109</v>
      </c>
      <c r="H625" t="str">
        <f>'Source Table'!$H$9</f>
        <v>Male</v>
      </c>
      <c r="I625" t="str">
        <f>'Source Table'!$H$8</f>
        <v>ذكر</v>
      </c>
      <c r="J625" t="str">
        <f t="shared" si="18"/>
        <v>2020/2019</v>
      </c>
      <c r="K625" t="str">
        <f t="shared" si="19"/>
        <v>2020/2019</v>
      </c>
      <c r="L625" s="29">
        <v>506</v>
      </c>
      <c r="M625" s="18">
        <v>2019</v>
      </c>
    </row>
    <row r="626" ht="21.75" spans="1:13">
      <c r="A626" s="18" t="s">
        <v>155</v>
      </c>
      <c r="B626" s="18" t="s">
        <v>156</v>
      </c>
      <c r="C626" s="18" t="s">
        <v>162</v>
      </c>
      <c r="D626" s="18" t="s">
        <v>158</v>
      </c>
      <c r="E626" s="18" t="s">
        <v>159</v>
      </c>
      <c r="F626" s="19" t="s">
        <v>110</v>
      </c>
      <c r="G626" s="20" t="s">
        <v>111</v>
      </c>
      <c r="H626" t="str">
        <f>'Source Table'!$H$9</f>
        <v>Male</v>
      </c>
      <c r="I626" t="str">
        <f>'Source Table'!$H$8</f>
        <v>ذكر</v>
      </c>
      <c r="J626" t="str">
        <f t="shared" si="18"/>
        <v>2020/2019</v>
      </c>
      <c r="K626" t="str">
        <f t="shared" si="19"/>
        <v>2020/2019</v>
      </c>
      <c r="L626" s="29">
        <v>365</v>
      </c>
      <c r="M626" s="18">
        <v>2019</v>
      </c>
    </row>
    <row r="627" ht="21.75" spans="1:13">
      <c r="A627" s="18" t="s">
        <v>155</v>
      </c>
      <c r="B627" s="18" t="s">
        <v>156</v>
      </c>
      <c r="C627" s="18" t="s">
        <v>162</v>
      </c>
      <c r="D627" s="18" t="s">
        <v>158</v>
      </c>
      <c r="E627" s="18" t="s">
        <v>159</v>
      </c>
      <c r="F627" s="19" t="s">
        <v>113</v>
      </c>
      <c r="G627" s="20" t="s">
        <v>114</v>
      </c>
      <c r="H627" t="str">
        <f>'Source Table'!$H$9</f>
        <v>Male</v>
      </c>
      <c r="I627" t="str">
        <f>'Source Table'!$H$8</f>
        <v>ذكر</v>
      </c>
      <c r="J627" t="str">
        <f t="shared" si="18"/>
        <v>2020/2019</v>
      </c>
      <c r="K627" t="str">
        <f t="shared" si="19"/>
        <v>2020/2019</v>
      </c>
      <c r="L627" s="29">
        <v>701</v>
      </c>
      <c r="M627" s="18">
        <v>2019</v>
      </c>
    </row>
    <row r="628" ht="21.75" spans="1:13">
      <c r="A628" s="18" t="s">
        <v>155</v>
      </c>
      <c r="B628" s="18" t="s">
        <v>156</v>
      </c>
      <c r="C628" s="18" t="s">
        <v>162</v>
      </c>
      <c r="D628" s="18" t="s">
        <v>158</v>
      </c>
      <c r="E628" s="18" t="s">
        <v>159</v>
      </c>
      <c r="F628" s="19" t="s">
        <v>115</v>
      </c>
      <c r="G628" s="20" t="s">
        <v>116</v>
      </c>
      <c r="H628" t="str">
        <f>'Source Table'!$H$9</f>
        <v>Male</v>
      </c>
      <c r="I628" t="str">
        <f>'Source Table'!$H$8</f>
        <v>ذكر</v>
      </c>
      <c r="J628" t="str">
        <f t="shared" si="18"/>
        <v>2020/2019</v>
      </c>
      <c r="K628" t="str">
        <f t="shared" si="19"/>
        <v>2020/2019</v>
      </c>
      <c r="L628" s="29">
        <v>249</v>
      </c>
      <c r="M628" s="18">
        <v>2019</v>
      </c>
    </row>
    <row r="629" ht="21.75" spans="1:13">
      <c r="A629" s="18" t="s">
        <v>155</v>
      </c>
      <c r="B629" s="18" t="s">
        <v>156</v>
      </c>
      <c r="C629" s="18" t="s">
        <v>162</v>
      </c>
      <c r="D629" s="18" t="s">
        <v>158</v>
      </c>
      <c r="E629" s="18" t="s">
        <v>159</v>
      </c>
      <c r="F629" s="19" t="s">
        <v>118</v>
      </c>
      <c r="G629" s="20" t="s">
        <v>119</v>
      </c>
      <c r="H629" t="str">
        <f>'Source Table'!$H$9</f>
        <v>Male</v>
      </c>
      <c r="I629" t="str">
        <f>'Source Table'!$H$8</f>
        <v>ذكر</v>
      </c>
      <c r="J629" t="str">
        <f t="shared" si="18"/>
        <v>2020/2019</v>
      </c>
      <c r="K629" t="str">
        <f t="shared" si="19"/>
        <v>2020/2019</v>
      </c>
      <c r="L629" s="29">
        <v>421</v>
      </c>
      <c r="M629" s="18">
        <v>2019</v>
      </c>
    </row>
    <row r="630" ht="21.75" spans="1:13">
      <c r="A630" s="18" t="s">
        <v>155</v>
      </c>
      <c r="B630" s="18" t="s">
        <v>156</v>
      </c>
      <c r="C630" s="18" t="s">
        <v>162</v>
      </c>
      <c r="D630" s="18" t="s">
        <v>158</v>
      </c>
      <c r="E630" s="18" t="s">
        <v>159</v>
      </c>
      <c r="F630" s="19" t="s">
        <v>120</v>
      </c>
      <c r="G630" s="20" t="s">
        <v>121</v>
      </c>
      <c r="H630" t="str">
        <f>'Source Table'!$H$9</f>
        <v>Male</v>
      </c>
      <c r="I630" t="str">
        <f>'Source Table'!$H$8</f>
        <v>ذكر</v>
      </c>
      <c r="J630" t="str">
        <f t="shared" si="18"/>
        <v>2020/2019</v>
      </c>
      <c r="K630" t="str">
        <f t="shared" si="19"/>
        <v>2020/2019</v>
      </c>
      <c r="L630" s="29">
        <v>569</v>
      </c>
      <c r="M630" s="18">
        <v>2019</v>
      </c>
    </row>
    <row r="631" ht="21.75" spans="1:13">
      <c r="A631" s="18" t="s">
        <v>155</v>
      </c>
      <c r="B631" s="18" t="s">
        <v>156</v>
      </c>
      <c r="C631" s="18" t="s">
        <v>162</v>
      </c>
      <c r="D631" s="18" t="s">
        <v>158</v>
      </c>
      <c r="E631" s="18" t="s">
        <v>159</v>
      </c>
      <c r="F631" s="19" t="s">
        <v>122</v>
      </c>
      <c r="G631" s="20" t="s">
        <v>123</v>
      </c>
      <c r="H631" t="str">
        <f>'Source Table'!$H$9</f>
        <v>Male</v>
      </c>
      <c r="I631" t="str">
        <f>'Source Table'!$H$8</f>
        <v>ذكر</v>
      </c>
      <c r="J631" t="str">
        <f t="shared" si="18"/>
        <v>2020/2019</v>
      </c>
      <c r="K631" t="str">
        <f t="shared" si="19"/>
        <v>2020/2019</v>
      </c>
      <c r="L631" s="29">
        <v>251</v>
      </c>
      <c r="M631" s="18">
        <v>2019</v>
      </c>
    </row>
    <row r="632" ht="21.75" spans="1:13">
      <c r="A632" s="18" t="s">
        <v>155</v>
      </c>
      <c r="B632" s="18" t="s">
        <v>156</v>
      </c>
      <c r="C632" s="18" t="s">
        <v>162</v>
      </c>
      <c r="D632" s="18" t="s">
        <v>158</v>
      </c>
      <c r="E632" s="18" t="s">
        <v>159</v>
      </c>
      <c r="F632" s="19" t="s">
        <v>124</v>
      </c>
      <c r="G632" s="20" t="s">
        <v>125</v>
      </c>
      <c r="H632" t="str">
        <f>'Source Table'!$H$9</f>
        <v>Male</v>
      </c>
      <c r="I632" t="str">
        <f>'Source Table'!$H$8</f>
        <v>ذكر</v>
      </c>
      <c r="J632" t="str">
        <f t="shared" si="18"/>
        <v>2020/2019</v>
      </c>
      <c r="K632" t="str">
        <f t="shared" si="19"/>
        <v>2020/2019</v>
      </c>
      <c r="L632" s="29">
        <v>219</v>
      </c>
      <c r="M632" s="18">
        <v>2019</v>
      </c>
    </row>
    <row r="633" ht="21.75" spans="1:13">
      <c r="A633" s="18" t="s">
        <v>155</v>
      </c>
      <c r="B633" s="18" t="s">
        <v>156</v>
      </c>
      <c r="C633" s="18" t="s">
        <v>162</v>
      </c>
      <c r="D633" s="18" t="s">
        <v>158</v>
      </c>
      <c r="E633" s="18" t="s">
        <v>159</v>
      </c>
      <c r="F633" s="19" t="s">
        <v>126</v>
      </c>
      <c r="G633" s="20" t="s">
        <v>127</v>
      </c>
      <c r="H633" t="str">
        <f>'Source Table'!$H$9</f>
        <v>Male</v>
      </c>
      <c r="I633" t="str">
        <f>'Source Table'!$H$8</f>
        <v>ذكر</v>
      </c>
      <c r="J633" t="str">
        <f t="shared" si="18"/>
        <v>2020/2019</v>
      </c>
      <c r="K633" t="str">
        <f t="shared" si="19"/>
        <v>2020/2019</v>
      </c>
      <c r="L633" s="30">
        <v>1084</v>
      </c>
      <c r="M633" s="18">
        <v>2019</v>
      </c>
    </row>
    <row r="634" ht="21.75" spans="1:13">
      <c r="A634" s="18" t="s">
        <v>155</v>
      </c>
      <c r="B634" s="18" t="s">
        <v>156</v>
      </c>
      <c r="C634" s="18" t="s">
        <v>162</v>
      </c>
      <c r="D634" s="18" t="s">
        <v>158</v>
      </c>
      <c r="E634" s="18" t="s">
        <v>159</v>
      </c>
      <c r="F634" s="19" t="s">
        <v>29</v>
      </c>
      <c r="G634" s="20" t="s">
        <v>30</v>
      </c>
      <c r="H634" t="str">
        <f>'Source Table'!$G$9</f>
        <v>Female</v>
      </c>
      <c r="I634" t="str">
        <f>'Source Table'!$G$8</f>
        <v>أنثى</v>
      </c>
      <c r="J634" t="str">
        <f t="shared" si="18"/>
        <v>2020/2019</v>
      </c>
      <c r="K634" t="str">
        <f t="shared" si="19"/>
        <v>2020/2019</v>
      </c>
      <c r="L634" s="29">
        <v>6380</v>
      </c>
      <c r="M634" s="18">
        <v>2019</v>
      </c>
    </row>
    <row r="635" ht="21.75" spans="1:13">
      <c r="A635" s="18" t="s">
        <v>155</v>
      </c>
      <c r="B635" s="18" t="s">
        <v>156</v>
      </c>
      <c r="C635" s="18" t="s">
        <v>162</v>
      </c>
      <c r="D635" s="18" t="s">
        <v>158</v>
      </c>
      <c r="E635" s="18" t="s">
        <v>159</v>
      </c>
      <c r="F635" s="19" t="s">
        <v>32</v>
      </c>
      <c r="G635" s="20" t="s">
        <v>33</v>
      </c>
      <c r="H635" t="str">
        <f>'Source Table'!$G$9</f>
        <v>Female</v>
      </c>
      <c r="I635" t="str">
        <f>'Source Table'!$G$8</f>
        <v>أنثى</v>
      </c>
      <c r="J635" t="str">
        <f t="shared" si="18"/>
        <v>2020/2019</v>
      </c>
      <c r="K635" t="str">
        <f t="shared" si="19"/>
        <v>2020/2019</v>
      </c>
      <c r="L635" s="29">
        <v>8414</v>
      </c>
      <c r="M635" s="18">
        <v>2019</v>
      </c>
    </row>
    <row r="636" ht="21.75" spans="1:13">
      <c r="A636" s="18" t="s">
        <v>155</v>
      </c>
      <c r="B636" s="18" t="s">
        <v>156</v>
      </c>
      <c r="C636" s="18" t="s">
        <v>162</v>
      </c>
      <c r="D636" s="18" t="s">
        <v>158</v>
      </c>
      <c r="E636" s="18" t="s">
        <v>159</v>
      </c>
      <c r="F636" s="19" t="s">
        <v>34</v>
      </c>
      <c r="G636" s="20" t="s">
        <v>35</v>
      </c>
      <c r="H636" t="str">
        <f>'Source Table'!$G$9</f>
        <v>Female</v>
      </c>
      <c r="I636" t="str">
        <f>'Source Table'!$G$8</f>
        <v>أنثى</v>
      </c>
      <c r="J636" t="str">
        <f t="shared" si="18"/>
        <v>2020/2019</v>
      </c>
      <c r="K636" t="str">
        <f t="shared" si="19"/>
        <v>2020/2019</v>
      </c>
      <c r="L636" s="29">
        <v>1445</v>
      </c>
      <c r="M636" s="18">
        <v>2019</v>
      </c>
    </row>
    <row r="637" ht="21.75" spans="1:13">
      <c r="A637" s="18" t="s">
        <v>155</v>
      </c>
      <c r="B637" s="18" t="s">
        <v>156</v>
      </c>
      <c r="C637" s="18" t="s">
        <v>162</v>
      </c>
      <c r="D637" s="18" t="s">
        <v>158</v>
      </c>
      <c r="E637" s="18" t="s">
        <v>159</v>
      </c>
      <c r="F637" s="19" t="s">
        <v>36</v>
      </c>
      <c r="G637" s="20" t="s">
        <v>37</v>
      </c>
      <c r="H637" t="str">
        <f>'Source Table'!$G$9</f>
        <v>Female</v>
      </c>
      <c r="I637" t="str">
        <f>'Source Table'!$G$8</f>
        <v>أنثى</v>
      </c>
      <c r="J637" t="str">
        <f t="shared" si="18"/>
        <v>2020/2019</v>
      </c>
      <c r="K637" t="str">
        <f t="shared" si="19"/>
        <v>2020/2019</v>
      </c>
      <c r="L637" s="29">
        <v>5740</v>
      </c>
      <c r="M637" s="18">
        <v>2019</v>
      </c>
    </row>
    <row r="638" ht="21.75" spans="1:13">
      <c r="A638" s="18" t="s">
        <v>155</v>
      </c>
      <c r="B638" s="18" t="s">
        <v>156</v>
      </c>
      <c r="C638" s="18" t="s">
        <v>162</v>
      </c>
      <c r="D638" s="18" t="s">
        <v>158</v>
      </c>
      <c r="E638" s="18" t="s">
        <v>159</v>
      </c>
      <c r="F638" s="19" t="s">
        <v>38</v>
      </c>
      <c r="G638" s="20" t="s">
        <v>39</v>
      </c>
      <c r="H638" t="str">
        <f>'Source Table'!$G$9</f>
        <v>Female</v>
      </c>
      <c r="I638" t="str">
        <f>'Source Table'!$G$8</f>
        <v>أنثى</v>
      </c>
      <c r="J638" t="str">
        <f t="shared" si="18"/>
        <v>2020/2019</v>
      </c>
      <c r="K638" t="str">
        <f t="shared" si="19"/>
        <v>2020/2019</v>
      </c>
      <c r="L638" s="29">
        <v>7647</v>
      </c>
      <c r="M638" s="18">
        <v>2019</v>
      </c>
    </row>
    <row r="639" ht="21.75" spans="1:13">
      <c r="A639" s="18" t="s">
        <v>155</v>
      </c>
      <c r="B639" s="18" t="s">
        <v>156</v>
      </c>
      <c r="C639" s="18" t="s">
        <v>162</v>
      </c>
      <c r="D639" s="18" t="s">
        <v>158</v>
      </c>
      <c r="E639" s="18" t="s">
        <v>159</v>
      </c>
      <c r="F639" s="19" t="s">
        <v>40</v>
      </c>
      <c r="G639" s="20" t="s">
        <v>41</v>
      </c>
      <c r="H639" t="str">
        <f>'Source Table'!$G$9</f>
        <v>Female</v>
      </c>
      <c r="I639" t="str">
        <f>'Source Table'!$G$8</f>
        <v>أنثى</v>
      </c>
      <c r="J639" t="str">
        <f t="shared" si="18"/>
        <v>2020/2019</v>
      </c>
      <c r="K639" t="str">
        <f t="shared" si="19"/>
        <v>2020/2019</v>
      </c>
      <c r="L639" s="29">
        <v>1643</v>
      </c>
      <c r="M639" s="18">
        <v>2019</v>
      </c>
    </row>
    <row r="640" ht="21.75" spans="1:13">
      <c r="A640" s="18" t="s">
        <v>155</v>
      </c>
      <c r="B640" s="18" t="s">
        <v>156</v>
      </c>
      <c r="C640" s="18" t="s">
        <v>162</v>
      </c>
      <c r="D640" s="18" t="s">
        <v>158</v>
      </c>
      <c r="E640" s="18" t="s">
        <v>159</v>
      </c>
      <c r="F640" s="19" t="s">
        <v>42</v>
      </c>
      <c r="G640" s="20" t="s">
        <v>43</v>
      </c>
      <c r="H640" t="str">
        <f>'Source Table'!$G$9</f>
        <v>Female</v>
      </c>
      <c r="I640" t="str">
        <f>'Source Table'!$G$8</f>
        <v>أنثى</v>
      </c>
      <c r="J640" t="str">
        <f t="shared" si="18"/>
        <v>2020/2019</v>
      </c>
      <c r="K640" t="str">
        <f t="shared" si="19"/>
        <v>2020/2019</v>
      </c>
      <c r="L640" s="29">
        <v>3431</v>
      </c>
      <c r="M640" s="18">
        <v>2019</v>
      </c>
    </row>
    <row r="641" ht="21.75" spans="1:13">
      <c r="A641" s="18" t="s">
        <v>155</v>
      </c>
      <c r="B641" s="18" t="s">
        <v>156</v>
      </c>
      <c r="C641" s="18" t="s">
        <v>162</v>
      </c>
      <c r="D641" s="18" t="s">
        <v>158</v>
      </c>
      <c r="E641" s="18" t="s">
        <v>159</v>
      </c>
      <c r="F641" s="19" t="s">
        <v>44</v>
      </c>
      <c r="G641" s="20" t="s">
        <v>45</v>
      </c>
      <c r="H641" t="str">
        <f>'Source Table'!$G$9</f>
        <v>Female</v>
      </c>
      <c r="I641" t="str">
        <f>'Source Table'!$G$8</f>
        <v>أنثى</v>
      </c>
      <c r="J641" t="str">
        <f t="shared" si="18"/>
        <v>2020/2019</v>
      </c>
      <c r="K641" t="str">
        <f t="shared" si="19"/>
        <v>2020/2019</v>
      </c>
      <c r="L641" s="29">
        <v>750</v>
      </c>
      <c r="M641" s="18">
        <v>2019</v>
      </c>
    </row>
    <row r="642" ht="21.75" spans="1:13">
      <c r="A642" s="18" t="s">
        <v>155</v>
      </c>
      <c r="B642" s="18" t="s">
        <v>156</v>
      </c>
      <c r="C642" s="18" t="s">
        <v>162</v>
      </c>
      <c r="D642" s="18" t="s">
        <v>158</v>
      </c>
      <c r="E642" s="18" t="s">
        <v>159</v>
      </c>
      <c r="F642" s="19" t="s">
        <v>46</v>
      </c>
      <c r="G642" s="20" t="s">
        <v>47</v>
      </c>
      <c r="H642" t="str">
        <f>'Source Table'!$G$9</f>
        <v>Female</v>
      </c>
      <c r="I642" t="str">
        <f>'Source Table'!$G$8</f>
        <v>أنثى</v>
      </c>
      <c r="J642" t="str">
        <f t="shared" si="18"/>
        <v>2020/2019</v>
      </c>
      <c r="K642" t="str">
        <f t="shared" si="19"/>
        <v>2020/2019</v>
      </c>
      <c r="L642" s="31">
        <v>1143</v>
      </c>
      <c r="M642" s="18">
        <v>2019</v>
      </c>
    </row>
    <row r="643" ht="21.75" spans="1:13">
      <c r="A643" s="18" t="s">
        <v>155</v>
      </c>
      <c r="B643" s="18" t="s">
        <v>156</v>
      </c>
      <c r="C643" s="18" t="s">
        <v>162</v>
      </c>
      <c r="D643" s="18" t="s">
        <v>158</v>
      </c>
      <c r="E643" s="18" t="s">
        <v>159</v>
      </c>
      <c r="F643" s="19" t="s">
        <v>49</v>
      </c>
      <c r="G643" s="20" t="s">
        <v>50</v>
      </c>
      <c r="H643" t="str">
        <f>'Source Table'!$G$9</f>
        <v>Female</v>
      </c>
      <c r="I643" t="str">
        <f>'Source Table'!$G$8</f>
        <v>أنثى</v>
      </c>
      <c r="J643" t="str">
        <f t="shared" si="18"/>
        <v>2020/2019</v>
      </c>
      <c r="K643" t="str">
        <f t="shared" si="19"/>
        <v>2020/2019</v>
      </c>
      <c r="L643" s="29">
        <v>2825</v>
      </c>
      <c r="M643" s="18">
        <v>2019</v>
      </c>
    </row>
    <row r="644" ht="21.75" spans="1:13">
      <c r="A644" s="18" t="s">
        <v>155</v>
      </c>
      <c r="B644" s="18" t="s">
        <v>156</v>
      </c>
      <c r="C644" s="18" t="s">
        <v>162</v>
      </c>
      <c r="D644" s="18" t="s">
        <v>158</v>
      </c>
      <c r="E644" s="18" t="s">
        <v>159</v>
      </c>
      <c r="F644" s="19" t="s">
        <v>52</v>
      </c>
      <c r="G644" s="20" t="s">
        <v>53</v>
      </c>
      <c r="H644" t="str">
        <f>'Source Table'!$G$9</f>
        <v>Female</v>
      </c>
      <c r="I644" t="str">
        <f>'Source Table'!$G$8</f>
        <v>أنثى</v>
      </c>
      <c r="J644" t="str">
        <f t="shared" si="18"/>
        <v>2020/2019</v>
      </c>
      <c r="K644" t="str">
        <f t="shared" si="19"/>
        <v>2020/2019</v>
      </c>
      <c r="L644" s="29">
        <v>717</v>
      </c>
      <c r="M644" s="18">
        <v>2019</v>
      </c>
    </row>
    <row r="645" ht="21.75" spans="1:13">
      <c r="A645" s="18" t="s">
        <v>155</v>
      </c>
      <c r="B645" s="18" t="s">
        <v>156</v>
      </c>
      <c r="C645" s="18" t="s">
        <v>162</v>
      </c>
      <c r="D645" s="18" t="s">
        <v>158</v>
      </c>
      <c r="E645" s="18" t="s">
        <v>159</v>
      </c>
      <c r="F645" s="19" t="s">
        <v>54</v>
      </c>
      <c r="G645" s="20" t="s">
        <v>55</v>
      </c>
      <c r="H645" t="str">
        <f>'Source Table'!$G$9</f>
        <v>Female</v>
      </c>
      <c r="I645" t="str">
        <f>'Source Table'!$G$8</f>
        <v>أنثى</v>
      </c>
      <c r="J645" t="str">
        <f t="shared" ref="J645:J708" si="20">TEXT(M645+1,"0")&amp;"/"&amp;TEXT(M645,"0")</f>
        <v>2020/2019</v>
      </c>
      <c r="K645" t="str">
        <f t="shared" ref="K645:K708" si="21">TEXT(M645+1,"0")&amp;"/"&amp;TEXT(M645,"0")</f>
        <v>2020/2019</v>
      </c>
      <c r="L645" s="29">
        <v>666</v>
      </c>
      <c r="M645" s="18">
        <v>2019</v>
      </c>
    </row>
    <row r="646" ht="21.75" spans="1:13">
      <c r="A646" s="18" t="s">
        <v>155</v>
      </c>
      <c r="B646" s="18" t="s">
        <v>156</v>
      </c>
      <c r="C646" s="18" t="s">
        <v>162</v>
      </c>
      <c r="D646" s="18" t="s">
        <v>158</v>
      </c>
      <c r="E646" s="18" t="s">
        <v>159</v>
      </c>
      <c r="F646" s="19" t="s">
        <v>56</v>
      </c>
      <c r="G646" s="20" t="s">
        <v>57</v>
      </c>
      <c r="H646" t="str">
        <f>'Source Table'!$G$9</f>
        <v>Female</v>
      </c>
      <c r="I646" t="str">
        <f>'Source Table'!$G$8</f>
        <v>أنثى</v>
      </c>
      <c r="J646" t="str">
        <f t="shared" si="20"/>
        <v>2020/2019</v>
      </c>
      <c r="K646" t="str">
        <f t="shared" si="21"/>
        <v>2020/2019</v>
      </c>
      <c r="L646" s="29">
        <v>2303</v>
      </c>
      <c r="M646" s="18">
        <v>2019</v>
      </c>
    </row>
    <row r="647" ht="21.75" spans="1:13">
      <c r="A647" s="18" t="s">
        <v>155</v>
      </c>
      <c r="B647" s="18" t="s">
        <v>156</v>
      </c>
      <c r="C647" s="18" t="s">
        <v>162</v>
      </c>
      <c r="D647" s="18" t="s">
        <v>158</v>
      </c>
      <c r="E647" s="18" t="s">
        <v>159</v>
      </c>
      <c r="F647" s="19" t="s">
        <v>59</v>
      </c>
      <c r="G647" s="20" t="s">
        <v>160</v>
      </c>
      <c r="H647" t="str">
        <f>'Source Table'!$G$9</f>
        <v>Female</v>
      </c>
      <c r="I647" t="str">
        <f>'Source Table'!$G$8</f>
        <v>أنثى</v>
      </c>
      <c r="J647" t="str">
        <f t="shared" si="20"/>
        <v>2020/2019</v>
      </c>
      <c r="K647" t="str">
        <f t="shared" si="21"/>
        <v>2020/2019</v>
      </c>
      <c r="L647" s="29">
        <v>5494</v>
      </c>
      <c r="M647" s="18">
        <v>2019</v>
      </c>
    </row>
    <row r="648" ht="21.75" spans="1:13">
      <c r="A648" s="18" t="s">
        <v>155</v>
      </c>
      <c r="B648" s="18" t="s">
        <v>156</v>
      </c>
      <c r="C648" s="18" t="s">
        <v>162</v>
      </c>
      <c r="D648" s="18" t="s">
        <v>158</v>
      </c>
      <c r="E648" s="18" t="s">
        <v>159</v>
      </c>
      <c r="F648" s="19" t="s">
        <v>62</v>
      </c>
      <c r="G648" s="20" t="s">
        <v>161</v>
      </c>
      <c r="H648" t="str">
        <f>'Source Table'!$G$9</f>
        <v>Female</v>
      </c>
      <c r="I648" t="str">
        <f>'Source Table'!$G$8</f>
        <v>أنثى</v>
      </c>
      <c r="J648" t="str">
        <f t="shared" si="20"/>
        <v>2020/2019</v>
      </c>
      <c r="K648" t="str">
        <f t="shared" si="21"/>
        <v>2020/2019</v>
      </c>
      <c r="L648" s="29">
        <v>2089</v>
      </c>
      <c r="M648" s="18">
        <v>2019</v>
      </c>
    </row>
    <row r="649" ht="21.75" spans="1:13">
      <c r="A649" s="18" t="s">
        <v>155</v>
      </c>
      <c r="B649" s="18" t="s">
        <v>156</v>
      </c>
      <c r="C649" s="18" t="s">
        <v>162</v>
      </c>
      <c r="D649" s="18" t="s">
        <v>158</v>
      </c>
      <c r="E649" s="18" t="s">
        <v>159</v>
      </c>
      <c r="F649" s="19" t="s">
        <v>64</v>
      </c>
      <c r="G649" s="20" t="s">
        <v>65</v>
      </c>
      <c r="H649" t="str">
        <f>'Source Table'!$G$9</f>
        <v>Female</v>
      </c>
      <c r="I649" t="str">
        <f>'Source Table'!$G$8</f>
        <v>أنثى</v>
      </c>
      <c r="J649" t="str">
        <f t="shared" si="20"/>
        <v>2020/2019</v>
      </c>
      <c r="K649" t="str">
        <f t="shared" si="21"/>
        <v>2020/2019</v>
      </c>
      <c r="L649" s="29">
        <v>3488</v>
      </c>
      <c r="M649" s="18">
        <v>2019</v>
      </c>
    </row>
    <row r="650" ht="21.75" spans="1:13">
      <c r="A650" s="18" t="s">
        <v>155</v>
      </c>
      <c r="B650" s="18" t="s">
        <v>156</v>
      </c>
      <c r="C650" s="18" t="s">
        <v>162</v>
      </c>
      <c r="D650" s="18" t="s">
        <v>158</v>
      </c>
      <c r="E650" s="18" t="s">
        <v>159</v>
      </c>
      <c r="F650" s="19" t="s">
        <v>68</v>
      </c>
      <c r="G650" s="20" t="s">
        <v>69</v>
      </c>
      <c r="H650" t="str">
        <f>'Source Table'!$G$9</f>
        <v>Female</v>
      </c>
      <c r="I650" t="str">
        <f>'Source Table'!$G$8</f>
        <v>أنثى</v>
      </c>
      <c r="J650" t="str">
        <f t="shared" si="20"/>
        <v>2020/2019</v>
      </c>
      <c r="K650" t="str">
        <f t="shared" si="21"/>
        <v>2020/2019</v>
      </c>
      <c r="L650" s="29">
        <v>2084</v>
      </c>
      <c r="M650" s="18">
        <v>2019</v>
      </c>
    </row>
    <row r="651" ht="21.75" spans="1:13">
      <c r="A651" s="18" t="s">
        <v>155</v>
      </c>
      <c r="B651" s="18" t="s">
        <v>156</v>
      </c>
      <c r="C651" s="18" t="s">
        <v>162</v>
      </c>
      <c r="D651" s="18" t="s">
        <v>158</v>
      </c>
      <c r="E651" s="18" t="s">
        <v>159</v>
      </c>
      <c r="F651" s="19" t="s">
        <v>70</v>
      </c>
      <c r="G651" s="20" t="s">
        <v>71</v>
      </c>
      <c r="H651" t="str">
        <f>'Source Table'!$G$9</f>
        <v>Female</v>
      </c>
      <c r="I651" t="str">
        <f>'Source Table'!$G$8</f>
        <v>أنثى</v>
      </c>
      <c r="J651" t="str">
        <f t="shared" si="20"/>
        <v>2020/2019</v>
      </c>
      <c r="K651" t="str">
        <f t="shared" si="21"/>
        <v>2020/2019</v>
      </c>
      <c r="L651" s="29">
        <v>843</v>
      </c>
      <c r="M651" s="18">
        <v>2019</v>
      </c>
    </row>
    <row r="652" ht="21.75" spans="1:13">
      <c r="A652" s="18" t="s">
        <v>155</v>
      </c>
      <c r="B652" s="18" t="s">
        <v>156</v>
      </c>
      <c r="C652" s="18" t="s">
        <v>162</v>
      </c>
      <c r="D652" s="18" t="s">
        <v>158</v>
      </c>
      <c r="E652" s="18" t="s">
        <v>159</v>
      </c>
      <c r="F652" s="19" t="s">
        <v>74</v>
      </c>
      <c r="G652" s="20" t="s">
        <v>75</v>
      </c>
      <c r="H652" t="str">
        <f>'Source Table'!$G$9</f>
        <v>Female</v>
      </c>
      <c r="I652" t="str">
        <f>'Source Table'!$G$8</f>
        <v>أنثى</v>
      </c>
      <c r="J652" t="str">
        <f t="shared" si="20"/>
        <v>2020/2019</v>
      </c>
      <c r="K652" t="str">
        <f t="shared" si="21"/>
        <v>2020/2019</v>
      </c>
      <c r="L652" s="29">
        <v>5923</v>
      </c>
      <c r="M652" s="18">
        <v>2019</v>
      </c>
    </row>
    <row r="653" ht="21.75" spans="1:13">
      <c r="A653" s="18" t="s">
        <v>155</v>
      </c>
      <c r="B653" s="18" t="s">
        <v>156</v>
      </c>
      <c r="C653" s="18" t="s">
        <v>162</v>
      </c>
      <c r="D653" s="18" t="s">
        <v>158</v>
      </c>
      <c r="E653" s="18" t="s">
        <v>159</v>
      </c>
      <c r="F653" s="19" t="s">
        <v>76</v>
      </c>
      <c r="G653" s="20" t="s">
        <v>77</v>
      </c>
      <c r="H653" t="str">
        <f>'Source Table'!$G$9</f>
        <v>Female</v>
      </c>
      <c r="I653" t="str">
        <f>'Source Table'!$G$8</f>
        <v>أنثى</v>
      </c>
      <c r="J653" t="str">
        <f t="shared" si="20"/>
        <v>2020/2019</v>
      </c>
      <c r="K653" t="str">
        <f t="shared" si="21"/>
        <v>2020/2019</v>
      </c>
      <c r="L653" s="29">
        <v>2548</v>
      </c>
      <c r="M653" s="18">
        <v>2019</v>
      </c>
    </row>
    <row r="654" ht="21.75" spans="1:13">
      <c r="A654" s="18" t="s">
        <v>155</v>
      </c>
      <c r="B654" s="18" t="s">
        <v>156</v>
      </c>
      <c r="C654" s="18" t="s">
        <v>162</v>
      </c>
      <c r="D654" s="18" t="s">
        <v>158</v>
      </c>
      <c r="E654" s="18" t="s">
        <v>159</v>
      </c>
      <c r="F654" s="19" t="s">
        <v>78</v>
      </c>
      <c r="G654" s="20" t="s">
        <v>79</v>
      </c>
      <c r="H654" t="str">
        <f>'Source Table'!$G$9</f>
        <v>Female</v>
      </c>
      <c r="I654" t="str">
        <f>'Source Table'!$G$8</f>
        <v>أنثى</v>
      </c>
      <c r="J654" t="str">
        <f t="shared" si="20"/>
        <v>2020/2019</v>
      </c>
      <c r="K654" t="str">
        <f t="shared" si="21"/>
        <v>2020/2019</v>
      </c>
      <c r="L654" s="29">
        <v>1235</v>
      </c>
      <c r="M654" s="18">
        <v>2019</v>
      </c>
    </row>
    <row r="655" ht="21.75" spans="1:13">
      <c r="A655" s="18" t="s">
        <v>155</v>
      </c>
      <c r="B655" s="18" t="s">
        <v>156</v>
      </c>
      <c r="C655" s="18" t="s">
        <v>162</v>
      </c>
      <c r="D655" s="18" t="s">
        <v>158</v>
      </c>
      <c r="E655" s="18" t="s">
        <v>159</v>
      </c>
      <c r="F655" s="19" t="s">
        <v>80</v>
      </c>
      <c r="G655" s="20" t="s">
        <v>81</v>
      </c>
      <c r="H655" t="str">
        <f>'Source Table'!$G$9</f>
        <v>Female</v>
      </c>
      <c r="I655" t="str">
        <f>'Source Table'!$G$8</f>
        <v>أنثى</v>
      </c>
      <c r="J655" t="str">
        <f t="shared" si="20"/>
        <v>2020/2019</v>
      </c>
      <c r="K655" t="str">
        <f t="shared" si="21"/>
        <v>2020/2019</v>
      </c>
      <c r="L655" s="29">
        <v>1474</v>
      </c>
      <c r="M655" s="18">
        <v>2019</v>
      </c>
    </row>
    <row r="656" ht="21.75" spans="1:13">
      <c r="A656" s="18" t="s">
        <v>155</v>
      </c>
      <c r="B656" s="18" t="s">
        <v>156</v>
      </c>
      <c r="C656" s="18" t="s">
        <v>162</v>
      </c>
      <c r="D656" s="18" t="s">
        <v>158</v>
      </c>
      <c r="E656" s="18" t="s">
        <v>159</v>
      </c>
      <c r="F656" s="19" t="s">
        <v>82</v>
      </c>
      <c r="G656" s="20" t="s">
        <v>83</v>
      </c>
      <c r="H656" t="str">
        <f>'Source Table'!$G$9</f>
        <v>Female</v>
      </c>
      <c r="I656" t="str">
        <f>'Source Table'!$G$8</f>
        <v>أنثى</v>
      </c>
      <c r="J656" t="str">
        <f t="shared" si="20"/>
        <v>2020/2019</v>
      </c>
      <c r="K656" t="str">
        <f t="shared" si="21"/>
        <v>2020/2019</v>
      </c>
      <c r="L656" s="29">
        <v>2460</v>
      </c>
      <c r="M656" s="18">
        <v>2019</v>
      </c>
    </row>
    <row r="657" ht="21.75" spans="1:13">
      <c r="A657" s="18" t="s">
        <v>155</v>
      </c>
      <c r="B657" s="18" t="s">
        <v>156</v>
      </c>
      <c r="C657" s="18" t="s">
        <v>162</v>
      </c>
      <c r="D657" s="18" t="s">
        <v>158</v>
      </c>
      <c r="E657" s="18" t="s">
        <v>159</v>
      </c>
      <c r="F657" s="19" t="s">
        <v>84</v>
      </c>
      <c r="G657" s="20" t="s">
        <v>85</v>
      </c>
      <c r="H657" t="str">
        <f>'Source Table'!$G$9</f>
        <v>Female</v>
      </c>
      <c r="I657" t="str">
        <f>'Source Table'!$G$8</f>
        <v>أنثى</v>
      </c>
      <c r="J657" t="str">
        <f t="shared" si="20"/>
        <v>2020/2019</v>
      </c>
      <c r="K657" t="str">
        <f t="shared" si="21"/>
        <v>2020/2019</v>
      </c>
      <c r="L657" s="29">
        <v>2191</v>
      </c>
      <c r="M657" s="18">
        <v>2019</v>
      </c>
    </row>
    <row r="658" ht="21.75" spans="1:13">
      <c r="A658" s="18" t="s">
        <v>155</v>
      </c>
      <c r="B658" s="18" t="s">
        <v>156</v>
      </c>
      <c r="C658" s="18" t="s">
        <v>162</v>
      </c>
      <c r="D658" s="18" t="s">
        <v>158</v>
      </c>
      <c r="E658" s="18" t="s">
        <v>159</v>
      </c>
      <c r="F658" s="19" t="s">
        <v>86</v>
      </c>
      <c r="G658" s="20" t="s">
        <v>87</v>
      </c>
      <c r="H658" t="str">
        <f>'Source Table'!$G$9</f>
        <v>Female</v>
      </c>
      <c r="I658" t="str">
        <f>'Source Table'!$G$8</f>
        <v>أنثى</v>
      </c>
      <c r="J658" t="str">
        <f t="shared" si="20"/>
        <v>2020/2019</v>
      </c>
      <c r="K658" t="str">
        <f t="shared" si="21"/>
        <v>2020/2019</v>
      </c>
      <c r="L658" s="29">
        <v>1866</v>
      </c>
      <c r="M658" s="18">
        <v>2019</v>
      </c>
    </row>
    <row r="659" ht="21.75" spans="1:13">
      <c r="A659" s="18" t="s">
        <v>155</v>
      </c>
      <c r="B659" s="18" t="s">
        <v>156</v>
      </c>
      <c r="C659" s="18" t="s">
        <v>162</v>
      </c>
      <c r="D659" s="18" t="s">
        <v>158</v>
      </c>
      <c r="E659" s="18" t="s">
        <v>159</v>
      </c>
      <c r="F659" s="19" t="s">
        <v>88</v>
      </c>
      <c r="G659" s="20" t="s">
        <v>89</v>
      </c>
      <c r="H659" t="str">
        <f>'Source Table'!$G$9</f>
        <v>Female</v>
      </c>
      <c r="I659" t="str">
        <f>'Source Table'!$G$8</f>
        <v>أنثى</v>
      </c>
      <c r="J659" t="str">
        <f t="shared" si="20"/>
        <v>2020/2019</v>
      </c>
      <c r="K659" t="str">
        <f t="shared" si="21"/>
        <v>2020/2019</v>
      </c>
      <c r="L659" s="29">
        <v>3279</v>
      </c>
      <c r="M659" s="18">
        <v>2019</v>
      </c>
    </row>
    <row r="660" ht="21.75" spans="1:13">
      <c r="A660" s="18" t="s">
        <v>155</v>
      </c>
      <c r="B660" s="18" t="s">
        <v>156</v>
      </c>
      <c r="C660" s="18" t="s">
        <v>162</v>
      </c>
      <c r="D660" s="18" t="s">
        <v>158</v>
      </c>
      <c r="E660" s="18" t="s">
        <v>159</v>
      </c>
      <c r="F660" s="19" t="s">
        <v>91</v>
      </c>
      <c r="G660" s="20" t="s">
        <v>92</v>
      </c>
      <c r="H660" t="str">
        <f>'Source Table'!$G$9</f>
        <v>Female</v>
      </c>
      <c r="I660" t="str">
        <f>'Source Table'!$G$8</f>
        <v>أنثى</v>
      </c>
      <c r="J660" t="str">
        <f t="shared" si="20"/>
        <v>2020/2019</v>
      </c>
      <c r="K660" t="str">
        <f t="shared" si="21"/>
        <v>2020/2019</v>
      </c>
      <c r="L660" s="29">
        <v>4163</v>
      </c>
      <c r="M660" s="18">
        <v>2019</v>
      </c>
    </row>
    <row r="661" ht="21.75" spans="1:13">
      <c r="A661" s="18" t="s">
        <v>155</v>
      </c>
      <c r="B661" s="18" t="s">
        <v>156</v>
      </c>
      <c r="C661" s="18" t="s">
        <v>162</v>
      </c>
      <c r="D661" s="18" t="s">
        <v>158</v>
      </c>
      <c r="E661" s="18" t="s">
        <v>159</v>
      </c>
      <c r="F661" s="19" t="s">
        <v>94</v>
      </c>
      <c r="G661" s="20" t="s">
        <v>95</v>
      </c>
      <c r="H661" t="str">
        <f>'Source Table'!$G$9</f>
        <v>Female</v>
      </c>
      <c r="I661" t="str">
        <f>'Source Table'!$G$8</f>
        <v>أنثى</v>
      </c>
      <c r="J661" t="str">
        <f t="shared" si="20"/>
        <v>2020/2019</v>
      </c>
      <c r="K661" t="str">
        <f t="shared" si="21"/>
        <v>2020/2019</v>
      </c>
      <c r="L661" s="29">
        <v>3118</v>
      </c>
      <c r="M661" s="18">
        <v>2019</v>
      </c>
    </row>
    <row r="662" ht="21.75" spans="1:13">
      <c r="A662" s="18" t="s">
        <v>155</v>
      </c>
      <c r="B662" s="18" t="s">
        <v>156</v>
      </c>
      <c r="C662" s="18" t="s">
        <v>162</v>
      </c>
      <c r="D662" s="18" t="s">
        <v>158</v>
      </c>
      <c r="E662" s="18" t="s">
        <v>159</v>
      </c>
      <c r="F662" s="19" t="s">
        <v>96</v>
      </c>
      <c r="G662" s="20" t="s">
        <v>97</v>
      </c>
      <c r="H662" t="str">
        <f>'Source Table'!$G$9</f>
        <v>Female</v>
      </c>
      <c r="I662" t="str">
        <f>'Source Table'!$G$8</f>
        <v>أنثى</v>
      </c>
      <c r="J662" t="str">
        <f t="shared" si="20"/>
        <v>2020/2019</v>
      </c>
      <c r="K662" t="str">
        <f t="shared" si="21"/>
        <v>2020/2019</v>
      </c>
      <c r="L662" s="29">
        <v>3804</v>
      </c>
      <c r="M662" s="18">
        <v>2019</v>
      </c>
    </row>
    <row r="663" ht="21.75" spans="1:13">
      <c r="A663" s="18" t="s">
        <v>155</v>
      </c>
      <c r="B663" s="18" t="s">
        <v>156</v>
      </c>
      <c r="C663" s="18" t="s">
        <v>162</v>
      </c>
      <c r="D663" s="18" t="s">
        <v>158</v>
      </c>
      <c r="E663" s="18" t="s">
        <v>159</v>
      </c>
      <c r="F663" s="19" t="s">
        <v>98</v>
      </c>
      <c r="G663" s="20" t="s">
        <v>99</v>
      </c>
      <c r="H663" t="str">
        <f>'Source Table'!$G$9</f>
        <v>Female</v>
      </c>
      <c r="I663" t="str">
        <f>'Source Table'!$G$8</f>
        <v>أنثى</v>
      </c>
      <c r="J663" t="str">
        <f t="shared" si="20"/>
        <v>2020/2019</v>
      </c>
      <c r="K663" t="str">
        <f t="shared" si="21"/>
        <v>2020/2019</v>
      </c>
      <c r="L663" s="30">
        <v>4450</v>
      </c>
      <c r="M663" s="18">
        <v>2019</v>
      </c>
    </row>
    <row r="664" ht="21.75" spans="1:13">
      <c r="A664" s="18" t="s">
        <v>155</v>
      </c>
      <c r="B664" s="18" t="s">
        <v>156</v>
      </c>
      <c r="C664" s="18" t="s">
        <v>162</v>
      </c>
      <c r="D664" s="18" t="s">
        <v>158</v>
      </c>
      <c r="E664" s="18" t="s">
        <v>159</v>
      </c>
      <c r="F664" s="19" t="s">
        <v>100</v>
      </c>
      <c r="G664" s="20" t="s">
        <v>101</v>
      </c>
      <c r="H664" t="str">
        <f>'Source Table'!$G$9</f>
        <v>Female</v>
      </c>
      <c r="I664" t="str">
        <f>'Source Table'!$G$8</f>
        <v>أنثى</v>
      </c>
      <c r="J664" t="str">
        <f t="shared" si="20"/>
        <v>2020/2019</v>
      </c>
      <c r="K664" t="str">
        <f t="shared" si="21"/>
        <v>2020/2019</v>
      </c>
      <c r="L664" s="30">
        <v>3618</v>
      </c>
      <c r="M664" s="18">
        <v>2019</v>
      </c>
    </row>
    <row r="665" ht="21.75" spans="1:13">
      <c r="A665" s="18" t="s">
        <v>155</v>
      </c>
      <c r="B665" s="18" t="s">
        <v>156</v>
      </c>
      <c r="C665" s="18" t="s">
        <v>162</v>
      </c>
      <c r="D665" s="18" t="s">
        <v>158</v>
      </c>
      <c r="E665" s="18" t="s">
        <v>159</v>
      </c>
      <c r="F665" s="19" t="s">
        <v>103</v>
      </c>
      <c r="G665" s="20" t="s">
        <v>104</v>
      </c>
      <c r="H665" t="str">
        <f>'Source Table'!$G$9</f>
        <v>Female</v>
      </c>
      <c r="I665" t="str">
        <f>'Source Table'!$G$8</f>
        <v>أنثى</v>
      </c>
      <c r="J665" t="str">
        <f t="shared" si="20"/>
        <v>2020/2019</v>
      </c>
      <c r="K665" t="str">
        <f t="shared" si="21"/>
        <v>2020/2019</v>
      </c>
      <c r="L665" s="29">
        <v>2861</v>
      </c>
      <c r="M665" s="18">
        <v>2019</v>
      </c>
    </row>
    <row r="666" ht="21.75" spans="1:13">
      <c r="A666" s="18" t="s">
        <v>155</v>
      </c>
      <c r="B666" s="18" t="s">
        <v>156</v>
      </c>
      <c r="C666" s="18" t="s">
        <v>162</v>
      </c>
      <c r="D666" s="18" t="s">
        <v>158</v>
      </c>
      <c r="E666" s="18" t="s">
        <v>159</v>
      </c>
      <c r="F666" s="19" t="s">
        <v>106</v>
      </c>
      <c r="G666" s="20" t="s">
        <v>107</v>
      </c>
      <c r="H666" t="str">
        <f>'Source Table'!$G$9</f>
        <v>Female</v>
      </c>
      <c r="I666" t="str">
        <f>'Source Table'!$G$8</f>
        <v>أنثى</v>
      </c>
      <c r="J666" t="str">
        <f t="shared" si="20"/>
        <v>2020/2019</v>
      </c>
      <c r="K666" t="str">
        <f t="shared" si="21"/>
        <v>2020/2019</v>
      </c>
      <c r="L666" s="29">
        <v>2218</v>
      </c>
      <c r="M666" s="18">
        <v>2019</v>
      </c>
    </row>
    <row r="667" ht="21.75" spans="1:13">
      <c r="A667" s="18" t="s">
        <v>155</v>
      </c>
      <c r="B667" s="18" t="s">
        <v>156</v>
      </c>
      <c r="C667" s="18" t="s">
        <v>162</v>
      </c>
      <c r="D667" s="18" t="s">
        <v>158</v>
      </c>
      <c r="E667" s="18" t="s">
        <v>159</v>
      </c>
      <c r="F667" s="19" t="s">
        <v>108</v>
      </c>
      <c r="G667" s="20" t="s">
        <v>109</v>
      </c>
      <c r="H667" t="str">
        <f>'Source Table'!$G$9</f>
        <v>Female</v>
      </c>
      <c r="I667" t="str">
        <f>'Source Table'!$G$8</f>
        <v>أنثى</v>
      </c>
      <c r="J667" t="str">
        <f t="shared" si="20"/>
        <v>2020/2019</v>
      </c>
      <c r="K667" t="str">
        <f t="shared" si="21"/>
        <v>2020/2019</v>
      </c>
      <c r="L667" s="29">
        <v>1487</v>
      </c>
      <c r="M667" s="18">
        <v>2019</v>
      </c>
    </row>
    <row r="668" ht="21.75" spans="1:13">
      <c r="A668" s="18" t="s">
        <v>155</v>
      </c>
      <c r="B668" s="18" t="s">
        <v>156</v>
      </c>
      <c r="C668" s="18" t="s">
        <v>162</v>
      </c>
      <c r="D668" s="18" t="s">
        <v>158</v>
      </c>
      <c r="E668" s="18" t="s">
        <v>159</v>
      </c>
      <c r="F668" s="19" t="s">
        <v>110</v>
      </c>
      <c r="G668" s="20" t="s">
        <v>111</v>
      </c>
      <c r="H668" t="str">
        <f>'Source Table'!$G$9</f>
        <v>Female</v>
      </c>
      <c r="I668" t="str">
        <f>'Source Table'!$G$8</f>
        <v>أنثى</v>
      </c>
      <c r="J668" t="str">
        <f t="shared" si="20"/>
        <v>2020/2019</v>
      </c>
      <c r="K668" t="str">
        <f t="shared" si="21"/>
        <v>2020/2019</v>
      </c>
      <c r="L668" s="29">
        <v>1098</v>
      </c>
      <c r="M668" s="18">
        <v>2019</v>
      </c>
    </row>
    <row r="669" ht="21.75" spans="1:13">
      <c r="A669" s="18" t="s">
        <v>155</v>
      </c>
      <c r="B669" s="18" t="s">
        <v>156</v>
      </c>
      <c r="C669" s="18" t="s">
        <v>162</v>
      </c>
      <c r="D669" s="18" t="s">
        <v>158</v>
      </c>
      <c r="E669" s="18" t="s">
        <v>159</v>
      </c>
      <c r="F669" s="19" t="s">
        <v>113</v>
      </c>
      <c r="G669" s="20" t="s">
        <v>114</v>
      </c>
      <c r="H669" t="str">
        <f>'Source Table'!$G$9</f>
        <v>Female</v>
      </c>
      <c r="I669" t="str">
        <f>'Source Table'!$G$8</f>
        <v>أنثى</v>
      </c>
      <c r="J669" t="str">
        <f t="shared" si="20"/>
        <v>2020/2019</v>
      </c>
      <c r="K669" t="str">
        <f t="shared" si="21"/>
        <v>2020/2019</v>
      </c>
      <c r="L669" s="29">
        <v>2036</v>
      </c>
      <c r="M669" s="18">
        <v>2019</v>
      </c>
    </row>
    <row r="670" ht="21.75" spans="1:13">
      <c r="A670" s="18" t="s">
        <v>155</v>
      </c>
      <c r="B670" s="18" t="s">
        <v>156</v>
      </c>
      <c r="C670" s="18" t="s">
        <v>162</v>
      </c>
      <c r="D670" s="18" t="s">
        <v>158</v>
      </c>
      <c r="E670" s="18" t="s">
        <v>159</v>
      </c>
      <c r="F670" s="19" t="s">
        <v>115</v>
      </c>
      <c r="G670" s="20" t="s">
        <v>116</v>
      </c>
      <c r="H670" t="str">
        <f>'Source Table'!$G$9</f>
        <v>Female</v>
      </c>
      <c r="I670" t="str">
        <f>'Source Table'!$G$8</f>
        <v>أنثى</v>
      </c>
      <c r="J670" t="str">
        <f t="shared" si="20"/>
        <v>2020/2019</v>
      </c>
      <c r="K670" t="str">
        <f t="shared" si="21"/>
        <v>2020/2019</v>
      </c>
      <c r="L670" s="29">
        <v>715</v>
      </c>
      <c r="M670" s="18">
        <v>2019</v>
      </c>
    </row>
    <row r="671" ht="21.75" spans="1:13">
      <c r="A671" s="18" t="s">
        <v>155</v>
      </c>
      <c r="B671" s="18" t="s">
        <v>156</v>
      </c>
      <c r="C671" s="18" t="s">
        <v>162</v>
      </c>
      <c r="D671" s="18" t="s">
        <v>158</v>
      </c>
      <c r="E671" s="18" t="s">
        <v>159</v>
      </c>
      <c r="F671" s="19" t="s">
        <v>118</v>
      </c>
      <c r="G671" s="20" t="s">
        <v>119</v>
      </c>
      <c r="H671" t="str">
        <f>'Source Table'!$G$9</f>
        <v>Female</v>
      </c>
      <c r="I671" t="str">
        <f>'Source Table'!$G$8</f>
        <v>أنثى</v>
      </c>
      <c r="J671" t="str">
        <f t="shared" si="20"/>
        <v>2020/2019</v>
      </c>
      <c r="K671" t="str">
        <f t="shared" si="21"/>
        <v>2020/2019</v>
      </c>
      <c r="L671" s="29">
        <v>1231</v>
      </c>
      <c r="M671" s="18">
        <v>2019</v>
      </c>
    </row>
    <row r="672" ht="21.75" spans="1:13">
      <c r="A672" s="18" t="s">
        <v>155</v>
      </c>
      <c r="B672" s="18" t="s">
        <v>156</v>
      </c>
      <c r="C672" s="18" t="s">
        <v>162</v>
      </c>
      <c r="D672" s="18" t="s">
        <v>158</v>
      </c>
      <c r="E672" s="18" t="s">
        <v>159</v>
      </c>
      <c r="F672" s="19" t="s">
        <v>120</v>
      </c>
      <c r="G672" s="20" t="s">
        <v>121</v>
      </c>
      <c r="H672" t="str">
        <f>'Source Table'!$G$9</f>
        <v>Female</v>
      </c>
      <c r="I672" t="str">
        <f>'Source Table'!$G$8</f>
        <v>أنثى</v>
      </c>
      <c r="J672" t="str">
        <f t="shared" si="20"/>
        <v>2020/2019</v>
      </c>
      <c r="K672" t="str">
        <f t="shared" si="21"/>
        <v>2020/2019</v>
      </c>
      <c r="L672" s="29">
        <v>1513</v>
      </c>
      <c r="M672" s="18">
        <v>2019</v>
      </c>
    </row>
    <row r="673" ht="21.75" spans="1:13">
      <c r="A673" s="18" t="s">
        <v>155</v>
      </c>
      <c r="B673" s="18" t="s">
        <v>156</v>
      </c>
      <c r="C673" s="18" t="s">
        <v>162</v>
      </c>
      <c r="D673" s="18" t="s">
        <v>158</v>
      </c>
      <c r="E673" s="18" t="s">
        <v>159</v>
      </c>
      <c r="F673" s="19" t="s">
        <v>122</v>
      </c>
      <c r="G673" s="20" t="s">
        <v>123</v>
      </c>
      <c r="H673" t="str">
        <f>'Source Table'!$G$9</f>
        <v>Female</v>
      </c>
      <c r="I673" t="str">
        <f>'Source Table'!$G$8</f>
        <v>أنثى</v>
      </c>
      <c r="J673" t="str">
        <f t="shared" si="20"/>
        <v>2020/2019</v>
      </c>
      <c r="K673" t="str">
        <f t="shared" si="21"/>
        <v>2020/2019</v>
      </c>
      <c r="L673" s="29">
        <v>844</v>
      </c>
      <c r="M673" s="18">
        <v>2019</v>
      </c>
    </row>
    <row r="674" ht="21.75" spans="1:13">
      <c r="A674" s="18" t="s">
        <v>155</v>
      </c>
      <c r="B674" s="18" t="s">
        <v>156</v>
      </c>
      <c r="C674" s="18" t="s">
        <v>162</v>
      </c>
      <c r="D674" s="18" t="s">
        <v>158</v>
      </c>
      <c r="E674" s="18" t="s">
        <v>159</v>
      </c>
      <c r="F674" s="19" t="s">
        <v>124</v>
      </c>
      <c r="G674" s="20" t="s">
        <v>125</v>
      </c>
      <c r="H674" t="str">
        <f>'Source Table'!$G$9</f>
        <v>Female</v>
      </c>
      <c r="I674" t="str">
        <f>'Source Table'!$G$8</f>
        <v>أنثى</v>
      </c>
      <c r="J674" t="str">
        <f t="shared" si="20"/>
        <v>2020/2019</v>
      </c>
      <c r="K674" t="str">
        <f t="shared" si="21"/>
        <v>2020/2019</v>
      </c>
      <c r="L674" s="29">
        <v>584</v>
      </c>
      <c r="M674" s="18">
        <v>2019</v>
      </c>
    </row>
    <row r="675" ht="21.75" spans="1:13">
      <c r="A675" s="18" t="s">
        <v>155</v>
      </c>
      <c r="B675" s="18" t="s">
        <v>156</v>
      </c>
      <c r="C675" s="18" t="s">
        <v>162</v>
      </c>
      <c r="D675" s="18" t="s">
        <v>158</v>
      </c>
      <c r="E675" s="18" t="s">
        <v>159</v>
      </c>
      <c r="F675" s="19" t="s">
        <v>126</v>
      </c>
      <c r="G675" s="20" t="s">
        <v>127</v>
      </c>
      <c r="H675" t="str">
        <f>'Source Table'!$G$9</f>
        <v>Female</v>
      </c>
      <c r="I675" t="str">
        <f>'Source Table'!$G$8</f>
        <v>أنثى</v>
      </c>
      <c r="J675" t="str">
        <f t="shared" si="20"/>
        <v>2020/2019</v>
      </c>
      <c r="K675" t="str">
        <f t="shared" si="21"/>
        <v>2020/2019</v>
      </c>
      <c r="L675" s="30">
        <v>3629</v>
      </c>
      <c r="M675" s="18">
        <v>2019</v>
      </c>
    </row>
    <row r="676" ht="21.75" spans="1:13">
      <c r="A676" s="18" t="s">
        <v>155</v>
      </c>
      <c r="B676" s="18" t="s">
        <v>156</v>
      </c>
      <c r="C676" s="18" t="s">
        <v>157</v>
      </c>
      <c r="D676" s="18" t="s">
        <v>158</v>
      </c>
      <c r="E676" s="18" t="s">
        <v>159</v>
      </c>
      <c r="F676" s="19" t="s">
        <v>29</v>
      </c>
      <c r="G676" s="20" t="s">
        <v>30</v>
      </c>
      <c r="H676" t="str">
        <f>'Source Table'!$H$9</f>
        <v>Male</v>
      </c>
      <c r="I676" t="str">
        <f>'Source Table'!$H$8</f>
        <v>ذكر</v>
      </c>
      <c r="J676" t="str">
        <f t="shared" si="20"/>
        <v>2019/2018</v>
      </c>
      <c r="K676" t="str">
        <f t="shared" si="21"/>
        <v>2019/2018</v>
      </c>
      <c r="L676" s="29">
        <v>80252</v>
      </c>
      <c r="M676" s="18">
        <v>2018</v>
      </c>
    </row>
    <row r="677" ht="21.75" spans="1:13">
      <c r="A677" s="18" t="s">
        <v>155</v>
      </c>
      <c r="B677" s="18" t="s">
        <v>156</v>
      </c>
      <c r="C677" s="18" t="s">
        <v>157</v>
      </c>
      <c r="D677" s="18" t="s">
        <v>158</v>
      </c>
      <c r="E677" s="18" t="s">
        <v>159</v>
      </c>
      <c r="F677" s="19" t="s">
        <v>32</v>
      </c>
      <c r="G677" s="20" t="s">
        <v>33</v>
      </c>
      <c r="H677" t="str">
        <f>'Source Table'!$H$9</f>
        <v>Male</v>
      </c>
      <c r="I677" t="str">
        <f>'Source Table'!$H$8</f>
        <v>ذكر</v>
      </c>
      <c r="J677" t="str">
        <f t="shared" si="20"/>
        <v>2019/2018</v>
      </c>
      <c r="K677" t="str">
        <f t="shared" si="21"/>
        <v>2019/2018</v>
      </c>
      <c r="L677" s="29">
        <v>70264</v>
      </c>
      <c r="M677" s="18">
        <v>2018</v>
      </c>
    </row>
    <row r="678" ht="21.75" spans="1:13">
      <c r="A678" s="18" t="s">
        <v>155</v>
      </c>
      <c r="B678" s="18" t="s">
        <v>156</v>
      </c>
      <c r="C678" s="18" t="s">
        <v>157</v>
      </c>
      <c r="D678" s="18" t="s">
        <v>158</v>
      </c>
      <c r="E678" s="18" t="s">
        <v>159</v>
      </c>
      <c r="F678" s="19" t="s">
        <v>34</v>
      </c>
      <c r="G678" s="20" t="s">
        <v>35</v>
      </c>
      <c r="H678" t="str">
        <f>'Source Table'!$H$9</f>
        <v>Male</v>
      </c>
      <c r="I678" t="str">
        <f>'Source Table'!$H$8</f>
        <v>ذكر</v>
      </c>
      <c r="J678" t="str">
        <f t="shared" si="20"/>
        <v>2019/2018</v>
      </c>
      <c r="K678" t="str">
        <f t="shared" si="21"/>
        <v>2019/2018</v>
      </c>
      <c r="L678" s="29">
        <v>15494</v>
      </c>
      <c r="M678" s="18">
        <v>2018</v>
      </c>
    </row>
    <row r="679" ht="21.75" spans="1:13">
      <c r="A679" s="18" t="s">
        <v>155</v>
      </c>
      <c r="B679" s="18" t="s">
        <v>156</v>
      </c>
      <c r="C679" s="18" t="s">
        <v>157</v>
      </c>
      <c r="D679" s="18" t="s">
        <v>158</v>
      </c>
      <c r="E679" s="18" t="s">
        <v>159</v>
      </c>
      <c r="F679" s="19" t="s">
        <v>36</v>
      </c>
      <c r="G679" s="20" t="s">
        <v>37</v>
      </c>
      <c r="H679" t="str">
        <f>'Source Table'!$H$9</f>
        <v>Male</v>
      </c>
      <c r="I679" t="str">
        <f>'Source Table'!$H$8</f>
        <v>ذكر</v>
      </c>
      <c r="J679" t="str">
        <f t="shared" si="20"/>
        <v>2019/2018</v>
      </c>
      <c r="K679" t="str">
        <f t="shared" si="21"/>
        <v>2019/2018</v>
      </c>
      <c r="L679" s="29">
        <v>67554</v>
      </c>
      <c r="M679" s="18">
        <v>2018</v>
      </c>
    </row>
    <row r="680" ht="21.75" spans="1:13">
      <c r="A680" s="18" t="s">
        <v>155</v>
      </c>
      <c r="B680" s="18" t="s">
        <v>156</v>
      </c>
      <c r="C680" s="18" t="s">
        <v>157</v>
      </c>
      <c r="D680" s="18" t="s">
        <v>158</v>
      </c>
      <c r="E680" s="18" t="s">
        <v>159</v>
      </c>
      <c r="F680" s="19" t="s">
        <v>38</v>
      </c>
      <c r="G680" s="20" t="s">
        <v>39</v>
      </c>
      <c r="H680" t="str">
        <f>'Source Table'!$H$9</f>
        <v>Male</v>
      </c>
      <c r="I680" t="str">
        <f>'Source Table'!$H$8</f>
        <v>ذكر</v>
      </c>
      <c r="J680" t="str">
        <f t="shared" si="20"/>
        <v>2019/2018</v>
      </c>
      <c r="K680" t="str">
        <f t="shared" si="21"/>
        <v>2019/2018</v>
      </c>
      <c r="L680" s="29">
        <v>95892</v>
      </c>
      <c r="M680" s="18">
        <v>2018</v>
      </c>
    </row>
    <row r="681" ht="21.75" spans="1:13">
      <c r="A681" s="18" t="s">
        <v>155</v>
      </c>
      <c r="B681" s="18" t="s">
        <v>156</v>
      </c>
      <c r="C681" s="18" t="s">
        <v>157</v>
      </c>
      <c r="D681" s="18" t="s">
        <v>158</v>
      </c>
      <c r="E681" s="18" t="s">
        <v>159</v>
      </c>
      <c r="F681" s="19" t="s">
        <v>40</v>
      </c>
      <c r="G681" s="20" t="s">
        <v>41</v>
      </c>
      <c r="H681" t="str">
        <f>'Source Table'!$H$9</f>
        <v>Male</v>
      </c>
      <c r="I681" t="str">
        <f>'Source Table'!$H$8</f>
        <v>ذكر</v>
      </c>
      <c r="J681" t="str">
        <f t="shared" si="20"/>
        <v>2019/2018</v>
      </c>
      <c r="K681" t="str">
        <f t="shared" si="21"/>
        <v>2019/2018</v>
      </c>
      <c r="L681" s="29">
        <v>32066</v>
      </c>
      <c r="M681" s="18">
        <v>2018</v>
      </c>
    </row>
    <row r="682" ht="21.75" spans="1:13">
      <c r="A682" s="18" t="s">
        <v>155</v>
      </c>
      <c r="B682" s="18" t="s">
        <v>156</v>
      </c>
      <c r="C682" s="18" t="s">
        <v>157</v>
      </c>
      <c r="D682" s="18" t="s">
        <v>158</v>
      </c>
      <c r="E682" s="18" t="s">
        <v>159</v>
      </c>
      <c r="F682" s="19" t="s">
        <v>42</v>
      </c>
      <c r="G682" s="20" t="s">
        <v>43</v>
      </c>
      <c r="H682" t="str">
        <f>'Source Table'!$H$9</f>
        <v>Male</v>
      </c>
      <c r="I682" t="str">
        <f>'Source Table'!$H$8</f>
        <v>ذكر</v>
      </c>
      <c r="J682" t="str">
        <f t="shared" si="20"/>
        <v>2019/2018</v>
      </c>
      <c r="K682" t="str">
        <f t="shared" si="21"/>
        <v>2019/2018</v>
      </c>
      <c r="L682" s="29">
        <v>14348</v>
      </c>
      <c r="M682" s="18">
        <v>2018</v>
      </c>
    </row>
    <row r="683" ht="21.75" spans="1:13">
      <c r="A683" s="18" t="s">
        <v>155</v>
      </c>
      <c r="B683" s="18" t="s">
        <v>156</v>
      </c>
      <c r="C683" s="18" t="s">
        <v>157</v>
      </c>
      <c r="D683" s="18" t="s">
        <v>158</v>
      </c>
      <c r="E683" s="18" t="s">
        <v>159</v>
      </c>
      <c r="F683" s="19" t="s">
        <v>44</v>
      </c>
      <c r="G683" s="20" t="s">
        <v>45</v>
      </c>
      <c r="H683" t="str">
        <f>'Source Table'!$H$9</f>
        <v>Male</v>
      </c>
      <c r="I683" t="str">
        <f>'Source Table'!$H$8</f>
        <v>ذكر</v>
      </c>
      <c r="J683" t="str">
        <f t="shared" si="20"/>
        <v>2019/2018</v>
      </c>
      <c r="K683" t="str">
        <f t="shared" si="21"/>
        <v>2019/2018</v>
      </c>
      <c r="L683" s="29">
        <v>8063</v>
      </c>
      <c r="M683" s="18">
        <v>2018</v>
      </c>
    </row>
    <row r="684" ht="21.75" spans="1:13">
      <c r="A684" s="18" t="s">
        <v>155</v>
      </c>
      <c r="B684" s="18" t="s">
        <v>156</v>
      </c>
      <c r="C684" s="18" t="s">
        <v>157</v>
      </c>
      <c r="D684" s="18" t="s">
        <v>158</v>
      </c>
      <c r="E684" s="18" t="s">
        <v>159</v>
      </c>
      <c r="F684" s="19" t="s">
        <v>46</v>
      </c>
      <c r="G684" s="20" t="s">
        <v>47</v>
      </c>
      <c r="H684" t="str">
        <f>'Source Table'!$H$9</f>
        <v>Male</v>
      </c>
      <c r="I684" t="str">
        <f>'Source Table'!$H$8</f>
        <v>ذكر</v>
      </c>
      <c r="J684" t="str">
        <f t="shared" si="20"/>
        <v>2019/2018</v>
      </c>
      <c r="K684" t="str">
        <f t="shared" si="21"/>
        <v>2019/2018</v>
      </c>
      <c r="L684" s="29">
        <v>8813</v>
      </c>
      <c r="M684" s="18">
        <v>2018</v>
      </c>
    </row>
    <row r="685" ht="21.75" spans="1:13">
      <c r="A685" s="18" t="s">
        <v>155</v>
      </c>
      <c r="B685" s="18" t="s">
        <v>156</v>
      </c>
      <c r="C685" s="18" t="s">
        <v>157</v>
      </c>
      <c r="D685" s="18" t="s">
        <v>158</v>
      </c>
      <c r="E685" s="18" t="s">
        <v>159</v>
      </c>
      <c r="F685" s="19" t="s">
        <v>49</v>
      </c>
      <c r="G685" s="20" t="s">
        <v>50</v>
      </c>
      <c r="H685" t="str">
        <f>'Source Table'!$H$9</f>
        <v>Male</v>
      </c>
      <c r="I685" t="str">
        <f>'Source Table'!$H$8</f>
        <v>ذكر</v>
      </c>
      <c r="J685" t="str">
        <f t="shared" si="20"/>
        <v>2019/2018</v>
      </c>
      <c r="K685" t="str">
        <f t="shared" si="21"/>
        <v>2019/2018</v>
      </c>
      <c r="L685" s="29">
        <v>26109</v>
      </c>
      <c r="M685" s="18">
        <v>2018</v>
      </c>
    </row>
    <row r="686" ht="21.75" spans="1:13">
      <c r="A686" s="18" t="s">
        <v>155</v>
      </c>
      <c r="B686" s="18" t="s">
        <v>156</v>
      </c>
      <c r="C686" s="18" t="s">
        <v>157</v>
      </c>
      <c r="D686" s="18" t="s">
        <v>158</v>
      </c>
      <c r="E686" s="18" t="s">
        <v>159</v>
      </c>
      <c r="F686" s="19" t="s">
        <v>52</v>
      </c>
      <c r="G686" s="20" t="s">
        <v>53</v>
      </c>
      <c r="H686" t="str">
        <f>'Source Table'!$H$9</f>
        <v>Male</v>
      </c>
      <c r="I686" t="str">
        <f>'Source Table'!$H$8</f>
        <v>ذكر</v>
      </c>
      <c r="J686" t="str">
        <f t="shared" si="20"/>
        <v>2019/2018</v>
      </c>
      <c r="K686" t="str">
        <f t="shared" si="21"/>
        <v>2019/2018</v>
      </c>
      <c r="L686" s="29">
        <v>29890</v>
      </c>
      <c r="M686" s="18">
        <v>2018</v>
      </c>
    </row>
    <row r="687" ht="21.75" spans="1:13">
      <c r="A687" s="18" t="s">
        <v>155</v>
      </c>
      <c r="B687" s="18" t="s">
        <v>156</v>
      </c>
      <c r="C687" s="18" t="s">
        <v>157</v>
      </c>
      <c r="D687" s="18" t="s">
        <v>158</v>
      </c>
      <c r="E687" s="18" t="s">
        <v>159</v>
      </c>
      <c r="F687" s="19" t="s">
        <v>54</v>
      </c>
      <c r="G687" s="20" t="s">
        <v>55</v>
      </c>
      <c r="H687" t="str">
        <f>'Source Table'!$H$9</f>
        <v>Male</v>
      </c>
      <c r="I687" t="str">
        <f>'Source Table'!$H$8</f>
        <v>ذكر</v>
      </c>
      <c r="J687" t="str">
        <f t="shared" si="20"/>
        <v>2019/2018</v>
      </c>
      <c r="K687" t="str">
        <f t="shared" si="21"/>
        <v>2019/2018</v>
      </c>
      <c r="L687" s="29">
        <v>9128</v>
      </c>
      <c r="M687" s="18">
        <v>2018</v>
      </c>
    </row>
    <row r="688" ht="21.75" spans="1:13">
      <c r="A688" s="18" t="s">
        <v>155</v>
      </c>
      <c r="B688" s="18" t="s">
        <v>156</v>
      </c>
      <c r="C688" s="18" t="s">
        <v>157</v>
      </c>
      <c r="D688" s="18" t="s">
        <v>158</v>
      </c>
      <c r="E688" s="18" t="s">
        <v>159</v>
      </c>
      <c r="F688" s="19" t="s">
        <v>56</v>
      </c>
      <c r="G688" s="20" t="s">
        <v>57</v>
      </c>
      <c r="H688" t="str">
        <f>'Source Table'!$H$9</f>
        <v>Male</v>
      </c>
      <c r="I688" t="str">
        <f>'Source Table'!$H$8</f>
        <v>ذكر</v>
      </c>
      <c r="J688" t="str">
        <f t="shared" si="20"/>
        <v>2019/2018</v>
      </c>
      <c r="K688" t="str">
        <f t="shared" si="21"/>
        <v>2019/2018</v>
      </c>
      <c r="L688" s="29">
        <v>8129</v>
      </c>
      <c r="M688" s="18">
        <v>2018</v>
      </c>
    </row>
    <row r="689" ht="21.75" spans="1:13">
      <c r="A689" s="18" t="s">
        <v>155</v>
      </c>
      <c r="B689" s="18" t="s">
        <v>156</v>
      </c>
      <c r="C689" s="18" t="s">
        <v>157</v>
      </c>
      <c r="D689" s="18" t="s">
        <v>158</v>
      </c>
      <c r="E689" s="18" t="s">
        <v>159</v>
      </c>
      <c r="F689" s="19" t="s">
        <v>59</v>
      </c>
      <c r="G689" s="20" t="s">
        <v>160</v>
      </c>
      <c r="H689" t="str">
        <f>'Source Table'!$H$9</f>
        <v>Male</v>
      </c>
      <c r="I689" t="str">
        <f>'Source Table'!$H$8</f>
        <v>ذكر</v>
      </c>
      <c r="J689" t="str">
        <f t="shared" si="20"/>
        <v>2019/2018</v>
      </c>
      <c r="K689" t="str">
        <f t="shared" si="21"/>
        <v>2019/2018</v>
      </c>
      <c r="L689" s="29">
        <v>72484</v>
      </c>
      <c r="M689" s="18">
        <v>2018</v>
      </c>
    </row>
    <row r="690" ht="21.75" spans="1:13">
      <c r="A690" s="18" t="s">
        <v>155</v>
      </c>
      <c r="B690" s="18" t="s">
        <v>156</v>
      </c>
      <c r="C690" s="18" t="s">
        <v>157</v>
      </c>
      <c r="D690" s="18" t="s">
        <v>158</v>
      </c>
      <c r="E690" s="18" t="s">
        <v>159</v>
      </c>
      <c r="F690" s="19" t="s">
        <v>62</v>
      </c>
      <c r="G690" s="20" t="s">
        <v>161</v>
      </c>
      <c r="H690" t="str">
        <f>'Source Table'!$H$9</f>
        <v>Male</v>
      </c>
      <c r="I690" t="str">
        <f>'Source Table'!$H$8</f>
        <v>ذكر</v>
      </c>
      <c r="J690" t="str">
        <f t="shared" si="20"/>
        <v>2019/2018</v>
      </c>
      <c r="K690" t="str">
        <f t="shared" si="21"/>
        <v>2019/2018</v>
      </c>
      <c r="L690" s="29">
        <v>28329</v>
      </c>
      <c r="M690" s="18">
        <v>2018</v>
      </c>
    </row>
    <row r="691" ht="21.75" spans="1:13">
      <c r="A691" s="18" t="s">
        <v>155</v>
      </c>
      <c r="B691" s="18" t="s">
        <v>156</v>
      </c>
      <c r="C691" s="18" t="s">
        <v>157</v>
      </c>
      <c r="D691" s="18" t="s">
        <v>158</v>
      </c>
      <c r="E691" s="18" t="s">
        <v>159</v>
      </c>
      <c r="F691" s="19" t="s">
        <v>64</v>
      </c>
      <c r="G691" s="20" t="s">
        <v>65</v>
      </c>
      <c r="H691" t="str">
        <f>'Source Table'!$H$9</f>
        <v>Male</v>
      </c>
      <c r="I691" t="str">
        <f>'Source Table'!$H$8</f>
        <v>ذكر</v>
      </c>
      <c r="J691" t="str">
        <f t="shared" si="20"/>
        <v>2019/2018</v>
      </c>
      <c r="K691" t="str">
        <f t="shared" si="21"/>
        <v>2019/2018</v>
      </c>
      <c r="L691" s="29">
        <v>50947</v>
      </c>
      <c r="M691" s="18">
        <v>2018</v>
      </c>
    </row>
    <row r="692" ht="21.75" spans="1:13">
      <c r="A692" s="18" t="s">
        <v>155</v>
      </c>
      <c r="B692" s="18" t="s">
        <v>156</v>
      </c>
      <c r="C692" s="18" t="s">
        <v>157</v>
      </c>
      <c r="D692" s="18" t="s">
        <v>158</v>
      </c>
      <c r="E692" s="18" t="s">
        <v>159</v>
      </c>
      <c r="F692" s="19" t="s">
        <v>68</v>
      </c>
      <c r="G692" s="20" t="s">
        <v>69</v>
      </c>
      <c r="H692" t="str">
        <f>'Source Table'!$H$9</f>
        <v>Male</v>
      </c>
      <c r="I692" t="str">
        <f>'Source Table'!$H$8</f>
        <v>ذكر</v>
      </c>
      <c r="J692" t="str">
        <f t="shared" si="20"/>
        <v>2019/2018</v>
      </c>
      <c r="K692" t="str">
        <f t="shared" si="21"/>
        <v>2019/2018</v>
      </c>
      <c r="L692" s="29">
        <v>22858</v>
      </c>
      <c r="M692" s="18">
        <v>2018</v>
      </c>
    </row>
    <row r="693" ht="21.75" spans="1:13">
      <c r="A693" s="18" t="s">
        <v>155</v>
      </c>
      <c r="B693" s="18" t="s">
        <v>156</v>
      </c>
      <c r="C693" s="18" t="s">
        <v>157</v>
      </c>
      <c r="D693" s="18" t="s">
        <v>158</v>
      </c>
      <c r="E693" s="18" t="s">
        <v>159</v>
      </c>
      <c r="F693" s="19" t="s">
        <v>70</v>
      </c>
      <c r="G693" s="20" t="s">
        <v>71</v>
      </c>
      <c r="H693" t="str">
        <f>'Source Table'!$H$9</f>
        <v>Male</v>
      </c>
      <c r="I693" t="str">
        <f>'Source Table'!$H$8</f>
        <v>ذكر</v>
      </c>
      <c r="J693" t="str">
        <f t="shared" si="20"/>
        <v>2019/2018</v>
      </c>
      <c r="K693" t="str">
        <f t="shared" si="21"/>
        <v>2019/2018</v>
      </c>
      <c r="L693" s="29">
        <v>5609</v>
      </c>
      <c r="M693" s="18">
        <v>2018</v>
      </c>
    </row>
    <row r="694" ht="21.75" spans="1:13">
      <c r="A694" s="18" t="s">
        <v>155</v>
      </c>
      <c r="B694" s="18" t="s">
        <v>156</v>
      </c>
      <c r="C694" s="18" t="s">
        <v>157</v>
      </c>
      <c r="D694" s="18" t="s">
        <v>158</v>
      </c>
      <c r="E694" s="18" t="s">
        <v>159</v>
      </c>
      <c r="F694" s="19" t="s">
        <v>74</v>
      </c>
      <c r="G694" s="20" t="s">
        <v>75</v>
      </c>
      <c r="H694" t="str">
        <f>'Source Table'!$H$9</f>
        <v>Male</v>
      </c>
      <c r="I694" t="str">
        <f>'Source Table'!$H$8</f>
        <v>ذكر</v>
      </c>
      <c r="J694" t="str">
        <f t="shared" si="20"/>
        <v>2019/2018</v>
      </c>
      <c r="K694" t="str">
        <f t="shared" si="21"/>
        <v>2019/2018</v>
      </c>
      <c r="L694" s="29">
        <v>77917</v>
      </c>
      <c r="M694" s="18">
        <v>2018</v>
      </c>
    </row>
    <row r="695" ht="21.75" spans="1:13">
      <c r="A695" s="18" t="s">
        <v>155</v>
      </c>
      <c r="B695" s="18" t="s">
        <v>156</v>
      </c>
      <c r="C695" s="18" t="s">
        <v>157</v>
      </c>
      <c r="D695" s="18" t="s">
        <v>158</v>
      </c>
      <c r="E695" s="18" t="s">
        <v>159</v>
      </c>
      <c r="F695" s="19" t="s">
        <v>76</v>
      </c>
      <c r="G695" s="20" t="s">
        <v>77</v>
      </c>
      <c r="H695" t="str">
        <f>'Source Table'!$H$9</f>
        <v>Male</v>
      </c>
      <c r="I695" t="str">
        <f>'Source Table'!$H$8</f>
        <v>ذكر</v>
      </c>
      <c r="J695" t="str">
        <f t="shared" si="20"/>
        <v>2019/2018</v>
      </c>
      <c r="K695" t="str">
        <f t="shared" si="21"/>
        <v>2019/2018</v>
      </c>
      <c r="L695" s="29">
        <v>25231</v>
      </c>
      <c r="M695" s="18">
        <v>2018</v>
      </c>
    </row>
    <row r="696" ht="21.75" spans="1:13">
      <c r="A696" s="18" t="s">
        <v>155</v>
      </c>
      <c r="B696" s="18" t="s">
        <v>156</v>
      </c>
      <c r="C696" s="18" t="s">
        <v>157</v>
      </c>
      <c r="D696" s="18" t="s">
        <v>158</v>
      </c>
      <c r="E696" s="18" t="s">
        <v>159</v>
      </c>
      <c r="F696" s="19" t="s">
        <v>78</v>
      </c>
      <c r="G696" s="20" t="s">
        <v>79</v>
      </c>
      <c r="H696" t="str">
        <f>'Source Table'!$H$9</f>
        <v>Male</v>
      </c>
      <c r="I696" t="str">
        <f>'Source Table'!$H$8</f>
        <v>ذكر</v>
      </c>
      <c r="J696" t="str">
        <f t="shared" si="20"/>
        <v>2019/2018</v>
      </c>
      <c r="K696" t="str">
        <f t="shared" si="21"/>
        <v>2019/2018</v>
      </c>
      <c r="L696" s="29">
        <v>77917</v>
      </c>
      <c r="M696" s="18">
        <v>2018</v>
      </c>
    </row>
    <row r="697" ht="21.75" spans="1:13">
      <c r="A697" s="18" t="s">
        <v>155</v>
      </c>
      <c r="B697" s="18" t="s">
        <v>156</v>
      </c>
      <c r="C697" s="18" t="s">
        <v>157</v>
      </c>
      <c r="D697" s="18" t="s">
        <v>158</v>
      </c>
      <c r="E697" s="18" t="s">
        <v>159</v>
      </c>
      <c r="F697" s="19" t="s">
        <v>80</v>
      </c>
      <c r="G697" s="20" t="s">
        <v>81</v>
      </c>
      <c r="H697" t="str">
        <f>'Source Table'!$H$9</f>
        <v>Male</v>
      </c>
      <c r="I697" t="str">
        <f>'Source Table'!$H$8</f>
        <v>ذكر</v>
      </c>
      <c r="J697" t="str">
        <f t="shared" si="20"/>
        <v>2019/2018</v>
      </c>
      <c r="K697" t="str">
        <f t="shared" si="21"/>
        <v>2019/2018</v>
      </c>
      <c r="L697" s="29">
        <v>25231</v>
      </c>
      <c r="M697" s="18">
        <v>2018</v>
      </c>
    </row>
    <row r="698" ht="21.75" spans="1:13">
      <c r="A698" s="18" t="s">
        <v>155</v>
      </c>
      <c r="B698" s="18" t="s">
        <v>156</v>
      </c>
      <c r="C698" s="18" t="s">
        <v>157</v>
      </c>
      <c r="D698" s="18" t="s">
        <v>158</v>
      </c>
      <c r="E698" s="18" t="s">
        <v>159</v>
      </c>
      <c r="F698" s="19" t="s">
        <v>82</v>
      </c>
      <c r="G698" s="20" t="s">
        <v>83</v>
      </c>
      <c r="H698" t="str">
        <f>'Source Table'!$H$9</f>
        <v>Male</v>
      </c>
      <c r="I698" t="str">
        <f>'Source Table'!$H$8</f>
        <v>ذكر</v>
      </c>
      <c r="J698" t="str">
        <f t="shared" si="20"/>
        <v>2019/2018</v>
      </c>
      <c r="K698" t="str">
        <f t="shared" si="21"/>
        <v>2019/2018</v>
      </c>
      <c r="L698" s="29">
        <v>8686</v>
      </c>
      <c r="M698" s="18">
        <v>2018</v>
      </c>
    </row>
    <row r="699" ht="21.75" spans="1:13">
      <c r="A699" s="18" t="s">
        <v>155</v>
      </c>
      <c r="B699" s="18" t="s">
        <v>156</v>
      </c>
      <c r="C699" s="18" t="s">
        <v>157</v>
      </c>
      <c r="D699" s="18" t="s">
        <v>158</v>
      </c>
      <c r="E699" s="18" t="s">
        <v>159</v>
      </c>
      <c r="F699" s="19" t="s">
        <v>84</v>
      </c>
      <c r="G699" s="20" t="s">
        <v>85</v>
      </c>
      <c r="H699" t="str">
        <f>'Source Table'!$H$9</f>
        <v>Male</v>
      </c>
      <c r="I699" t="str">
        <f>'Source Table'!$H$8</f>
        <v>ذكر</v>
      </c>
      <c r="J699" t="str">
        <f t="shared" si="20"/>
        <v>2019/2018</v>
      </c>
      <c r="K699" t="str">
        <f t="shared" si="21"/>
        <v>2019/2018</v>
      </c>
      <c r="L699" s="29">
        <v>10129</v>
      </c>
      <c r="M699" s="18">
        <v>2018</v>
      </c>
    </row>
    <row r="700" ht="21.75" spans="1:13">
      <c r="A700" s="18" t="s">
        <v>155</v>
      </c>
      <c r="B700" s="18" t="s">
        <v>156</v>
      </c>
      <c r="C700" s="18" t="s">
        <v>157</v>
      </c>
      <c r="D700" s="18" t="s">
        <v>158</v>
      </c>
      <c r="E700" s="18" t="s">
        <v>159</v>
      </c>
      <c r="F700" s="19" t="s">
        <v>86</v>
      </c>
      <c r="G700" s="20" t="s">
        <v>87</v>
      </c>
      <c r="H700" t="str">
        <f>'Source Table'!$H$9</f>
        <v>Male</v>
      </c>
      <c r="I700" t="str">
        <f>'Source Table'!$H$8</f>
        <v>ذكر</v>
      </c>
      <c r="J700" t="str">
        <f t="shared" si="20"/>
        <v>2019/2018</v>
      </c>
      <c r="K700" t="str">
        <f t="shared" si="21"/>
        <v>2019/2018</v>
      </c>
      <c r="L700" s="29">
        <v>18179</v>
      </c>
      <c r="M700" s="18">
        <v>2018</v>
      </c>
    </row>
    <row r="701" ht="21.75" spans="1:13">
      <c r="A701" s="18" t="s">
        <v>155</v>
      </c>
      <c r="B701" s="18" t="s">
        <v>156</v>
      </c>
      <c r="C701" s="18" t="s">
        <v>157</v>
      </c>
      <c r="D701" s="18" t="s">
        <v>158</v>
      </c>
      <c r="E701" s="18" t="s">
        <v>159</v>
      </c>
      <c r="F701" s="19" t="s">
        <v>88</v>
      </c>
      <c r="G701" s="20" t="s">
        <v>89</v>
      </c>
      <c r="H701" t="str">
        <f>'Source Table'!$H$9</f>
        <v>Male</v>
      </c>
      <c r="I701" t="str">
        <f>'Source Table'!$H$8</f>
        <v>ذكر</v>
      </c>
      <c r="J701" t="str">
        <f t="shared" si="20"/>
        <v>2019/2018</v>
      </c>
      <c r="K701" t="str">
        <f t="shared" si="21"/>
        <v>2019/2018</v>
      </c>
      <c r="L701" s="29">
        <v>14066</v>
      </c>
      <c r="M701" s="18">
        <v>2018</v>
      </c>
    </row>
    <row r="702" ht="21.75" spans="1:13">
      <c r="A702" s="18" t="s">
        <v>155</v>
      </c>
      <c r="B702" s="18" t="s">
        <v>156</v>
      </c>
      <c r="C702" s="18" t="s">
        <v>157</v>
      </c>
      <c r="D702" s="18" t="s">
        <v>158</v>
      </c>
      <c r="E702" s="18" t="s">
        <v>159</v>
      </c>
      <c r="F702" s="19" t="s">
        <v>91</v>
      </c>
      <c r="G702" s="20" t="s">
        <v>92</v>
      </c>
      <c r="H702" t="str">
        <f>'Source Table'!$H$9</f>
        <v>Male</v>
      </c>
      <c r="I702" t="str">
        <f>'Source Table'!$H$8</f>
        <v>ذكر</v>
      </c>
      <c r="J702" t="str">
        <f t="shared" si="20"/>
        <v>2019/2018</v>
      </c>
      <c r="K702" t="str">
        <f t="shared" si="21"/>
        <v>2019/2018</v>
      </c>
      <c r="L702" s="29">
        <v>26135</v>
      </c>
      <c r="M702" s="18">
        <v>2018</v>
      </c>
    </row>
    <row r="703" ht="21.75" spans="1:13">
      <c r="A703" s="18" t="s">
        <v>155</v>
      </c>
      <c r="B703" s="18" t="s">
        <v>156</v>
      </c>
      <c r="C703" s="18" t="s">
        <v>157</v>
      </c>
      <c r="D703" s="18" t="s">
        <v>158</v>
      </c>
      <c r="E703" s="18" t="s">
        <v>159</v>
      </c>
      <c r="F703" s="19" t="s">
        <v>94</v>
      </c>
      <c r="G703" s="20" t="s">
        <v>95</v>
      </c>
      <c r="H703" t="str">
        <f>'Source Table'!$H$9</f>
        <v>Male</v>
      </c>
      <c r="I703" t="str">
        <f>'Source Table'!$H$8</f>
        <v>ذكر</v>
      </c>
      <c r="J703" t="str">
        <f t="shared" si="20"/>
        <v>2019/2018</v>
      </c>
      <c r="K703" t="str">
        <f t="shared" si="21"/>
        <v>2019/2018</v>
      </c>
      <c r="L703" s="29">
        <v>16909</v>
      </c>
      <c r="M703" s="18">
        <v>2018</v>
      </c>
    </row>
    <row r="704" ht="21.75" spans="1:13">
      <c r="A704" s="18" t="s">
        <v>155</v>
      </c>
      <c r="B704" s="18" t="s">
        <v>156</v>
      </c>
      <c r="C704" s="18" t="s">
        <v>157</v>
      </c>
      <c r="D704" s="18" t="s">
        <v>158</v>
      </c>
      <c r="E704" s="18" t="s">
        <v>159</v>
      </c>
      <c r="F704" s="19" t="s">
        <v>96</v>
      </c>
      <c r="G704" s="20" t="s">
        <v>97</v>
      </c>
      <c r="H704" t="str">
        <f>'Source Table'!$H$9</f>
        <v>Male</v>
      </c>
      <c r="I704" t="str">
        <f>'Source Table'!$H$8</f>
        <v>ذكر</v>
      </c>
      <c r="J704" t="str">
        <f t="shared" si="20"/>
        <v>2019/2018</v>
      </c>
      <c r="K704" t="str">
        <f t="shared" si="21"/>
        <v>2019/2018</v>
      </c>
      <c r="L704" s="29">
        <v>28955</v>
      </c>
      <c r="M704" s="18">
        <v>2018</v>
      </c>
    </row>
    <row r="705" ht="21.75" spans="1:13">
      <c r="A705" s="18" t="s">
        <v>155</v>
      </c>
      <c r="B705" s="18" t="s">
        <v>156</v>
      </c>
      <c r="C705" s="18" t="s">
        <v>157</v>
      </c>
      <c r="D705" s="18" t="s">
        <v>158</v>
      </c>
      <c r="E705" s="18" t="s">
        <v>159</v>
      </c>
      <c r="F705" s="19" t="s">
        <v>98</v>
      </c>
      <c r="G705" s="20" t="s">
        <v>99</v>
      </c>
      <c r="H705" t="str">
        <f>'Source Table'!$H$9</f>
        <v>Male</v>
      </c>
      <c r="I705" t="str">
        <f>'Source Table'!$H$8</f>
        <v>ذكر</v>
      </c>
      <c r="J705" t="str">
        <f t="shared" si="20"/>
        <v>2019/2018</v>
      </c>
      <c r="K705" t="str">
        <f t="shared" si="21"/>
        <v>2019/2018</v>
      </c>
      <c r="L705" s="30">
        <v>31582</v>
      </c>
      <c r="M705" s="18">
        <v>2018</v>
      </c>
    </row>
    <row r="706" ht="21.75" spans="1:13">
      <c r="A706" s="18" t="s">
        <v>155</v>
      </c>
      <c r="B706" s="18" t="s">
        <v>156</v>
      </c>
      <c r="C706" s="18" t="s">
        <v>157</v>
      </c>
      <c r="D706" s="18" t="s">
        <v>158</v>
      </c>
      <c r="E706" s="18" t="s">
        <v>159</v>
      </c>
      <c r="F706" s="19" t="s">
        <v>100</v>
      </c>
      <c r="G706" s="20" t="s">
        <v>101</v>
      </c>
      <c r="H706" t="str">
        <f>'Source Table'!$H$9</f>
        <v>Male</v>
      </c>
      <c r="I706" t="str">
        <f>'Source Table'!$H$8</f>
        <v>ذكر</v>
      </c>
      <c r="J706" t="str">
        <f t="shared" si="20"/>
        <v>2019/2018</v>
      </c>
      <c r="K706" t="str">
        <f t="shared" si="21"/>
        <v>2019/2018</v>
      </c>
      <c r="L706" s="30">
        <v>23511</v>
      </c>
      <c r="M706" s="18">
        <v>2018</v>
      </c>
    </row>
    <row r="707" ht="21.75" spans="1:13">
      <c r="A707" s="18" t="s">
        <v>155</v>
      </c>
      <c r="B707" s="18" t="s">
        <v>156</v>
      </c>
      <c r="C707" s="18" t="s">
        <v>157</v>
      </c>
      <c r="D707" s="18" t="s">
        <v>158</v>
      </c>
      <c r="E707" s="18" t="s">
        <v>159</v>
      </c>
      <c r="F707" s="19" t="s">
        <v>103</v>
      </c>
      <c r="G707" s="20" t="s">
        <v>104</v>
      </c>
      <c r="H707" t="str">
        <f>'Source Table'!$H$9</f>
        <v>Male</v>
      </c>
      <c r="I707" t="str">
        <f>'Source Table'!$H$8</f>
        <v>ذكر</v>
      </c>
      <c r="J707" t="str">
        <f t="shared" si="20"/>
        <v>2019/2018</v>
      </c>
      <c r="K707" t="str">
        <f t="shared" si="21"/>
        <v>2019/2018</v>
      </c>
      <c r="L707" s="29">
        <v>15731</v>
      </c>
      <c r="M707" s="18">
        <v>2018</v>
      </c>
    </row>
    <row r="708" ht="21.75" spans="1:13">
      <c r="A708" s="18" t="s">
        <v>155</v>
      </c>
      <c r="B708" s="18" t="s">
        <v>156</v>
      </c>
      <c r="C708" s="18" t="s">
        <v>157</v>
      </c>
      <c r="D708" s="18" t="s">
        <v>158</v>
      </c>
      <c r="E708" s="18" t="s">
        <v>159</v>
      </c>
      <c r="F708" s="19" t="s">
        <v>106</v>
      </c>
      <c r="G708" s="20" t="s">
        <v>107</v>
      </c>
      <c r="H708" t="str">
        <f>'Source Table'!$H$9</f>
        <v>Male</v>
      </c>
      <c r="I708" t="str">
        <f>'Source Table'!$H$8</f>
        <v>ذكر</v>
      </c>
      <c r="J708" t="str">
        <f t="shared" si="20"/>
        <v>2019/2018</v>
      </c>
      <c r="K708" t="str">
        <f t="shared" si="21"/>
        <v>2019/2018</v>
      </c>
      <c r="L708" s="29">
        <v>11654</v>
      </c>
      <c r="M708" s="18">
        <v>2018</v>
      </c>
    </row>
    <row r="709" ht="21.75" spans="1:13">
      <c r="A709" s="18" t="s">
        <v>155</v>
      </c>
      <c r="B709" s="18" t="s">
        <v>156</v>
      </c>
      <c r="C709" s="18" t="s">
        <v>157</v>
      </c>
      <c r="D709" s="18" t="s">
        <v>158</v>
      </c>
      <c r="E709" s="18" t="s">
        <v>159</v>
      </c>
      <c r="F709" s="19" t="s">
        <v>108</v>
      </c>
      <c r="G709" s="20" t="s">
        <v>109</v>
      </c>
      <c r="H709" t="str">
        <f>'Source Table'!$H$9</f>
        <v>Male</v>
      </c>
      <c r="I709" t="str">
        <f>'Source Table'!$H$8</f>
        <v>ذكر</v>
      </c>
      <c r="J709" t="str">
        <f t="shared" ref="J709:J772" si="22">TEXT(M709+1,"0")&amp;"/"&amp;TEXT(M709,"0")</f>
        <v>2019/2018</v>
      </c>
      <c r="K709" t="str">
        <f t="shared" ref="K709:K772" si="23">TEXT(M709+1,"0")&amp;"/"&amp;TEXT(M709,"0")</f>
        <v>2019/2018</v>
      </c>
      <c r="L709" s="29">
        <v>6675</v>
      </c>
      <c r="M709" s="18">
        <v>2018</v>
      </c>
    </row>
    <row r="710" ht="21.75" spans="1:13">
      <c r="A710" s="18" t="s">
        <v>155</v>
      </c>
      <c r="B710" s="18" t="s">
        <v>156</v>
      </c>
      <c r="C710" s="18" t="s">
        <v>157</v>
      </c>
      <c r="D710" s="18" t="s">
        <v>158</v>
      </c>
      <c r="E710" s="18" t="s">
        <v>159</v>
      </c>
      <c r="F710" s="19" t="s">
        <v>110</v>
      </c>
      <c r="G710" s="20" t="s">
        <v>111</v>
      </c>
      <c r="H710" t="str">
        <f>'Source Table'!$H$9</f>
        <v>Male</v>
      </c>
      <c r="I710" t="str">
        <f>'Source Table'!$H$8</f>
        <v>ذكر</v>
      </c>
      <c r="J710" t="str">
        <f t="shared" si="22"/>
        <v>2019/2018</v>
      </c>
      <c r="K710" t="str">
        <f t="shared" si="23"/>
        <v>2019/2018</v>
      </c>
      <c r="L710" s="29">
        <v>8087</v>
      </c>
      <c r="M710" s="18">
        <v>2018</v>
      </c>
    </row>
    <row r="711" ht="21.75" spans="1:13">
      <c r="A711" s="18" t="s">
        <v>155</v>
      </c>
      <c r="B711" s="18" t="s">
        <v>156</v>
      </c>
      <c r="C711" s="18" t="s">
        <v>157</v>
      </c>
      <c r="D711" s="18" t="s">
        <v>158</v>
      </c>
      <c r="E711" s="18" t="s">
        <v>159</v>
      </c>
      <c r="F711" s="19" t="s">
        <v>113</v>
      </c>
      <c r="G711" s="20" t="s">
        <v>114</v>
      </c>
      <c r="H711" t="str">
        <f>'Source Table'!$H$9</f>
        <v>Male</v>
      </c>
      <c r="I711" t="str">
        <f>'Source Table'!$H$8</f>
        <v>ذكر</v>
      </c>
      <c r="J711" t="str">
        <f t="shared" si="22"/>
        <v>2019/2018</v>
      </c>
      <c r="K711" t="str">
        <f t="shared" si="23"/>
        <v>2019/2018</v>
      </c>
      <c r="L711" s="29">
        <v>10576</v>
      </c>
      <c r="M711" s="18">
        <v>2018</v>
      </c>
    </row>
    <row r="712" ht="21.75" spans="1:13">
      <c r="A712" s="18" t="s">
        <v>155</v>
      </c>
      <c r="B712" s="18" t="s">
        <v>156</v>
      </c>
      <c r="C712" s="18" t="s">
        <v>157</v>
      </c>
      <c r="D712" s="18" t="s">
        <v>158</v>
      </c>
      <c r="E712" s="18" t="s">
        <v>159</v>
      </c>
      <c r="F712" s="19" t="s">
        <v>115</v>
      </c>
      <c r="G712" s="20" t="s">
        <v>116</v>
      </c>
      <c r="H712" t="str">
        <f>'Source Table'!$H$9</f>
        <v>Male</v>
      </c>
      <c r="I712" t="str">
        <f>'Source Table'!$H$8</f>
        <v>ذكر</v>
      </c>
      <c r="J712" t="str">
        <f t="shared" si="22"/>
        <v>2019/2018</v>
      </c>
      <c r="K712" t="str">
        <f t="shared" si="23"/>
        <v>2019/2018</v>
      </c>
      <c r="L712" s="29">
        <v>4062</v>
      </c>
      <c r="M712" s="18">
        <v>2018</v>
      </c>
    </row>
    <row r="713" ht="21.75" spans="1:13">
      <c r="A713" s="18" t="s">
        <v>155</v>
      </c>
      <c r="B713" s="18" t="s">
        <v>156</v>
      </c>
      <c r="C713" s="18" t="s">
        <v>157</v>
      </c>
      <c r="D713" s="18" t="s">
        <v>158</v>
      </c>
      <c r="E713" s="18" t="s">
        <v>159</v>
      </c>
      <c r="F713" s="19" t="s">
        <v>118</v>
      </c>
      <c r="G713" s="20" t="s">
        <v>119</v>
      </c>
      <c r="H713" t="str">
        <f>'Source Table'!$H$9</f>
        <v>Male</v>
      </c>
      <c r="I713" t="str">
        <f>'Source Table'!$H$8</f>
        <v>ذكر</v>
      </c>
      <c r="J713" t="str">
        <f t="shared" si="22"/>
        <v>2019/2018</v>
      </c>
      <c r="K713" t="str">
        <f t="shared" si="23"/>
        <v>2019/2018</v>
      </c>
      <c r="L713" s="29">
        <v>6557</v>
      </c>
      <c r="M713" s="18">
        <v>2018</v>
      </c>
    </row>
    <row r="714" ht="21.75" spans="1:13">
      <c r="A714" s="18" t="s">
        <v>155</v>
      </c>
      <c r="B714" s="18" t="s">
        <v>156</v>
      </c>
      <c r="C714" s="18" t="s">
        <v>157</v>
      </c>
      <c r="D714" s="18" t="s">
        <v>158</v>
      </c>
      <c r="E714" s="18" t="s">
        <v>159</v>
      </c>
      <c r="F714" s="19" t="s">
        <v>120</v>
      </c>
      <c r="G714" s="20" t="s">
        <v>121</v>
      </c>
      <c r="H714" t="str">
        <f>'Source Table'!$H$9</f>
        <v>Male</v>
      </c>
      <c r="I714" t="str">
        <f>'Source Table'!$H$8</f>
        <v>ذكر</v>
      </c>
      <c r="J714" t="str">
        <f t="shared" si="22"/>
        <v>2019/2018</v>
      </c>
      <c r="K714" t="str">
        <f t="shared" si="23"/>
        <v>2019/2018</v>
      </c>
      <c r="L714" s="29">
        <v>7679</v>
      </c>
      <c r="M714" s="18">
        <v>2018</v>
      </c>
    </row>
    <row r="715" ht="21.75" spans="1:13">
      <c r="A715" s="18" t="s">
        <v>155</v>
      </c>
      <c r="B715" s="18" t="s">
        <v>156</v>
      </c>
      <c r="C715" s="18" t="s">
        <v>157</v>
      </c>
      <c r="D715" s="18" t="s">
        <v>158</v>
      </c>
      <c r="E715" s="18" t="s">
        <v>159</v>
      </c>
      <c r="F715" s="19" t="s">
        <v>122</v>
      </c>
      <c r="G715" s="20" t="s">
        <v>123</v>
      </c>
      <c r="H715" t="str">
        <f>'Source Table'!$H$9</f>
        <v>Male</v>
      </c>
      <c r="I715" t="str">
        <f>'Source Table'!$H$8</f>
        <v>ذكر</v>
      </c>
      <c r="J715" t="str">
        <f t="shared" si="22"/>
        <v>2019/2018</v>
      </c>
      <c r="K715" t="str">
        <f t="shared" si="23"/>
        <v>2019/2018</v>
      </c>
      <c r="L715" s="29">
        <v>4559</v>
      </c>
      <c r="M715" s="18">
        <v>2018</v>
      </c>
    </row>
    <row r="716" ht="21.75" spans="1:13">
      <c r="A716" s="18" t="s">
        <v>155</v>
      </c>
      <c r="B716" s="18" t="s">
        <v>156</v>
      </c>
      <c r="C716" s="18" t="s">
        <v>157</v>
      </c>
      <c r="D716" s="18" t="s">
        <v>158</v>
      </c>
      <c r="E716" s="18" t="s">
        <v>159</v>
      </c>
      <c r="F716" s="19" t="s">
        <v>124</v>
      </c>
      <c r="G716" s="20" t="s">
        <v>125</v>
      </c>
      <c r="H716" t="str">
        <f>'Source Table'!$H$9</f>
        <v>Male</v>
      </c>
      <c r="I716" t="str">
        <f>'Source Table'!$H$8</f>
        <v>ذكر</v>
      </c>
      <c r="J716" t="str">
        <f t="shared" si="22"/>
        <v>2019/2018</v>
      </c>
      <c r="K716" t="str">
        <f t="shared" si="23"/>
        <v>2019/2018</v>
      </c>
      <c r="L716" s="29">
        <v>1751</v>
      </c>
      <c r="M716" s="18">
        <v>2018</v>
      </c>
    </row>
    <row r="717" ht="21.75" spans="1:13">
      <c r="A717" s="18" t="s">
        <v>155</v>
      </c>
      <c r="B717" s="18" t="s">
        <v>156</v>
      </c>
      <c r="C717" s="18" t="s">
        <v>157</v>
      </c>
      <c r="D717" s="18" t="s">
        <v>158</v>
      </c>
      <c r="E717" s="18" t="s">
        <v>159</v>
      </c>
      <c r="F717" s="19" t="s">
        <v>126</v>
      </c>
      <c r="G717" s="20" t="s">
        <v>127</v>
      </c>
      <c r="H717" t="str">
        <f>'Source Table'!$H$9</f>
        <v>Male</v>
      </c>
      <c r="I717" t="str">
        <f>'Source Table'!$H$8</f>
        <v>ذكر</v>
      </c>
      <c r="J717" t="str">
        <f t="shared" si="22"/>
        <v>2019/2018</v>
      </c>
      <c r="K717" t="str">
        <f t="shared" si="23"/>
        <v>2019/2018</v>
      </c>
      <c r="L717" s="30">
        <v>25135</v>
      </c>
      <c r="M717" s="18">
        <v>2018</v>
      </c>
    </row>
    <row r="718" ht="21.75" spans="1:13">
      <c r="A718" s="18" t="s">
        <v>155</v>
      </c>
      <c r="B718" s="18" t="s">
        <v>156</v>
      </c>
      <c r="C718" s="18" t="s">
        <v>157</v>
      </c>
      <c r="D718" s="18" t="s">
        <v>158</v>
      </c>
      <c r="E718" s="18" t="s">
        <v>159</v>
      </c>
      <c r="F718" s="19" t="s">
        <v>29</v>
      </c>
      <c r="G718" s="20" t="s">
        <v>30</v>
      </c>
      <c r="H718" t="str">
        <f>'Source Table'!$G$9</f>
        <v>Female</v>
      </c>
      <c r="I718" t="str">
        <f>'Source Table'!$G$8</f>
        <v>أنثى</v>
      </c>
      <c r="J718" t="str">
        <f t="shared" si="22"/>
        <v>2019/2018</v>
      </c>
      <c r="K718" t="str">
        <f t="shared" si="23"/>
        <v>2019/2018</v>
      </c>
      <c r="L718" s="29">
        <v>81521</v>
      </c>
      <c r="M718" s="18">
        <v>2018</v>
      </c>
    </row>
    <row r="719" ht="21.75" spans="1:13">
      <c r="A719" s="18" t="s">
        <v>155</v>
      </c>
      <c r="B719" s="18" t="s">
        <v>156</v>
      </c>
      <c r="C719" s="18" t="s">
        <v>157</v>
      </c>
      <c r="D719" s="18" t="s">
        <v>158</v>
      </c>
      <c r="E719" s="18" t="s">
        <v>159</v>
      </c>
      <c r="F719" s="19" t="s">
        <v>32</v>
      </c>
      <c r="G719" s="20" t="s">
        <v>33</v>
      </c>
      <c r="H719" t="str">
        <f>'Source Table'!$G$9</f>
        <v>Female</v>
      </c>
      <c r="I719" t="str">
        <f>'Source Table'!$G$8</f>
        <v>أنثى</v>
      </c>
      <c r="J719" t="str">
        <f t="shared" si="22"/>
        <v>2019/2018</v>
      </c>
      <c r="K719" t="str">
        <f t="shared" si="23"/>
        <v>2019/2018</v>
      </c>
      <c r="L719" s="29">
        <v>67130</v>
      </c>
      <c r="M719" s="18">
        <v>2018</v>
      </c>
    </row>
    <row r="720" ht="21.75" spans="1:13">
      <c r="A720" s="18" t="s">
        <v>155</v>
      </c>
      <c r="B720" s="18" t="s">
        <v>156</v>
      </c>
      <c r="C720" s="18" t="s">
        <v>157</v>
      </c>
      <c r="D720" s="18" t="s">
        <v>158</v>
      </c>
      <c r="E720" s="18" t="s">
        <v>159</v>
      </c>
      <c r="F720" s="19" t="s">
        <v>34</v>
      </c>
      <c r="G720" s="20" t="s">
        <v>35</v>
      </c>
      <c r="H720" t="str">
        <f>'Source Table'!$G$9</f>
        <v>Female</v>
      </c>
      <c r="I720" t="str">
        <f>'Source Table'!$G$8</f>
        <v>أنثى</v>
      </c>
      <c r="J720" t="str">
        <f t="shared" si="22"/>
        <v>2019/2018</v>
      </c>
      <c r="K720" t="str">
        <f t="shared" si="23"/>
        <v>2019/2018</v>
      </c>
      <c r="L720" s="29">
        <v>15047</v>
      </c>
      <c r="M720" s="18">
        <v>2018</v>
      </c>
    </row>
    <row r="721" ht="21.75" spans="1:13">
      <c r="A721" s="18" t="s">
        <v>155</v>
      </c>
      <c r="B721" s="18" t="s">
        <v>156</v>
      </c>
      <c r="C721" s="18" t="s">
        <v>157</v>
      </c>
      <c r="D721" s="18" t="s">
        <v>158</v>
      </c>
      <c r="E721" s="18" t="s">
        <v>159</v>
      </c>
      <c r="F721" s="19" t="s">
        <v>36</v>
      </c>
      <c r="G721" s="20" t="s">
        <v>37</v>
      </c>
      <c r="H721" t="str">
        <f>'Source Table'!$G$9</f>
        <v>Female</v>
      </c>
      <c r="I721" t="str">
        <f>'Source Table'!$G$8</f>
        <v>أنثى</v>
      </c>
      <c r="J721" t="str">
        <f t="shared" si="22"/>
        <v>2019/2018</v>
      </c>
      <c r="K721" t="str">
        <f t="shared" si="23"/>
        <v>2019/2018</v>
      </c>
      <c r="L721" s="29">
        <v>68302</v>
      </c>
      <c r="M721" s="18">
        <v>2018</v>
      </c>
    </row>
    <row r="722" ht="21.75" spans="1:13">
      <c r="A722" s="18" t="s">
        <v>155</v>
      </c>
      <c r="B722" s="18" t="s">
        <v>156</v>
      </c>
      <c r="C722" s="18" t="s">
        <v>157</v>
      </c>
      <c r="D722" s="18" t="s">
        <v>158</v>
      </c>
      <c r="E722" s="18" t="s">
        <v>159</v>
      </c>
      <c r="F722" s="19" t="s">
        <v>38</v>
      </c>
      <c r="G722" s="20" t="s">
        <v>39</v>
      </c>
      <c r="H722" t="str">
        <f>'Source Table'!$G$9</f>
        <v>Female</v>
      </c>
      <c r="I722" t="str">
        <f>'Source Table'!$G$8</f>
        <v>أنثى</v>
      </c>
      <c r="J722" t="str">
        <f t="shared" si="22"/>
        <v>2019/2018</v>
      </c>
      <c r="K722" t="str">
        <f t="shared" si="23"/>
        <v>2019/2018</v>
      </c>
      <c r="L722" s="29">
        <v>92442</v>
      </c>
      <c r="M722" s="18">
        <v>2018</v>
      </c>
    </row>
    <row r="723" ht="21.75" spans="1:13">
      <c r="A723" s="18" t="s">
        <v>155</v>
      </c>
      <c r="B723" s="18" t="s">
        <v>156</v>
      </c>
      <c r="C723" s="18" t="s">
        <v>157</v>
      </c>
      <c r="D723" s="18" t="s">
        <v>158</v>
      </c>
      <c r="E723" s="18" t="s">
        <v>159</v>
      </c>
      <c r="F723" s="19" t="s">
        <v>40</v>
      </c>
      <c r="G723" s="20" t="s">
        <v>41</v>
      </c>
      <c r="H723" t="str">
        <f>'Source Table'!$G$9</f>
        <v>Female</v>
      </c>
      <c r="I723" t="str">
        <f>'Source Table'!$G$8</f>
        <v>أنثى</v>
      </c>
      <c r="J723" t="str">
        <f t="shared" si="22"/>
        <v>2019/2018</v>
      </c>
      <c r="K723" t="str">
        <f t="shared" si="23"/>
        <v>2019/2018</v>
      </c>
      <c r="L723" s="29">
        <v>31252</v>
      </c>
      <c r="M723" s="18">
        <v>2018</v>
      </c>
    </row>
    <row r="724" ht="21.75" spans="1:13">
      <c r="A724" s="18" t="s">
        <v>155</v>
      </c>
      <c r="B724" s="18" t="s">
        <v>156</v>
      </c>
      <c r="C724" s="18" t="s">
        <v>157</v>
      </c>
      <c r="D724" s="18" t="s">
        <v>158</v>
      </c>
      <c r="E724" s="18" t="s">
        <v>159</v>
      </c>
      <c r="F724" s="19" t="s">
        <v>42</v>
      </c>
      <c r="G724" s="20" t="s">
        <v>43</v>
      </c>
      <c r="H724" t="str">
        <f>'Source Table'!$G$9</f>
        <v>Female</v>
      </c>
      <c r="I724" t="str">
        <f>'Source Table'!$G$8</f>
        <v>أنثى</v>
      </c>
      <c r="J724" t="str">
        <f t="shared" si="22"/>
        <v>2019/2018</v>
      </c>
      <c r="K724" t="str">
        <f t="shared" si="23"/>
        <v>2019/2018</v>
      </c>
      <c r="L724" s="29">
        <v>14087</v>
      </c>
      <c r="M724" s="18">
        <v>2018</v>
      </c>
    </row>
    <row r="725" ht="21.75" spans="1:13">
      <c r="A725" s="18" t="s">
        <v>155</v>
      </c>
      <c r="B725" s="18" t="s">
        <v>156</v>
      </c>
      <c r="C725" s="18" t="s">
        <v>157</v>
      </c>
      <c r="D725" s="18" t="s">
        <v>158</v>
      </c>
      <c r="E725" s="18" t="s">
        <v>159</v>
      </c>
      <c r="F725" s="19" t="s">
        <v>44</v>
      </c>
      <c r="G725" s="20" t="s">
        <v>45</v>
      </c>
      <c r="H725" t="str">
        <f>'Source Table'!$G$9</f>
        <v>Female</v>
      </c>
      <c r="I725" t="str">
        <f>'Source Table'!$G$8</f>
        <v>أنثى</v>
      </c>
      <c r="J725" t="str">
        <f t="shared" si="22"/>
        <v>2019/2018</v>
      </c>
      <c r="K725" t="str">
        <f t="shared" si="23"/>
        <v>2019/2018</v>
      </c>
      <c r="L725" s="29">
        <v>8166</v>
      </c>
      <c r="M725" s="18">
        <v>2018</v>
      </c>
    </row>
    <row r="726" ht="21.75" spans="1:13">
      <c r="A726" s="18" t="s">
        <v>155</v>
      </c>
      <c r="B726" s="18" t="s">
        <v>156</v>
      </c>
      <c r="C726" s="18" t="s">
        <v>157</v>
      </c>
      <c r="D726" s="18" t="s">
        <v>158</v>
      </c>
      <c r="E726" s="18" t="s">
        <v>159</v>
      </c>
      <c r="F726" s="19" t="s">
        <v>46</v>
      </c>
      <c r="G726" s="20" t="s">
        <v>47</v>
      </c>
      <c r="H726" t="str">
        <f>'Source Table'!$G$9</f>
        <v>Female</v>
      </c>
      <c r="I726" t="str">
        <f>'Source Table'!$G$8</f>
        <v>أنثى</v>
      </c>
      <c r="J726" t="str">
        <f t="shared" si="22"/>
        <v>2019/2018</v>
      </c>
      <c r="K726" t="str">
        <f t="shared" si="23"/>
        <v>2019/2018</v>
      </c>
      <c r="L726" s="29">
        <v>9548</v>
      </c>
      <c r="M726" s="18">
        <v>2018</v>
      </c>
    </row>
    <row r="727" ht="21.75" spans="1:13">
      <c r="A727" s="18" t="s">
        <v>155</v>
      </c>
      <c r="B727" s="18" t="s">
        <v>156</v>
      </c>
      <c r="C727" s="18" t="s">
        <v>157</v>
      </c>
      <c r="D727" s="18" t="s">
        <v>158</v>
      </c>
      <c r="E727" s="18" t="s">
        <v>159</v>
      </c>
      <c r="F727" s="19" t="s">
        <v>49</v>
      </c>
      <c r="G727" s="20" t="s">
        <v>50</v>
      </c>
      <c r="H727" t="str">
        <f>'Source Table'!$G$9</f>
        <v>Female</v>
      </c>
      <c r="I727" t="str">
        <f>'Source Table'!$G$8</f>
        <v>أنثى</v>
      </c>
      <c r="J727" t="str">
        <f t="shared" si="22"/>
        <v>2019/2018</v>
      </c>
      <c r="K727" t="str">
        <f t="shared" si="23"/>
        <v>2019/2018</v>
      </c>
      <c r="L727" s="29">
        <v>25037</v>
      </c>
      <c r="M727" s="18">
        <v>2018</v>
      </c>
    </row>
    <row r="728" ht="21.75" spans="1:13">
      <c r="A728" s="18" t="s">
        <v>155</v>
      </c>
      <c r="B728" s="18" t="s">
        <v>156</v>
      </c>
      <c r="C728" s="18" t="s">
        <v>157</v>
      </c>
      <c r="D728" s="18" t="s">
        <v>158</v>
      </c>
      <c r="E728" s="18" t="s">
        <v>159</v>
      </c>
      <c r="F728" s="19" t="s">
        <v>52</v>
      </c>
      <c r="G728" s="20" t="s">
        <v>53</v>
      </c>
      <c r="H728" t="str">
        <f>'Source Table'!$G$9</f>
        <v>Female</v>
      </c>
      <c r="I728" t="str">
        <f>'Source Table'!$G$8</f>
        <v>أنثى</v>
      </c>
      <c r="J728" t="str">
        <f t="shared" si="22"/>
        <v>2019/2018</v>
      </c>
      <c r="K728" t="str">
        <f t="shared" si="23"/>
        <v>2019/2018</v>
      </c>
      <c r="L728" s="29">
        <v>28857</v>
      </c>
      <c r="M728" s="18">
        <v>2018</v>
      </c>
    </row>
    <row r="729" ht="21.75" spans="1:13">
      <c r="A729" s="18" t="s">
        <v>155</v>
      </c>
      <c r="B729" s="18" t="s">
        <v>156</v>
      </c>
      <c r="C729" s="18" t="s">
        <v>157</v>
      </c>
      <c r="D729" s="18" t="s">
        <v>158</v>
      </c>
      <c r="E729" s="18" t="s">
        <v>159</v>
      </c>
      <c r="F729" s="19" t="s">
        <v>54</v>
      </c>
      <c r="G729" s="20" t="s">
        <v>55</v>
      </c>
      <c r="H729" t="str">
        <f>'Source Table'!$G$9</f>
        <v>Female</v>
      </c>
      <c r="I729" t="str">
        <f>'Source Table'!$G$8</f>
        <v>أنثى</v>
      </c>
      <c r="J729" t="str">
        <f t="shared" si="22"/>
        <v>2019/2018</v>
      </c>
      <c r="K729" t="str">
        <f t="shared" si="23"/>
        <v>2019/2018</v>
      </c>
      <c r="L729" s="29">
        <v>8867</v>
      </c>
      <c r="M729" s="18">
        <v>2018</v>
      </c>
    </row>
    <row r="730" ht="21.75" spans="1:13">
      <c r="A730" s="18" t="s">
        <v>155</v>
      </c>
      <c r="B730" s="18" t="s">
        <v>156</v>
      </c>
      <c r="C730" s="18" t="s">
        <v>157</v>
      </c>
      <c r="D730" s="18" t="s">
        <v>158</v>
      </c>
      <c r="E730" s="18" t="s">
        <v>159</v>
      </c>
      <c r="F730" s="19" t="s">
        <v>56</v>
      </c>
      <c r="G730" s="20" t="s">
        <v>57</v>
      </c>
      <c r="H730" t="str">
        <f>'Source Table'!$G$9</f>
        <v>Female</v>
      </c>
      <c r="I730" t="str">
        <f>'Source Table'!$G$8</f>
        <v>أنثى</v>
      </c>
      <c r="J730" t="str">
        <f t="shared" si="22"/>
        <v>2019/2018</v>
      </c>
      <c r="K730" t="str">
        <f t="shared" si="23"/>
        <v>2019/2018</v>
      </c>
      <c r="L730" s="29">
        <v>7739</v>
      </c>
      <c r="M730" s="18">
        <v>2018</v>
      </c>
    </row>
    <row r="731" ht="21.75" spans="1:13">
      <c r="A731" s="18" t="s">
        <v>155</v>
      </c>
      <c r="B731" s="18" t="s">
        <v>156</v>
      </c>
      <c r="C731" s="18" t="s">
        <v>157</v>
      </c>
      <c r="D731" s="18" t="s">
        <v>158</v>
      </c>
      <c r="E731" s="18" t="s">
        <v>159</v>
      </c>
      <c r="F731" s="19" t="s">
        <v>59</v>
      </c>
      <c r="G731" s="20" t="s">
        <v>160</v>
      </c>
      <c r="H731" t="str">
        <f>'Source Table'!$G$9</f>
        <v>Female</v>
      </c>
      <c r="I731" t="str">
        <f>'Source Table'!$G$8</f>
        <v>أنثى</v>
      </c>
      <c r="J731" t="str">
        <f t="shared" si="22"/>
        <v>2019/2018</v>
      </c>
      <c r="K731" t="str">
        <f t="shared" si="23"/>
        <v>2019/2018</v>
      </c>
      <c r="L731" s="29">
        <v>70261</v>
      </c>
      <c r="M731" s="18">
        <v>2018</v>
      </c>
    </row>
    <row r="732" ht="21.75" spans="1:13">
      <c r="A732" s="18" t="s">
        <v>155</v>
      </c>
      <c r="B732" s="18" t="s">
        <v>156</v>
      </c>
      <c r="C732" s="18" t="s">
        <v>157</v>
      </c>
      <c r="D732" s="18" t="s">
        <v>158</v>
      </c>
      <c r="E732" s="18" t="s">
        <v>159</v>
      </c>
      <c r="F732" s="19" t="s">
        <v>62</v>
      </c>
      <c r="G732" s="20" t="s">
        <v>161</v>
      </c>
      <c r="H732" t="str">
        <f>'Source Table'!$G$9</f>
        <v>Female</v>
      </c>
      <c r="I732" t="str">
        <f>'Source Table'!$G$8</f>
        <v>أنثى</v>
      </c>
      <c r="J732" t="str">
        <f t="shared" si="22"/>
        <v>2019/2018</v>
      </c>
      <c r="K732" t="str">
        <f t="shared" si="23"/>
        <v>2019/2018</v>
      </c>
      <c r="L732" s="29">
        <v>27779</v>
      </c>
      <c r="M732" s="18">
        <v>2018</v>
      </c>
    </row>
    <row r="733" ht="21.75" spans="1:13">
      <c r="A733" s="18" t="s">
        <v>155</v>
      </c>
      <c r="B733" s="18" t="s">
        <v>156</v>
      </c>
      <c r="C733" s="18" t="s">
        <v>157</v>
      </c>
      <c r="D733" s="18" t="s">
        <v>158</v>
      </c>
      <c r="E733" s="18" t="s">
        <v>159</v>
      </c>
      <c r="F733" s="19" t="s">
        <v>64</v>
      </c>
      <c r="G733" s="20" t="s">
        <v>65</v>
      </c>
      <c r="H733" t="str">
        <f>'Source Table'!$G$9</f>
        <v>Female</v>
      </c>
      <c r="I733" t="str">
        <f>'Source Table'!$G$8</f>
        <v>أنثى</v>
      </c>
      <c r="J733" t="str">
        <f t="shared" si="22"/>
        <v>2019/2018</v>
      </c>
      <c r="K733" t="str">
        <f t="shared" si="23"/>
        <v>2019/2018</v>
      </c>
      <c r="L733" s="29">
        <v>50722</v>
      </c>
      <c r="M733" s="18">
        <v>2018</v>
      </c>
    </row>
    <row r="734" ht="21.75" spans="1:13">
      <c r="A734" s="18" t="s">
        <v>155</v>
      </c>
      <c r="B734" s="18" t="s">
        <v>156</v>
      </c>
      <c r="C734" s="18" t="s">
        <v>157</v>
      </c>
      <c r="D734" s="18" t="s">
        <v>158</v>
      </c>
      <c r="E734" s="18" t="s">
        <v>159</v>
      </c>
      <c r="F734" s="19" t="s">
        <v>68</v>
      </c>
      <c r="G734" s="20" t="s">
        <v>69</v>
      </c>
      <c r="H734" t="str">
        <f>'Source Table'!$G$9</f>
        <v>Female</v>
      </c>
      <c r="I734" t="str">
        <f>'Source Table'!$G$8</f>
        <v>أنثى</v>
      </c>
      <c r="J734" t="str">
        <f t="shared" si="22"/>
        <v>2019/2018</v>
      </c>
      <c r="K734" t="str">
        <f t="shared" si="23"/>
        <v>2019/2018</v>
      </c>
      <c r="L734" s="29">
        <v>21750</v>
      </c>
      <c r="M734" s="18">
        <v>2018</v>
      </c>
    </row>
    <row r="735" ht="21.75" spans="1:13">
      <c r="A735" s="18" t="s">
        <v>155</v>
      </c>
      <c r="B735" s="18" t="s">
        <v>156</v>
      </c>
      <c r="C735" s="18" t="s">
        <v>157</v>
      </c>
      <c r="D735" s="18" t="s">
        <v>158</v>
      </c>
      <c r="E735" s="18" t="s">
        <v>159</v>
      </c>
      <c r="F735" s="19" t="s">
        <v>70</v>
      </c>
      <c r="G735" s="20" t="s">
        <v>71</v>
      </c>
      <c r="H735" t="str">
        <f>'Source Table'!$G$9</f>
        <v>Female</v>
      </c>
      <c r="I735" t="str">
        <f>'Source Table'!$G$8</f>
        <v>أنثى</v>
      </c>
      <c r="J735" t="str">
        <f t="shared" si="22"/>
        <v>2019/2018</v>
      </c>
      <c r="K735" t="str">
        <f t="shared" si="23"/>
        <v>2019/2018</v>
      </c>
      <c r="L735" s="29">
        <v>5535</v>
      </c>
      <c r="M735" s="18">
        <v>2018</v>
      </c>
    </row>
    <row r="736" ht="21.75" spans="1:13">
      <c r="A736" s="18" t="s">
        <v>155</v>
      </c>
      <c r="B736" s="18" t="s">
        <v>156</v>
      </c>
      <c r="C736" s="18" t="s">
        <v>157</v>
      </c>
      <c r="D736" s="18" t="s">
        <v>158</v>
      </c>
      <c r="E736" s="18" t="s">
        <v>159</v>
      </c>
      <c r="F736" s="19" t="s">
        <v>74</v>
      </c>
      <c r="G736" s="20" t="s">
        <v>75</v>
      </c>
      <c r="H736" t="str">
        <f>'Source Table'!$G$9</f>
        <v>Female</v>
      </c>
      <c r="I736" t="str">
        <f>'Source Table'!$G$8</f>
        <v>أنثى</v>
      </c>
      <c r="J736" t="str">
        <f t="shared" si="22"/>
        <v>2019/2018</v>
      </c>
      <c r="K736" t="str">
        <f t="shared" si="23"/>
        <v>2019/2018</v>
      </c>
      <c r="L736" s="29">
        <v>74873</v>
      </c>
      <c r="M736" s="18">
        <v>2018</v>
      </c>
    </row>
    <row r="737" ht="21.75" spans="1:13">
      <c r="A737" s="18" t="s">
        <v>155</v>
      </c>
      <c r="B737" s="18" t="s">
        <v>156</v>
      </c>
      <c r="C737" s="18" t="s">
        <v>157</v>
      </c>
      <c r="D737" s="18" t="s">
        <v>158</v>
      </c>
      <c r="E737" s="18" t="s">
        <v>159</v>
      </c>
      <c r="F737" s="19" t="s">
        <v>76</v>
      </c>
      <c r="G737" s="20" t="s">
        <v>77</v>
      </c>
      <c r="H737" t="str">
        <f>'Source Table'!$G$9</f>
        <v>Female</v>
      </c>
      <c r="I737" t="str">
        <f>'Source Table'!$G$8</f>
        <v>أنثى</v>
      </c>
      <c r="J737" t="str">
        <f t="shared" si="22"/>
        <v>2019/2018</v>
      </c>
      <c r="K737" t="str">
        <f t="shared" si="23"/>
        <v>2019/2018</v>
      </c>
      <c r="L737" s="29">
        <v>24784</v>
      </c>
      <c r="M737" s="18">
        <v>2018</v>
      </c>
    </row>
    <row r="738" ht="21.75" spans="1:13">
      <c r="A738" s="18" t="s">
        <v>155</v>
      </c>
      <c r="B738" s="18" t="s">
        <v>156</v>
      </c>
      <c r="C738" s="18" t="s">
        <v>157</v>
      </c>
      <c r="D738" s="18" t="s">
        <v>158</v>
      </c>
      <c r="E738" s="18" t="s">
        <v>159</v>
      </c>
      <c r="F738" s="19" t="s">
        <v>78</v>
      </c>
      <c r="G738" s="20" t="s">
        <v>79</v>
      </c>
      <c r="H738" t="str">
        <f>'Source Table'!$G$9</f>
        <v>Female</v>
      </c>
      <c r="I738" t="str">
        <f>'Source Table'!$G$8</f>
        <v>أنثى</v>
      </c>
      <c r="J738" t="str">
        <f t="shared" si="22"/>
        <v>2019/2018</v>
      </c>
      <c r="K738" t="str">
        <f t="shared" si="23"/>
        <v>2019/2018</v>
      </c>
      <c r="L738" s="29">
        <v>74873</v>
      </c>
      <c r="M738" s="18">
        <v>2018</v>
      </c>
    </row>
    <row r="739" ht="21.75" spans="1:13">
      <c r="A739" s="18" t="s">
        <v>155</v>
      </c>
      <c r="B739" s="18" t="s">
        <v>156</v>
      </c>
      <c r="C739" s="18" t="s">
        <v>157</v>
      </c>
      <c r="D739" s="18" t="s">
        <v>158</v>
      </c>
      <c r="E739" s="18" t="s">
        <v>159</v>
      </c>
      <c r="F739" s="19" t="s">
        <v>80</v>
      </c>
      <c r="G739" s="20" t="s">
        <v>81</v>
      </c>
      <c r="H739" t="str">
        <f>'Source Table'!$G$9</f>
        <v>Female</v>
      </c>
      <c r="I739" t="str">
        <f>'Source Table'!$G$8</f>
        <v>أنثى</v>
      </c>
      <c r="J739" t="str">
        <f t="shared" si="22"/>
        <v>2019/2018</v>
      </c>
      <c r="K739" t="str">
        <f t="shared" si="23"/>
        <v>2019/2018</v>
      </c>
      <c r="L739" s="29">
        <v>24784</v>
      </c>
      <c r="M739" s="18">
        <v>2018</v>
      </c>
    </row>
    <row r="740" ht="21.75" spans="1:13">
      <c r="A740" s="18" t="s">
        <v>155</v>
      </c>
      <c r="B740" s="18" t="s">
        <v>156</v>
      </c>
      <c r="C740" s="18" t="s">
        <v>157</v>
      </c>
      <c r="D740" s="18" t="s">
        <v>158</v>
      </c>
      <c r="E740" s="18" t="s">
        <v>159</v>
      </c>
      <c r="F740" s="19" t="s">
        <v>82</v>
      </c>
      <c r="G740" s="20" t="s">
        <v>83</v>
      </c>
      <c r="H740" t="str">
        <f>'Source Table'!$G$9</f>
        <v>Female</v>
      </c>
      <c r="I740" t="str">
        <f>'Source Table'!$G$8</f>
        <v>أنثى</v>
      </c>
      <c r="J740" t="str">
        <f t="shared" si="22"/>
        <v>2019/2018</v>
      </c>
      <c r="K740" t="str">
        <f t="shared" si="23"/>
        <v>2019/2018</v>
      </c>
      <c r="L740" s="29">
        <v>8436</v>
      </c>
      <c r="M740" s="18">
        <v>2018</v>
      </c>
    </row>
    <row r="741" ht="21.75" spans="1:13">
      <c r="A741" s="18" t="s">
        <v>155</v>
      </c>
      <c r="B741" s="18" t="s">
        <v>156</v>
      </c>
      <c r="C741" s="18" t="s">
        <v>157</v>
      </c>
      <c r="D741" s="18" t="s">
        <v>158</v>
      </c>
      <c r="E741" s="18" t="s">
        <v>159</v>
      </c>
      <c r="F741" s="19" t="s">
        <v>84</v>
      </c>
      <c r="G741" s="20" t="s">
        <v>85</v>
      </c>
      <c r="H741" t="str">
        <f>'Source Table'!$G$9</f>
        <v>Female</v>
      </c>
      <c r="I741" t="str">
        <f>'Source Table'!$G$8</f>
        <v>أنثى</v>
      </c>
      <c r="J741" t="str">
        <f t="shared" si="22"/>
        <v>2019/2018</v>
      </c>
      <c r="K741" t="str">
        <f t="shared" si="23"/>
        <v>2019/2018</v>
      </c>
      <c r="L741" s="29">
        <v>10026</v>
      </c>
      <c r="M741" s="18">
        <v>2018</v>
      </c>
    </row>
    <row r="742" ht="21.75" spans="1:13">
      <c r="A742" s="18" t="s">
        <v>155</v>
      </c>
      <c r="B742" s="18" t="s">
        <v>156</v>
      </c>
      <c r="C742" s="18" t="s">
        <v>157</v>
      </c>
      <c r="D742" s="18" t="s">
        <v>158</v>
      </c>
      <c r="E742" s="18" t="s">
        <v>159</v>
      </c>
      <c r="F742" s="19" t="s">
        <v>86</v>
      </c>
      <c r="G742" s="20" t="s">
        <v>87</v>
      </c>
      <c r="H742" t="str">
        <f>'Source Table'!$G$9</f>
        <v>Female</v>
      </c>
      <c r="I742" t="str">
        <f>'Source Table'!$G$8</f>
        <v>أنثى</v>
      </c>
      <c r="J742" t="str">
        <f t="shared" si="22"/>
        <v>2019/2018</v>
      </c>
      <c r="K742" t="str">
        <f t="shared" si="23"/>
        <v>2019/2018</v>
      </c>
      <c r="L742" s="29">
        <v>17314</v>
      </c>
      <c r="M742" s="18">
        <v>2018</v>
      </c>
    </row>
    <row r="743" ht="21.75" spans="1:13">
      <c r="A743" s="18" t="s">
        <v>155</v>
      </c>
      <c r="B743" s="18" t="s">
        <v>156</v>
      </c>
      <c r="C743" s="18" t="s">
        <v>157</v>
      </c>
      <c r="D743" s="18" t="s">
        <v>158</v>
      </c>
      <c r="E743" s="18" t="s">
        <v>159</v>
      </c>
      <c r="F743" s="19" t="s">
        <v>88</v>
      </c>
      <c r="G743" s="20" t="s">
        <v>89</v>
      </c>
      <c r="H743" t="str">
        <f>'Source Table'!$G$9</f>
        <v>Female</v>
      </c>
      <c r="I743" t="str">
        <f>'Source Table'!$G$8</f>
        <v>أنثى</v>
      </c>
      <c r="J743" t="str">
        <f t="shared" si="22"/>
        <v>2019/2018</v>
      </c>
      <c r="K743" t="str">
        <f t="shared" si="23"/>
        <v>2019/2018</v>
      </c>
      <c r="L743" s="29">
        <v>13774</v>
      </c>
      <c r="M743" s="18">
        <v>2018</v>
      </c>
    </row>
    <row r="744" ht="21.75" spans="1:13">
      <c r="A744" s="18" t="s">
        <v>155</v>
      </c>
      <c r="B744" s="18" t="s">
        <v>156</v>
      </c>
      <c r="C744" s="18" t="s">
        <v>157</v>
      </c>
      <c r="D744" s="18" t="s">
        <v>158</v>
      </c>
      <c r="E744" s="18" t="s">
        <v>159</v>
      </c>
      <c r="F744" s="19" t="s">
        <v>91</v>
      </c>
      <c r="G744" s="20" t="s">
        <v>92</v>
      </c>
      <c r="H744" t="str">
        <f>'Source Table'!$G$9</f>
        <v>Female</v>
      </c>
      <c r="I744" t="str">
        <f>'Source Table'!$G$8</f>
        <v>أنثى</v>
      </c>
      <c r="J744" t="str">
        <f t="shared" si="22"/>
        <v>2019/2018</v>
      </c>
      <c r="K744" t="str">
        <f t="shared" si="23"/>
        <v>2019/2018</v>
      </c>
      <c r="L744" s="29">
        <v>24868</v>
      </c>
      <c r="M744" s="18">
        <v>2018</v>
      </c>
    </row>
    <row r="745" ht="21.75" spans="1:13">
      <c r="A745" s="18" t="s">
        <v>155</v>
      </c>
      <c r="B745" s="18" t="s">
        <v>156</v>
      </c>
      <c r="C745" s="18" t="s">
        <v>157</v>
      </c>
      <c r="D745" s="18" t="s">
        <v>158</v>
      </c>
      <c r="E745" s="18" t="s">
        <v>159</v>
      </c>
      <c r="F745" s="19" t="s">
        <v>94</v>
      </c>
      <c r="G745" s="20" t="s">
        <v>95</v>
      </c>
      <c r="H745" t="str">
        <f>'Source Table'!$G$9</f>
        <v>Female</v>
      </c>
      <c r="I745" t="str">
        <f>'Source Table'!$G$8</f>
        <v>أنثى</v>
      </c>
      <c r="J745" t="str">
        <f t="shared" si="22"/>
        <v>2019/2018</v>
      </c>
      <c r="K745" t="str">
        <f t="shared" si="23"/>
        <v>2019/2018</v>
      </c>
      <c r="L745" s="29">
        <v>15153</v>
      </c>
      <c r="M745" s="18">
        <v>2018</v>
      </c>
    </row>
    <row r="746" ht="21.75" spans="1:13">
      <c r="A746" s="18" t="s">
        <v>155</v>
      </c>
      <c r="B746" s="18" t="s">
        <v>156</v>
      </c>
      <c r="C746" s="18" t="s">
        <v>157</v>
      </c>
      <c r="D746" s="18" t="s">
        <v>158</v>
      </c>
      <c r="E746" s="18" t="s">
        <v>159</v>
      </c>
      <c r="F746" s="19" t="s">
        <v>96</v>
      </c>
      <c r="G746" s="20" t="s">
        <v>97</v>
      </c>
      <c r="H746" t="str">
        <f>'Source Table'!$G$9</f>
        <v>Female</v>
      </c>
      <c r="I746" t="str">
        <f>'Source Table'!$G$8</f>
        <v>أنثى</v>
      </c>
      <c r="J746" t="str">
        <f t="shared" si="22"/>
        <v>2019/2018</v>
      </c>
      <c r="K746" t="str">
        <f t="shared" si="23"/>
        <v>2019/2018</v>
      </c>
      <c r="L746" s="29">
        <v>28187</v>
      </c>
      <c r="M746" s="18">
        <v>2018</v>
      </c>
    </row>
    <row r="747" ht="21.75" spans="1:13">
      <c r="A747" s="18" t="s">
        <v>155</v>
      </c>
      <c r="B747" s="18" t="s">
        <v>156</v>
      </c>
      <c r="C747" s="18" t="s">
        <v>157</v>
      </c>
      <c r="D747" s="18" t="s">
        <v>158</v>
      </c>
      <c r="E747" s="18" t="s">
        <v>159</v>
      </c>
      <c r="F747" s="19" t="s">
        <v>98</v>
      </c>
      <c r="G747" s="20" t="s">
        <v>99</v>
      </c>
      <c r="H747" t="str">
        <f>'Source Table'!$G$9</f>
        <v>Female</v>
      </c>
      <c r="I747" t="str">
        <f>'Source Table'!$G$8</f>
        <v>أنثى</v>
      </c>
      <c r="J747" t="str">
        <f t="shared" si="22"/>
        <v>2019/2018</v>
      </c>
      <c r="K747" t="str">
        <f t="shared" si="23"/>
        <v>2019/2018</v>
      </c>
      <c r="L747" s="30">
        <v>31242</v>
      </c>
      <c r="M747" s="18">
        <v>2018</v>
      </c>
    </row>
    <row r="748" ht="21.75" spans="1:13">
      <c r="A748" s="18" t="s">
        <v>155</v>
      </c>
      <c r="B748" s="18" t="s">
        <v>156</v>
      </c>
      <c r="C748" s="18" t="s">
        <v>157</v>
      </c>
      <c r="D748" s="18" t="s">
        <v>158</v>
      </c>
      <c r="E748" s="18" t="s">
        <v>159</v>
      </c>
      <c r="F748" s="19" t="s">
        <v>100</v>
      </c>
      <c r="G748" s="20" t="s">
        <v>101</v>
      </c>
      <c r="H748" t="str">
        <f>'Source Table'!$G$9</f>
        <v>Female</v>
      </c>
      <c r="I748" t="str">
        <f>'Source Table'!$G$8</f>
        <v>أنثى</v>
      </c>
      <c r="J748" t="str">
        <f t="shared" si="22"/>
        <v>2019/2018</v>
      </c>
      <c r="K748" t="str">
        <f t="shared" si="23"/>
        <v>2019/2018</v>
      </c>
      <c r="L748" s="30">
        <v>22572</v>
      </c>
      <c r="M748" s="18">
        <v>2018</v>
      </c>
    </row>
    <row r="749" ht="21.75" spans="1:13">
      <c r="A749" s="18" t="s">
        <v>155</v>
      </c>
      <c r="B749" s="18" t="s">
        <v>156</v>
      </c>
      <c r="C749" s="18" t="s">
        <v>157</v>
      </c>
      <c r="D749" s="18" t="s">
        <v>158</v>
      </c>
      <c r="E749" s="18" t="s">
        <v>159</v>
      </c>
      <c r="F749" s="19" t="s">
        <v>103</v>
      </c>
      <c r="G749" s="20" t="s">
        <v>104</v>
      </c>
      <c r="H749" t="str">
        <f>'Source Table'!$G$9</f>
        <v>Female</v>
      </c>
      <c r="I749" t="str">
        <f>'Source Table'!$G$8</f>
        <v>أنثى</v>
      </c>
      <c r="J749" t="str">
        <f t="shared" si="22"/>
        <v>2019/2018</v>
      </c>
      <c r="K749" t="str">
        <f t="shared" si="23"/>
        <v>2019/2018</v>
      </c>
      <c r="L749" s="29">
        <v>14978</v>
      </c>
      <c r="M749" s="18">
        <v>2018</v>
      </c>
    </row>
    <row r="750" ht="21.75" spans="1:13">
      <c r="A750" s="18" t="s">
        <v>155</v>
      </c>
      <c r="B750" s="18" t="s">
        <v>156</v>
      </c>
      <c r="C750" s="18" t="s">
        <v>157</v>
      </c>
      <c r="D750" s="18" t="s">
        <v>158</v>
      </c>
      <c r="E750" s="18" t="s">
        <v>159</v>
      </c>
      <c r="F750" s="19" t="s">
        <v>106</v>
      </c>
      <c r="G750" s="20" t="s">
        <v>107</v>
      </c>
      <c r="H750" t="str">
        <f>'Source Table'!$G$9</f>
        <v>Female</v>
      </c>
      <c r="I750" t="str">
        <f>'Source Table'!$G$8</f>
        <v>أنثى</v>
      </c>
      <c r="J750" t="str">
        <f t="shared" si="22"/>
        <v>2019/2018</v>
      </c>
      <c r="K750" t="str">
        <f t="shared" si="23"/>
        <v>2019/2018</v>
      </c>
      <c r="L750" s="29">
        <v>11534</v>
      </c>
      <c r="M750" s="18">
        <v>2018</v>
      </c>
    </row>
    <row r="751" ht="21.75" spans="1:13">
      <c r="A751" s="18" t="s">
        <v>155</v>
      </c>
      <c r="B751" s="18" t="s">
        <v>156</v>
      </c>
      <c r="C751" s="18" t="s">
        <v>157</v>
      </c>
      <c r="D751" s="18" t="s">
        <v>158</v>
      </c>
      <c r="E751" s="18" t="s">
        <v>159</v>
      </c>
      <c r="F751" s="19" t="s">
        <v>108</v>
      </c>
      <c r="G751" s="20" t="s">
        <v>109</v>
      </c>
      <c r="H751" t="str">
        <f>'Source Table'!$G$9</f>
        <v>Female</v>
      </c>
      <c r="I751" t="str">
        <f>'Source Table'!$G$8</f>
        <v>أنثى</v>
      </c>
      <c r="J751" t="str">
        <f t="shared" si="22"/>
        <v>2019/2018</v>
      </c>
      <c r="K751" t="str">
        <f t="shared" si="23"/>
        <v>2019/2018</v>
      </c>
      <c r="L751" s="29">
        <v>6563</v>
      </c>
      <c r="M751" s="18">
        <v>2018</v>
      </c>
    </row>
    <row r="752" ht="21.75" spans="1:13">
      <c r="A752" s="18" t="s">
        <v>155</v>
      </c>
      <c r="B752" s="18" t="s">
        <v>156</v>
      </c>
      <c r="C752" s="18" t="s">
        <v>157</v>
      </c>
      <c r="D752" s="18" t="s">
        <v>158</v>
      </c>
      <c r="E752" s="18" t="s">
        <v>159</v>
      </c>
      <c r="F752" s="19" t="s">
        <v>110</v>
      </c>
      <c r="G752" s="20" t="s">
        <v>111</v>
      </c>
      <c r="H752" t="str">
        <f>'Source Table'!$G$9</f>
        <v>Female</v>
      </c>
      <c r="I752" t="str">
        <f>'Source Table'!$G$8</f>
        <v>أنثى</v>
      </c>
      <c r="J752" t="str">
        <f t="shared" si="22"/>
        <v>2019/2018</v>
      </c>
      <c r="K752" t="str">
        <f t="shared" si="23"/>
        <v>2019/2018</v>
      </c>
      <c r="L752" s="29">
        <v>7918</v>
      </c>
      <c r="M752" s="18">
        <v>2018</v>
      </c>
    </row>
    <row r="753" ht="21.75" spans="1:13">
      <c r="A753" s="18" t="s">
        <v>155</v>
      </c>
      <c r="B753" s="18" t="s">
        <v>156</v>
      </c>
      <c r="C753" s="18" t="s">
        <v>157</v>
      </c>
      <c r="D753" s="18" t="s">
        <v>158</v>
      </c>
      <c r="E753" s="18" t="s">
        <v>159</v>
      </c>
      <c r="F753" s="19" t="s">
        <v>113</v>
      </c>
      <c r="G753" s="20" t="s">
        <v>114</v>
      </c>
      <c r="H753" t="str">
        <f>'Source Table'!$G$9</f>
        <v>Female</v>
      </c>
      <c r="I753" t="str">
        <f>'Source Table'!$G$8</f>
        <v>أنثى</v>
      </c>
      <c r="J753" t="str">
        <f t="shared" si="22"/>
        <v>2019/2018</v>
      </c>
      <c r="K753" t="str">
        <f t="shared" si="23"/>
        <v>2019/2018</v>
      </c>
      <c r="L753" s="29">
        <v>10695</v>
      </c>
      <c r="M753" s="18">
        <v>2018</v>
      </c>
    </row>
    <row r="754" ht="21.75" spans="1:13">
      <c r="A754" s="18" t="s">
        <v>155</v>
      </c>
      <c r="B754" s="18" t="s">
        <v>156</v>
      </c>
      <c r="C754" s="18" t="s">
        <v>157</v>
      </c>
      <c r="D754" s="18" t="s">
        <v>158</v>
      </c>
      <c r="E754" s="18" t="s">
        <v>159</v>
      </c>
      <c r="F754" s="19" t="s">
        <v>115</v>
      </c>
      <c r="G754" s="20" t="s">
        <v>116</v>
      </c>
      <c r="H754" t="str">
        <f>'Source Table'!$G$9</f>
        <v>Female</v>
      </c>
      <c r="I754" t="str">
        <f>'Source Table'!$G$8</f>
        <v>أنثى</v>
      </c>
      <c r="J754" t="str">
        <f t="shared" si="22"/>
        <v>2019/2018</v>
      </c>
      <c r="K754" t="str">
        <f t="shared" si="23"/>
        <v>2019/2018</v>
      </c>
      <c r="L754" s="29">
        <v>3987</v>
      </c>
      <c r="M754" s="18">
        <v>2018</v>
      </c>
    </row>
    <row r="755" ht="21.75" spans="1:13">
      <c r="A755" s="18" t="s">
        <v>155</v>
      </c>
      <c r="B755" s="18" t="s">
        <v>156</v>
      </c>
      <c r="C755" s="18" t="s">
        <v>157</v>
      </c>
      <c r="D755" s="18" t="s">
        <v>158</v>
      </c>
      <c r="E755" s="18" t="s">
        <v>159</v>
      </c>
      <c r="F755" s="19" t="s">
        <v>118</v>
      </c>
      <c r="G755" s="20" t="s">
        <v>119</v>
      </c>
      <c r="H755" t="str">
        <f>'Source Table'!$G$9</f>
        <v>Female</v>
      </c>
      <c r="I755" t="str">
        <f>'Source Table'!$G$8</f>
        <v>أنثى</v>
      </c>
      <c r="J755" t="str">
        <f t="shared" si="22"/>
        <v>2019/2018</v>
      </c>
      <c r="K755" t="str">
        <f t="shared" si="23"/>
        <v>2019/2018</v>
      </c>
      <c r="L755" s="29">
        <v>6354</v>
      </c>
      <c r="M755" s="18">
        <v>2018</v>
      </c>
    </row>
    <row r="756" ht="21.75" spans="1:13">
      <c r="A756" s="18" t="s">
        <v>155</v>
      </c>
      <c r="B756" s="18" t="s">
        <v>156</v>
      </c>
      <c r="C756" s="18" t="s">
        <v>157</v>
      </c>
      <c r="D756" s="18" t="s">
        <v>158</v>
      </c>
      <c r="E756" s="18" t="s">
        <v>159</v>
      </c>
      <c r="F756" s="19" t="s">
        <v>120</v>
      </c>
      <c r="G756" s="20" t="s">
        <v>121</v>
      </c>
      <c r="H756" t="str">
        <f>'Source Table'!$G$9</f>
        <v>Female</v>
      </c>
      <c r="I756" t="str">
        <f>'Source Table'!$G$8</f>
        <v>أنثى</v>
      </c>
      <c r="J756" t="str">
        <f t="shared" si="22"/>
        <v>2019/2018</v>
      </c>
      <c r="K756" t="str">
        <f t="shared" si="23"/>
        <v>2019/2018</v>
      </c>
      <c r="L756" s="29">
        <v>7648</v>
      </c>
      <c r="M756" s="18">
        <v>2018</v>
      </c>
    </row>
    <row r="757" ht="21.75" spans="1:13">
      <c r="A757" s="18" t="s">
        <v>155</v>
      </c>
      <c r="B757" s="18" t="s">
        <v>156</v>
      </c>
      <c r="C757" s="18" t="s">
        <v>157</v>
      </c>
      <c r="D757" s="18" t="s">
        <v>158</v>
      </c>
      <c r="E757" s="18" t="s">
        <v>159</v>
      </c>
      <c r="F757" s="19" t="s">
        <v>122</v>
      </c>
      <c r="G757" s="20" t="s">
        <v>123</v>
      </c>
      <c r="H757" t="str">
        <f>'Source Table'!$G$9</f>
        <v>Female</v>
      </c>
      <c r="I757" t="str">
        <f>'Source Table'!$G$8</f>
        <v>أنثى</v>
      </c>
      <c r="J757" t="str">
        <f t="shared" si="22"/>
        <v>2019/2018</v>
      </c>
      <c r="K757" t="str">
        <f t="shared" si="23"/>
        <v>2019/2018</v>
      </c>
      <c r="L757" s="29">
        <v>4845</v>
      </c>
      <c r="M757" s="18">
        <v>2018</v>
      </c>
    </row>
    <row r="758" ht="21.75" spans="1:13">
      <c r="A758" s="18" t="s">
        <v>155</v>
      </c>
      <c r="B758" s="18" t="s">
        <v>156</v>
      </c>
      <c r="C758" s="18" t="s">
        <v>157</v>
      </c>
      <c r="D758" s="18" t="s">
        <v>158</v>
      </c>
      <c r="E758" s="18" t="s">
        <v>159</v>
      </c>
      <c r="F758" s="19" t="s">
        <v>124</v>
      </c>
      <c r="G758" s="20" t="s">
        <v>125</v>
      </c>
      <c r="H758" t="str">
        <f>'Source Table'!$G$9</f>
        <v>Female</v>
      </c>
      <c r="I758" t="str">
        <f>'Source Table'!$G$8</f>
        <v>أنثى</v>
      </c>
      <c r="J758" t="str">
        <f t="shared" si="22"/>
        <v>2019/2018</v>
      </c>
      <c r="K758" t="str">
        <f t="shared" si="23"/>
        <v>2019/2018</v>
      </c>
      <c r="L758" s="29">
        <v>1801</v>
      </c>
      <c r="M758" s="18">
        <v>2018</v>
      </c>
    </row>
    <row r="759" ht="21.75" spans="1:13">
      <c r="A759" s="18" t="s">
        <v>155</v>
      </c>
      <c r="B759" s="18" t="s">
        <v>156</v>
      </c>
      <c r="C759" s="18" t="s">
        <v>157</v>
      </c>
      <c r="D759" s="18" t="s">
        <v>158</v>
      </c>
      <c r="E759" s="18" t="s">
        <v>159</v>
      </c>
      <c r="F759" s="19" t="s">
        <v>126</v>
      </c>
      <c r="G759" s="20" t="s">
        <v>127</v>
      </c>
      <c r="H759" t="str">
        <f>'Source Table'!$G$9</f>
        <v>Female</v>
      </c>
      <c r="I759" t="str">
        <f>'Source Table'!$G$8</f>
        <v>أنثى</v>
      </c>
      <c r="J759" t="str">
        <f t="shared" si="22"/>
        <v>2019/2018</v>
      </c>
      <c r="K759" t="str">
        <f t="shared" si="23"/>
        <v>2019/2018</v>
      </c>
      <c r="L759" s="30">
        <v>24307</v>
      </c>
      <c r="M759" s="18">
        <v>2018</v>
      </c>
    </row>
    <row r="760" ht="21.75" spans="1:13">
      <c r="A760" s="18" t="s">
        <v>155</v>
      </c>
      <c r="B760" s="18" t="s">
        <v>156</v>
      </c>
      <c r="C760" s="18" t="s">
        <v>162</v>
      </c>
      <c r="D760" s="18" t="s">
        <v>158</v>
      </c>
      <c r="E760" s="18" t="s">
        <v>159</v>
      </c>
      <c r="F760" s="19" t="s">
        <v>29</v>
      </c>
      <c r="G760" s="20" t="s">
        <v>30</v>
      </c>
      <c r="H760" t="str">
        <f>'Source Table'!$H$9</f>
        <v>Male</v>
      </c>
      <c r="I760" t="str">
        <f>'Source Table'!$H$8</f>
        <v>ذكر</v>
      </c>
      <c r="J760" t="str">
        <f t="shared" si="22"/>
        <v>2019/2018</v>
      </c>
      <c r="K760" t="str">
        <f t="shared" si="23"/>
        <v>2019/2018</v>
      </c>
      <c r="L760" s="29">
        <v>2628</v>
      </c>
      <c r="M760" s="18">
        <v>2018</v>
      </c>
    </row>
    <row r="761" ht="21.75" spans="1:13">
      <c r="A761" s="18" t="s">
        <v>155</v>
      </c>
      <c r="B761" s="18" t="s">
        <v>156</v>
      </c>
      <c r="C761" s="18" t="s">
        <v>162</v>
      </c>
      <c r="D761" s="18" t="s">
        <v>158</v>
      </c>
      <c r="E761" s="18" t="s">
        <v>159</v>
      </c>
      <c r="F761" s="19" t="s">
        <v>32</v>
      </c>
      <c r="G761" s="20" t="s">
        <v>33</v>
      </c>
      <c r="H761" t="str">
        <f>'Source Table'!$H$9</f>
        <v>Male</v>
      </c>
      <c r="I761" t="str">
        <f>'Source Table'!$H$8</f>
        <v>ذكر</v>
      </c>
      <c r="J761" t="str">
        <f t="shared" si="22"/>
        <v>2019/2018</v>
      </c>
      <c r="K761" t="str">
        <f t="shared" si="23"/>
        <v>2019/2018</v>
      </c>
      <c r="L761" s="29">
        <v>2136</v>
      </c>
      <c r="M761" s="18">
        <v>2018</v>
      </c>
    </row>
    <row r="762" ht="21.75" spans="1:13">
      <c r="A762" s="18" t="s">
        <v>155</v>
      </c>
      <c r="B762" s="18" t="s">
        <v>156</v>
      </c>
      <c r="C762" s="18" t="s">
        <v>162</v>
      </c>
      <c r="D762" s="18" t="s">
        <v>158</v>
      </c>
      <c r="E762" s="18" t="s">
        <v>159</v>
      </c>
      <c r="F762" s="19" t="s">
        <v>34</v>
      </c>
      <c r="G762" s="20" t="s">
        <v>35</v>
      </c>
      <c r="H762" t="str">
        <f>'Source Table'!$H$9</f>
        <v>Male</v>
      </c>
      <c r="I762" t="str">
        <f>'Source Table'!$H$8</f>
        <v>ذكر</v>
      </c>
      <c r="J762" t="str">
        <f t="shared" si="22"/>
        <v>2019/2018</v>
      </c>
      <c r="K762" t="str">
        <f t="shared" si="23"/>
        <v>2019/2018</v>
      </c>
      <c r="L762" s="29">
        <v>450</v>
      </c>
      <c r="M762" s="18">
        <v>2018</v>
      </c>
    </row>
    <row r="763" ht="21.75" spans="1:13">
      <c r="A763" s="18" t="s">
        <v>155</v>
      </c>
      <c r="B763" s="18" t="s">
        <v>156</v>
      </c>
      <c r="C763" s="18" t="s">
        <v>162</v>
      </c>
      <c r="D763" s="18" t="s">
        <v>158</v>
      </c>
      <c r="E763" s="18" t="s">
        <v>159</v>
      </c>
      <c r="F763" s="19" t="s">
        <v>36</v>
      </c>
      <c r="G763" s="20" t="s">
        <v>37</v>
      </c>
      <c r="H763" t="str">
        <f>'Source Table'!$H$9</f>
        <v>Male</v>
      </c>
      <c r="I763" t="str">
        <f>'Source Table'!$H$8</f>
        <v>ذكر</v>
      </c>
      <c r="J763" t="str">
        <f t="shared" si="22"/>
        <v>2019/2018</v>
      </c>
      <c r="K763" t="str">
        <f t="shared" si="23"/>
        <v>2019/2018</v>
      </c>
      <c r="L763" s="29">
        <v>1586</v>
      </c>
      <c r="M763" s="18">
        <v>2018</v>
      </c>
    </row>
    <row r="764" ht="21.75" spans="1:13">
      <c r="A764" s="18" t="s">
        <v>155</v>
      </c>
      <c r="B764" s="18" t="s">
        <v>156</v>
      </c>
      <c r="C764" s="18" t="s">
        <v>162</v>
      </c>
      <c r="D764" s="18" t="s">
        <v>158</v>
      </c>
      <c r="E764" s="18" t="s">
        <v>159</v>
      </c>
      <c r="F764" s="19" t="s">
        <v>38</v>
      </c>
      <c r="G764" s="20" t="s">
        <v>39</v>
      </c>
      <c r="H764" t="str">
        <f>'Source Table'!$H$9</f>
        <v>Male</v>
      </c>
      <c r="I764" t="str">
        <f>'Source Table'!$H$8</f>
        <v>ذكر</v>
      </c>
      <c r="J764" t="str">
        <f t="shared" si="22"/>
        <v>2019/2018</v>
      </c>
      <c r="K764" t="str">
        <f t="shared" si="23"/>
        <v>2019/2018</v>
      </c>
      <c r="L764" s="29">
        <v>2957</v>
      </c>
      <c r="M764" s="18">
        <v>2018</v>
      </c>
    </row>
    <row r="765" ht="21.75" spans="1:13">
      <c r="A765" s="18" t="s">
        <v>155</v>
      </c>
      <c r="B765" s="18" t="s">
        <v>156</v>
      </c>
      <c r="C765" s="18" t="s">
        <v>162</v>
      </c>
      <c r="D765" s="18" t="s">
        <v>158</v>
      </c>
      <c r="E765" s="18" t="s">
        <v>159</v>
      </c>
      <c r="F765" s="19" t="s">
        <v>40</v>
      </c>
      <c r="G765" s="20" t="s">
        <v>41</v>
      </c>
      <c r="H765" t="str">
        <f>'Source Table'!$H$9</f>
        <v>Male</v>
      </c>
      <c r="I765" t="str">
        <f>'Source Table'!$H$8</f>
        <v>ذكر</v>
      </c>
      <c r="J765" t="str">
        <f t="shared" si="22"/>
        <v>2019/2018</v>
      </c>
      <c r="K765" t="str">
        <f t="shared" si="23"/>
        <v>2019/2018</v>
      </c>
      <c r="L765" s="29">
        <v>939</v>
      </c>
      <c r="M765" s="18">
        <v>2018</v>
      </c>
    </row>
    <row r="766" ht="21.75" spans="1:13">
      <c r="A766" s="18" t="s">
        <v>155</v>
      </c>
      <c r="B766" s="18" t="s">
        <v>156</v>
      </c>
      <c r="C766" s="18" t="s">
        <v>162</v>
      </c>
      <c r="D766" s="18" t="s">
        <v>158</v>
      </c>
      <c r="E766" s="18" t="s">
        <v>159</v>
      </c>
      <c r="F766" s="19" t="s">
        <v>42</v>
      </c>
      <c r="G766" s="20" t="s">
        <v>43</v>
      </c>
      <c r="H766" t="str">
        <f>'Source Table'!$H$9</f>
        <v>Male</v>
      </c>
      <c r="I766" t="str">
        <f>'Source Table'!$H$8</f>
        <v>ذكر</v>
      </c>
      <c r="J766" t="str">
        <f t="shared" si="22"/>
        <v>2019/2018</v>
      </c>
      <c r="K766" t="str">
        <f t="shared" si="23"/>
        <v>2019/2018</v>
      </c>
      <c r="L766" s="29">
        <v>516</v>
      </c>
      <c r="M766" s="18">
        <v>2018</v>
      </c>
    </row>
    <row r="767" ht="21.75" spans="1:13">
      <c r="A767" s="18" t="s">
        <v>155</v>
      </c>
      <c r="B767" s="18" t="s">
        <v>156</v>
      </c>
      <c r="C767" s="18" t="s">
        <v>162</v>
      </c>
      <c r="D767" s="18" t="s">
        <v>158</v>
      </c>
      <c r="E767" s="18" t="s">
        <v>159</v>
      </c>
      <c r="F767" s="19" t="s">
        <v>44</v>
      </c>
      <c r="G767" s="20" t="s">
        <v>45</v>
      </c>
      <c r="H767" t="str">
        <f>'Source Table'!$H$9</f>
        <v>Male</v>
      </c>
      <c r="I767" t="str">
        <f>'Source Table'!$H$8</f>
        <v>ذكر</v>
      </c>
      <c r="J767" t="str">
        <f t="shared" si="22"/>
        <v>2019/2018</v>
      </c>
      <c r="K767" t="str">
        <f t="shared" si="23"/>
        <v>2019/2018</v>
      </c>
      <c r="L767" s="29">
        <v>439</v>
      </c>
      <c r="M767" s="18">
        <v>2018</v>
      </c>
    </row>
    <row r="768" ht="21.75" spans="1:13">
      <c r="A768" s="18" t="s">
        <v>155</v>
      </c>
      <c r="B768" s="18" t="s">
        <v>156</v>
      </c>
      <c r="C768" s="18" t="s">
        <v>162</v>
      </c>
      <c r="D768" s="18" t="s">
        <v>158</v>
      </c>
      <c r="E768" s="18" t="s">
        <v>159</v>
      </c>
      <c r="F768" s="19" t="s">
        <v>46</v>
      </c>
      <c r="G768" s="20" t="s">
        <v>47</v>
      </c>
      <c r="H768" t="str">
        <f>'Source Table'!$H$9</f>
        <v>Male</v>
      </c>
      <c r="I768" t="str">
        <f>'Source Table'!$H$8</f>
        <v>ذكر</v>
      </c>
      <c r="J768" t="str">
        <f t="shared" si="22"/>
        <v>2019/2018</v>
      </c>
      <c r="K768" t="str">
        <f t="shared" si="23"/>
        <v>2019/2018</v>
      </c>
      <c r="L768" s="29">
        <v>664</v>
      </c>
      <c r="M768" s="18">
        <v>2018</v>
      </c>
    </row>
    <row r="769" ht="21.75" spans="1:13">
      <c r="A769" s="18" t="s">
        <v>155</v>
      </c>
      <c r="B769" s="18" t="s">
        <v>156</v>
      </c>
      <c r="C769" s="18" t="s">
        <v>162</v>
      </c>
      <c r="D769" s="18" t="s">
        <v>158</v>
      </c>
      <c r="E769" s="18" t="s">
        <v>159</v>
      </c>
      <c r="F769" s="19" t="s">
        <v>49</v>
      </c>
      <c r="G769" s="20" t="s">
        <v>50</v>
      </c>
      <c r="H769" t="str">
        <f>'Source Table'!$H$9</f>
        <v>Male</v>
      </c>
      <c r="I769" t="str">
        <f>'Source Table'!$H$8</f>
        <v>ذكر</v>
      </c>
      <c r="J769" t="str">
        <f t="shared" si="22"/>
        <v>2019/2018</v>
      </c>
      <c r="K769" t="str">
        <f t="shared" si="23"/>
        <v>2019/2018</v>
      </c>
      <c r="L769" s="29">
        <v>797</v>
      </c>
      <c r="M769" s="18">
        <v>2018</v>
      </c>
    </row>
    <row r="770" ht="21.75" spans="1:13">
      <c r="A770" s="18" t="s">
        <v>155</v>
      </c>
      <c r="B770" s="18" t="s">
        <v>156</v>
      </c>
      <c r="C770" s="18" t="s">
        <v>162</v>
      </c>
      <c r="D770" s="18" t="s">
        <v>158</v>
      </c>
      <c r="E770" s="18" t="s">
        <v>159</v>
      </c>
      <c r="F770" s="19" t="s">
        <v>52</v>
      </c>
      <c r="G770" s="20" t="s">
        <v>53</v>
      </c>
      <c r="H770" t="str">
        <f>'Source Table'!$H$9</f>
        <v>Male</v>
      </c>
      <c r="I770" t="str">
        <f>'Source Table'!$H$8</f>
        <v>ذكر</v>
      </c>
      <c r="J770" t="str">
        <f t="shared" si="22"/>
        <v>2019/2018</v>
      </c>
      <c r="K770" t="str">
        <f t="shared" si="23"/>
        <v>2019/2018</v>
      </c>
      <c r="L770" s="29">
        <v>428</v>
      </c>
      <c r="M770" s="18">
        <v>2018</v>
      </c>
    </row>
    <row r="771" ht="21.75" spans="1:13">
      <c r="A771" s="18" t="s">
        <v>155</v>
      </c>
      <c r="B771" s="18" t="s">
        <v>156</v>
      </c>
      <c r="C771" s="18" t="s">
        <v>162</v>
      </c>
      <c r="D771" s="18" t="s">
        <v>158</v>
      </c>
      <c r="E771" s="18" t="s">
        <v>159</v>
      </c>
      <c r="F771" s="19" t="s">
        <v>54</v>
      </c>
      <c r="G771" s="20" t="s">
        <v>55</v>
      </c>
      <c r="H771" t="str">
        <f>'Source Table'!$H$9</f>
        <v>Male</v>
      </c>
      <c r="I771" t="str">
        <f>'Source Table'!$H$8</f>
        <v>ذكر</v>
      </c>
      <c r="J771" t="str">
        <f t="shared" si="22"/>
        <v>2019/2018</v>
      </c>
      <c r="K771" t="str">
        <f t="shared" si="23"/>
        <v>2019/2018</v>
      </c>
      <c r="L771" s="29">
        <v>338</v>
      </c>
      <c r="M771" s="18">
        <v>2018</v>
      </c>
    </row>
    <row r="772" ht="21.75" spans="1:13">
      <c r="A772" s="18" t="s">
        <v>155</v>
      </c>
      <c r="B772" s="18" t="s">
        <v>156</v>
      </c>
      <c r="C772" s="18" t="s">
        <v>162</v>
      </c>
      <c r="D772" s="18" t="s">
        <v>158</v>
      </c>
      <c r="E772" s="18" t="s">
        <v>159</v>
      </c>
      <c r="F772" s="19" t="s">
        <v>56</v>
      </c>
      <c r="G772" s="20" t="s">
        <v>57</v>
      </c>
      <c r="H772" t="str">
        <f>'Source Table'!$H$9</f>
        <v>Male</v>
      </c>
      <c r="I772" t="str">
        <f>'Source Table'!$H$8</f>
        <v>ذكر</v>
      </c>
      <c r="J772" t="str">
        <f t="shared" si="22"/>
        <v>2019/2018</v>
      </c>
      <c r="K772" t="str">
        <f t="shared" si="23"/>
        <v>2019/2018</v>
      </c>
      <c r="L772" s="29">
        <v>846</v>
      </c>
      <c r="M772" s="18">
        <v>2018</v>
      </c>
    </row>
    <row r="773" ht="21.75" spans="1:13">
      <c r="A773" s="18" t="s">
        <v>155</v>
      </c>
      <c r="B773" s="18" t="s">
        <v>156</v>
      </c>
      <c r="C773" s="18" t="s">
        <v>162</v>
      </c>
      <c r="D773" s="18" t="s">
        <v>158</v>
      </c>
      <c r="E773" s="18" t="s">
        <v>159</v>
      </c>
      <c r="F773" s="19" t="s">
        <v>59</v>
      </c>
      <c r="G773" s="20" t="s">
        <v>160</v>
      </c>
      <c r="H773" t="str">
        <f>'Source Table'!$H$9</f>
        <v>Male</v>
      </c>
      <c r="I773" t="str">
        <f>'Source Table'!$H$8</f>
        <v>ذكر</v>
      </c>
      <c r="J773" t="str">
        <f t="shared" ref="J773:J836" si="24">TEXT(M773+1,"0")&amp;"/"&amp;TEXT(M773,"0")</f>
        <v>2019/2018</v>
      </c>
      <c r="K773" t="str">
        <f t="shared" ref="K773:K836" si="25">TEXT(M773+1,"0")&amp;"/"&amp;TEXT(M773,"0")</f>
        <v>2019/2018</v>
      </c>
      <c r="L773" s="29">
        <v>2155</v>
      </c>
      <c r="M773" s="18">
        <v>2018</v>
      </c>
    </row>
    <row r="774" ht="21.75" spans="1:13">
      <c r="A774" s="18" t="s">
        <v>155</v>
      </c>
      <c r="B774" s="18" t="s">
        <v>156</v>
      </c>
      <c r="C774" s="18" t="s">
        <v>162</v>
      </c>
      <c r="D774" s="18" t="s">
        <v>158</v>
      </c>
      <c r="E774" s="18" t="s">
        <v>159</v>
      </c>
      <c r="F774" s="19" t="s">
        <v>62</v>
      </c>
      <c r="G774" s="20" t="s">
        <v>161</v>
      </c>
      <c r="H774" t="str">
        <f>'Source Table'!$H$9</f>
        <v>Male</v>
      </c>
      <c r="I774" t="str">
        <f>'Source Table'!$H$8</f>
        <v>ذكر</v>
      </c>
      <c r="J774" t="str">
        <f t="shared" si="24"/>
        <v>2019/2018</v>
      </c>
      <c r="K774" t="str">
        <f t="shared" si="25"/>
        <v>2019/2018</v>
      </c>
      <c r="L774" s="29">
        <v>1289</v>
      </c>
      <c r="M774" s="18">
        <v>2018</v>
      </c>
    </row>
    <row r="775" ht="21.75" spans="1:13">
      <c r="A775" s="18" t="s">
        <v>155</v>
      </c>
      <c r="B775" s="18" t="s">
        <v>156</v>
      </c>
      <c r="C775" s="18" t="s">
        <v>162</v>
      </c>
      <c r="D775" s="18" t="s">
        <v>158</v>
      </c>
      <c r="E775" s="18" t="s">
        <v>159</v>
      </c>
      <c r="F775" s="19" t="s">
        <v>64</v>
      </c>
      <c r="G775" s="20" t="s">
        <v>65</v>
      </c>
      <c r="H775" t="str">
        <f>'Source Table'!$H$9</f>
        <v>Male</v>
      </c>
      <c r="I775" t="str">
        <f>'Source Table'!$H$8</f>
        <v>ذكر</v>
      </c>
      <c r="J775" t="str">
        <f t="shared" si="24"/>
        <v>2019/2018</v>
      </c>
      <c r="K775" t="str">
        <f t="shared" si="25"/>
        <v>2019/2018</v>
      </c>
      <c r="L775" s="29">
        <v>1319</v>
      </c>
      <c r="M775" s="18">
        <v>2018</v>
      </c>
    </row>
    <row r="776" ht="21.75" spans="1:13">
      <c r="A776" s="18" t="s">
        <v>155</v>
      </c>
      <c r="B776" s="18" t="s">
        <v>156</v>
      </c>
      <c r="C776" s="18" t="s">
        <v>162</v>
      </c>
      <c r="D776" s="18" t="s">
        <v>158</v>
      </c>
      <c r="E776" s="18" t="s">
        <v>159</v>
      </c>
      <c r="F776" s="19" t="s">
        <v>68</v>
      </c>
      <c r="G776" s="20" t="s">
        <v>69</v>
      </c>
      <c r="H776" t="str">
        <f>'Source Table'!$H$9</f>
        <v>Male</v>
      </c>
      <c r="I776" t="str">
        <f>'Source Table'!$H$8</f>
        <v>ذكر</v>
      </c>
      <c r="J776" t="str">
        <f t="shared" si="24"/>
        <v>2019/2018</v>
      </c>
      <c r="K776" t="str">
        <f t="shared" si="25"/>
        <v>2019/2018</v>
      </c>
      <c r="L776" s="29">
        <v>781</v>
      </c>
      <c r="M776" s="18">
        <v>2018</v>
      </c>
    </row>
    <row r="777" ht="21.75" spans="1:13">
      <c r="A777" s="18" t="s">
        <v>155</v>
      </c>
      <c r="B777" s="18" t="s">
        <v>156</v>
      </c>
      <c r="C777" s="18" t="s">
        <v>162</v>
      </c>
      <c r="D777" s="18" t="s">
        <v>158</v>
      </c>
      <c r="E777" s="18" t="s">
        <v>159</v>
      </c>
      <c r="F777" s="19" t="s">
        <v>70</v>
      </c>
      <c r="G777" s="20" t="s">
        <v>71</v>
      </c>
      <c r="H777" t="str">
        <f>'Source Table'!$H$9</f>
        <v>Male</v>
      </c>
      <c r="I777" t="str">
        <f>'Source Table'!$H$8</f>
        <v>ذكر</v>
      </c>
      <c r="J777" t="str">
        <f t="shared" si="24"/>
        <v>2019/2018</v>
      </c>
      <c r="K777" t="str">
        <f t="shared" si="25"/>
        <v>2019/2018</v>
      </c>
      <c r="L777" s="29">
        <v>363</v>
      </c>
      <c r="M777" s="18">
        <v>2018</v>
      </c>
    </row>
    <row r="778" ht="21.75" spans="1:13">
      <c r="A778" s="18" t="s">
        <v>155</v>
      </c>
      <c r="B778" s="18" t="s">
        <v>156</v>
      </c>
      <c r="C778" s="18" t="s">
        <v>162</v>
      </c>
      <c r="D778" s="18" t="s">
        <v>158</v>
      </c>
      <c r="E778" s="18" t="s">
        <v>159</v>
      </c>
      <c r="F778" s="19" t="s">
        <v>74</v>
      </c>
      <c r="G778" s="20" t="s">
        <v>75</v>
      </c>
      <c r="H778" t="str">
        <f>'Source Table'!$H$9</f>
        <v>Male</v>
      </c>
      <c r="I778" t="str">
        <f>'Source Table'!$H$8</f>
        <v>ذكر</v>
      </c>
      <c r="J778" t="str">
        <f t="shared" si="24"/>
        <v>2019/2018</v>
      </c>
      <c r="K778" t="str">
        <f t="shared" si="25"/>
        <v>2019/2018</v>
      </c>
      <c r="L778" s="29">
        <v>2558</v>
      </c>
      <c r="M778" s="18">
        <v>2018</v>
      </c>
    </row>
    <row r="779" ht="21.75" spans="1:13">
      <c r="A779" s="18" t="s">
        <v>155</v>
      </c>
      <c r="B779" s="18" t="s">
        <v>156</v>
      </c>
      <c r="C779" s="18" t="s">
        <v>162</v>
      </c>
      <c r="D779" s="18" t="s">
        <v>158</v>
      </c>
      <c r="E779" s="18" t="s">
        <v>159</v>
      </c>
      <c r="F779" s="19" t="s">
        <v>76</v>
      </c>
      <c r="G779" s="20" t="s">
        <v>77</v>
      </c>
      <c r="H779" t="str">
        <f>'Source Table'!$H$9</f>
        <v>Male</v>
      </c>
      <c r="I779" t="str">
        <f>'Source Table'!$H$8</f>
        <v>ذكر</v>
      </c>
      <c r="J779" t="str">
        <f t="shared" si="24"/>
        <v>2019/2018</v>
      </c>
      <c r="K779" t="str">
        <f t="shared" si="25"/>
        <v>2019/2018</v>
      </c>
      <c r="L779" s="29">
        <v>707</v>
      </c>
      <c r="M779" s="18">
        <v>2018</v>
      </c>
    </row>
    <row r="780" ht="21.75" spans="1:13">
      <c r="A780" s="18" t="s">
        <v>155</v>
      </c>
      <c r="B780" s="18" t="s">
        <v>156</v>
      </c>
      <c r="C780" s="18" t="s">
        <v>162</v>
      </c>
      <c r="D780" s="18" t="s">
        <v>158</v>
      </c>
      <c r="E780" s="18" t="s">
        <v>159</v>
      </c>
      <c r="F780" s="19" t="s">
        <v>78</v>
      </c>
      <c r="G780" s="20" t="s">
        <v>79</v>
      </c>
      <c r="H780" t="str">
        <f>'Source Table'!$H$9</f>
        <v>Male</v>
      </c>
      <c r="I780" t="str">
        <f>'Source Table'!$H$8</f>
        <v>ذكر</v>
      </c>
      <c r="J780" t="str">
        <f t="shared" si="24"/>
        <v>2019/2018</v>
      </c>
      <c r="K780" t="str">
        <f t="shared" si="25"/>
        <v>2019/2018</v>
      </c>
      <c r="L780" s="29">
        <v>2558</v>
      </c>
      <c r="M780" s="18">
        <v>2018</v>
      </c>
    </row>
    <row r="781" ht="21.75" spans="1:13">
      <c r="A781" s="18" t="s">
        <v>155</v>
      </c>
      <c r="B781" s="18" t="s">
        <v>156</v>
      </c>
      <c r="C781" s="18" t="s">
        <v>162</v>
      </c>
      <c r="D781" s="18" t="s">
        <v>158</v>
      </c>
      <c r="E781" s="18" t="s">
        <v>159</v>
      </c>
      <c r="F781" s="19" t="s">
        <v>80</v>
      </c>
      <c r="G781" s="20" t="s">
        <v>81</v>
      </c>
      <c r="H781" t="str">
        <f>'Source Table'!$H$9</f>
        <v>Male</v>
      </c>
      <c r="I781" t="str">
        <f>'Source Table'!$H$8</f>
        <v>ذكر</v>
      </c>
      <c r="J781" t="str">
        <f t="shared" si="24"/>
        <v>2019/2018</v>
      </c>
      <c r="K781" t="str">
        <f t="shared" si="25"/>
        <v>2019/2018</v>
      </c>
      <c r="L781" s="29">
        <v>707</v>
      </c>
      <c r="M781" s="18">
        <v>2018</v>
      </c>
    </row>
    <row r="782" ht="21.75" spans="1:13">
      <c r="A782" s="18" t="s">
        <v>155</v>
      </c>
      <c r="B782" s="18" t="s">
        <v>156</v>
      </c>
      <c r="C782" s="18" t="s">
        <v>162</v>
      </c>
      <c r="D782" s="18" t="s">
        <v>158</v>
      </c>
      <c r="E782" s="18" t="s">
        <v>159</v>
      </c>
      <c r="F782" s="19" t="s">
        <v>82</v>
      </c>
      <c r="G782" s="20" t="s">
        <v>83</v>
      </c>
      <c r="H782" t="str">
        <f>'Source Table'!$H$9</f>
        <v>Male</v>
      </c>
      <c r="I782" t="str">
        <f>'Source Table'!$H$8</f>
        <v>ذكر</v>
      </c>
      <c r="J782" t="str">
        <f t="shared" si="24"/>
        <v>2019/2018</v>
      </c>
      <c r="K782" t="str">
        <f t="shared" si="25"/>
        <v>2019/2018</v>
      </c>
      <c r="L782" s="29">
        <v>452</v>
      </c>
      <c r="M782" s="18">
        <v>2018</v>
      </c>
    </row>
    <row r="783" ht="21.75" spans="1:13">
      <c r="A783" s="18" t="s">
        <v>155</v>
      </c>
      <c r="B783" s="18" t="s">
        <v>156</v>
      </c>
      <c r="C783" s="18" t="s">
        <v>162</v>
      </c>
      <c r="D783" s="18" t="s">
        <v>158</v>
      </c>
      <c r="E783" s="18" t="s">
        <v>159</v>
      </c>
      <c r="F783" s="19" t="s">
        <v>84</v>
      </c>
      <c r="G783" s="20" t="s">
        <v>85</v>
      </c>
      <c r="H783" t="str">
        <f>'Source Table'!$H$9</f>
        <v>Male</v>
      </c>
      <c r="I783" t="str">
        <f>'Source Table'!$H$8</f>
        <v>ذكر</v>
      </c>
      <c r="J783" t="str">
        <f t="shared" si="24"/>
        <v>2019/2018</v>
      </c>
      <c r="K783" t="str">
        <f t="shared" si="25"/>
        <v>2019/2018</v>
      </c>
      <c r="L783" s="29">
        <v>445</v>
      </c>
      <c r="M783" s="18">
        <v>2018</v>
      </c>
    </row>
    <row r="784" ht="21.75" spans="1:13">
      <c r="A784" s="18" t="s">
        <v>155</v>
      </c>
      <c r="B784" s="18" t="s">
        <v>156</v>
      </c>
      <c r="C784" s="18" t="s">
        <v>162</v>
      </c>
      <c r="D784" s="18" t="s">
        <v>158</v>
      </c>
      <c r="E784" s="18" t="s">
        <v>159</v>
      </c>
      <c r="F784" s="19" t="s">
        <v>86</v>
      </c>
      <c r="G784" s="20" t="s">
        <v>87</v>
      </c>
      <c r="H784" t="str">
        <f>'Source Table'!$H$9</f>
        <v>Male</v>
      </c>
      <c r="I784" t="str">
        <f>'Source Table'!$H$8</f>
        <v>ذكر</v>
      </c>
      <c r="J784" t="str">
        <f t="shared" si="24"/>
        <v>2019/2018</v>
      </c>
      <c r="K784" t="str">
        <f t="shared" si="25"/>
        <v>2019/2018</v>
      </c>
      <c r="L784" s="29">
        <v>790</v>
      </c>
      <c r="M784" s="18">
        <v>2018</v>
      </c>
    </row>
    <row r="785" ht="21.75" spans="1:13">
      <c r="A785" s="18" t="s">
        <v>155</v>
      </c>
      <c r="B785" s="18" t="s">
        <v>156</v>
      </c>
      <c r="C785" s="18" t="s">
        <v>162</v>
      </c>
      <c r="D785" s="18" t="s">
        <v>158</v>
      </c>
      <c r="E785" s="18" t="s">
        <v>159</v>
      </c>
      <c r="F785" s="19" t="s">
        <v>88</v>
      </c>
      <c r="G785" s="20" t="s">
        <v>89</v>
      </c>
      <c r="H785" t="str">
        <f>'Source Table'!$H$9</f>
        <v>Male</v>
      </c>
      <c r="I785" t="str">
        <f>'Source Table'!$H$8</f>
        <v>ذكر</v>
      </c>
      <c r="J785" t="str">
        <f t="shared" si="24"/>
        <v>2019/2018</v>
      </c>
      <c r="K785" t="str">
        <f t="shared" si="25"/>
        <v>2019/2018</v>
      </c>
      <c r="L785" s="29">
        <v>793</v>
      </c>
      <c r="M785" s="18">
        <v>2018</v>
      </c>
    </row>
    <row r="786" ht="21.75" spans="1:13">
      <c r="A786" s="18" t="s">
        <v>155</v>
      </c>
      <c r="B786" s="18" t="s">
        <v>156</v>
      </c>
      <c r="C786" s="18" t="s">
        <v>162</v>
      </c>
      <c r="D786" s="18" t="s">
        <v>158</v>
      </c>
      <c r="E786" s="18" t="s">
        <v>159</v>
      </c>
      <c r="F786" s="19" t="s">
        <v>91</v>
      </c>
      <c r="G786" s="20" t="s">
        <v>92</v>
      </c>
      <c r="H786" t="str">
        <f>'Source Table'!$H$9</f>
        <v>Male</v>
      </c>
      <c r="I786" t="str">
        <f>'Source Table'!$H$8</f>
        <v>ذكر</v>
      </c>
      <c r="J786" t="str">
        <f t="shared" si="24"/>
        <v>2019/2018</v>
      </c>
      <c r="K786" t="str">
        <f t="shared" si="25"/>
        <v>2019/2018</v>
      </c>
      <c r="L786" s="29">
        <v>1483</v>
      </c>
      <c r="M786" s="18">
        <v>2018</v>
      </c>
    </row>
    <row r="787" ht="21.75" spans="1:13">
      <c r="A787" s="18" t="s">
        <v>155</v>
      </c>
      <c r="B787" s="18" t="s">
        <v>156</v>
      </c>
      <c r="C787" s="18" t="s">
        <v>162</v>
      </c>
      <c r="D787" s="18" t="s">
        <v>158</v>
      </c>
      <c r="E787" s="18" t="s">
        <v>159</v>
      </c>
      <c r="F787" s="19" t="s">
        <v>94</v>
      </c>
      <c r="G787" s="20" t="s">
        <v>95</v>
      </c>
      <c r="H787" t="str">
        <f>'Source Table'!$H$9</f>
        <v>Male</v>
      </c>
      <c r="I787" t="str">
        <f>'Source Table'!$H$8</f>
        <v>ذكر</v>
      </c>
      <c r="J787" t="str">
        <f t="shared" si="24"/>
        <v>2019/2018</v>
      </c>
      <c r="K787" t="str">
        <f t="shared" si="25"/>
        <v>2019/2018</v>
      </c>
      <c r="L787" s="29">
        <v>1277</v>
      </c>
      <c r="M787" s="18">
        <v>2018</v>
      </c>
    </row>
    <row r="788" ht="21.75" spans="1:13">
      <c r="A788" s="18" t="s">
        <v>155</v>
      </c>
      <c r="B788" s="18" t="s">
        <v>156</v>
      </c>
      <c r="C788" s="18" t="s">
        <v>162</v>
      </c>
      <c r="D788" s="18" t="s">
        <v>158</v>
      </c>
      <c r="E788" s="18" t="s">
        <v>159</v>
      </c>
      <c r="F788" s="19" t="s">
        <v>96</v>
      </c>
      <c r="G788" s="20" t="s">
        <v>97</v>
      </c>
      <c r="H788" t="str">
        <f>'Source Table'!$H$9</f>
        <v>Male</v>
      </c>
      <c r="I788" t="str">
        <f>'Source Table'!$H$8</f>
        <v>ذكر</v>
      </c>
      <c r="J788" t="str">
        <f t="shared" si="24"/>
        <v>2019/2018</v>
      </c>
      <c r="K788" t="str">
        <f t="shared" si="25"/>
        <v>2019/2018</v>
      </c>
      <c r="L788" s="29">
        <v>1390</v>
      </c>
      <c r="M788" s="18">
        <v>2018</v>
      </c>
    </row>
    <row r="789" ht="21.75" spans="1:13">
      <c r="A789" s="18" t="s">
        <v>155</v>
      </c>
      <c r="B789" s="18" t="s">
        <v>156</v>
      </c>
      <c r="C789" s="18" t="s">
        <v>162</v>
      </c>
      <c r="D789" s="18" t="s">
        <v>158</v>
      </c>
      <c r="E789" s="18" t="s">
        <v>159</v>
      </c>
      <c r="F789" s="19" t="s">
        <v>98</v>
      </c>
      <c r="G789" s="20" t="s">
        <v>99</v>
      </c>
      <c r="H789" t="str">
        <f>'Source Table'!$H$9</f>
        <v>Male</v>
      </c>
      <c r="I789" t="str">
        <f>'Source Table'!$H$8</f>
        <v>ذكر</v>
      </c>
      <c r="J789" t="str">
        <f t="shared" si="24"/>
        <v>2019/2018</v>
      </c>
      <c r="K789" t="str">
        <f t="shared" si="25"/>
        <v>2019/2018</v>
      </c>
      <c r="L789" s="30">
        <v>1570</v>
      </c>
      <c r="M789" s="18">
        <v>2018</v>
      </c>
    </row>
    <row r="790" ht="21.75" spans="1:13">
      <c r="A790" s="18" t="s">
        <v>155</v>
      </c>
      <c r="B790" s="18" t="s">
        <v>156</v>
      </c>
      <c r="C790" s="18" t="s">
        <v>162</v>
      </c>
      <c r="D790" s="18" t="s">
        <v>158</v>
      </c>
      <c r="E790" s="18" t="s">
        <v>159</v>
      </c>
      <c r="F790" s="19" t="s">
        <v>100</v>
      </c>
      <c r="G790" s="20" t="s">
        <v>101</v>
      </c>
      <c r="H790" t="str">
        <f>'Source Table'!$H$9</f>
        <v>Male</v>
      </c>
      <c r="I790" t="str">
        <f>'Source Table'!$H$8</f>
        <v>ذكر</v>
      </c>
      <c r="J790" t="str">
        <f t="shared" si="24"/>
        <v>2019/2018</v>
      </c>
      <c r="K790" t="str">
        <f t="shared" si="25"/>
        <v>2019/2018</v>
      </c>
      <c r="L790" s="30">
        <v>1065</v>
      </c>
      <c r="M790" s="18">
        <v>2018</v>
      </c>
    </row>
    <row r="791" ht="21.75" spans="1:13">
      <c r="A791" s="18" t="s">
        <v>155</v>
      </c>
      <c r="B791" s="18" t="s">
        <v>156</v>
      </c>
      <c r="C791" s="18" t="s">
        <v>162</v>
      </c>
      <c r="D791" s="18" t="s">
        <v>158</v>
      </c>
      <c r="E791" s="18" t="s">
        <v>159</v>
      </c>
      <c r="F791" s="19" t="s">
        <v>103</v>
      </c>
      <c r="G791" s="20" t="s">
        <v>104</v>
      </c>
      <c r="H791" t="str">
        <f>'Source Table'!$H$9</f>
        <v>Male</v>
      </c>
      <c r="I791" t="str">
        <f>'Source Table'!$H$8</f>
        <v>ذكر</v>
      </c>
      <c r="J791" t="str">
        <f t="shared" si="24"/>
        <v>2019/2018</v>
      </c>
      <c r="K791" t="str">
        <f t="shared" si="25"/>
        <v>2019/2018</v>
      </c>
      <c r="L791" s="29">
        <v>888</v>
      </c>
      <c r="M791" s="18">
        <v>2018</v>
      </c>
    </row>
    <row r="792" ht="21.75" spans="1:13">
      <c r="A792" s="18" t="s">
        <v>155</v>
      </c>
      <c r="B792" s="18" t="s">
        <v>156</v>
      </c>
      <c r="C792" s="18" t="s">
        <v>162</v>
      </c>
      <c r="D792" s="18" t="s">
        <v>158</v>
      </c>
      <c r="E792" s="18" t="s">
        <v>159</v>
      </c>
      <c r="F792" s="19" t="s">
        <v>106</v>
      </c>
      <c r="G792" s="20" t="s">
        <v>107</v>
      </c>
      <c r="H792" t="str">
        <f>'Source Table'!$H$9</f>
        <v>Male</v>
      </c>
      <c r="I792" t="str">
        <f>'Source Table'!$H$8</f>
        <v>ذكر</v>
      </c>
      <c r="J792" t="str">
        <f t="shared" si="24"/>
        <v>2019/2018</v>
      </c>
      <c r="K792" t="str">
        <f t="shared" si="25"/>
        <v>2019/2018</v>
      </c>
      <c r="L792" s="29">
        <v>626</v>
      </c>
      <c r="M792" s="18">
        <v>2018</v>
      </c>
    </row>
    <row r="793" ht="21.75" spans="1:13">
      <c r="A793" s="18" t="s">
        <v>155</v>
      </c>
      <c r="B793" s="18" t="s">
        <v>156</v>
      </c>
      <c r="C793" s="18" t="s">
        <v>162</v>
      </c>
      <c r="D793" s="18" t="s">
        <v>158</v>
      </c>
      <c r="E793" s="18" t="s">
        <v>159</v>
      </c>
      <c r="F793" s="19" t="s">
        <v>108</v>
      </c>
      <c r="G793" s="20" t="s">
        <v>109</v>
      </c>
      <c r="H793" t="str">
        <f>'Source Table'!$H$9</f>
        <v>Male</v>
      </c>
      <c r="I793" t="str">
        <f>'Source Table'!$H$8</f>
        <v>ذكر</v>
      </c>
      <c r="J793" t="str">
        <f t="shared" si="24"/>
        <v>2019/2018</v>
      </c>
      <c r="K793" t="str">
        <f t="shared" si="25"/>
        <v>2019/2018</v>
      </c>
      <c r="L793" s="29">
        <v>487</v>
      </c>
      <c r="M793" s="18">
        <v>2018</v>
      </c>
    </row>
    <row r="794" ht="21.75" spans="1:13">
      <c r="A794" s="18" t="s">
        <v>155</v>
      </c>
      <c r="B794" s="18" t="s">
        <v>156</v>
      </c>
      <c r="C794" s="18" t="s">
        <v>162</v>
      </c>
      <c r="D794" s="18" t="s">
        <v>158</v>
      </c>
      <c r="E794" s="18" t="s">
        <v>159</v>
      </c>
      <c r="F794" s="19" t="s">
        <v>110</v>
      </c>
      <c r="G794" s="20" t="s">
        <v>111</v>
      </c>
      <c r="H794" t="str">
        <f>'Source Table'!$H$9</f>
        <v>Male</v>
      </c>
      <c r="I794" t="str">
        <f>'Source Table'!$H$8</f>
        <v>ذكر</v>
      </c>
      <c r="J794" t="str">
        <f t="shared" si="24"/>
        <v>2019/2018</v>
      </c>
      <c r="K794" t="str">
        <f t="shared" si="25"/>
        <v>2019/2018</v>
      </c>
      <c r="L794" s="29">
        <v>360</v>
      </c>
      <c r="M794" s="18">
        <v>2018</v>
      </c>
    </row>
    <row r="795" ht="21.75" spans="1:13">
      <c r="A795" s="18" t="s">
        <v>155</v>
      </c>
      <c r="B795" s="18" t="s">
        <v>156</v>
      </c>
      <c r="C795" s="18" t="s">
        <v>162</v>
      </c>
      <c r="D795" s="18" t="s">
        <v>158</v>
      </c>
      <c r="E795" s="18" t="s">
        <v>159</v>
      </c>
      <c r="F795" s="19" t="s">
        <v>113</v>
      </c>
      <c r="G795" s="20" t="s">
        <v>114</v>
      </c>
      <c r="H795" t="str">
        <f>'Source Table'!$H$9</f>
        <v>Male</v>
      </c>
      <c r="I795" t="str">
        <f>'Source Table'!$H$8</f>
        <v>ذكر</v>
      </c>
      <c r="J795" t="str">
        <f t="shared" si="24"/>
        <v>2019/2018</v>
      </c>
      <c r="K795" t="str">
        <f t="shared" si="25"/>
        <v>2019/2018</v>
      </c>
      <c r="L795" s="29">
        <v>681</v>
      </c>
      <c r="M795" s="18">
        <v>2018</v>
      </c>
    </row>
    <row r="796" ht="21.75" spans="1:13">
      <c r="A796" s="18" t="s">
        <v>155</v>
      </c>
      <c r="B796" s="18" t="s">
        <v>156</v>
      </c>
      <c r="C796" s="18" t="s">
        <v>162</v>
      </c>
      <c r="D796" s="18" t="s">
        <v>158</v>
      </c>
      <c r="E796" s="18" t="s">
        <v>159</v>
      </c>
      <c r="F796" s="19" t="s">
        <v>115</v>
      </c>
      <c r="G796" s="20" t="s">
        <v>116</v>
      </c>
      <c r="H796" t="str">
        <f>'Source Table'!$H$9</f>
        <v>Male</v>
      </c>
      <c r="I796" t="str">
        <f>'Source Table'!$H$8</f>
        <v>ذكر</v>
      </c>
      <c r="J796" t="str">
        <f t="shared" si="24"/>
        <v>2019/2018</v>
      </c>
      <c r="K796" t="str">
        <f t="shared" si="25"/>
        <v>2019/2018</v>
      </c>
      <c r="L796" s="29">
        <v>228</v>
      </c>
      <c r="M796" s="18">
        <v>2018</v>
      </c>
    </row>
    <row r="797" ht="21.75" spans="1:13">
      <c r="A797" s="18" t="s">
        <v>155</v>
      </c>
      <c r="B797" s="18" t="s">
        <v>156</v>
      </c>
      <c r="C797" s="18" t="s">
        <v>162</v>
      </c>
      <c r="D797" s="18" t="s">
        <v>158</v>
      </c>
      <c r="E797" s="18" t="s">
        <v>159</v>
      </c>
      <c r="F797" s="19" t="s">
        <v>118</v>
      </c>
      <c r="G797" s="20" t="s">
        <v>119</v>
      </c>
      <c r="H797" t="str">
        <f>'Source Table'!$H$9</f>
        <v>Male</v>
      </c>
      <c r="I797" t="str">
        <f>'Source Table'!$H$8</f>
        <v>ذكر</v>
      </c>
      <c r="J797" t="str">
        <f t="shared" si="24"/>
        <v>2019/2018</v>
      </c>
      <c r="K797" t="str">
        <f t="shared" si="25"/>
        <v>2019/2018</v>
      </c>
      <c r="L797" s="29">
        <v>393</v>
      </c>
      <c r="M797" s="18">
        <v>2018</v>
      </c>
    </row>
    <row r="798" ht="21.75" spans="1:13">
      <c r="A798" s="18" t="s">
        <v>155</v>
      </c>
      <c r="B798" s="18" t="s">
        <v>156</v>
      </c>
      <c r="C798" s="18" t="s">
        <v>162</v>
      </c>
      <c r="D798" s="18" t="s">
        <v>158</v>
      </c>
      <c r="E798" s="18" t="s">
        <v>159</v>
      </c>
      <c r="F798" s="19" t="s">
        <v>120</v>
      </c>
      <c r="G798" s="20" t="s">
        <v>121</v>
      </c>
      <c r="H798" t="str">
        <f>'Source Table'!$H$9</f>
        <v>Male</v>
      </c>
      <c r="I798" t="str">
        <f>'Source Table'!$H$8</f>
        <v>ذكر</v>
      </c>
      <c r="J798" t="str">
        <f t="shared" si="24"/>
        <v>2019/2018</v>
      </c>
      <c r="K798" t="str">
        <f t="shared" si="25"/>
        <v>2019/2018</v>
      </c>
      <c r="L798" s="29">
        <v>555</v>
      </c>
      <c r="M798" s="18">
        <v>2018</v>
      </c>
    </row>
    <row r="799" ht="21.75" spans="1:13">
      <c r="A799" s="18" t="s">
        <v>155</v>
      </c>
      <c r="B799" s="18" t="s">
        <v>156</v>
      </c>
      <c r="C799" s="18" t="s">
        <v>162</v>
      </c>
      <c r="D799" s="18" t="s">
        <v>158</v>
      </c>
      <c r="E799" s="18" t="s">
        <v>159</v>
      </c>
      <c r="F799" s="19" t="s">
        <v>122</v>
      </c>
      <c r="G799" s="20" t="s">
        <v>123</v>
      </c>
      <c r="H799" t="str">
        <f>'Source Table'!$H$9</f>
        <v>Male</v>
      </c>
      <c r="I799" t="str">
        <f>'Source Table'!$H$8</f>
        <v>ذكر</v>
      </c>
      <c r="J799" t="str">
        <f t="shared" si="24"/>
        <v>2019/2018</v>
      </c>
      <c r="K799" t="str">
        <f t="shared" si="25"/>
        <v>2019/2018</v>
      </c>
      <c r="L799" s="29">
        <v>234</v>
      </c>
      <c r="M799" s="18">
        <v>2018</v>
      </c>
    </row>
    <row r="800" ht="21.75" spans="1:13">
      <c r="A800" s="18" t="s">
        <v>155</v>
      </c>
      <c r="B800" s="18" t="s">
        <v>156</v>
      </c>
      <c r="C800" s="18" t="s">
        <v>162</v>
      </c>
      <c r="D800" s="18" t="s">
        <v>158</v>
      </c>
      <c r="E800" s="18" t="s">
        <v>159</v>
      </c>
      <c r="F800" s="19" t="s">
        <v>124</v>
      </c>
      <c r="G800" s="20" t="s">
        <v>125</v>
      </c>
      <c r="H800" t="str">
        <f>'Source Table'!$H$9</f>
        <v>Male</v>
      </c>
      <c r="I800" t="str">
        <f>'Source Table'!$H$8</f>
        <v>ذكر</v>
      </c>
      <c r="J800" t="str">
        <f t="shared" si="24"/>
        <v>2019/2018</v>
      </c>
      <c r="K800" t="str">
        <f t="shared" si="25"/>
        <v>2019/2018</v>
      </c>
      <c r="L800" s="29">
        <v>194</v>
      </c>
      <c r="M800" s="18">
        <v>2018</v>
      </c>
    </row>
    <row r="801" ht="21.75" spans="1:13">
      <c r="A801" s="18" t="s">
        <v>155</v>
      </c>
      <c r="B801" s="18" t="s">
        <v>156</v>
      </c>
      <c r="C801" s="18" t="s">
        <v>162</v>
      </c>
      <c r="D801" s="18" t="s">
        <v>158</v>
      </c>
      <c r="E801" s="18" t="s">
        <v>159</v>
      </c>
      <c r="F801" s="19" t="s">
        <v>126</v>
      </c>
      <c r="G801" s="20" t="s">
        <v>127</v>
      </c>
      <c r="H801" t="str">
        <f>'Source Table'!$H$9</f>
        <v>Male</v>
      </c>
      <c r="I801" t="str">
        <f>'Source Table'!$H$8</f>
        <v>ذكر</v>
      </c>
      <c r="J801" t="str">
        <f t="shared" si="24"/>
        <v>2019/2018</v>
      </c>
      <c r="K801" t="str">
        <f t="shared" si="25"/>
        <v>2019/2018</v>
      </c>
      <c r="L801" s="30">
        <v>1034</v>
      </c>
      <c r="M801" s="18">
        <v>2018</v>
      </c>
    </row>
    <row r="802" ht="21.75" spans="1:13">
      <c r="A802" s="18" t="s">
        <v>155</v>
      </c>
      <c r="B802" s="18" t="s">
        <v>156</v>
      </c>
      <c r="C802" s="18" t="s">
        <v>162</v>
      </c>
      <c r="D802" s="18" t="s">
        <v>158</v>
      </c>
      <c r="E802" s="18" t="s">
        <v>159</v>
      </c>
      <c r="F802" s="19" t="s">
        <v>29</v>
      </c>
      <c r="G802" s="20" t="s">
        <v>30</v>
      </c>
      <c r="H802" t="str">
        <f>'Source Table'!$G$9</f>
        <v>Female</v>
      </c>
      <c r="I802" t="str">
        <f>'Source Table'!$G$8</f>
        <v>أنثى</v>
      </c>
      <c r="J802" t="str">
        <f t="shared" si="24"/>
        <v>2019/2018</v>
      </c>
      <c r="K802" t="str">
        <f t="shared" si="25"/>
        <v>2019/2018</v>
      </c>
      <c r="L802" s="29">
        <v>6854</v>
      </c>
      <c r="M802" s="18">
        <v>2018</v>
      </c>
    </row>
    <row r="803" ht="21.75" spans="1:13">
      <c r="A803" s="18" t="s">
        <v>155</v>
      </c>
      <c r="B803" s="18" t="s">
        <v>156</v>
      </c>
      <c r="C803" s="18" t="s">
        <v>162</v>
      </c>
      <c r="D803" s="18" t="s">
        <v>158</v>
      </c>
      <c r="E803" s="18" t="s">
        <v>159</v>
      </c>
      <c r="F803" s="19" t="s">
        <v>32</v>
      </c>
      <c r="G803" s="20" t="s">
        <v>33</v>
      </c>
      <c r="H803" t="str">
        <f>'Source Table'!$G$9</f>
        <v>Female</v>
      </c>
      <c r="I803" t="str">
        <f>'Source Table'!$G$8</f>
        <v>أنثى</v>
      </c>
      <c r="J803" t="str">
        <f t="shared" si="24"/>
        <v>2019/2018</v>
      </c>
      <c r="K803" t="str">
        <f t="shared" si="25"/>
        <v>2019/2018</v>
      </c>
      <c r="L803" s="29">
        <v>8280</v>
      </c>
      <c r="M803" s="18">
        <v>2018</v>
      </c>
    </row>
    <row r="804" ht="21.75" spans="1:13">
      <c r="A804" s="18" t="s">
        <v>155</v>
      </c>
      <c r="B804" s="18" t="s">
        <v>156</v>
      </c>
      <c r="C804" s="18" t="s">
        <v>162</v>
      </c>
      <c r="D804" s="18" t="s">
        <v>158</v>
      </c>
      <c r="E804" s="18" t="s">
        <v>159</v>
      </c>
      <c r="F804" s="19" t="s">
        <v>34</v>
      </c>
      <c r="G804" s="20" t="s">
        <v>35</v>
      </c>
      <c r="H804" t="str">
        <f>'Source Table'!$G$9</f>
        <v>Female</v>
      </c>
      <c r="I804" t="str">
        <f>'Source Table'!$G$8</f>
        <v>أنثى</v>
      </c>
      <c r="J804" t="str">
        <f t="shared" si="24"/>
        <v>2019/2018</v>
      </c>
      <c r="K804" t="str">
        <f t="shared" si="25"/>
        <v>2019/2018</v>
      </c>
      <c r="L804" s="29">
        <v>1281</v>
      </c>
      <c r="M804" s="18">
        <v>2018</v>
      </c>
    </row>
    <row r="805" ht="21.75" spans="1:13">
      <c r="A805" s="18" t="s">
        <v>155</v>
      </c>
      <c r="B805" s="18" t="s">
        <v>156</v>
      </c>
      <c r="C805" s="18" t="s">
        <v>162</v>
      </c>
      <c r="D805" s="18" t="s">
        <v>158</v>
      </c>
      <c r="E805" s="18" t="s">
        <v>159</v>
      </c>
      <c r="F805" s="19" t="s">
        <v>36</v>
      </c>
      <c r="G805" s="20" t="s">
        <v>37</v>
      </c>
      <c r="H805" t="str">
        <f>'Source Table'!$G$9</f>
        <v>Female</v>
      </c>
      <c r="I805" t="str">
        <f>'Source Table'!$G$8</f>
        <v>أنثى</v>
      </c>
      <c r="J805" t="str">
        <f t="shared" si="24"/>
        <v>2019/2018</v>
      </c>
      <c r="K805" t="str">
        <f t="shared" si="25"/>
        <v>2019/2018</v>
      </c>
      <c r="L805" s="29">
        <v>5336</v>
      </c>
      <c r="M805" s="18">
        <v>2018</v>
      </c>
    </row>
    <row r="806" ht="21.75" spans="1:13">
      <c r="A806" s="18" t="s">
        <v>155</v>
      </c>
      <c r="B806" s="18" t="s">
        <v>156</v>
      </c>
      <c r="C806" s="18" t="s">
        <v>162</v>
      </c>
      <c r="D806" s="18" t="s">
        <v>158</v>
      </c>
      <c r="E806" s="18" t="s">
        <v>159</v>
      </c>
      <c r="F806" s="19" t="s">
        <v>38</v>
      </c>
      <c r="G806" s="20" t="s">
        <v>39</v>
      </c>
      <c r="H806" t="str">
        <f>'Source Table'!$G$9</f>
        <v>Female</v>
      </c>
      <c r="I806" t="str">
        <f>'Source Table'!$G$8</f>
        <v>أنثى</v>
      </c>
      <c r="J806" t="str">
        <f t="shared" si="24"/>
        <v>2019/2018</v>
      </c>
      <c r="K806" t="str">
        <f t="shared" si="25"/>
        <v>2019/2018</v>
      </c>
      <c r="L806" s="29">
        <v>7423</v>
      </c>
      <c r="M806" s="18">
        <v>2018</v>
      </c>
    </row>
    <row r="807" ht="21.75" spans="1:13">
      <c r="A807" s="18" t="s">
        <v>155</v>
      </c>
      <c r="B807" s="18" t="s">
        <v>156</v>
      </c>
      <c r="C807" s="18" t="s">
        <v>162</v>
      </c>
      <c r="D807" s="18" t="s">
        <v>158</v>
      </c>
      <c r="E807" s="18" t="s">
        <v>159</v>
      </c>
      <c r="F807" s="19" t="s">
        <v>40</v>
      </c>
      <c r="G807" s="20" t="s">
        <v>41</v>
      </c>
      <c r="H807" t="str">
        <f>'Source Table'!$G$9</f>
        <v>Female</v>
      </c>
      <c r="I807" t="str">
        <f>'Source Table'!$G$8</f>
        <v>أنثى</v>
      </c>
      <c r="J807" t="str">
        <f t="shared" si="24"/>
        <v>2019/2018</v>
      </c>
      <c r="K807" t="str">
        <f t="shared" si="25"/>
        <v>2019/2018</v>
      </c>
      <c r="L807" s="29">
        <v>3362</v>
      </c>
      <c r="M807" s="18">
        <v>2018</v>
      </c>
    </row>
    <row r="808" ht="21.75" spans="1:13">
      <c r="A808" s="18" t="s">
        <v>155</v>
      </c>
      <c r="B808" s="18" t="s">
        <v>156</v>
      </c>
      <c r="C808" s="18" t="s">
        <v>162</v>
      </c>
      <c r="D808" s="18" t="s">
        <v>158</v>
      </c>
      <c r="E808" s="18" t="s">
        <v>159</v>
      </c>
      <c r="F808" s="19" t="s">
        <v>42</v>
      </c>
      <c r="G808" s="20" t="s">
        <v>43</v>
      </c>
      <c r="H808" t="str">
        <f>'Source Table'!$G$9</f>
        <v>Female</v>
      </c>
      <c r="I808" t="str">
        <f>'Source Table'!$G$8</f>
        <v>أنثى</v>
      </c>
      <c r="J808" t="str">
        <f t="shared" si="24"/>
        <v>2019/2018</v>
      </c>
      <c r="K808" t="str">
        <f t="shared" si="25"/>
        <v>2019/2018</v>
      </c>
      <c r="L808" s="29">
        <v>1463</v>
      </c>
      <c r="M808" s="18">
        <v>2018</v>
      </c>
    </row>
    <row r="809" ht="21.75" spans="1:13">
      <c r="A809" s="18" t="s">
        <v>155</v>
      </c>
      <c r="B809" s="18" t="s">
        <v>156</v>
      </c>
      <c r="C809" s="18" t="s">
        <v>162</v>
      </c>
      <c r="D809" s="18" t="s">
        <v>158</v>
      </c>
      <c r="E809" s="18" t="s">
        <v>159</v>
      </c>
      <c r="F809" s="19" t="s">
        <v>44</v>
      </c>
      <c r="G809" s="20" t="s">
        <v>45</v>
      </c>
      <c r="H809" t="str">
        <f>'Source Table'!$G$9</f>
        <v>Female</v>
      </c>
      <c r="I809" t="str">
        <f>'Source Table'!$G$8</f>
        <v>أنثى</v>
      </c>
      <c r="J809" t="str">
        <f t="shared" si="24"/>
        <v>2019/2018</v>
      </c>
      <c r="K809" t="str">
        <f t="shared" si="25"/>
        <v>2019/2018</v>
      </c>
      <c r="L809" s="29">
        <v>761</v>
      </c>
      <c r="M809" s="18">
        <v>2018</v>
      </c>
    </row>
    <row r="810" ht="21.75" spans="1:13">
      <c r="A810" s="18" t="s">
        <v>155</v>
      </c>
      <c r="B810" s="18" t="s">
        <v>156</v>
      </c>
      <c r="C810" s="18" t="s">
        <v>162</v>
      </c>
      <c r="D810" s="18" t="s">
        <v>158</v>
      </c>
      <c r="E810" s="18" t="s">
        <v>159</v>
      </c>
      <c r="F810" s="19" t="s">
        <v>46</v>
      </c>
      <c r="G810" s="20" t="s">
        <v>47</v>
      </c>
      <c r="H810" t="str">
        <f>'Source Table'!$G$9</f>
        <v>Female</v>
      </c>
      <c r="I810" t="str">
        <f>'Source Table'!$G$8</f>
        <v>أنثى</v>
      </c>
      <c r="J810" t="str">
        <f t="shared" si="24"/>
        <v>2019/2018</v>
      </c>
      <c r="K810" t="str">
        <f t="shared" si="25"/>
        <v>2019/2018</v>
      </c>
      <c r="L810" s="29">
        <v>1080</v>
      </c>
      <c r="M810" s="18">
        <v>2018</v>
      </c>
    </row>
    <row r="811" ht="21.75" spans="1:13">
      <c r="A811" s="18" t="s">
        <v>155</v>
      </c>
      <c r="B811" s="18" t="s">
        <v>156</v>
      </c>
      <c r="C811" s="18" t="s">
        <v>162</v>
      </c>
      <c r="D811" s="18" t="s">
        <v>158</v>
      </c>
      <c r="E811" s="18" t="s">
        <v>159</v>
      </c>
      <c r="F811" s="19" t="s">
        <v>49</v>
      </c>
      <c r="G811" s="20" t="s">
        <v>50</v>
      </c>
      <c r="H811" t="str">
        <f>'Source Table'!$G$9</f>
        <v>Female</v>
      </c>
      <c r="I811" t="str">
        <f>'Source Table'!$G$8</f>
        <v>أنثى</v>
      </c>
      <c r="J811" t="str">
        <f t="shared" si="24"/>
        <v>2019/2018</v>
      </c>
      <c r="K811" t="str">
        <f t="shared" si="25"/>
        <v>2019/2018</v>
      </c>
      <c r="L811" s="29">
        <v>2766</v>
      </c>
      <c r="M811" s="18">
        <v>2018</v>
      </c>
    </row>
    <row r="812" ht="21.75" spans="1:13">
      <c r="A812" s="18" t="s">
        <v>155</v>
      </c>
      <c r="B812" s="18" t="s">
        <v>156</v>
      </c>
      <c r="C812" s="18" t="s">
        <v>162</v>
      </c>
      <c r="D812" s="18" t="s">
        <v>158</v>
      </c>
      <c r="E812" s="18" t="s">
        <v>159</v>
      </c>
      <c r="F812" s="19" t="s">
        <v>52</v>
      </c>
      <c r="G812" s="20" t="s">
        <v>53</v>
      </c>
      <c r="H812" t="str">
        <f>'Source Table'!$G$9</f>
        <v>Female</v>
      </c>
      <c r="I812" t="str">
        <f>'Source Table'!$G$8</f>
        <v>أنثى</v>
      </c>
      <c r="J812" t="str">
        <f t="shared" si="24"/>
        <v>2019/2018</v>
      </c>
      <c r="K812" t="str">
        <f t="shared" si="25"/>
        <v>2019/2018</v>
      </c>
      <c r="L812" s="29">
        <v>726</v>
      </c>
      <c r="M812" s="18">
        <v>2018</v>
      </c>
    </row>
    <row r="813" ht="21.75" spans="1:13">
      <c r="A813" s="18" t="s">
        <v>155</v>
      </c>
      <c r="B813" s="18" t="s">
        <v>156</v>
      </c>
      <c r="C813" s="18" t="s">
        <v>162</v>
      </c>
      <c r="D813" s="18" t="s">
        <v>158</v>
      </c>
      <c r="E813" s="18" t="s">
        <v>159</v>
      </c>
      <c r="F813" s="19" t="s">
        <v>54</v>
      </c>
      <c r="G813" s="20" t="s">
        <v>55</v>
      </c>
      <c r="H813" t="str">
        <f>'Source Table'!$G$9</f>
        <v>Female</v>
      </c>
      <c r="I813" t="str">
        <f>'Source Table'!$G$8</f>
        <v>أنثى</v>
      </c>
      <c r="J813" t="str">
        <f t="shared" si="24"/>
        <v>2019/2018</v>
      </c>
      <c r="K813" t="str">
        <f t="shared" si="25"/>
        <v>2019/2018</v>
      </c>
      <c r="L813" s="29">
        <v>615</v>
      </c>
      <c r="M813" s="18">
        <v>2018</v>
      </c>
    </row>
    <row r="814" ht="21.75" spans="1:13">
      <c r="A814" s="18" t="s">
        <v>155</v>
      </c>
      <c r="B814" s="18" t="s">
        <v>156</v>
      </c>
      <c r="C814" s="18" t="s">
        <v>162</v>
      </c>
      <c r="D814" s="18" t="s">
        <v>158</v>
      </c>
      <c r="E814" s="18" t="s">
        <v>159</v>
      </c>
      <c r="F814" s="19" t="s">
        <v>56</v>
      </c>
      <c r="G814" s="20" t="s">
        <v>57</v>
      </c>
      <c r="H814" t="str">
        <f>'Source Table'!$G$9</f>
        <v>Female</v>
      </c>
      <c r="I814" t="str">
        <f>'Source Table'!$G$8</f>
        <v>أنثى</v>
      </c>
      <c r="J814" t="str">
        <f t="shared" si="24"/>
        <v>2019/2018</v>
      </c>
      <c r="K814" t="str">
        <f t="shared" si="25"/>
        <v>2019/2018</v>
      </c>
      <c r="L814" s="29">
        <v>2264</v>
      </c>
      <c r="M814" s="18">
        <v>2018</v>
      </c>
    </row>
    <row r="815" ht="21.75" spans="1:13">
      <c r="A815" s="18" t="s">
        <v>155</v>
      </c>
      <c r="B815" s="18" t="s">
        <v>156</v>
      </c>
      <c r="C815" s="18" t="s">
        <v>162</v>
      </c>
      <c r="D815" s="18" t="s">
        <v>158</v>
      </c>
      <c r="E815" s="18" t="s">
        <v>159</v>
      </c>
      <c r="F815" s="19" t="s">
        <v>59</v>
      </c>
      <c r="G815" s="20" t="s">
        <v>160</v>
      </c>
      <c r="H815" t="str">
        <f>'Source Table'!$G$9</f>
        <v>Female</v>
      </c>
      <c r="I815" t="str">
        <f>'Source Table'!$G$8</f>
        <v>أنثى</v>
      </c>
      <c r="J815" t="str">
        <f t="shared" si="24"/>
        <v>2019/2018</v>
      </c>
      <c r="K815" t="str">
        <f t="shared" si="25"/>
        <v>2019/2018</v>
      </c>
      <c r="L815" s="29">
        <v>5406</v>
      </c>
      <c r="M815" s="18">
        <v>2018</v>
      </c>
    </row>
    <row r="816" ht="21.75" spans="1:13">
      <c r="A816" s="18" t="s">
        <v>155</v>
      </c>
      <c r="B816" s="18" t="s">
        <v>156</v>
      </c>
      <c r="C816" s="18" t="s">
        <v>162</v>
      </c>
      <c r="D816" s="18" t="s">
        <v>158</v>
      </c>
      <c r="E816" s="18" t="s">
        <v>159</v>
      </c>
      <c r="F816" s="19" t="s">
        <v>62</v>
      </c>
      <c r="G816" s="20" t="s">
        <v>161</v>
      </c>
      <c r="H816" t="str">
        <f>'Source Table'!$G$9</f>
        <v>Female</v>
      </c>
      <c r="I816" t="str">
        <f>'Source Table'!$G$8</f>
        <v>أنثى</v>
      </c>
      <c r="J816" t="str">
        <f t="shared" si="24"/>
        <v>2019/2018</v>
      </c>
      <c r="K816" t="str">
        <f t="shared" si="25"/>
        <v>2019/2018</v>
      </c>
      <c r="L816" s="29">
        <v>2014</v>
      </c>
      <c r="M816" s="18">
        <v>2018</v>
      </c>
    </row>
    <row r="817" ht="21.75" spans="1:13">
      <c r="A817" s="18" t="s">
        <v>155</v>
      </c>
      <c r="B817" s="18" t="s">
        <v>156</v>
      </c>
      <c r="C817" s="18" t="s">
        <v>162</v>
      </c>
      <c r="D817" s="18" t="s">
        <v>158</v>
      </c>
      <c r="E817" s="18" t="s">
        <v>159</v>
      </c>
      <c r="F817" s="19" t="s">
        <v>64</v>
      </c>
      <c r="G817" s="20" t="s">
        <v>65</v>
      </c>
      <c r="H817" t="str">
        <f>'Source Table'!$G$9</f>
        <v>Female</v>
      </c>
      <c r="I817" t="str">
        <f>'Source Table'!$G$8</f>
        <v>أنثى</v>
      </c>
      <c r="J817" t="str">
        <f t="shared" si="24"/>
        <v>2019/2018</v>
      </c>
      <c r="K817" t="str">
        <f t="shared" si="25"/>
        <v>2019/2018</v>
      </c>
      <c r="L817" s="29">
        <v>3384</v>
      </c>
      <c r="M817" s="18">
        <v>2018</v>
      </c>
    </row>
    <row r="818" ht="21.75" spans="1:13">
      <c r="A818" s="18" t="s">
        <v>155</v>
      </c>
      <c r="B818" s="18" t="s">
        <v>156</v>
      </c>
      <c r="C818" s="18" t="s">
        <v>162</v>
      </c>
      <c r="D818" s="18" t="s">
        <v>158</v>
      </c>
      <c r="E818" s="18" t="s">
        <v>159</v>
      </c>
      <c r="F818" s="19" t="s">
        <v>68</v>
      </c>
      <c r="G818" s="20" t="s">
        <v>69</v>
      </c>
      <c r="H818" t="str">
        <f>'Source Table'!$G$9</f>
        <v>Female</v>
      </c>
      <c r="I818" t="str">
        <f>'Source Table'!$G$8</f>
        <v>أنثى</v>
      </c>
      <c r="J818" t="str">
        <f t="shared" si="24"/>
        <v>2019/2018</v>
      </c>
      <c r="K818" t="str">
        <f t="shared" si="25"/>
        <v>2019/2018</v>
      </c>
      <c r="L818" s="29">
        <v>2008</v>
      </c>
      <c r="M818" s="18">
        <v>2018</v>
      </c>
    </row>
    <row r="819" ht="21.75" spans="1:13">
      <c r="A819" s="18" t="s">
        <v>155</v>
      </c>
      <c r="B819" s="18" t="s">
        <v>156</v>
      </c>
      <c r="C819" s="18" t="s">
        <v>162</v>
      </c>
      <c r="D819" s="18" t="s">
        <v>158</v>
      </c>
      <c r="E819" s="18" t="s">
        <v>159</v>
      </c>
      <c r="F819" s="19" t="s">
        <v>70</v>
      </c>
      <c r="G819" s="20" t="s">
        <v>71</v>
      </c>
      <c r="H819" t="str">
        <f>'Source Table'!$G$9</f>
        <v>Female</v>
      </c>
      <c r="I819" t="str">
        <f>'Source Table'!$G$8</f>
        <v>أنثى</v>
      </c>
      <c r="J819" t="str">
        <f t="shared" si="24"/>
        <v>2019/2018</v>
      </c>
      <c r="K819" t="str">
        <f t="shared" si="25"/>
        <v>2019/2018</v>
      </c>
      <c r="L819" s="29">
        <v>806</v>
      </c>
      <c r="M819" s="18">
        <v>2018</v>
      </c>
    </row>
    <row r="820" ht="21.75" spans="1:13">
      <c r="A820" s="18" t="s">
        <v>155</v>
      </c>
      <c r="B820" s="18" t="s">
        <v>156</v>
      </c>
      <c r="C820" s="18" t="s">
        <v>162</v>
      </c>
      <c r="D820" s="18" t="s">
        <v>158</v>
      </c>
      <c r="E820" s="18" t="s">
        <v>159</v>
      </c>
      <c r="F820" s="19" t="s">
        <v>74</v>
      </c>
      <c r="G820" s="20" t="s">
        <v>75</v>
      </c>
      <c r="H820" t="str">
        <f>'Source Table'!$G$9</f>
        <v>Female</v>
      </c>
      <c r="I820" t="str">
        <f>'Source Table'!$G$8</f>
        <v>أنثى</v>
      </c>
      <c r="J820" t="str">
        <f t="shared" si="24"/>
        <v>2019/2018</v>
      </c>
      <c r="K820" t="str">
        <f t="shared" si="25"/>
        <v>2019/2018</v>
      </c>
      <c r="L820" s="29">
        <v>5711</v>
      </c>
      <c r="M820" s="18">
        <v>2018</v>
      </c>
    </row>
    <row r="821" ht="21.75" spans="1:13">
      <c r="A821" s="18" t="s">
        <v>155</v>
      </c>
      <c r="B821" s="18" t="s">
        <v>156</v>
      </c>
      <c r="C821" s="18" t="s">
        <v>162</v>
      </c>
      <c r="D821" s="18" t="s">
        <v>158</v>
      </c>
      <c r="E821" s="18" t="s">
        <v>159</v>
      </c>
      <c r="F821" s="19" t="s">
        <v>76</v>
      </c>
      <c r="G821" s="20" t="s">
        <v>77</v>
      </c>
      <c r="H821" t="str">
        <f>'Source Table'!$G$9</f>
        <v>Female</v>
      </c>
      <c r="I821" t="str">
        <f>'Source Table'!$G$8</f>
        <v>أنثى</v>
      </c>
      <c r="J821" t="str">
        <f t="shared" si="24"/>
        <v>2019/2018</v>
      </c>
      <c r="K821" t="str">
        <f t="shared" si="25"/>
        <v>2019/2018</v>
      </c>
      <c r="L821" s="29">
        <v>2461</v>
      </c>
      <c r="M821" s="18">
        <v>2018</v>
      </c>
    </row>
    <row r="822" ht="21.75" spans="1:13">
      <c r="A822" s="18" t="s">
        <v>155</v>
      </c>
      <c r="B822" s="18" t="s">
        <v>156</v>
      </c>
      <c r="C822" s="18" t="s">
        <v>162</v>
      </c>
      <c r="D822" s="18" t="s">
        <v>158</v>
      </c>
      <c r="E822" s="18" t="s">
        <v>159</v>
      </c>
      <c r="F822" s="19" t="s">
        <v>78</v>
      </c>
      <c r="G822" s="20" t="s">
        <v>79</v>
      </c>
      <c r="H822" t="str">
        <f>'Source Table'!$G$9</f>
        <v>Female</v>
      </c>
      <c r="I822" t="str">
        <f>'Source Table'!$G$8</f>
        <v>أنثى</v>
      </c>
      <c r="J822" t="str">
        <f t="shared" si="24"/>
        <v>2019/2018</v>
      </c>
      <c r="K822" t="str">
        <f t="shared" si="25"/>
        <v>2019/2018</v>
      </c>
      <c r="L822" s="29">
        <v>5711</v>
      </c>
      <c r="M822" s="18">
        <v>2018</v>
      </c>
    </row>
    <row r="823" ht="21.75" spans="1:13">
      <c r="A823" s="18" t="s">
        <v>155</v>
      </c>
      <c r="B823" s="18" t="s">
        <v>156</v>
      </c>
      <c r="C823" s="18" t="s">
        <v>162</v>
      </c>
      <c r="D823" s="18" t="s">
        <v>158</v>
      </c>
      <c r="E823" s="18" t="s">
        <v>159</v>
      </c>
      <c r="F823" s="19" t="s">
        <v>80</v>
      </c>
      <c r="G823" s="20" t="s">
        <v>81</v>
      </c>
      <c r="H823" t="str">
        <f>'Source Table'!$G$9</f>
        <v>Female</v>
      </c>
      <c r="I823" t="str">
        <f>'Source Table'!$G$8</f>
        <v>أنثى</v>
      </c>
      <c r="J823" t="str">
        <f t="shared" si="24"/>
        <v>2019/2018</v>
      </c>
      <c r="K823" t="str">
        <f t="shared" si="25"/>
        <v>2019/2018</v>
      </c>
      <c r="L823" s="29">
        <v>2461</v>
      </c>
      <c r="M823" s="18">
        <v>2018</v>
      </c>
    </row>
    <row r="824" ht="21.75" spans="1:13">
      <c r="A824" s="18" t="s">
        <v>155</v>
      </c>
      <c r="B824" s="18" t="s">
        <v>156</v>
      </c>
      <c r="C824" s="18" t="s">
        <v>162</v>
      </c>
      <c r="D824" s="18" t="s">
        <v>158</v>
      </c>
      <c r="E824" s="18" t="s">
        <v>159</v>
      </c>
      <c r="F824" s="19" t="s">
        <v>82</v>
      </c>
      <c r="G824" s="20" t="s">
        <v>83</v>
      </c>
      <c r="H824" t="str">
        <f>'Source Table'!$G$9</f>
        <v>Female</v>
      </c>
      <c r="I824" t="str">
        <f>'Source Table'!$G$8</f>
        <v>أنثى</v>
      </c>
      <c r="J824" t="str">
        <f t="shared" si="24"/>
        <v>2019/2018</v>
      </c>
      <c r="K824" t="str">
        <f t="shared" si="25"/>
        <v>2019/2018</v>
      </c>
      <c r="L824" s="29">
        <v>724</v>
      </c>
      <c r="M824" s="18">
        <v>2018</v>
      </c>
    </row>
    <row r="825" ht="21.75" spans="1:13">
      <c r="A825" s="18" t="s">
        <v>155</v>
      </c>
      <c r="B825" s="18" t="s">
        <v>156</v>
      </c>
      <c r="C825" s="18" t="s">
        <v>162</v>
      </c>
      <c r="D825" s="18" t="s">
        <v>158</v>
      </c>
      <c r="E825" s="18" t="s">
        <v>159</v>
      </c>
      <c r="F825" s="19" t="s">
        <v>84</v>
      </c>
      <c r="G825" s="20" t="s">
        <v>85</v>
      </c>
      <c r="H825" t="str">
        <f>'Source Table'!$G$9</f>
        <v>Female</v>
      </c>
      <c r="I825" t="str">
        <f>'Source Table'!$G$8</f>
        <v>أنثى</v>
      </c>
      <c r="J825" t="str">
        <f t="shared" si="24"/>
        <v>2019/2018</v>
      </c>
      <c r="K825" t="str">
        <f t="shared" si="25"/>
        <v>2019/2018</v>
      </c>
      <c r="L825" s="29">
        <v>1035</v>
      </c>
      <c r="M825" s="18">
        <v>2018</v>
      </c>
    </row>
    <row r="826" ht="21.75" spans="1:13">
      <c r="A826" s="18" t="s">
        <v>155</v>
      </c>
      <c r="B826" s="18" t="s">
        <v>156</v>
      </c>
      <c r="C826" s="18" t="s">
        <v>162</v>
      </c>
      <c r="D826" s="18" t="s">
        <v>158</v>
      </c>
      <c r="E826" s="18" t="s">
        <v>159</v>
      </c>
      <c r="F826" s="19" t="s">
        <v>86</v>
      </c>
      <c r="G826" s="20" t="s">
        <v>87</v>
      </c>
      <c r="H826" t="str">
        <f>'Source Table'!$G$9</f>
        <v>Female</v>
      </c>
      <c r="I826" t="str">
        <f>'Source Table'!$G$8</f>
        <v>أنثى</v>
      </c>
      <c r="J826" t="str">
        <f t="shared" si="24"/>
        <v>2019/2018</v>
      </c>
      <c r="K826" t="str">
        <f t="shared" si="25"/>
        <v>2019/2018</v>
      </c>
      <c r="L826" s="29">
        <v>1625</v>
      </c>
      <c r="M826" s="18">
        <v>2018</v>
      </c>
    </row>
    <row r="827" ht="21.75" spans="1:13">
      <c r="A827" s="18" t="s">
        <v>155</v>
      </c>
      <c r="B827" s="18" t="s">
        <v>156</v>
      </c>
      <c r="C827" s="18" t="s">
        <v>162</v>
      </c>
      <c r="D827" s="18" t="s">
        <v>158</v>
      </c>
      <c r="E827" s="18" t="s">
        <v>159</v>
      </c>
      <c r="F827" s="19" t="s">
        <v>88</v>
      </c>
      <c r="G827" s="20" t="s">
        <v>89</v>
      </c>
      <c r="H827" t="str">
        <f>'Source Table'!$G$9</f>
        <v>Female</v>
      </c>
      <c r="I827" t="str">
        <f>'Source Table'!$G$8</f>
        <v>أنثى</v>
      </c>
      <c r="J827" t="str">
        <f t="shared" si="24"/>
        <v>2019/2018</v>
      </c>
      <c r="K827" t="str">
        <f t="shared" si="25"/>
        <v>2019/2018</v>
      </c>
      <c r="L827" s="29">
        <v>1306</v>
      </c>
      <c r="M827" s="18">
        <v>2018</v>
      </c>
    </row>
    <row r="828" ht="21.75" spans="1:13">
      <c r="A828" s="18" t="s">
        <v>155</v>
      </c>
      <c r="B828" s="18" t="s">
        <v>156</v>
      </c>
      <c r="C828" s="18" t="s">
        <v>162</v>
      </c>
      <c r="D828" s="18" t="s">
        <v>158</v>
      </c>
      <c r="E828" s="18" t="s">
        <v>159</v>
      </c>
      <c r="F828" s="19" t="s">
        <v>91</v>
      </c>
      <c r="G828" s="20" t="s">
        <v>92</v>
      </c>
      <c r="H828" t="str">
        <f>'Source Table'!$G$9</f>
        <v>Female</v>
      </c>
      <c r="I828" t="str">
        <f>'Source Table'!$G$8</f>
        <v>أنثى</v>
      </c>
      <c r="J828" t="str">
        <f t="shared" si="24"/>
        <v>2019/2018</v>
      </c>
      <c r="K828" t="str">
        <f t="shared" si="25"/>
        <v>2019/2018</v>
      </c>
      <c r="L828" s="29">
        <v>2588</v>
      </c>
      <c r="M828" s="18">
        <v>2018</v>
      </c>
    </row>
    <row r="829" ht="21.75" spans="1:13">
      <c r="A829" s="18" t="s">
        <v>155</v>
      </c>
      <c r="B829" s="18" t="s">
        <v>156</v>
      </c>
      <c r="C829" s="18" t="s">
        <v>162</v>
      </c>
      <c r="D829" s="18" t="s">
        <v>158</v>
      </c>
      <c r="E829" s="18" t="s">
        <v>159</v>
      </c>
      <c r="F829" s="19" t="s">
        <v>94</v>
      </c>
      <c r="G829" s="20" t="s">
        <v>95</v>
      </c>
      <c r="H829" t="str">
        <f>'Source Table'!$G$9</f>
        <v>Female</v>
      </c>
      <c r="I829" t="str">
        <f>'Source Table'!$G$8</f>
        <v>أنثى</v>
      </c>
      <c r="J829" t="str">
        <f t="shared" si="24"/>
        <v>2019/2018</v>
      </c>
      <c r="K829" t="str">
        <f t="shared" si="25"/>
        <v>2019/2018</v>
      </c>
      <c r="L829" s="29">
        <v>1721</v>
      </c>
      <c r="M829" s="18">
        <v>2018</v>
      </c>
    </row>
    <row r="830" ht="21.75" spans="1:13">
      <c r="A830" s="18" t="s">
        <v>155</v>
      </c>
      <c r="B830" s="18" t="s">
        <v>156</v>
      </c>
      <c r="C830" s="18" t="s">
        <v>162</v>
      </c>
      <c r="D830" s="18" t="s">
        <v>158</v>
      </c>
      <c r="E830" s="18" t="s">
        <v>159</v>
      </c>
      <c r="F830" s="19" t="s">
        <v>96</v>
      </c>
      <c r="G830" s="20" t="s">
        <v>97</v>
      </c>
      <c r="H830" t="str">
        <f>'Source Table'!$G$9</f>
        <v>Female</v>
      </c>
      <c r="I830" t="str">
        <f>'Source Table'!$G$8</f>
        <v>أنثى</v>
      </c>
      <c r="J830" t="str">
        <f t="shared" si="24"/>
        <v>2019/2018</v>
      </c>
      <c r="K830" t="str">
        <f t="shared" si="25"/>
        <v>2019/2018</v>
      </c>
      <c r="L830" s="29">
        <v>2297</v>
      </c>
      <c r="M830" s="18">
        <v>2018</v>
      </c>
    </row>
    <row r="831" ht="21.75" spans="1:13">
      <c r="A831" s="18" t="s">
        <v>155</v>
      </c>
      <c r="B831" s="18" t="s">
        <v>156</v>
      </c>
      <c r="C831" s="18" t="s">
        <v>162</v>
      </c>
      <c r="D831" s="18" t="s">
        <v>158</v>
      </c>
      <c r="E831" s="18" t="s">
        <v>159</v>
      </c>
      <c r="F831" s="19" t="s">
        <v>98</v>
      </c>
      <c r="G831" s="20" t="s">
        <v>99</v>
      </c>
      <c r="H831" t="str">
        <f>'Source Table'!$G$9</f>
        <v>Female</v>
      </c>
      <c r="I831" t="str">
        <f>'Source Table'!$G$8</f>
        <v>أنثى</v>
      </c>
      <c r="J831" t="str">
        <f t="shared" si="24"/>
        <v>2019/2018</v>
      </c>
      <c r="K831" t="str">
        <f t="shared" si="25"/>
        <v>2019/2018</v>
      </c>
      <c r="L831" s="30">
        <v>2698</v>
      </c>
      <c r="M831" s="18">
        <v>2018</v>
      </c>
    </row>
    <row r="832" ht="21.75" spans="1:13">
      <c r="A832" s="18" t="s">
        <v>155</v>
      </c>
      <c r="B832" s="18" t="s">
        <v>156</v>
      </c>
      <c r="C832" s="18" t="s">
        <v>162</v>
      </c>
      <c r="D832" s="18" t="s">
        <v>158</v>
      </c>
      <c r="E832" s="18" t="s">
        <v>159</v>
      </c>
      <c r="F832" s="19" t="s">
        <v>100</v>
      </c>
      <c r="G832" s="20" t="s">
        <v>101</v>
      </c>
      <c r="H832" t="str">
        <f>'Source Table'!$G$9</f>
        <v>Female</v>
      </c>
      <c r="I832" t="str">
        <f>'Source Table'!$G$8</f>
        <v>أنثى</v>
      </c>
      <c r="J832" t="str">
        <f t="shared" si="24"/>
        <v>2019/2018</v>
      </c>
      <c r="K832" t="str">
        <f t="shared" si="25"/>
        <v>2019/2018</v>
      </c>
      <c r="L832" s="30">
        <v>2426</v>
      </c>
      <c r="M832" s="18">
        <v>2018</v>
      </c>
    </row>
    <row r="833" ht="21.75" spans="1:13">
      <c r="A833" s="18" t="s">
        <v>155</v>
      </c>
      <c r="B833" s="18" t="s">
        <v>156</v>
      </c>
      <c r="C833" s="18" t="s">
        <v>162</v>
      </c>
      <c r="D833" s="18" t="s">
        <v>158</v>
      </c>
      <c r="E833" s="18" t="s">
        <v>159</v>
      </c>
      <c r="F833" s="19" t="s">
        <v>103</v>
      </c>
      <c r="G833" s="20" t="s">
        <v>104</v>
      </c>
      <c r="H833" t="str">
        <f>'Source Table'!$G$9</f>
        <v>Female</v>
      </c>
      <c r="I833" t="str">
        <f>'Source Table'!$G$8</f>
        <v>أنثى</v>
      </c>
      <c r="J833" t="str">
        <f t="shared" si="24"/>
        <v>2019/2018</v>
      </c>
      <c r="K833" t="str">
        <f t="shared" si="25"/>
        <v>2019/2018</v>
      </c>
      <c r="L833" s="29">
        <v>1916</v>
      </c>
      <c r="M833" s="18">
        <v>2018</v>
      </c>
    </row>
    <row r="834" ht="21.75" spans="1:13">
      <c r="A834" s="18" t="s">
        <v>155</v>
      </c>
      <c r="B834" s="18" t="s">
        <v>156</v>
      </c>
      <c r="C834" s="18" t="s">
        <v>162</v>
      </c>
      <c r="D834" s="18" t="s">
        <v>158</v>
      </c>
      <c r="E834" s="18" t="s">
        <v>159</v>
      </c>
      <c r="F834" s="19" t="s">
        <v>106</v>
      </c>
      <c r="G834" s="20" t="s">
        <v>107</v>
      </c>
      <c r="H834" t="str">
        <f>'Source Table'!$G$9</f>
        <v>Female</v>
      </c>
      <c r="I834" t="str">
        <f>'Source Table'!$G$8</f>
        <v>أنثى</v>
      </c>
      <c r="J834" t="str">
        <f t="shared" si="24"/>
        <v>2019/2018</v>
      </c>
      <c r="K834" t="str">
        <f t="shared" si="25"/>
        <v>2019/2018</v>
      </c>
      <c r="L834" s="29">
        <v>1537</v>
      </c>
      <c r="M834" s="18">
        <v>2018</v>
      </c>
    </row>
    <row r="835" ht="21.75" spans="1:13">
      <c r="A835" s="18" t="s">
        <v>155</v>
      </c>
      <c r="B835" s="18" t="s">
        <v>156</v>
      </c>
      <c r="C835" s="18" t="s">
        <v>162</v>
      </c>
      <c r="D835" s="18" t="s">
        <v>158</v>
      </c>
      <c r="E835" s="18" t="s">
        <v>159</v>
      </c>
      <c r="F835" s="19" t="s">
        <v>108</v>
      </c>
      <c r="G835" s="20" t="s">
        <v>109</v>
      </c>
      <c r="H835" t="str">
        <f>'Source Table'!$G$9</f>
        <v>Female</v>
      </c>
      <c r="I835" t="str">
        <f>'Source Table'!$G$8</f>
        <v>أنثى</v>
      </c>
      <c r="J835" t="str">
        <f t="shared" si="24"/>
        <v>2019/2018</v>
      </c>
      <c r="K835" t="str">
        <f t="shared" si="25"/>
        <v>2019/2018</v>
      </c>
      <c r="L835" s="29">
        <v>905</v>
      </c>
      <c r="M835" s="18">
        <v>2018</v>
      </c>
    </row>
    <row r="836" ht="21.75" spans="1:13">
      <c r="A836" s="18" t="s">
        <v>155</v>
      </c>
      <c r="B836" s="18" t="s">
        <v>156</v>
      </c>
      <c r="C836" s="18" t="s">
        <v>162</v>
      </c>
      <c r="D836" s="18" t="s">
        <v>158</v>
      </c>
      <c r="E836" s="18" t="s">
        <v>159</v>
      </c>
      <c r="F836" s="19" t="s">
        <v>110</v>
      </c>
      <c r="G836" s="20" t="s">
        <v>111</v>
      </c>
      <c r="H836" t="str">
        <f>'Source Table'!$G$9</f>
        <v>Female</v>
      </c>
      <c r="I836" t="str">
        <f>'Source Table'!$G$8</f>
        <v>أنثى</v>
      </c>
      <c r="J836" t="str">
        <f t="shared" si="24"/>
        <v>2019/2018</v>
      </c>
      <c r="K836" t="str">
        <f t="shared" si="25"/>
        <v>2019/2018</v>
      </c>
      <c r="L836" s="29">
        <v>711</v>
      </c>
      <c r="M836" s="18">
        <v>2018</v>
      </c>
    </row>
    <row r="837" ht="21.75" spans="1:13">
      <c r="A837" s="18" t="s">
        <v>155</v>
      </c>
      <c r="B837" s="18" t="s">
        <v>156</v>
      </c>
      <c r="C837" s="18" t="s">
        <v>162</v>
      </c>
      <c r="D837" s="18" t="s">
        <v>158</v>
      </c>
      <c r="E837" s="18" t="s">
        <v>159</v>
      </c>
      <c r="F837" s="19" t="s">
        <v>113</v>
      </c>
      <c r="G837" s="20" t="s">
        <v>114</v>
      </c>
      <c r="H837" t="str">
        <f>'Source Table'!$G$9</f>
        <v>Female</v>
      </c>
      <c r="I837" t="str">
        <f>'Source Table'!$G$8</f>
        <v>أنثى</v>
      </c>
      <c r="J837" t="str">
        <f t="shared" ref="J837:J900" si="26">TEXT(M837+1,"0")&amp;"/"&amp;TEXT(M837,"0")</f>
        <v>2019/2018</v>
      </c>
      <c r="K837" t="str">
        <f t="shared" ref="K837:K900" si="27">TEXT(M837+1,"0")&amp;"/"&amp;TEXT(M837,"0")</f>
        <v>2019/2018</v>
      </c>
      <c r="L837" s="29">
        <v>1344</v>
      </c>
      <c r="M837" s="18">
        <v>2018</v>
      </c>
    </row>
    <row r="838" ht="21.75" spans="1:13">
      <c r="A838" s="18" t="s">
        <v>155</v>
      </c>
      <c r="B838" s="18" t="s">
        <v>156</v>
      </c>
      <c r="C838" s="18" t="s">
        <v>162</v>
      </c>
      <c r="D838" s="18" t="s">
        <v>158</v>
      </c>
      <c r="E838" s="18" t="s">
        <v>159</v>
      </c>
      <c r="F838" s="19" t="s">
        <v>115</v>
      </c>
      <c r="G838" s="20" t="s">
        <v>116</v>
      </c>
      <c r="H838" t="str">
        <f>'Source Table'!$G$9</f>
        <v>Female</v>
      </c>
      <c r="I838" t="str">
        <f>'Source Table'!$G$8</f>
        <v>أنثى</v>
      </c>
      <c r="J838" t="str">
        <f t="shared" si="26"/>
        <v>2019/2018</v>
      </c>
      <c r="K838" t="str">
        <f t="shared" si="27"/>
        <v>2019/2018</v>
      </c>
      <c r="L838" s="29">
        <v>406</v>
      </c>
      <c r="M838" s="18">
        <v>2018</v>
      </c>
    </row>
    <row r="839" ht="21.75" spans="1:13">
      <c r="A839" s="18" t="s">
        <v>155</v>
      </c>
      <c r="B839" s="18" t="s">
        <v>156</v>
      </c>
      <c r="C839" s="18" t="s">
        <v>162</v>
      </c>
      <c r="D839" s="18" t="s">
        <v>158</v>
      </c>
      <c r="E839" s="18" t="s">
        <v>159</v>
      </c>
      <c r="F839" s="19" t="s">
        <v>118</v>
      </c>
      <c r="G839" s="20" t="s">
        <v>119</v>
      </c>
      <c r="H839" t="str">
        <f>'Source Table'!$G$9</f>
        <v>Female</v>
      </c>
      <c r="I839" t="str">
        <f>'Source Table'!$G$8</f>
        <v>أنثى</v>
      </c>
      <c r="J839" t="str">
        <f t="shared" si="26"/>
        <v>2019/2018</v>
      </c>
      <c r="K839" t="str">
        <f t="shared" si="27"/>
        <v>2019/2018</v>
      </c>
      <c r="L839" s="29">
        <v>757</v>
      </c>
      <c r="M839" s="18">
        <v>2018</v>
      </c>
    </row>
    <row r="840" ht="21.75" spans="1:13">
      <c r="A840" s="18" t="s">
        <v>155</v>
      </c>
      <c r="B840" s="18" t="s">
        <v>156</v>
      </c>
      <c r="C840" s="18" t="s">
        <v>162</v>
      </c>
      <c r="D840" s="18" t="s">
        <v>158</v>
      </c>
      <c r="E840" s="18" t="s">
        <v>159</v>
      </c>
      <c r="F840" s="19" t="s">
        <v>120</v>
      </c>
      <c r="G840" s="20" t="s">
        <v>121</v>
      </c>
      <c r="H840" t="str">
        <f>'Source Table'!$G$9</f>
        <v>Female</v>
      </c>
      <c r="I840" t="str">
        <f>'Source Table'!$G$8</f>
        <v>أنثى</v>
      </c>
      <c r="J840" t="str">
        <f t="shared" si="26"/>
        <v>2019/2018</v>
      </c>
      <c r="K840" t="str">
        <f t="shared" si="27"/>
        <v>2019/2018</v>
      </c>
      <c r="L840" s="29">
        <v>899</v>
      </c>
      <c r="M840" s="18">
        <v>2018</v>
      </c>
    </row>
    <row r="841" ht="21.75" spans="1:13">
      <c r="A841" s="18" t="s">
        <v>155</v>
      </c>
      <c r="B841" s="18" t="s">
        <v>156</v>
      </c>
      <c r="C841" s="18" t="s">
        <v>162</v>
      </c>
      <c r="D841" s="18" t="s">
        <v>158</v>
      </c>
      <c r="E841" s="18" t="s">
        <v>159</v>
      </c>
      <c r="F841" s="19" t="s">
        <v>122</v>
      </c>
      <c r="G841" s="20" t="s">
        <v>123</v>
      </c>
      <c r="H841" t="str">
        <f>'Source Table'!$G$9</f>
        <v>Female</v>
      </c>
      <c r="I841" t="str">
        <f>'Source Table'!$G$8</f>
        <v>أنثى</v>
      </c>
      <c r="J841" t="str">
        <f t="shared" si="26"/>
        <v>2019/2018</v>
      </c>
      <c r="K841" t="str">
        <f t="shared" si="27"/>
        <v>2019/2018</v>
      </c>
      <c r="L841" s="29">
        <v>587</v>
      </c>
      <c r="M841" s="18">
        <v>2018</v>
      </c>
    </row>
    <row r="842" ht="21.75" spans="1:13">
      <c r="A842" s="18" t="s">
        <v>155</v>
      </c>
      <c r="B842" s="18" t="s">
        <v>156</v>
      </c>
      <c r="C842" s="18" t="s">
        <v>162</v>
      </c>
      <c r="D842" s="18" t="s">
        <v>158</v>
      </c>
      <c r="E842" s="18" t="s">
        <v>159</v>
      </c>
      <c r="F842" s="19" t="s">
        <v>124</v>
      </c>
      <c r="G842" s="20" t="s">
        <v>125</v>
      </c>
      <c r="H842" t="str">
        <f>'Source Table'!$G$9</f>
        <v>Female</v>
      </c>
      <c r="I842" t="str">
        <f>'Source Table'!$G$8</f>
        <v>أنثى</v>
      </c>
      <c r="J842" t="str">
        <f t="shared" si="26"/>
        <v>2019/2018</v>
      </c>
      <c r="K842" t="str">
        <f t="shared" si="27"/>
        <v>2019/2018</v>
      </c>
      <c r="L842" s="29">
        <v>349</v>
      </c>
      <c r="M842" s="18">
        <v>2018</v>
      </c>
    </row>
    <row r="843" ht="21.75" spans="1:13">
      <c r="A843" s="18" t="s">
        <v>155</v>
      </c>
      <c r="B843" s="18" t="s">
        <v>156</v>
      </c>
      <c r="C843" s="18" t="s">
        <v>162</v>
      </c>
      <c r="D843" s="18" t="s">
        <v>158</v>
      </c>
      <c r="E843" s="18" t="s">
        <v>159</v>
      </c>
      <c r="F843" s="19" t="s">
        <v>126</v>
      </c>
      <c r="G843" s="20" t="s">
        <v>127</v>
      </c>
      <c r="H843" t="str">
        <f>'Source Table'!$G$9</f>
        <v>Female</v>
      </c>
      <c r="I843" t="str">
        <f>'Source Table'!$G$8</f>
        <v>أنثى</v>
      </c>
      <c r="J843" t="str">
        <f t="shared" si="26"/>
        <v>2019/2018</v>
      </c>
      <c r="K843" t="str">
        <f t="shared" si="27"/>
        <v>2019/2018</v>
      </c>
      <c r="L843" s="30">
        <v>2388</v>
      </c>
      <c r="M843" s="18">
        <v>2018</v>
      </c>
    </row>
    <row r="844" ht="21.75" spans="1:13">
      <c r="A844" s="18" t="s">
        <v>155</v>
      </c>
      <c r="B844" s="18" t="s">
        <v>156</v>
      </c>
      <c r="C844" s="18" t="s">
        <v>157</v>
      </c>
      <c r="D844" s="18" t="s">
        <v>158</v>
      </c>
      <c r="E844" s="18" t="s">
        <v>159</v>
      </c>
      <c r="F844" s="19" t="s">
        <v>29</v>
      </c>
      <c r="G844" s="20" t="s">
        <v>30</v>
      </c>
      <c r="H844" t="str">
        <f>'Source Table'!$H$9</f>
        <v>Male</v>
      </c>
      <c r="I844" t="str">
        <f>'Source Table'!$H$8</f>
        <v>ذكر</v>
      </c>
      <c r="J844" t="str">
        <f t="shared" si="26"/>
        <v>2018/2017</v>
      </c>
      <c r="K844" t="str">
        <f t="shared" si="27"/>
        <v>2018/2017</v>
      </c>
      <c r="L844" s="28">
        <v>80036</v>
      </c>
      <c r="M844" s="18">
        <v>2017</v>
      </c>
    </row>
    <row r="845" ht="21.75" spans="1:13">
      <c r="A845" s="18" t="s">
        <v>155</v>
      </c>
      <c r="B845" s="18" t="s">
        <v>156</v>
      </c>
      <c r="C845" s="18" t="s">
        <v>157</v>
      </c>
      <c r="D845" s="18" t="s">
        <v>158</v>
      </c>
      <c r="E845" s="18" t="s">
        <v>159</v>
      </c>
      <c r="F845" s="19" t="s">
        <v>32</v>
      </c>
      <c r="G845" s="20" t="s">
        <v>33</v>
      </c>
      <c r="H845" t="str">
        <f>'Source Table'!$H$9</f>
        <v>Male</v>
      </c>
      <c r="I845" t="str">
        <f>'Source Table'!$H$8</f>
        <v>ذكر</v>
      </c>
      <c r="J845" t="str">
        <f t="shared" si="26"/>
        <v>2018/2017</v>
      </c>
      <c r="K845" t="str">
        <f t="shared" si="27"/>
        <v>2018/2017</v>
      </c>
      <c r="L845" s="28">
        <v>67408</v>
      </c>
      <c r="M845" s="18">
        <v>2017</v>
      </c>
    </row>
    <row r="846" ht="21.75" spans="1:13">
      <c r="A846" s="18" t="s">
        <v>155</v>
      </c>
      <c r="B846" s="18" t="s">
        <v>156</v>
      </c>
      <c r="C846" s="18" t="s">
        <v>157</v>
      </c>
      <c r="D846" s="18" t="s">
        <v>158</v>
      </c>
      <c r="E846" s="18" t="s">
        <v>159</v>
      </c>
      <c r="F846" s="19" t="s">
        <v>34</v>
      </c>
      <c r="G846" s="20" t="s">
        <v>35</v>
      </c>
      <c r="H846" t="str">
        <f>'Source Table'!$H$9</f>
        <v>Male</v>
      </c>
      <c r="I846" t="str">
        <f>'Source Table'!$H$8</f>
        <v>ذكر</v>
      </c>
      <c r="J846" t="str">
        <f t="shared" si="26"/>
        <v>2018/2017</v>
      </c>
      <c r="K846" t="str">
        <f t="shared" si="27"/>
        <v>2018/2017</v>
      </c>
      <c r="L846" s="28">
        <v>14755</v>
      </c>
      <c r="M846" s="18">
        <v>2017</v>
      </c>
    </row>
    <row r="847" ht="21.75" spans="1:13">
      <c r="A847" s="18" t="s">
        <v>155</v>
      </c>
      <c r="B847" s="18" t="s">
        <v>156</v>
      </c>
      <c r="C847" s="18" t="s">
        <v>157</v>
      </c>
      <c r="D847" s="18" t="s">
        <v>158</v>
      </c>
      <c r="E847" s="18" t="s">
        <v>159</v>
      </c>
      <c r="F847" s="19" t="s">
        <v>36</v>
      </c>
      <c r="G847" s="20" t="s">
        <v>37</v>
      </c>
      <c r="H847" t="str">
        <f>'Source Table'!$H$9</f>
        <v>Male</v>
      </c>
      <c r="I847" t="str">
        <f>'Source Table'!$H$8</f>
        <v>ذكر</v>
      </c>
      <c r="J847" t="str">
        <f t="shared" si="26"/>
        <v>2018/2017</v>
      </c>
      <c r="K847" t="str">
        <f t="shared" si="27"/>
        <v>2018/2017</v>
      </c>
      <c r="L847" s="28">
        <v>65168</v>
      </c>
      <c r="M847" s="18">
        <v>2017</v>
      </c>
    </row>
    <row r="848" ht="21.75" spans="1:13">
      <c r="A848" s="18" t="s">
        <v>155</v>
      </c>
      <c r="B848" s="18" t="s">
        <v>156</v>
      </c>
      <c r="C848" s="18" t="s">
        <v>157</v>
      </c>
      <c r="D848" s="18" t="s">
        <v>158</v>
      </c>
      <c r="E848" s="18" t="s">
        <v>159</v>
      </c>
      <c r="F848" s="19" t="s">
        <v>38</v>
      </c>
      <c r="G848" s="20" t="s">
        <v>39</v>
      </c>
      <c r="H848" t="str">
        <f>'Source Table'!$H$9</f>
        <v>Male</v>
      </c>
      <c r="I848" t="str">
        <f>'Source Table'!$H$8</f>
        <v>ذكر</v>
      </c>
      <c r="J848" t="str">
        <f t="shared" si="26"/>
        <v>2018/2017</v>
      </c>
      <c r="K848" t="str">
        <f t="shared" si="27"/>
        <v>2018/2017</v>
      </c>
      <c r="L848" s="28">
        <v>91759</v>
      </c>
      <c r="M848" s="18">
        <v>2017</v>
      </c>
    </row>
    <row r="849" ht="21.75" spans="1:13">
      <c r="A849" s="18" t="s">
        <v>155</v>
      </c>
      <c r="B849" s="18" t="s">
        <v>156</v>
      </c>
      <c r="C849" s="18" t="s">
        <v>157</v>
      </c>
      <c r="D849" s="18" t="s">
        <v>158</v>
      </c>
      <c r="E849" s="18" t="s">
        <v>159</v>
      </c>
      <c r="F849" s="19" t="s">
        <v>40</v>
      </c>
      <c r="G849" s="20" t="s">
        <v>41</v>
      </c>
      <c r="H849" t="str">
        <f>'Source Table'!$H$9</f>
        <v>Male</v>
      </c>
      <c r="I849" t="str">
        <f>'Source Table'!$H$8</f>
        <v>ذكر</v>
      </c>
      <c r="J849" t="str">
        <f t="shared" si="26"/>
        <v>2018/2017</v>
      </c>
      <c r="K849" t="str">
        <f t="shared" si="27"/>
        <v>2018/2017</v>
      </c>
      <c r="L849" s="28">
        <v>31247</v>
      </c>
      <c r="M849" s="18">
        <v>2017</v>
      </c>
    </row>
    <row r="850" ht="21.75" spans="1:13">
      <c r="A850" s="18" t="s">
        <v>155</v>
      </c>
      <c r="B850" s="18" t="s">
        <v>156</v>
      </c>
      <c r="C850" s="18" t="s">
        <v>157</v>
      </c>
      <c r="D850" s="18" t="s">
        <v>158</v>
      </c>
      <c r="E850" s="18" t="s">
        <v>159</v>
      </c>
      <c r="F850" s="19" t="s">
        <v>42</v>
      </c>
      <c r="G850" s="20" t="s">
        <v>43</v>
      </c>
      <c r="H850" t="str">
        <f>'Source Table'!$H$9</f>
        <v>Male</v>
      </c>
      <c r="I850" t="str">
        <f>'Source Table'!$H$8</f>
        <v>ذكر</v>
      </c>
      <c r="J850" t="str">
        <f t="shared" si="26"/>
        <v>2018/2017</v>
      </c>
      <c r="K850" t="str">
        <f t="shared" si="27"/>
        <v>2018/2017</v>
      </c>
      <c r="L850" s="28">
        <v>13514</v>
      </c>
      <c r="M850" s="18">
        <v>2017</v>
      </c>
    </row>
    <row r="851" ht="21.75" spans="1:13">
      <c r="A851" s="18" t="s">
        <v>155</v>
      </c>
      <c r="B851" s="18" t="s">
        <v>156</v>
      </c>
      <c r="C851" s="18" t="s">
        <v>157</v>
      </c>
      <c r="D851" s="18" t="s">
        <v>158</v>
      </c>
      <c r="E851" s="18" t="s">
        <v>159</v>
      </c>
      <c r="F851" s="19" t="s">
        <v>44</v>
      </c>
      <c r="G851" s="20" t="s">
        <v>45</v>
      </c>
      <c r="H851" t="str">
        <f>'Source Table'!$H$9</f>
        <v>Male</v>
      </c>
      <c r="I851" t="str">
        <f>'Source Table'!$H$8</f>
        <v>ذكر</v>
      </c>
      <c r="J851" t="str">
        <f t="shared" si="26"/>
        <v>2018/2017</v>
      </c>
      <c r="K851" t="str">
        <f t="shared" si="27"/>
        <v>2018/2017</v>
      </c>
      <c r="L851" s="28">
        <v>7415</v>
      </c>
      <c r="M851" s="18">
        <v>2017</v>
      </c>
    </row>
    <row r="852" ht="21.75" spans="1:13">
      <c r="A852" s="18" t="s">
        <v>155</v>
      </c>
      <c r="B852" s="18" t="s">
        <v>156</v>
      </c>
      <c r="C852" s="18" t="s">
        <v>157</v>
      </c>
      <c r="D852" s="18" t="s">
        <v>158</v>
      </c>
      <c r="E852" s="18" t="s">
        <v>159</v>
      </c>
      <c r="F852" s="19" t="s">
        <v>46</v>
      </c>
      <c r="G852" s="20" t="s">
        <v>47</v>
      </c>
      <c r="H852" t="str">
        <f>'Source Table'!$H$9</f>
        <v>Male</v>
      </c>
      <c r="I852" t="str">
        <f>'Source Table'!$H$8</f>
        <v>ذكر</v>
      </c>
      <c r="J852" t="str">
        <f t="shared" si="26"/>
        <v>2018/2017</v>
      </c>
      <c r="K852" t="str">
        <f t="shared" si="27"/>
        <v>2018/2017</v>
      </c>
      <c r="L852" s="28">
        <v>8340</v>
      </c>
      <c r="M852" s="18">
        <v>2017</v>
      </c>
    </row>
    <row r="853" ht="21.75" spans="1:13">
      <c r="A853" s="18" t="s">
        <v>155</v>
      </c>
      <c r="B853" s="18" t="s">
        <v>156</v>
      </c>
      <c r="C853" s="18" t="s">
        <v>157</v>
      </c>
      <c r="D853" s="18" t="s">
        <v>158</v>
      </c>
      <c r="E853" s="18" t="s">
        <v>159</v>
      </c>
      <c r="F853" s="19" t="s">
        <v>49</v>
      </c>
      <c r="G853" s="20" t="s">
        <v>50</v>
      </c>
      <c r="H853" t="str">
        <f>'Source Table'!$H$9</f>
        <v>Male</v>
      </c>
      <c r="I853" t="str">
        <f>'Source Table'!$H$8</f>
        <v>ذكر</v>
      </c>
      <c r="J853" t="str">
        <f t="shared" si="26"/>
        <v>2018/2017</v>
      </c>
      <c r="K853" t="str">
        <f t="shared" si="27"/>
        <v>2018/2017</v>
      </c>
      <c r="L853" s="28">
        <v>25610</v>
      </c>
      <c r="M853" s="18">
        <v>2017</v>
      </c>
    </row>
    <row r="854" ht="21.75" spans="1:13">
      <c r="A854" s="18" t="s">
        <v>155</v>
      </c>
      <c r="B854" s="18" t="s">
        <v>156</v>
      </c>
      <c r="C854" s="18" t="s">
        <v>157</v>
      </c>
      <c r="D854" s="18" t="s">
        <v>158</v>
      </c>
      <c r="E854" s="18" t="s">
        <v>159</v>
      </c>
      <c r="F854" s="19" t="s">
        <v>52</v>
      </c>
      <c r="G854" s="20" t="s">
        <v>53</v>
      </c>
      <c r="H854" t="str">
        <f>'Source Table'!$H$9</f>
        <v>Male</v>
      </c>
      <c r="I854" t="str">
        <f>'Source Table'!$H$8</f>
        <v>ذكر</v>
      </c>
      <c r="J854" t="str">
        <f t="shared" si="26"/>
        <v>2018/2017</v>
      </c>
      <c r="K854" t="str">
        <f t="shared" si="27"/>
        <v>2018/2017</v>
      </c>
      <c r="L854" s="28">
        <v>8816</v>
      </c>
      <c r="M854" s="18">
        <v>2017</v>
      </c>
    </row>
    <row r="855" ht="21.75" spans="1:13">
      <c r="A855" s="18" t="s">
        <v>155</v>
      </c>
      <c r="B855" s="18" t="s">
        <v>156</v>
      </c>
      <c r="C855" s="18" t="s">
        <v>157</v>
      </c>
      <c r="D855" s="18" t="s">
        <v>158</v>
      </c>
      <c r="E855" s="18" t="s">
        <v>159</v>
      </c>
      <c r="F855" s="19" t="s">
        <v>54</v>
      </c>
      <c r="G855" s="20" t="s">
        <v>55</v>
      </c>
      <c r="H855" t="str">
        <f>'Source Table'!$H$9</f>
        <v>Male</v>
      </c>
      <c r="I855" t="str">
        <f>'Source Table'!$H$8</f>
        <v>ذكر</v>
      </c>
      <c r="J855" t="str">
        <f t="shared" si="26"/>
        <v>2018/2017</v>
      </c>
      <c r="K855" t="str">
        <f t="shared" si="27"/>
        <v>2018/2017</v>
      </c>
      <c r="L855" s="28">
        <v>7798</v>
      </c>
      <c r="M855" s="18">
        <v>2017</v>
      </c>
    </row>
    <row r="856" ht="21.75" spans="1:13">
      <c r="A856" s="18" t="s">
        <v>155</v>
      </c>
      <c r="B856" s="18" t="s">
        <v>156</v>
      </c>
      <c r="C856" s="18" t="s">
        <v>157</v>
      </c>
      <c r="D856" s="18" t="s">
        <v>158</v>
      </c>
      <c r="E856" s="18" t="s">
        <v>159</v>
      </c>
      <c r="F856" s="19" t="s">
        <v>56</v>
      </c>
      <c r="G856" s="20" t="s">
        <v>57</v>
      </c>
      <c r="H856" t="str">
        <f>'Source Table'!$H$9</f>
        <v>Male</v>
      </c>
      <c r="I856" t="str">
        <f>'Source Table'!$H$8</f>
        <v>ذكر</v>
      </c>
      <c r="J856" t="str">
        <f t="shared" si="26"/>
        <v>2018/2017</v>
      </c>
      <c r="K856" t="str">
        <f t="shared" si="27"/>
        <v>2018/2017</v>
      </c>
      <c r="L856" s="28">
        <v>28833</v>
      </c>
      <c r="M856" s="18">
        <v>2017</v>
      </c>
    </row>
    <row r="857" ht="21.75" spans="1:13">
      <c r="A857" s="18" t="s">
        <v>155</v>
      </c>
      <c r="B857" s="18" t="s">
        <v>156</v>
      </c>
      <c r="C857" s="18" t="s">
        <v>157</v>
      </c>
      <c r="D857" s="18" t="s">
        <v>158</v>
      </c>
      <c r="E857" s="18" t="s">
        <v>159</v>
      </c>
      <c r="F857" s="19" t="s">
        <v>59</v>
      </c>
      <c r="G857" s="20" t="s">
        <v>160</v>
      </c>
      <c r="H857" t="str">
        <f>'Source Table'!$H$9</f>
        <v>Male</v>
      </c>
      <c r="I857" t="str">
        <f>'Source Table'!$H$8</f>
        <v>ذكر</v>
      </c>
      <c r="J857" t="str">
        <f t="shared" si="26"/>
        <v>2018/2017</v>
      </c>
      <c r="K857" t="str">
        <f t="shared" si="27"/>
        <v>2018/2017</v>
      </c>
      <c r="L857" s="28">
        <v>72181</v>
      </c>
      <c r="M857" s="18">
        <v>2017</v>
      </c>
    </row>
    <row r="858" ht="21.75" spans="1:13">
      <c r="A858" s="18" t="s">
        <v>155</v>
      </c>
      <c r="B858" s="18" t="s">
        <v>156</v>
      </c>
      <c r="C858" s="18" t="s">
        <v>157</v>
      </c>
      <c r="D858" s="18" t="s">
        <v>158</v>
      </c>
      <c r="E858" s="18" t="s">
        <v>159</v>
      </c>
      <c r="F858" s="19" t="s">
        <v>62</v>
      </c>
      <c r="G858" s="20" t="s">
        <v>161</v>
      </c>
      <c r="H858" t="str">
        <f>'Source Table'!$H$9</f>
        <v>Male</v>
      </c>
      <c r="I858" t="str">
        <f>'Source Table'!$H$8</f>
        <v>ذكر</v>
      </c>
      <c r="J858" t="str">
        <f t="shared" si="26"/>
        <v>2018/2017</v>
      </c>
      <c r="K858" t="str">
        <f t="shared" si="27"/>
        <v>2018/2017</v>
      </c>
      <c r="L858" s="28">
        <v>27216</v>
      </c>
      <c r="M858" s="18">
        <v>2017</v>
      </c>
    </row>
    <row r="859" ht="21.75" spans="1:13">
      <c r="A859" s="18" t="s">
        <v>155</v>
      </c>
      <c r="B859" s="18" t="s">
        <v>156</v>
      </c>
      <c r="C859" s="18" t="s">
        <v>157</v>
      </c>
      <c r="D859" s="18" t="s">
        <v>158</v>
      </c>
      <c r="E859" s="18" t="s">
        <v>159</v>
      </c>
      <c r="F859" s="19" t="s">
        <v>64</v>
      </c>
      <c r="G859" s="20" t="s">
        <v>65</v>
      </c>
      <c r="H859" t="str">
        <f>'Source Table'!$H$9</f>
        <v>Male</v>
      </c>
      <c r="I859" t="str">
        <f>'Source Table'!$H$8</f>
        <v>ذكر</v>
      </c>
      <c r="J859" t="str">
        <f t="shared" si="26"/>
        <v>2018/2017</v>
      </c>
      <c r="K859" t="str">
        <f t="shared" si="27"/>
        <v>2018/2017</v>
      </c>
      <c r="L859" s="28">
        <v>49728</v>
      </c>
      <c r="M859" s="18">
        <v>2017</v>
      </c>
    </row>
    <row r="860" ht="21.75" spans="1:13">
      <c r="A860" s="18" t="s">
        <v>155</v>
      </c>
      <c r="B860" s="18" t="s">
        <v>156</v>
      </c>
      <c r="C860" s="18" t="s">
        <v>157</v>
      </c>
      <c r="D860" s="18" t="s">
        <v>158</v>
      </c>
      <c r="E860" s="18" t="s">
        <v>159</v>
      </c>
      <c r="F860" s="19" t="s">
        <v>68</v>
      </c>
      <c r="G860" s="20" t="s">
        <v>69</v>
      </c>
      <c r="H860" t="str">
        <f>'Source Table'!$H$9</f>
        <v>Male</v>
      </c>
      <c r="I860" t="str">
        <f>'Source Table'!$H$8</f>
        <v>ذكر</v>
      </c>
      <c r="J860" t="str">
        <f t="shared" si="26"/>
        <v>2018/2017</v>
      </c>
      <c r="K860" t="str">
        <f t="shared" si="27"/>
        <v>2018/2017</v>
      </c>
      <c r="L860" s="28">
        <v>22136</v>
      </c>
      <c r="M860" s="18">
        <v>2017</v>
      </c>
    </row>
    <row r="861" ht="21.75" spans="1:13">
      <c r="A861" s="18" t="s">
        <v>155</v>
      </c>
      <c r="B861" s="18" t="s">
        <v>156</v>
      </c>
      <c r="C861" s="18" t="s">
        <v>157</v>
      </c>
      <c r="D861" s="18" t="s">
        <v>158</v>
      </c>
      <c r="E861" s="18" t="s">
        <v>159</v>
      </c>
      <c r="F861" s="19" t="s">
        <v>70</v>
      </c>
      <c r="G861" s="20" t="s">
        <v>71</v>
      </c>
      <c r="H861" t="str">
        <f>'Source Table'!$H$9</f>
        <v>Male</v>
      </c>
      <c r="I861" t="str">
        <f>'Source Table'!$H$8</f>
        <v>ذكر</v>
      </c>
      <c r="J861" t="str">
        <f t="shared" si="26"/>
        <v>2018/2017</v>
      </c>
      <c r="K861" t="str">
        <f t="shared" si="27"/>
        <v>2018/2017</v>
      </c>
      <c r="L861" s="28">
        <v>5397</v>
      </c>
      <c r="M861" s="18">
        <v>2017</v>
      </c>
    </row>
    <row r="862" ht="21.75" spans="1:13">
      <c r="A862" s="18" t="s">
        <v>155</v>
      </c>
      <c r="B862" s="18" t="s">
        <v>156</v>
      </c>
      <c r="C862" s="18" t="s">
        <v>157</v>
      </c>
      <c r="D862" s="18" t="s">
        <v>158</v>
      </c>
      <c r="E862" s="18" t="s">
        <v>159</v>
      </c>
      <c r="F862" s="19" t="s">
        <v>74</v>
      </c>
      <c r="G862" s="20" t="s">
        <v>75</v>
      </c>
      <c r="H862" t="str">
        <f>'Source Table'!$H$9</f>
        <v>Male</v>
      </c>
      <c r="I862" t="str">
        <f>'Source Table'!$H$8</f>
        <v>ذكر</v>
      </c>
      <c r="J862" t="str">
        <f t="shared" si="26"/>
        <v>2018/2017</v>
      </c>
      <c r="K862" t="str">
        <f t="shared" si="27"/>
        <v>2018/2017</v>
      </c>
      <c r="L862" s="28">
        <v>76095</v>
      </c>
      <c r="M862" s="18">
        <v>2017</v>
      </c>
    </row>
    <row r="863" ht="21.75" spans="1:13">
      <c r="A863" s="18" t="s">
        <v>155</v>
      </c>
      <c r="B863" s="18" t="s">
        <v>156</v>
      </c>
      <c r="C863" s="18" t="s">
        <v>157</v>
      </c>
      <c r="D863" s="18" t="s">
        <v>158</v>
      </c>
      <c r="E863" s="18" t="s">
        <v>159</v>
      </c>
      <c r="F863" s="19" t="s">
        <v>76</v>
      </c>
      <c r="G863" s="20" t="s">
        <v>77</v>
      </c>
      <c r="H863" t="str">
        <f>'Source Table'!$H$9</f>
        <v>Male</v>
      </c>
      <c r="I863" t="str">
        <f>'Source Table'!$H$8</f>
        <v>ذكر</v>
      </c>
      <c r="J863" t="str">
        <f t="shared" si="26"/>
        <v>2018/2017</v>
      </c>
      <c r="K863" t="str">
        <f t="shared" si="27"/>
        <v>2018/2017</v>
      </c>
      <c r="L863" s="28">
        <v>24105</v>
      </c>
      <c r="M863" s="18">
        <v>2017</v>
      </c>
    </row>
    <row r="864" ht="21.75" spans="1:13">
      <c r="A864" s="18" t="s">
        <v>155</v>
      </c>
      <c r="B864" s="18" t="s">
        <v>156</v>
      </c>
      <c r="C864" s="18" t="s">
        <v>157</v>
      </c>
      <c r="D864" s="18" t="s">
        <v>158</v>
      </c>
      <c r="E864" s="18" t="s">
        <v>159</v>
      </c>
      <c r="F864" s="19" t="s">
        <v>78</v>
      </c>
      <c r="G864" s="20" t="s">
        <v>79</v>
      </c>
      <c r="H864" t="str">
        <f>'Source Table'!$H$9</f>
        <v>Male</v>
      </c>
      <c r="I864" t="str">
        <f>'Source Table'!$H$8</f>
        <v>ذكر</v>
      </c>
      <c r="J864" t="str">
        <f t="shared" si="26"/>
        <v>2018/2017</v>
      </c>
      <c r="K864" t="str">
        <f t="shared" si="27"/>
        <v>2018/2017</v>
      </c>
      <c r="L864" s="28">
        <v>8472</v>
      </c>
      <c r="M864" s="18">
        <v>2017</v>
      </c>
    </row>
    <row r="865" ht="21.75" spans="1:13">
      <c r="A865" s="18" t="s">
        <v>155</v>
      </c>
      <c r="B865" s="18" t="s">
        <v>156</v>
      </c>
      <c r="C865" s="18" t="s">
        <v>157</v>
      </c>
      <c r="D865" s="18" t="s">
        <v>158</v>
      </c>
      <c r="E865" s="18" t="s">
        <v>159</v>
      </c>
      <c r="F865" s="19" t="s">
        <v>80</v>
      </c>
      <c r="G865" s="20" t="s">
        <v>81</v>
      </c>
      <c r="H865" t="str">
        <f>'Source Table'!$H$9</f>
        <v>Male</v>
      </c>
      <c r="I865" t="str">
        <f>'Source Table'!$H$8</f>
        <v>ذكر</v>
      </c>
      <c r="J865" t="str">
        <f t="shared" si="26"/>
        <v>2018/2017</v>
      </c>
      <c r="K865" t="str">
        <f t="shared" si="27"/>
        <v>2018/2017</v>
      </c>
      <c r="L865" s="28">
        <v>9902</v>
      </c>
      <c r="M865" s="18">
        <v>2017</v>
      </c>
    </row>
    <row r="866" ht="21.75" spans="1:13">
      <c r="A866" s="18" t="s">
        <v>155</v>
      </c>
      <c r="B866" s="18" t="s">
        <v>156</v>
      </c>
      <c r="C866" s="18" t="s">
        <v>157</v>
      </c>
      <c r="D866" s="18" t="s">
        <v>158</v>
      </c>
      <c r="E866" s="18" t="s">
        <v>159</v>
      </c>
      <c r="F866" s="19" t="s">
        <v>82</v>
      </c>
      <c r="G866" s="20" t="s">
        <v>83</v>
      </c>
      <c r="H866" t="str">
        <f>'Source Table'!$H$9</f>
        <v>Male</v>
      </c>
      <c r="I866" t="str">
        <f>'Source Table'!$H$8</f>
        <v>ذكر</v>
      </c>
      <c r="J866" t="str">
        <f t="shared" si="26"/>
        <v>2018/2017</v>
      </c>
      <c r="K866" t="str">
        <f t="shared" si="27"/>
        <v>2018/2017</v>
      </c>
      <c r="L866" s="28">
        <v>17478</v>
      </c>
      <c r="M866" s="18">
        <v>2017</v>
      </c>
    </row>
    <row r="867" ht="21.75" spans="1:13">
      <c r="A867" s="18" t="s">
        <v>155</v>
      </c>
      <c r="B867" s="18" t="s">
        <v>156</v>
      </c>
      <c r="C867" s="18" t="s">
        <v>157</v>
      </c>
      <c r="D867" s="18" t="s">
        <v>158</v>
      </c>
      <c r="E867" s="18" t="s">
        <v>159</v>
      </c>
      <c r="F867" s="19" t="s">
        <v>84</v>
      </c>
      <c r="G867" s="20" t="s">
        <v>85</v>
      </c>
      <c r="H867" t="str">
        <f>'Source Table'!$H$9</f>
        <v>Male</v>
      </c>
      <c r="I867" t="str">
        <f>'Source Table'!$H$8</f>
        <v>ذكر</v>
      </c>
      <c r="J867" t="str">
        <f t="shared" si="26"/>
        <v>2018/2017</v>
      </c>
      <c r="K867" t="str">
        <f t="shared" si="27"/>
        <v>2018/2017</v>
      </c>
      <c r="L867" s="28">
        <v>13564</v>
      </c>
      <c r="M867" s="18">
        <v>2017</v>
      </c>
    </row>
    <row r="868" ht="21.75" spans="1:13">
      <c r="A868" s="18" t="s">
        <v>155</v>
      </c>
      <c r="B868" s="18" t="s">
        <v>156</v>
      </c>
      <c r="C868" s="18" t="s">
        <v>157</v>
      </c>
      <c r="D868" s="18" t="s">
        <v>158</v>
      </c>
      <c r="E868" s="18" t="s">
        <v>159</v>
      </c>
      <c r="F868" s="19" t="s">
        <v>86</v>
      </c>
      <c r="G868" s="20" t="s">
        <v>87</v>
      </c>
      <c r="H868" t="str">
        <f>'Source Table'!$H$9</f>
        <v>Male</v>
      </c>
      <c r="I868" t="str">
        <f>'Source Table'!$H$8</f>
        <v>ذكر</v>
      </c>
      <c r="J868" t="str">
        <f t="shared" si="26"/>
        <v>2018/2017</v>
      </c>
      <c r="K868" t="str">
        <f t="shared" si="27"/>
        <v>2018/2017</v>
      </c>
      <c r="L868" s="28">
        <v>14009</v>
      </c>
      <c r="M868" s="18">
        <v>2017</v>
      </c>
    </row>
    <row r="869" ht="21.75" spans="1:13">
      <c r="A869" s="18" t="s">
        <v>155</v>
      </c>
      <c r="B869" s="18" t="s">
        <v>156</v>
      </c>
      <c r="C869" s="18" t="s">
        <v>157</v>
      </c>
      <c r="D869" s="18" t="s">
        <v>158</v>
      </c>
      <c r="E869" s="18" t="s">
        <v>159</v>
      </c>
      <c r="F869" s="19" t="s">
        <v>88</v>
      </c>
      <c r="G869" s="20" t="s">
        <v>89</v>
      </c>
      <c r="H869" t="str">
        <f>'Source Table'!$H$9</f>
        <v>Male</v>
      </c>
      <c r="I869" t="str">
        <f>'Source Table'!$H$8</f>
        <v>ذكر</v>
      </c>
      <c r="J869" t="str">
        <f t="shared" si="26"/>
        <v>2018/2017</v>
      </c>
      <c r="K869" t="str">
        <f t="shared" si="27"/>
        <v>2018/2017</v>
      </c>
      <c r="L869" s="28">
        <v>24822</v>
      </c>
      <c r="M869" s="18">
        <v>2017</v>
      </c>
    </row>
    <row r="870" ht="21.75" spans="1:13">
      <c r="A870" s="18" t="s">
        <v>155</v>
      </c>
      <c r="B870" s="18" t="s">
        <v>156</v>
      </c>
      <c r="C870" s="18" t="s">
        <v>157</v>
      </c>
      <c r="D870" s="18" t="s">
        <v>158</v>
      </c>
      <c r="E870" s="18" t="s">
        <v>159</v>
      </c>
      <c r="F870" s="19" t="s">
        <v>91</v>
      </c>
      <c r="G870" s="20" t="s">
        <v>92</v>
      </c>
      <c r="H870" t="str">
        <f>'Source Table'!$H$9</f>
        <v>Male</v>
      </c>
      <c r="I870" t="str">
        <f>'Source Table'!$H$8</f>
        <v>ذكر</v>
      </c>
      <c r="J870" t="str">
        <f t="shared" si="26"/>
        <v>2018/2017</v>
      </c>
      <c r="K870" t="str">
        <f t="shared" si="27"/>
        <v>2018/2017</v>
      </c>
      <c r="L870" s="28">
        <v>24954</v>
      </c>
      <c r="M870" s="18">
        <v>2017</v>
      </c>
    </row>
    <row r="871" ht="21.75" spans="1:13">
      <c r="A871" s="18" t="s">
        <v>155</v>
      </c>
      <c r="B871" s="18" t="s">
        <v>156</v>
      </c>
      <c r="C871" s="18" t="s">
        <v>157</v>
      </c>
      <c r="D871" s="18" t="s">
        <v>158</v>
      </c>
      <c r="E871" s="18" t="s">
        <v>159</v>
      </c>
      <c r="F871" s="19" t="s">
        <v>94</v>
      </c>
      <c r="G871" s="20" t="s">
        <v>95</v>
      </c>
      <c r="H871" t="str">
        <f>'Source Table'!$H$9</f>
        <v>Male</v>
      </c>
      <c r="I871" t="str">
        <f>'Source Table'!$H$8</f>
        <v>ذكر</v>
      </c>
      <c r="J871" t="str">
        <f t="shared" si="26"/>
        <v>2018/2017</v>
      </c>
      <c r="K871" t="str">
        <f t="shared" si="27"/>
        <v>2018/2017</v>
      </c>
      <c r="L871" s="28">
        <v>15672</v>
      </c>
      <c r="M871" s="18">
        <v>2017</v>
      </c>
    </row>
    <row r="872" ht="21.75" spans="1:13">
      <c r="A872" s="18" t="s">
        <v>155</v>
      </c>
      <c r="B872" s="18" t="s">
        <v>156</v>
      </c>
      <c r="C872" s="18" t="s">
        <v>157</v>
      </c>
      <c r="D872" s="18" t="s">
        <v>158</v>
      </c>
      <c r="E872" s="18" t="s">
        <v>159</v>
      </c>
      <c r="F872" s="19" t="s">
        <v>96</v>
      </c>
      <c r="G872" s="20" t="s">
        <v>97</v>
      </c>
      <c r="H872" t="str">
        <f>'Source Table'!$H$9</f>
        <v>Male</v>
      </c>
      <c r="I872" t="str">
        <f>'Source Table'!$H$8</f>
        <v>ذكر</v>
      </c>
      <c r="J872" t="str">
        <f t="shared" si="26"/>
        <v>2018/2017</v>
      </c>
      <c r="K872" t="str">
        <f t="shared" si="27"/>
        <v>2018/2017</v>
      </c>
      <c r="L872" s="28">
        <v>28862</v>
      </c>
      <c r="M872" s="18">
        <v>2017</v>
      </c>
    </row>
    <row r="873" ht="21.75" spans="1:13">
      <c r="A873" s="18" t="s">
        <v>155</v>
      </c>
      <c r="B873" s="18" t="s">
        <v>156</v>
      </c>
      <c r="C873" s="18" t="s">
        <v>157</v>
      </c>
      <c r="D873" s="18" t="s">
        <v>158</v>
      </c>
      <c r="E873" s="18" t="s">
        <v>159</v>
      </c>
      <c r="F873" s="19" t="s">
        <v>98</v>
      </c>
      <c r="G873" s="20" t="s">
        <v>99</v>
      </c>
      <c r="H873" t="str">
        <f>'Source Table'!$H$9</f>
        <v>Male</v>
      </c>
      <c r="I873" t="str">
        <f>'Source Table'!$H$8</f>
        <v>ذكر</v>
      </c>
      <c r="J873" t="str">
        <f t="shared" si="26"/>
        <v>2018/2017</v>
      </c>
      <c r="K873" t="str">
        <f t="shared" si="27"/>
        <v>2018/2017</v>
      </c>
      <c r="L873" s="32">
        <v>30111</v>
      </c>
      <c r="M873" s="18">
        <v>2017</v>
      </c>
    </row>
    <row r="874" ht="21.75" spans="1:13">
      <c r="A874" s="18" t="s">
        <v>155</v>
      </c>
      <c r="B874" s="18" t="s">
        <v>156</v>
      </c>
      <c r="C874" s="18" t="s">
        <v>157</v>
      </c>
      <c r="D874" s="18" t="s">
        <v>158</v>
      </c>
      <c r="E874" s="18" t="s">
        <v>159</v>
      </c>
      <c r="F874" s="19" t="s">
        <v>100</v>
      </c>
      <c r="G874" s="20" t="s">
        <v>101</v>
      </c>
      <c r="H874" t="str">
        <f>'Source Table'!$H$9</f>
        <v>Male</v>
      </c>
      <c r="I874" t="str">
        <f>'Source Table'!$H$8</f>
        <v>ذكر</v>
      </c>
      <c r="J874" t="str">
        <f t="shared" si="26"/>
        <v>2018/2017</v>
      </c>
      <c r="K874" t="str">
        <f t="shared" si="27"/>
        <v>2018/2017</v>
      </c>
      <c r="L874" s="32">
        <v>22451</v>
      </c>
      <c r="M874" s="18">
        <v>2017</v>
      </c>
    </row>
    <row r="875" ht="21.75" spans="1:13">
      <c r="A875" s="18" t="s">
        <v>155</v>
      </c>
      <c r="B875" s="18" t="s">
        <v>156</v>
      </c>
      <c r="C875" s="18" t="s">
        <v>157</v>
      </c>
      <c r="D875" s="18" t="s">
        <v>158</v>
      </c>
      <c r="E875" s="18" t="s">
        <v>159</v>
      </c>
      <c r="F875" s="19" t="s">
        <v>103</v>
      </c>
      <c r="G875" s="20" t="s">
        <v>104</v>
      </c>
      <c r="H875" t="str">
        <f>'Source Table'!$H$9</f>
        <v>Male</v>
      </c>
      <c r="I875" t="str">
        <f>'Source Table'!$H$8</f>
        <v>ذكر</v>
      </c>
      <c r="J875" t="str">
        <f t="shared" si="26"/>
        <v>2018/2017</v>
      </c>
      <c r="K875" t="str">
        <f t="shared" si="27"/>
        <v>2018/2017</v>
      </c>
      <c r="L875" s="28">
        <v>15420</v>
      </c>
      <c r="M875" s="18">
        <v>2017</v>
      </c>
    </row>
    <row r="876" ht="21.75" spans="1:13">
      <c r="A876" s="18" t="s">
        <v>155</v>
      </c>
      <c r="B876" s="18" t="s">
        <v>156</v>
      </c>
      <c r="C876" s="18" t="s">
        <v>157</v>
      </c>
      <c r="D876" s="18" t="s">
        <v>158</v>
      </c>
      <c r="E876" s="18" t="s">
        <v>159</v>
      </c>
      <c r="F876" s="19" t="s">
        <v>106</v>
      </c>
      <c r="G876" s="20" t="s">
        <v>107</v>
      </c>
      <c r="H876" t="str">
        <f>'Source Table'!$H$9</f>
        <v>Male</v>
      </c>
      <c r="I876" t="str">
        <f>'Source Table'!$H$8</f>
        <v>ذكر</v>
      </c>
      <c r="J876" t="str">
        <f t="shared" si="26"/>
        <v>2018/2017</v>
      </c>
      <c r="K876" t="str">
        <f t="shared" si="27"/>
        <v>2018/2017</v>
      </c>
      <c r="L876" s="28">
        <v>11113</v>
      </c>
      <c r="M876" s="18">
        <v>2017</v>
      </c>
    </row>
    <row r="877" ht="21.75" spans="1:13">
      <c r="A877" s="18" t="s">
        <v>155</v>
      </c>
      <c r="B877" s="18" t="s">
        <v>156</v>
      </c>
      <c r="C877" s="18" t="s">
        <v>157</v>
      </c>
      <c r="D877" s="18" t="s">
        <v>158</v>
      </c>
      <c r="E877" s="18" t="s">
        <v>159</v>
      </c>
      <c r="F877" s="19" t="s">
        <v>108</v>
      </c>
      <c r="G877" s="20" t="s">
        <v>109</v>
      </c>
      <c r="H877" t="str">
        <f>'Source Table'!$H$9</f>
        <v>Male</v>
      </c>
      <c r="I877" t="str">
        <f>'Source Table'!$H$8</f>
        <v>ذكر</v>
      </c>
      <c r="J877" t="str">
        <f t="shared" si="26"/>
        <v>2018/2017</v>
      </c>
      <c r="K877" t="str">
        <f t="shared" si="27"/>
        <v>2018/2017</v>
      </c>
      <c r="L877" s="28">
        <v>6447</v>
      </c>
      <c r="M877" s="18">
        <v>2017</v>
      </c>
    </row>
    <row r="878" ht="21.75" spans="1:13">
      <c r="A878" s="18" t="s">
        <v>155</v>
      </c>
      <c r="B878" s="18" t="s">
        <v>156</v>
      </c>
      <c r="C878" s="18" t="s">
        <v>157</v>
      </c>
      <c r="D878" s="18" t="s">
        <v>158</v>
      </c>
      <c r="E878" s="18" t="s">
        <v>159</v>
      </c>
      <c r="F878" s="19" t="s">
        <v>110</v>
      </c>
      <c r="G878" s="20" t="s">
        <v>111</v>
      </c>
      <c r="H878" t="str">
        <f>'Source Table'!$H$9</f>
        <v>Male</v>
      </c>
      <c r="I878" t="str">
        <f>'Source Table'!$H$8</f>
        <v>ذكر</v>
      </c>
      <c r="J878" t="str">
        <f t="shared" si="26"/>
        <v>2018/2017</v>
      </c>
      <c r="K878" t="str">
        <f t="shared" si="27"/>
        <v>2018/2017</v>
      </c>
      <c r="L878" s="28">
        <v>7592</v>
      </c>
      <c r="M878" s="18">
        <v>2017</v>
      </c>
    </row>
    <row r="879" ht="21.75" spans="1:13">
      <c r="A879" s="18" t="s">
        <v>155</v>
      </c>
      <c r="B879" s="18" t="s">
        <v>156</v>
      </c>
      <c r="C879" s="18" t="s">
        <v>157</v>
      </c>
      <c r="D879" s="18" t="s">
        <v>158</v>
      </c>
      <c r="E879" s="18" t="s">
        <v>159</v>
      </c>
      <c r="F879" s="19" t="s">
        <v>113</v>
      </c>
      <c r="G879" s="20" t="s">
        <v>114</v>
      </c>
      <c r="H879" t="str">
        <f>'Source Table'!$H$9</f>
        <v>Male</v>
      </c>
      <c r="I879" t="str">
        <f>'Source Table'!$H$8</f>
        <v>ذكر</v>
      </c>
      <c r="J879" t="str">
        <f t="shared" si="26"/>
        <v>2018/2017</v>
      </c>
      <c r="K879" t="str">
        <f t="shared" si="27"/>
        <v>2018/2017</v>
      </c>
      <c r="L879" s="28">
        <v>10493</v>
      </c>
      <c r="M879" s="18">
        <v>2017</v>
      </c>
    </row>
    <row r="880" ht="21.75" spans="1:13">
      <c r="A880" s="18" t="s">
        <v>155</v>
      </c>
      <c r="B880" s="18" t="s">
        <v>156</v>
      </c>
      <c r="C880" s="18" t="s">
        <v>157</v>
      </c>
      <c r="D880" s="18" t="s">
        <v>158</v>
      </c>
      <c r="E880" s="18" t="s">
        <v>159</v>
      </c>
      <c r="F880" s="19" t="s">
        <v>115</v>
      </c>
      <c r="G880" s="20" t="s">
        <v>116</v>
      </c>
      <c r="H880" t="str">
        <f>'Source Table'!$H$9</f>
        <v>Male</v>
      </c>
      <c r="I880" t="str">
        <f>'Source Table'!$H$8</f>
        <v>ذكر</v>
      </c>
      <c r="J880" t="str">
        <f t="shared" si="26"/>
        <v>2018/2017</v>
      </c>
      <c r="K880" t="str">
        <f t="shared" si="27"/>
        <v>2018/2017</v>
      </c>
      <c r="L880" s="28">
        <v>3939</v>
      </c>
      <c r="M880" s="18">
        <v>2017</v>
      </c>
    </row>
    <row r="881" ht="21.75" spans="1:13">
      <c r="A881" s="18" t="s">
        <v>155</v>
      </c>
      <c r="B881" s="18" t="s">
        <v>156</v>
      </c>
      <c r="C881" s="18" t="s">
        <v>157</v>
      </c>
      <c r="D881" s="18" t="s">
        <v>158</v>
      </c>
      <c r="E881" s="18" t="s">
        <v>159</v>
      </c>
      <c r="F881" s="19" t="s">
        <v>118</v>
      </c>
      <c r="G881" s="20" t="s">
        <v>119</v>
      </c>
      <c r="H881" t="str">
        <f>'Source Table'!$H$9</f>
        <v>Male</v>
      </c>
      <c r="I881" t="str">
        <f>'Source Table'!$H$8</f>
        <v>ذكر</v>
      </c>
      <c r="J881" t="str">
        <f t="shared" si="26"/>
        <v>2018/2017</v>
      </c>
      <c r="K881" t="str">
        <f t="shared" si="27"/>
        <v>2018/2017</v>
      </c>
      <c r="L881" s="28">
        <v>5905</v>
      </c>
      <c r="M881" s="18">
        <v>2017</v>
      </c>
    </row>
    <row r="882" ht="21.75" spans="1:13">
      <c r="A882" s="18" t="s">
        <v>155</v>
      </c>
      <c r="B882" s="18" t="s">
        <v>156</v>
      </c>
      <c r="C882" s="18" t="s">
        <v>157</v>
      </c>
      <c r="D882" s="18" t="s">
        <v>158</v>
      </c>
      <c r="E882" s="18" t="s">
        <v>159</v>
      </c>
      <c r="F882" s="19" t="s">
        <v>120</v>
      </c>
      <c r="G882" s="20" t="s">
        <v>121</v>
      </c>
      <c r="H882" t="str">
        <f>'Source Table'!$H$9</f>
        <v>Male</v>
      </c>
      <c r="I882" t="str">
        <f>'Source Table'!$H$8</f>
        <v>ذكر</v>
      </c>
      <c r="J882" t="str">
        <f t="shared" si="26"/>
        <v>2018/2017</v>
      </c>
      <c r="K882" t="str">
        <f t="shared" si="27"/>
        <v>2018/2017</v>
      </c>
      <c r="L882" s="28">
        <v>7636</v>
      </c>
      <c r="M882" s="18">
        <v>2017</v>
      </c>
    </row>
    <row r="883" ht="21.75" spans="1:13">
      <c r="A883" s="18" t="s">
        <v>155</v>
      </c>
      <c r="B883" s="18" t="s">
        <v>156</v>
      </c>
      <c r="C883" s="18" t="s">
        <v>157</v>
      </c>
      <c r="D883" s="18" t="s">
        <v>158</v>
      </c>
      <c r="E883" s="18" t="s">
        <v>159</v>
      </c>
      <c r="F883" s="19" t="s">
        <v>122</v>
      </c>
      <c r="G883" s="20" t="s">
        <v>123</v>
      </c>
      <c r="H883" t="str">
        <f>'Source Table'!$H$9</f>
        <v>Male</v>
      </c>
      <c r="I883" t="str">
        <f>'Source Table'!$H$8</f>
        <v>ذكر</v>
      </c>
      <c r="J883" t="str">
        <f t="shared" si="26"/>
        <v>2018/2017</v>
      </c>
      <c r="K883" t="str">
        <f t="shared" si="27"/>
        <v>2018/2017</v>
      </c>
      <c r="L883" s="28">
        <v>4399</v>
      </c>
      <c r="M883" s="18">
        <v>2017</v>
      </c>
    </row>
    <row r="884" ht="21.75" spans="1:13">
      <c r="A884" s="18" t="s">
        <v>155</v>
      </c>
      <c r="B884" s="18" t="s">
        <v>156</v>
      </c>
      <c r="C884" s="18" t="s">
        <v>157</v>
      </c>
      <c r="D884" s="18" t="s">
        <v>158</v>
      </c>
      <c r="E884" s="18" t="s">
        <v>159</v>
      </c>
      <c r="F884" s="19" t="s">
        <v>124</v>
      </c>
      <c r="G884" s="20" t="s">
        <v>125</v>
      </c>
      <c r="H884" t="str">
        <f>'Source Table'!$H$9</f>
        <v>Male</v>
      </c>
      <c r="I884" t="str">
        <f>'Source Table'!$H$8</f>
        <v>ذكر</v>
      </c>
      <c r="J884" t="str">
        <f t="shared" si="26"/>
        <v>2018/2017</v>
      </c>
      <c r="K884" t="str">
        <f t="shared" si="27"/>
        <v>2018/2017</v>
      </c>
      <c r="L884" s="28">
        <v>1684</v>
      </c>
      <c r="M884" s="18">
        <v>2017</v>
      </c>
    </row>
    <row r="885" ht="21.75" spans="1:13">
      <c r="A885" s="18" t="s">
        <v>155</v>
      </c>
      <c r="B885" s="18" t="s">
        <v>156</v>
      </c>
      <c r="C885" s="18" t="s">
        <v>157</v>
      </c>
      <c r="D885" s="18" t="s">
        <v>158</v>
      </c>
      <c r="E885" s="18" t="s">
        <v>159</v>
      </c>
      <c r="F885" s="19" t="s">
        <v>126</v>
      </c>
      <c r="G885" s="20" t="s">
        <v>127</v>
      </c>
      <c r="H885" t="str">
        <f>'Source Table'!$H$9</f>
        <v>Male</v>
      </c>
      <c r="I885" t="str">
        <f>'Source Table'!$H$8</f>
        <v>ذكر</v>
      </c>
      <c r="J885" t="str">
        <f t="shared" si="26"/>
        <v>2018/2017</v>
      </c>
      <c r="K885" t="str">
        <f t="shared" si="27"/>
        <v>2018/2017</v>
      </c>
      <c r="L885" s="32">
        <v>24258</v>
      </c>
      <c r="M885" s="18">
        <v>2017</v>
      </c>
    </row>
    <row r="886" ht="21.75" spans="1:13">
      <c r="A886" s="18" t="s">
        <v>155</v>
      </c>
      <c r="B886" s="18" t="s">
        <v>156</v>
      </c>
      <c r="C886" s="18" t="s">
        <v>157</v>
      </c>
      <c r="D886" s="18" t="s">
        <v>158</v>
      </c>
      <c r="E886" s="18" t="s">
        <v>159</v>
      </c>
      <c r="F886" s="19" t="s">
        <v>29</v>
      </c>
      <c r="G886" s="20" t="s">
        <v>30</v>
      </c>
      <c r="H886" t="str">
        <f>'Source Table'!$G$9</f>
        <v>Female</v>
      </c>
      <c r="I886" t="str">
        <f>'Source Table'!$G$8</f>
        <v>أنثى</v>
      </c>
      <c r="J886" t="str">
        <f t="shared" si="26"/>
        <v>2018/2017</v>
      </c>
      <c r="K886" t="str">
        <f t="shared" si="27"/>
        <v>2018/2017</v>
      </c>
      <c r="L886" s="28">
        <v>81252</v>
      </c>
      <c r="M886" s="18">
        <v>2017</v>
      </c>
    </row>
    <row r="887" ht="21.75" spans="1:13">
      <c r="A887" s="18" t="s">
        <v>155</v>
      </c>
      <c r="B887" s="18" t="s">
        <v>156</v>
      </c>
      <c r="C887" s="18" t="s">
        <v>157</v>
      </c>
      <c r="D887" s="18" t="s">
        <v>158</v>
      </c>
      <c r="E887" s="18" t="s">
        <v>159</v>
      </c>
      <c r="F887" s="19" t="s">
        <v>32</v>
      </c>
      <c r="G887" s="20" t="s">
        <v>33</v>
      </c>
      <c r="H887" t="str">
        <f>'Source Table'!$G$9</f>
        <v>Female</v>
      </c>
      <c r="I887" t="str">
        <f>'Source Table'!$G$8</f>
        <v>أنثى</v>
      </c>
      <c r="J887" t="str">
        <f t="shared" si="26"/>
        <v>2018/2017</v>
      </c>
      <c r="K887" t="str">
        <f t="shared" si="27"/>
        <v>2018/2017</v>
      </c>
      <c r="L887" s="28">
        <v>64128</v>
      </c>
      <c r="M887" s="18">
        <v>2017</v>
      </c>
    </row>
    <row r="888" ht="21.75" spans="1:13">
      <c r="A888" s="18" t="s">
        <v>155</v>
      </c>
      <c r="B888" s="18" t="s">
        <v>156</v>
      </c>
      <c r="C888" s="18" t="s">
        <v>157</v>
      </c>
      <c r="D888" s="18" t="s">
        <v>158</v>
      </c>
      <c r="E888" s="18" t="s">
        <v>159</v>
      </c>
      <c r="F888" s="19" t="s">
        <v>34</v>
      </c>
      <c r="G888" s="20" t="s">
        <v>35</v>
      </c>
      <c r="H888" t="str">
        <f>'Source Table'!$G$9</f>
        <v>Female</v>
      </c>
      <c r="I888" t="str">
        <f>'Source Table'!$G$8</f>
        <v>أنثى</v>
      </c>
      <c r="J888" t="str">
        <f t="shared" si="26"/>
        <v>2018/2017</v>
      </c>
      <c r="K888" t="str">
        <f t="shared" si="27"/>
        <v>2018/2017</v>
      </c>
      <c r="L888" s="28">
        <v>14485</v>
      </c>
      <c r="M888" s="18">
        <v>2017</v>
      </c>
    </row>
    <row r="889" ht="21.75" spans="1:13">
      <c r="A889" s="18" t="s">
        <v>155</v>
      </c>
      <c r="B889" s="18" t="s">
        <v>156</v>
      </c>
      <c r="C889" s="18" t="s">
        <v>157</v>
      </c>
      <c r="D889" s="18" t="s">
        <v>158</v>
      </c>
      <c r="E889" s="18" t="s">
        <v>159</v>
      </c>
      <c r="F889" s="19" t="s">
        <v>36</v>
      </c>
      <c r="G889" s="20" t="s">
        <v>37</v>
      </c>
      <c r="H889" t="str">
        <f>'Source Table'!$G$9</f>
        <v>Female</v>
      </c>
      <c r="I889" t="str">
        <f>'Source Table'!$G$8</f>
        <v>أنثى</v>
      </c>
      <c r="J889" t="str">
        <f t="shared" si="26"/>
        <v>2018/2017</v>
      </c>
      <c r="K889" t="str">
        <f t="shared" si="27"/>
        <v>2018/2017</v>
      </c>
      <c r="L889" s="28">
        <v>65732</v>
      </c>
      <c r="M889" s="18">
        <v>2017</v>
      </c>
    </row>
    <row r="890" ht="21.75" spans="1:13">
      <c r="A890" s="18" t="s">
        <v>155</v>
      </c>
      <c r="B890" s="18" t="s">
        <v>156</v>
      </c>
      <c r="C890" s="18" t="s">
        <v>157</v>
      </c>
      <c r="D890" s="18" t="s">
        <v>158</v>
      </c>
      <c r="E890" s="18" t="s">
        <v>159</v>
      </c>
      <c r="F890" s="19" t="s">
        <v>38</v>
      </c>
      <c r="G890" s="20" t="s">
        <v>39</v>
      </c>
      <c r="H890" t="str">
        <f>'Source Table'!$G$9</f>
        <v>Female</v>
      </c>
      <c r="I890" t="str">
        <f>'Source Table'!$G$8</f>
        <v>أنثى</v>
      </c>
      <c r="J890" t="str">
        <f t="shared" si="26"/>
        <v>2018/2017</v>
      </c>
      <c r="K890" t="str">
        <f t="shared" si="27"/>
        <v>2018/2017</v>
      </c>
      <c r="L890" s="28">
        <v>89553</v>
      </c>
      <c r="M890" s="18">
        <v>2017</v>
      </c>
    </row>
    <row r="891" ht="21.75" spans="1:13">
      <c r="A891" s="18" t="s">
        <v>155</v>
      </c>
      <c r="B891" s="18" t="s">
        <v>156</v>
      </c>
      <c r="C891" s="18" t="s">
        <v>157</v>
      </c>
      <c r="D891" s="18" t="s">
        <v>158</v>
      </c>
      <c r="E891" s="18" t="s">
        <v>159</v>
      </c>
      <c r="F891" s="19" t="s">
        <v>40</v>
      </c>
      <c r="G891" s="20" t="s">
        <v>41</v>
      </c>
      <c r="H891" t="str">
        <f>'Source Table'!$G$9</f>
        <v>Female</v>
      </c>
      <c r="I891" t="str">
        <f>'Source Table'!$G$8</f>
        <v>أنثى</v>
      </c>
      <c r="J891" t="str">
        <f t="shared" si="26"/>
        <v>2018/2017</v>
      </c>
      <c r="K891" t="str">
        <f t="shared" si="27"/>
        <v>2018/2017</v>
      </c>
      <c r="L891" s="28">
        <v>30479</v>
      </c>
      <c r="M891" s="18">
        <v>2017</v>
      </c>
    </row>
    <row r="892" ht="21.75" spans="1:13">
      <c r="A892" s="18" t="s">
        <v>155</v>
      </c>
      <c r="B892" s="18" t="s">
        <v>156</v>
      </c>
      <c r="C892" s="18" t="s">
        <v>157</v>
      </c>
      <c r="D892" s="18" t="s">
        <v>158</v>
      </c>
      <c r="E892" s="18" t="s">
        <v>159</v>
      </c>
      <c r="F892" s="19" t="s">
        <v>42</v>
      </c>
      <c r="G892" s="20" t="s">
        <v>43</v>
      </c>
      <c r="H892" t="str">
        <f>'Source Table'!$G$9</f>
        <v>Female</v>
      </c>
      <c r="I892" t="str">
        <f>'Source Table'!$G$8</f>
        <v>أنثى</v>
      </c>
      <c r="J892" t="str">
        <f t="shared" si="26"/>
        <v>2018/2017</v>
      </c>
      <c r="K892" t="str">
        <f t="shared" si="27"/>
        <v>2018/2017</v>
      </c>
      <c r="L892" s="28">
        <v>13442</v>
      </c>
      <c r="M892" s="18">
        <v>2017</v>
      </c>
    </row>
    <row r="893" ht="21.75" spans="1:13">
      <c r="A893" s="18" t="s">
        <v>155</v>
      </c>
      <c r="B893" s="18" t="s">
        <v>156</v>
      </c>
      <c r="C893" s="18" t="s">
        <v>157</v>
      </c>
      <c r="D893" s="18" t="s">
        <v>158</v>
      </c>
      <c r="E893" s="18" t="s">
        <v>159</v>
      </c>
      <c r="F893" s="19" t="s">
        <v>44</v>
      </c>
      <c r="G893" s="20" t="s">
        <v>45</v>
      </c>
      <c r="H893" t="str">
        <f>'Source Table'!$G$9</f>
        <v>Female</v>
      </c>
      <c r="I893" t="str">
        <f>'Source Table'!$G$8</f>
        <v>أنثى</v>
      </c>
      <c r="J893" t="str">
        <f t="shared" si="26"/>
        <v>2018/2017</v>
      </c>
      <c r="K893" t="str">
        <f t="shared" si="27"/>
        <v>2018/2017</v>
      </c>
      <c r="L893" s="28">
        <v>7644</v>
      </c>
      <c r="M893" s="18">
        <v>2017</v>
      </c>
    </row>
    <row r="894" ht="21.75" spans="1:13">
      <c r="A894" s="18" t="s">
        <v>155</v>
      </c>
      <c r="B894" s="18" t="s">
        <v>156</v>
      </c>
      <c r="C894" s="18" t="s">
        <v>157</v>
      </c>
      <c r="D894" s="18" t="s">
        <v>158</v>
      </c>
      <c r="E894" s="18" t="s">
        <v>159</v>
      </c>
      <c r="F894" s="19" t="s">
        <v>46</v>
      </c>
      <c r="G894" s="20" t="s">
        <v>47</v>
      </c>
      <c r="H894" t="str">
        <f>'Source Table'!$G$9</f>
        <v>Female</v>
      </c>
      <c r="I894" t="str">
        <f>'Source Table'!$G$8</f>
        <v>أنثى</v>
      </c>
      <c r="J894" t="str">
        <f t="shared" si="26"/>
        <v>2018/2017</v>
      </c>
      <c r="K894" t="str">
        <f t="shared" si="27"/>
        <v>2018/2017</v>
      </c>
      <c r="L894" s="28">
        <v>9163</v>
      </c>
      <c r="M894" s="18">
        <v>2017</v>
      </c>
    </row>
    <row r="895" ht="21.75" spans="1:13">
      <c r="A895" s="18" t="s">
        <v>155</v>
      </c>
      <c r="B895" s="18" t="s">
        <v>156</v>
      </c>
      <c r="C895" s="18" t="s">
        <v>157</v>
      </c>
      <c r="D895" s="18" t="s">
        <v>158</v>
      </c>
      <c r="E895" s="18" t="s">
        <v>159</v>
      </c>
      <c r="F895" s="19" t="s">
        <v>49</v>
      </c>
      <c r="G895" s="20" t="s">
        <v>50</v>
      </c>
      <c r="H895" t="str">
        <f>'Source Table'!$G$9</f>
        <v>Female</v>
      </c>
      <c r="I895" t="str">
        <f>'Source Table'!$G$8</f>
        <v>أنثى</v>
      </c>
      <c r="J895" t="str">
        <f t="shared" si="26"/>
        <v>2018/2017</v>
      </c>
      <c r="K895" t="str">
        <f t="shared" si="27"/>
        <v>2018/2017</v>
      </c>
      <c r="L895" s="28">
        <v>24789</v>
      </c>
      <c r="M895" s="18">
        <v>2017</v>
      </c>
    </row>
    <row r="896" ht="21.75" spans="1:13">
      <c r="A896" s="18" t="s">
        <v>155</v>
      </c>
      <c r="B896" s="18" t="s">
        <v>156</v>
      </c>
      <c r="C896" s="18" t="s">
        <v>157</v>
      </c>
      <c r="D896" s="18" t="s">
        <v>158</v>
      </c>
      <c r="E896" s="18" t="s">
        <v>159</v>
      </c>
      <c r="F896" s="19" t="s">
        <v>52</v>
      </c>
      <c r="G896" s="20" t="s">
        <v>53</v>
      </c>
      <c r="H896" t="str">
        <f>'Source Table'!$G$9</f>
        <v>Female</v>
      </c>
      <c r="I896" t="str">
        <f>'Source Table'!$G$8</f>
        <v>أنثى</v>
      </c>
      <c r="J896" t="str">
        <f t="shared" si="26"/>
        <v>2018/2017</v>
      </c>
      <c r="K896" t="str">
        <f t="shared" si="27"/>
        <v>2018/2017</v>
      </c>
      <c r="L896" s="28">
        <v>8486</v>
      </c>
      <c r="M896" s="18">
        <v>2017</v>
      </c>
    </row>
    <row r="897" ht="21.75" spans="1:13">
      <c r="A897" s="18" t="s">
        <v>155</v>
      </c>
      <c r="B897" s="18" t="s">
        <v>156</v>
      </c>
      <c r="C897" s="18" t="s">
        <v>157</v>
      </c>
      <c r="D897" s="18" t="s">
        <v>158</v>
      </c>
      <c r="E897" s="18" t="s">
        <v>159</v>
      </c>
      <c r="F897" s="19" t="s">
        <v>54</v>
      </c>
      <c r="G897" s="20" t="s">
        <v>55</v>
      </c>
      <c r="H897" t="str">
        <f>'Source Table'!$G$9</f>
        <v>Female</v>
      </c>
      <c r="I897" t="str">
        <f>'Source Table'!$G$8</f>
        <v>أنثى</v>
      </c>
      <c r="J897" t="str">
        <f t="shared" si="26"/>
        <v>2018/2017</v>
      </c>
      <c r="K897" t="str">
        <f t="shared" si="27"/>
        <v>2018/2017</v>
      </c>
      <c r="L897" s="28">
        <v>7450</v>
      </c>
      <c r="M897" s="18">
        <v>2017</v>
      </c>
    </row>
    <row r="898" ht="21.75" spans="1:13">
      <c r="A898" s="18" t="s">
        <v>155</v>
      </c>
      <c r="B898" s="18" t="s">
        <v>156</v>
      </c>
      <c r="C898" s="18" t="s">
        <v>157</v>
      </c>
      <c r="D898" s="18" t="s">
        <v>158</v>
      </c>
      <c r="E898" s="18" t="s">
        <v>159</v>
      </c>
      <c r="F898" s="19" t="s">
        <v>56</v>
      </c>
      <c r="G898" s="20" t="s">
        <v>57</v>
      </c>
      <c r="H898" t="str">
        <f>'Source Table'!$G$9</f>
        <v>Female</v>
      </c>
      <c r="I898" t="str">
        <f>'Source Table'!$G$8</f>
        <v>أنثى</v>
      </c>
      <c r="J898" t="str">
        <f t="shared" si="26"/>
        <v>2018/2017</v>
      </c>
      <c r="K898" t="str">
        <f t="shared" si="27"/>
        <v>2018/2017</v>
      </c>
      <c r="L898" s="28">
        <v>28057</v>
      </c>
      <c r="M898" s="18">
        <v>2017</v>
      </c>
    </row>
    <row r="899" ht="21.75" spans="1:13">
      <c r="A899" s="18" t="s">
        <v>155</v>
      </c>
      <c r="B899" s="18" t="s">
        <v>156</v>
      </c>
      <c r="C899" s="18" t="s">
        <v>157</v>
      </c>
      <c r="D899" s="18" t="s">
        <v>158</v>
      </c>
      <c r="E899" s="18" t="s">
        <v>159</v>
      </c>
      <c r="F899" s="19" t="s">
        <v>59</v>
      </c>
      <c r="G899" s="20" t="s">
        <v>160</v>
      </c>
      <c r="H899" t="str">
        <f>'Source Table'!$G$9</f>
        <v>Female</v>
      </c>
      <c r="I899" t="str">
        <f>'Source Table'!$G$8</f>
        <v>أنثى</v>
      </c>
      <c r="J899" t="str">
        <f t="shared" si="26"/>
        <v>2018/2017</v>
      </c>
      <c r="K899" t="str">
        <f t="shared" si="27"/>
        <v>2018/2017</v>
      </c>
      <c r="L899" s="28">
        <v>70123</v>
      </c>
      <c r="M899" s="18">
        <v>2017</v>
      </c>
    </row>
    <row r="900" ht="21.75" spans="1:13">
      <c r="A900" s="18" t="s">
        <v>155</v>
      </c>
      <c r="B900" s="18" t="s">
        <v>156</v>
      </c>
      <c r="C900" s="18" t="s">
        <v>157</v>
      </c>
      <c r="D900" s="18" t="s">
        <v>158</v>
      </c>
      <c r="E900" s="18" t="s">
        <v>159</v>
      </c>
      <c r="F900" s="19" t="s">
        <v>62</v>
      </c>
      <c r="G900" s="20" t="s">
        <v>161</v>
      </c>
      <c r="H900" t="str">
        <f>'Source Table'!$G$9</f>
        <v>Female</v>
      </c>
      <c r="I900" t="str">
        <f>'Source Table'!$G$8</f>
        <v>أنثى</v>
      </c>
      <c r="J900" t="str">
        <f t="shared" si="26"/>
        <v>2018/2017</v>
      </c>
      <c r="K900" t="str">
        <f t="shared" si="27"/>
        <v>2018/2017</v>
      </c>
      <c r="L900" s="28">
        <v>26630</v>
      </c>
      <c r="M900" s="18">
        <v>2017</v>
      </c>
    </row>
    <row r="901" ht="21.75" spans="1:13">
      <c r="A901" s="18" t="s">
        <v>155</v>
      </c>
      <c r="B901" s="18" t="s">
        <v>156</v>
      </c>
      <c r="C901" s="18" t="s">
        <v>157</v>
      </c>
      <c r="D901" s="18" t="s">
        <v>158</v>
      </c>
      <c r="E901" s="18" t="s">
        <v>159</v>
      </c>
      <c r="F901" s="19" t="s">
        <v>64</v>
      </c>
      <c r="G901" s="20" t="s">
        <v>65</v>
      </c>
      <c r="H901" t="str">
        <f>'Source Table'!$G$9</f>
        <v>Female</v>
      </c>
      <c r="I901" t="str">
        <f>'Source Table'!$G$8</f>
        <v>أنثى</v>
      </c>
      <c r="J901" t="str">
        <f t="shared" ref="J901:J964" si="28">TEXT(M901+1,"0")&amp;"/"&amp;TEXT(M901,"0")</f>
        <v>2018/2017</v>
      </c>
      <c r="K901" t="str">
        <f t="shared" ref="K901:K964" si="29">TEXT(M901+1,"0")&amp;"/"&amp;TEXT(M901,"0")</f>
        <v>2018/2017</v>
      </c>
      <c r="L901" s="28">
        <v>49855</v>
      </c>
      <c r="M901" s="18">
        <v>2017</v>
      </c>
    </row>
    <row r="902" ht="21.75" spans="1:13">
      <c r="A902" s="18" t="s">
        <v>155</v>
      </c>
      <c r="B902" s="18" t="s">
        <v>156</v>
      </c>
      <c r="C902" s="18" t="s">
        <v>157</v>
      </c>
      <c r="D902" s="18" t="s">
        <v>158</v>
      </c>
      <c r="E902" s="18" t="s">
        <v>159</v>
      </c>
      <c r="F902" s="19" t="s">
        <v>68</v>
      </c>
      <c r="G902" s="20" t="s">
        <v>69</v>
      </c>
      <c r="H902" t="str">
        <f>'Source Table'!$G$9</f>
        <v>Female</v>
      </c>
      <c r="I902" t="str">
        <f>'Source Table'!$G$8</f>
        <v>أنثى</v>
      </c>
      <c r="J902" t="str">
        <f t="shared" si="28"/>
        <v>2018/2017</v>
      </c>
      <c r="K902" t="str">
        <f t="shared" si="29"/>
        <v>2018/2017</v>
      </c>
      <c r="L902" s="28">
        <v>20945</v>
      </c>
      <c r="M902" s="18">
        <v>2017</v>
      </c>
    </row>
    <row r="903" ht="21.75" spans="1:13">
      <c r="A903" s="18" t="s">
        <v>155</v>
      </c>
      <c r="B903" s="18" t="s">
        <v>156</v>
      </c>
      <c r="C903" s="18" t="s">
        <v>157</v>
      </c>
      <c r="D903" s="18" t="s">
        <v>158</v>
      </c>
      <c r="E903" s="18" t="s">
        <v>159</v>
      </c>
      <c r="F903" s="19" t="s">
        <v>70</v>
      </c>
      <c r="G903" s="20" t="s">
        <v>71</v>
      </c>
      <c r="H903" t="str">
        <f>'Source Table'!$G$9</f>
        <v>Female</v>
      </c>
      <c r="I903" t="str">
        <f>'Source Table'!$G$8</f>
        <v>أنثى</v>
      </c>
      <c r="J903" t="str">
        <f t="shared" si="28"/>
        <v>2018/2017</v>
      </c>
      <c r="K903" t="str">
        <f t="shared" si="29"/>
        <v>2018/2017</v>
      </c>
      <c r="L903" s="28">
        <v>5345</v>
      </c>
      <c r="M903" s="18">
        <v>2017</v>
      </c>
    </row>
    <row r="904" ht="21.75" spans="1:13">
      <c r="A904" s="18" t="s">
        <v>155</v>
      </c>
      <c r="B904" s="18" t="s">
        <v>156</v>
      </c>
      <c r="C904" s="18" t="s">
        <v>157</v>
      </c>
      <c r="D904" s="18" t="s">
        <v>158</v>
      </c>
      <c r="E904" s="18" t="s">
        <v>159</v>
      </c>
      <c r="F904" s="19" t="s">
        <v>74</v>
      </c>
      <c r="G904" s="20" t="s">
        <v>75</v>
      </c>
      <c r="H904" t="str">
        <f>'Source Table'!$G$9</f>
        <v>Female</v>
      </c>
      <c r="I904" t="str">
        <f>'Source Table'!$G$8</f>
        <v>أنثى</v>
      </c>
      <c r="J904" t="str">
        <f t="shared" si="28"/>
        <v>2018/2017</v>
      </c>
      <c r="K904" t="str">
        <f t="shared" si="29"/>
        <v>2018/2017</v>
      </c>
      <c r="L904" s="28">
        <v>72916</v>
      </c>
      <c r="M904" s="18">
        <v>2017</v>
      </c>
    </row>
    <row r="905" ht="21.75" spans="1:13">
      <c r="A905" s="18" t="s">
        <v>155</v>
      </c>
      <c r="B905" s="18" t="s">
        <v>156</v>
      </c>
      <c r="C905" s="18" t="s">
        <v>157</v>
      </c>
      <c r="D905" s="18" t="s">
        <v>158</v>
      </c>
      <c r="E905" s="18" t="s">
        <v>159</v>
      </c>
      <c r="F905" s="19" t="s">
        <v>76</v>
      </c>
      <c r="G905" s="20" t="s">
        <v>77</v>
      </c>
      <c r="H905" t="str">
        <f>'Source Table'!$G$9</f>
        <v>Female</v>
      </c>
      <c r="I905" t="str">
        <f>'Source Table'!$G$8</f>
        <v>أنثى</v>
      </c>
      <c r="J905" t="str">
        <f t="shared" si="28"/>
        <v>2018/2017</v>
      </c>
      <c r="K905" t="str">
        <f t="shared" si="29"/>
        <v>2018/2017</v>
      </c>
      <c r="L905" s="28">
        <v>23669</v>
      </c>
      <c r="M905" s="18">
        <v>2017</v>
      </c>
    </row>
    <row r="906" ht="21.75" spans="1:13">
      <c r="A906" s="18" t="s">
        <v>155</v>
      </c>
      <c r="B906" s="18" t="s">
        <v>156</v>
      </c>
      <c r="C906" s="18" t="s">
        <v>157</v>
      </c>
      <c r="D906" s="18" t="s">
        <v>158</v>
      </c>
      <c r="E906" s="18" t="s">
        <v>159</v>
      </c>
      <c r="F906" s="19" t="s">
        <v>78</v>
      </c>
      <c r="G906" s="20" t="s">
        <v>79</v>
      </c>
      <c r="H906" t="str">
        <f>'Source Table'!$G$9</f>
        <v>Female</v>
      </c>
      <c r="I906" t="str">
        <f>'Source Table'!$G$8</f>
        <v>أنثى</v>
      </c>
      <c r="J906" t="str">
        <f t="shared" si="28"/>
        <v>2018/2017</v>
      </c>
      <c r="K906" t="str">
        <f t="shared" si="29"/>
        <v>2018/2017</v>
      </c>
      <c r="L906" s="28">
        <v>8196</v>
      </c>
      <c r="M906" s="18">
        <v>2017</v>
      </c>
    </row>
    <row r="907" ht="21.75" spans="1:13">
      <c r="A907" s="18" t="s">
        <v>155</v>
      </c>
      <c r="B907" s="18" t="s">
        <v>156</v>
      </c>
      <c r="C907" s="18" t="s">
        <v>157</v>
      </c>
      <c r="D907" s="18" t="s">
        <v>158</v>
      </c>
      <c r="E907" s="18" t="s">
        <v>159</v>
      </c>
      <c r="F907" s="19" t="s">
        <v>80</v>
      </c>
      <c r="G907" s="20" t="s">
        <v>81</v>
      </c>
      <c r="H907" t="str">
        <f>'Source Table'!$G$9</f>
        <v>Female</v>
      </c>
      <c r="I907" t="str">
        <f>'Source Table'!$G$8</f>
        <v>أنثى</v>
      </c>
      <c r="J907" t="str">
        <f t="shared" si="28"/>
        <v>2018/2017</v>
      </c>
      <c r="K907" t="str">
        <f t="shared" si="29"/>
        <v>2018/2017</v>
      </c>
      <c r="L907" s="28">
        <v>9883</v>
      </c>
      <c r="M907" s="18">
        <v>2017</v>
      </c>
    </row>
    <row r="908" ht="21.75" spans="1:13">
      <c r="A908" s="18" t="s">
        <v>155</v>
      </c>
      <c r="B908" s="18" t="s">
        <v>156</v>
      </c>
      <c r="C908" s="18" t="s">
        <v>157</v>
      </c>
      <c r="D908" s="18" t="s">
        <v>158</v>
      </c>
      <c r="E908" s="18" t="s">
        <v>159</v>
      </c>
      <c r="F908" s="19" t="s">
        <v>82</v>
      </c>
      <c r="G908" s="20" t="s">
        <v>83</v>
      </c>
      <c r="H908" t="str">
        <f>'Source Table'!$G$9</f>
        <v>Female</v>
      </c>
      <c r="I908" t="str">
        <f>'Source Table'!$G$8</f>
        <v>أنثى</v>
      </c>
      <c r="J908" t="str">
        <f t="shared" si="28"/>
        <v>2018/2017</v>
      </c>
      <c r="K908" t="str">
        <f t="shared" si="29"/>
        <v>2018/2017</v>
      </c>
      <c r="L908" s="28">
        <v>16927</v>
      </c>
      <c r="M908" s="18">
        <v>2017</v>
      </c>
    </row>
    <row r="909" ht="21.75" spans="1:13">
      <c r="A909" s="18" t="s">
        <v>155</v>
      </c>
      <c r="B909" s="18" t="s">
        <v>156</v>
      </c>
      <c r="C909" s="18" t="s">
        <v>157</v>
      </c>
      <c r="D909" s="18" t="s">
        <v>158</v>
      </c>
      <c r="E909" s="18" t="s">
        <v>159</v>
      </c>
      <c r="F909" s="19" t="s">
        <v>84</v>
      </c>
      <c r="G909" s="20" t="s">
        <v>85</v>
      </c>
      <c r="H909" t="str">
        <f>'Source Table'!$G$9</f>
        <v>Female</v>
      </c>
      <c r="I909" t="str">
        <f>'Source Table'!$G$8</f>
        <v>أنثى</v>
      </c>
      <c r="J909" t="str">
        <f t="shared" si="28"/>
        <v>2018/2017</v>
      </c>
      <c r="K909" t="str">
        <f t="shared" si="29"/>
        <v>2018/2017</v>
      </c>
      <c r="L909" s="28">
        <v>13214</v>
      </c>
      <c r="M909" s="18">
        <v>2017</v>
      </c>
    </row>
    <row r="910" ht="21.75" spans="1:13">
      <c r="A910" s="18" t="s">
        <v>155</v>
      </c>
      <c r="B910" s="18" t="s">
        <v>156</v>
      </c>
      <c r="C910" s="18" t="s">
        <v>157</v>
      </c>
      <c r="D910" s="18" t="s">
        <v>158</v>
      </c>
      <c r="E910" s="18" t="s">
        <v>159</v>
      </c>
      <c r="F910" s="19" t="s">
        <v>86</v>
      </c>
      <c r="G910" s="20" t="s">
        <v>87</v>
      </c>
      <c r="H910" t="str">
        <f>'Source Table'!$G$9</f>
        <v>Female</v>
      </c>
      <c r="I910" t="str">
        <f>'Source Table'!$G$8</f>
        <v>أنثى</v>
      </c>
      <c r="J910" t="str">
        <f t="shared" si="28"/>
        <v>2018/2017</v>
      </c>
      <c r="K910" t="str">
        <f t="shared" si="29"/>
        <v>2018/2017</v>
      </c>
      <c r="L910" s="28">
        <v>13182</v>
      </c>
      <c r="M910" s="18">
        <v>2017</v>
      </c>
    </row>
    <row r="911" ht="21.75" spans="1:13">
      <c r="A911" s="18" t="s">
        <v>155</v>
      </c>
      <c r="B911" s="18" t="s">
        <v>156</v>
      </c>
      <c r="C911" s="18" t="s">
        <v>157</v>
      </c>
      <c r="D911" s="18" t="s">
        <v>158</v>
      </c>
      <c r="E911" s="18" t="s">
        <v>159</v>
      </c>
      <c r="F911" s="19" t="s">
        <v>88</v>
      </c>
      <c r="G911" s="20" t="s">
        <v>89</v>
      </c>
      <c r="H911" t="str">
        <f>'Source Table'!$G$9</f>
        <v>Female</v>
      </c>
      <c r="I911" t="str">
        <f>'Source Table'!$G$8</f>
        <v>أنثى</v>
      </c>
      <c r="J911" t="str">
        <f t="shared" si="28"/>
        <v>2018/2017</v>
      </c>
      <c r="K911" t="str">
        <f t="shared" si="29"/>
        <v>2018/2017</v>
      </c>
      <c r="L911" s="28">
        <v>23984</v>
      </c>
      <c r="M911" s="18">
        <v>2017</v>
      </c>
    </row>
    <row r="912" ht="21.75" spans="1:13">
      <c r="A912" s="18" t="s">
        <v>155</v>
      </c>
      <c r="B912" s="18" t="s">
        <v>156</v>
      </c>
      <c r="C912" s="18" t="s">
        <v>157</v>
      </c>
      <c r="D912" s="18" t="s">
        <v>158</v>
      </c>
      <c r="E912" s="18" t="s">
        <v>159</v>
      </c>
      <c r="F912" s="19" t="s">
        <v>91</v>
      </c>
      <c r="G912" s="20" t="s">
        <v>92</v>
      </c>
      <c r="H912" t="str">
        <f>'Source Table'!$G$9</f>
        <v>Female</v>
      </c>
      <c r="I912" t="str">
        <f>'Source Table'!$G$8</f>
        <v>أنثى</v>
      </c>
      <c r="J912" t="str">
        <f t="shared" si="28"/>
        <v>2018/2017</v>
      </c>
      <c r="K912" t="str">
        <f t="shared" si="29"/>
        <v>2018/2017</v>
      </c>
      <c r="L912" s="28">
        <v>23863</v>
      </c>
      <c r="M912" s="18">
        <v>2017</v>
      </c>
    </row>
    <row r="913" ht="21.75" spans="1:13">
      <c r="A913" s="18" t="s">
        <v>155</v>
      </c>
      <c r="B913" s="18" t="s">
        <v>156</v>
      </c>
      <c r="C913" s="18" t="s">
        <v>157</v>
      </c>
      <c r="D913" s="18" t="s">
        <v>158</v>
      </c>
      <c r="E913" s="18" t="s">
        <v>159</v>
      </c>
      <c r="F913" s="19" t="s">
        <v>94</v>
      </c>
      <c r="G913" s="20" t="s">
        <v>95</v>
      </c>
      <c r="H913" t="str">
        <f>'Source Table'!$G$9</f>
        <v>Female</v>
      </c>
      <c r="I913" t="str">
        <f>'Source Table'!$G$8</f>
        <v>أنثى</v>
      </c>
      <c r="J913" t="str">
        <f t="shared" si="28"/>
        <v>2018/2017</v>
      </c>
      <c r="K913" t="str">
        <f t="shared" si="29"/>
        <v>2018/2017</v>
      </c>
      <c r="L913" s="28">
        <v>14341</v>
      </c>
      <c r="M913" s="18">
        <v>2017</v>
      </c>
    </row>
    <row r="914" ht="21.75" spans="1:13">
      <c r="A914" s="18" t="s">
        <v>155</v>
      </c>
      <c r="B914" s="18" t="s">
        <v>156</v>
      </c>
      <c r="C914" s="18" t="s">
        <v>157</v>
      </c>
      <c r="D914" s="18" t="s">
        <v>158</v>
      </c>
      <c r="E914" s="18" t="s">
        <v>159</v>
      </c>
      <c r="F914" s="19" t="s">
        <v>96</v>
      </c>
      <c r="G914" s="20" t="s">
        <v>97</v>
      </c>
      <c r="H914" t="str">
        <f>'Source Table'!$G$9</f>
        <v>Female</v>
      </c>
      <c r="I914" t="str">
        <f>'Source Table'!$G$8</f>
        <v>أنثى</v>
      </c>
      <c r="J914" t="str">
        <f t="shared" si="28"/>
        <v>2018/2017</v>
      </c>
      <c r="K914" t="str">
        <f t="shared" si="29"/>
        <v>2018/2017</v>
      </c>
      <c r="L914" s="28">
        <v>28078</v>
      </c>
      <c r="M914" s="18">
        <v>2017</v>
      </c>
    </row>
    <row r="915" ht="21.75" spans="1:13">
      <c r="A915" s="18" t="s">
        <v>155</v>
      </c>
      <c r="B915" s="18" t="s">
        <v>156</v>
      </c>
      <c r="C915" s="18" t="s">
        <v>157</v>
      </c>
      <c r="D915" s="18" t="s">
        <v>158</v>
      </c>
      <c r="E915" s="18" t="s">
        <v>159</v>
      </c>
      <c r="F915" s="19" t="s">
        <v>98</v>
      </c>
      <c r="G915" s="20" t="s">
        <v>99</v>
      </c>
      <c r="H915" t="str">
        <f>'Source Table'!$G$9</f>
        <v>Female</v>
      </c>
      <c r="I915" t="str">
        <f>'Source Table'!$G$8</f>
        <v>أنثى</v>
      </c>
      <c r="J915" t="str">
        <f t="shared" si="28"/>
        <v>2018/2017</v>
      </c>
      <c r="K915" t="str">
        <f t="shared" si="29"/>
        <v>2018/2017</v>
      </c>
      <c r="L915" s="32">
        <v>30043</v>
      </c>
      <c r="M915" s="18">
        <v>2017</v>
      </c>
    </row>
    <row r="916" ht="21.75" spans="1:13">
      <c r="A916" s="18" t="s">
        <v>155</v>
      </c>
      <c r="B916" s="18" t="s">
        <v>156</v>
      </c>
      <c r="C916" s="18" t="s">
        <v>157</v>
      </c>
      <c r="D916" s="18" t="s">
        <v>158</v>
      </c>
      <c r="E916" s="18" t="s">
        <v>159</v>
      </c>
      <c r="F916" s="19" t="s">
        <v>100</v>
      </c>
      <c r="G916" s="20" t="s">
        <v>101</v>
      </c>
      <c r="H916" t="str">
        <f>'Source Table'!$G$9</f>
        <v>Female</v>
      </c>
      <c r="I916" t="str">
        <f>'Source Table'!$G$8</f>
        <v>أنثى</v>
      </c>
      <c r="J916" t="str">
        <f t="shared" si="28"/>
        <v>2018/2017</v>
      </c>
      <c r="K916" t="str">
        <f t="shared" si="29"/>
        <v>2018/2017</v>
      </c>
      <c r="L916" s="32">
        <v>21935</v>
      </c>
      <c r="M916" s="18">
        <v>2017</v>
      </c>
    </row>
    <row r="917" ht="21.75" spans="1:13">
      <c r="A917" s="18" t="s">
        <v>155</v>
      </c>
      <c r="B917" s="18" t="s">
        <v>156</v>
      </c>
      <c r="C917" s="18" t="s">
        <v>157</v>
      </c>
      <c r="D917" s="18" t="s">
        <v>158</v>
      </c>
      <c r="E917" s="18" t="s">
        <v>159</v>
      </c>
      <c r="F917" s="19" t="s">
        <v>103</v>
      </c>
      <c r="G917" s="20" t="s">
        <v>104</v>
      </c>
      <c r="H917" t="str">
        <f>'Source Table'!$G$9</f>
        <v>Female</v>
      </c>
      <c r="I917" t="str">
        <f>'Source Table'!$G$8</f>
        <v>أنثى</v>
      </c>
      <c r="J917" t="str">
        <f t="shared" si="28"/>
        <v>2018/2017</v>
      </c>
      <c r="K917" t="str">
        <f t="shared" si="29"/>
        <v>2018/2017</v>
      </c>
      <c r="L917" s="28">
        <v>14599</v>
      </c>
      <c r="M917" s="18">
        <v>2017</v>
      </c>
    </row>
    <row r="918" ht="21.75" spans="1:13">
      <c r="A918" s="18" t="s">
        <v>155</v>
      </c>
      <c r="B918" s="18" t="s">
        <v>156</v>
      </c>
      <c r="C918" s="18" t="s">
        <v>157</v>
      </c>
      <c r="D918" s="18" t="s">
        <v>158</v>
      </c>
      <c r="E918" s="18" t="s">
        <v>159</v>
      </c>
      <c r="F918" s="19" t="s">
        <v>106</v>
      </c>
      <c r="G918" s="20" t="s">
        <v>107</v>
      </c>
      <c r="H918" t="str">
        <f>'Source Table'!$G$9</f>
        <v>Female</v>
      </c>
      <c r="I918" t="str">
        <f>'Source Table'!$G$8</f>
        <v>أنثى</v>
      </c>
      <c r="J918" t="str">
        <f t="shared" si="28"/>
        <v>2018/2017</v>
      </c>
      <c r="K918" t="str">
        <f t="shared" si="29"/>
        <v>2018/2017</v>
      </c>
      <c r="L918" s="28">
        <v>11208</v>
      </c>
      <c r="M918" s="18">
        <v>2017</v>
      </c>
    </row>
    <row r="919" ht="21.75" spans="1:13">
      <c r="A919" s="18" t="s">
        <v>155</v>
      </c>
      <c r="B919" s="18" t="s">
        <v>156</v>
      </c>
      <c r="C919" s="18" t="s">
        <v>157</v>
      </c>
      <c r="D919" s="18" t="s">
        <v>158</v>
      </c>
      <c r="E919" s="18" t="s">
        <v>159</v>
      </c>
      <c r="F919" s="19" t="s">
        <v>108</v>
      </c>
      <c r="G919" s="20" t="s">
        <v>109</v>
      </c>
      <c r="H919" t="str">
        <f>'Source Table'!$G$9</f>
        <v>Female</v>
      </c>
      <c r="I919" t="str">
        <f>'Source Table'!$G$8</f>
        <v>أنثى</v>
      </c>
      <c r="J919" t="str">
        <f t="shared" si="28"/>
        <v>2018/2017</v>
      </c>
      <c r="K919" t="str">
        <f t="shared" si="29"/>
        <v>2018/2017</v>
      </c>
      <c r="L919" s="28">
        <v>6263</v>
      </c>
      <c r="M919" s="18">
        <v>2017</v>
      </c>
    </row>
    <row r="920" ht="21.75" spans="1:13">
      <c r="A920" s="18" t="s">
        <v>155</v>
      </c>
      <c r="B920" s="18" t="s">
        <v>156</v>
      </c>
      <c r="C920" s="18" t="s">
        <v>157</v>
      </c>
      <c r="D920" s="18" t="s">
        <v>158</v>
      </c>
      <c r="E920" s="18" t="s">
        <v>159</v>
      </c>
      <c r="F920" s="19" t="s">
        <v>110</v>
      </c>
      <c r="G920" s="20" t="s">
        <v>111</v>
      </c>
      <c r="H920" t="str">
        <f>'Source Table'!$G$9</f>
        <v>Female</v>
      </c>
      <c r="I920" t="str">
        <f>'Source Table'!$G$8</f>
        <v>أنثى</v>
      </c>
      <c r="J920" t="str">
        <f t="shared" si="28"/>
        <v>2018/2017</v>
      </c>
      <c r="K920" t="str">
        <f t="shared" si="29"/>
        <v>2018/2017</v>
      </c>
      <c r="L920" s="28">
        <v>7643</v>
      </c>
      <c r="M920" s="18">
        <v>2017</v>
      </c>
    </row>
    <row r="921" ht="21.75" spans="1:13">
      <c r="A921" s="18" t="s">
        <v>155</v>
      </c>
      <c r="B921" s="18" t="s">
        <v>156</v>
      </c>
      <c r="C921" s="18" t="s">
        <v>157</v>
      </c>
      <c r="D921" s="18" t="s">
        <v>158</v>
      </c>
      <c r="E921" s="18" t="s">
        <v>159</v>
      </c>
      <c r="F921" s="19" t="s">
        <v>113</v>
      </c>
      <c r="G921" s="20" t="s">
        <v>114</v>
      </c>
      <c r="H921" t="str">
        <f>'Source Table'!$G$9</f>
        <v>Female</v>
      </c>
      <c r="I921" t="str">
        <f>'Source Table'!$G$8</f>
        <v>أنثى</v>
      </c>
      <c r="J921" t="str">
        <f t="shared" si="28"/>
        <v>2018/2017</v>
      </c>
      <c r="K921" t="str">
        <f t="shared" si="29"/>
        <v>2018/2017</v>
      </c>
      <c r="L921" s="28">
        <v>10470</v>
      </c>
      <c r="M921" s="18">
        <v>2017</v>
      </c>
    </row>
    <row r="922" ht="21.75" spans="1:13">
      <c r="A922" s="18" t="s">
        <v>155</v>
      </c>
      <c r="B922" s="18" t="s">
        <v>156</v>
      </c>
      <c r="C922" s="18" t="s">
        <v>157</v>
      </c>
      <c r="D922" s="18" t="s">
        <v>158</v>
      </c>
      <c r="E922" s="18" t="s">
        <v>159</v>
      </c>
      <c r="F922" s="19" t="s">
        <v>115</v>
      </c>
      <c r="G922" s="20" t="s">
        <v>116</v>
      </c>
      <c r="H922" t="str">
        <f>'Source Table'!$G$9</f>
        <v>Female</v>
      </c>
      <c r="I922" t="str">
        <f>'Source Table'!$G$8</f>
        <v>أنثى</v>
      </c>
      <c r="J922" t="str">
        <f t="shared" si="28"/>
        <v>2018/2017</v>
      </c>
      <c r="K922" t="str">
        <f t="shared" si="29"/>
        <v>2018/2017</v>
      </c>
      <c r="L922" s="28">
        <v>3851</v>
      </c>
      <c r="M922" s="18">
        <v>2017</v>
      </c>
    </row>
    <row r="923" ht="21.75" spans="1:13">
      <c r="A923" s="18" t="s">
        <v>155</v>
      </c>
      <c r="B923" s="18" t="s">
        <v>156</v>
      </c>
      <c r="C923" s="18" t="s">
        <v>157</v>
      </c>
      <c r="D923" s="18" t="s">
        <v>158</v>
      </c>
      <c r="E923" s="18" t="s">
        <v>159</v>
      </c>
      <c r="F923" s="19" t="s">
        <v>118</v>
      </c>
      <c r="G923" s="20" t="s">
        <v>119</v>
      </c>
      <c r="H923" t="str">
        <f>'Source Table'!$G$9</f>
        <v>Female</v>
      </c>
      <c r="I923" t="str">
        <f>'Source Table'!$G$8</f>
        <v>أنثى</v>
      </c>
      <c r="J923" t="str">
        <f t="shared" si="28"/>
        <v>2018/2017</v>
      </c>
      <c r="K923" t="str">
        <f t="shared" si="29"/>
        <v>2018/2017</v>
      </c>
      <c r="L923" s="28">
        <v>5981</v>
      </c>
      <c r="M923" s="18">
        <v>2017</v>
      </c>
    </row>
    <row r="924" ht="21.75" spans="1:13">
      <c r="A924" s="18" t="s">
        <v>155</v>
      </c>
      <c r="B924" s="18" t="s">
        <v>156</v>
      </c>
      <c r="C924" s="18" t="s">
        <v>157</v>
      </c>
      <c r="D924" s="18" t="s">
        <v>158</v>
      </c>
      <c r="E924" s="18" t="s">
        <v>159</v>
      </c>
      <c r="F924" s="19" t="s">
        <v>120</v>
      </c>
      <c r="G924" s="20" t="s">
        <v>121</v>
      </c>
      <c r="H924" t="str">
        <f>'Source Table'!$G$9</f>
        <v>Female</v>
      </c>
      <c r="I924" t="str">
        <f>'Source Table'!$G$8</f>
        <v>أنثى</v>
      </c>
      <c r="J924" t="str">
        <f t="shared" si="28"/>
        <v>2018/2017</v>
      </c>
      <c r="K924" t="str">
        <f t="shared" si="29"/>
        <v>2018/2017</v>
      </c>
      <c r="L924" s="28">
        <v>7262</v>
      </c>
      <c r="M924" s="18">
        <v>2017</v>
      </c>
    </row>
    <row r="925" ht="21.75" spans="1:13">
      <c r="A925" s="18" t="s">
        <v>155</v>
      </c>
      <c r="B925" s="18" t="s">
        <v>156</v>
      </c>
      <c r="C925" s="18" t="s">
        <v>157</v>
      </c>
      <c r="D925" s="18" t="s">
        <v>158</v>
      </c>
      <c r="E925" s="18" t="s">
        <v>159</v>
      </c>
      <c r="F925" s="19" t="s">
        <v>122</v>
      </c>
      <c r="G925" s="20" t="s">
        <v>123</v>
      </c>
      <c r="H925" t="str">
        <f>'Source Table'!$G$9</f>
        <v>Female</v>
      </c>
      <c r="I925" t="str">
        <f>'Source Table'!$G$8</f>
        <v>أنثى</v>
      </c>
      <c r="J925" t="str">
        <f t="shared" si="28"/>
        <v>2018/2017</v>
      </c>
      <c r="K925" t="str">
        <f t="shared" si="29"/>
        <v>2018/2017</v>
      </c>
      <c r="L925" s="28">
        <v>4741</v>
      </c>
      <c r="M925" s="18">
        <v>2017</v>
      </c>
    </row>
    <row r="926" ht="21.75" spans="1:13">
      <c r="A926" s="18" t="s">
        <v>155</v>
      </c>
      <c r="B926" s="18" t="s">
        <v>156</v>
      </c>
      <c r="C926" s="18" t="s">
        <v>157</v>
      </c>
      <c r="D926" s="18" t="s">
        <v>158</v>
      </c>
      <c r="E926" s="18" t="s">
        <v>159</v>
      </c>
      <c r="F926" s="19" t="s">
        <v>124</v>
      </c>
      <c r="G926" s="20" t="s">
        <v>125</v>
      </c>
      <c r="H926" t="str">
        <f>'Source Table'!$G$9</f>
        <v>Female</v>
      </c>
      <c r="I926" t="str">
        <f>'Source Table'!$G$8</f>
        <v>أنثى</v>
      </c>
      <c r="J926" t="str">
        <f t="shared" si="28"/>
        <v>2018/2017</v>
      </c>
      <c r="K926" t="str">
        <f t="shared" si="29"/>
        <v>2018/2017</v>
      </c>
      <c r="L926" s="28">
        <v>1776</v>
      </c>
      <c r="M926" s="18">
        <v>2017</v>
      </c>
    </row>
    <row r="927" ht="21.75" spans="1:13">
      <c r="A927" s="18" t="s">
        <v>155</v>
      </c>
      <c r="B927" s="18" t="s">
        <v>156</v>
      </c>
      <c r="C927" s="18" t="s">
        <v>157</v>
      </c>
      <c r="D927" s="18" t="s">
        <v>158</v>
      </c>
      <c r="E927" s="18" t="s">
        <v>159</v>
      </c>
      <c r="F927" s="19" t="s">
        <v>126</v>
      </c>
      <c r="G927" s="20" t="s">
        <v>127</v>
      </c>
      <c r="H927" t="str">
        <f>'Source Table'!$G$9</f>
        <v>Female</v>
      </c>
      <c r="I927" t="str">
        <f>'Source Table'!$G$8</f>
        <v>أنثى</v>
      </c>
      <c r="J927" t="str">
        <f t="shared" si="28"/>
        <v>2018/2017</v>
      </c>
      <c r="K927" t="str">
        <f t="shared" si="29"/>
        <v>2018/2017</v>
      </c>
      <c r="L927" s="32">
        <v>23518</v>
      </c>
      <c r="M927" s="18">
        <v>2017</v>
      </c>
    </row>
    <row r="928" ht="21.75" spans="1:13">
      <c r="A928" s="18" t="s">
        <v>155</v>
      </c>
      <c r="B928" s="18" t="s">
        <v>156</v>
      </c>
      <c r="C928" s="18" t="s">
        <v>162</v>
      </c>
      <c r="D928" s="18" t="s">
        <v>158</v>
      </c>
      <c r="E928" s="18" t="s">
        <v>159</v>
      </c>
      <c r="F928" s="19" t="s">
        <v>29</v>
      </c>
      <c r="G928" s="20" t="s">
        <v>30</v>
      </c>
      <c r="H928" t="str">
        <f>'Source Table'!$H$9</f>
        <v>Male</v>
      </c>
      <c r="I928" t="str">
        <f>'Source Table'!$H$8</f>
        <v>ذكر</v>
      </c>
      <c r="J928" t="str">
        <f t="shared" si="28"/>
        <v>2018/2017</v>
      </c>
      <c r="K928" t="str">
        <f t="shared" si="29"/>
        <v>2018/2017</v>
      </c>
      <c r="L928" s="28">
        <v>2721</v>
      </c>
      <c r="M928" s="18">
        <v>2017</v>
      </c>
    </row>
    <row r="929" ht="21.75" spans="1:13">
      <c r="A929" s="18" t="s">
        <v>155</v>
      </c>
      <c r="B929" s="18" t="s">
        <v>156</v>
      </c>
      <c r="C929" s="18" t="s">
        <v>162</v>
      </c>
      <c r="D929" s="18" t="s">
        <v>158</v>
      </c>
      <c r="E929" s="18" t="s">
        <v>159</v>
      </c>
      <c r="F929" s="19" t="s">
        <v>32</v>
      </c>
      <c r="G929" s="20" t="s">
        <v>33</v>
      </c>
      <c r="H929" t="str">
        <f>'Source Table'!$H$9</f>
        <v>Male</v>
      </c>
      <c r="I929" t="str">
        <f>'Source Table'!$H$8</f>
        <v>ذكر</v>
      </c>
      <c r="J929" t="str">
        <f t="shared" si="28"/>
        <v>2018/2017</v>
      </c>
      <c r="K929" t="str">
        <f t="shared" si="29"/>
        <v>2018/2017</v>
      </c>
      <c r="L929" s="28">
        <v>2103</v>
      </c>
      <c r="M929" s="18">
        <v>2017</v>
      </c>
    </row>
    <row r="930" ht="21.75" spans="1:13">
      <c r="A930" s="18" t="s">
        <v>155</v>
      </c>
      <c r="B930" s="18" t="s">
        <v>156</v>
      </c>
      <c r="C930" s="18" t="s">
        <v>162</v>
      </c>
      <c r="D930" s="18" t="s">
        <v>158</v>
      </c>
      <c r="E930" s="18" t="s">
        <v>159</v>
      </c>
      <c r="F930" s="19" t="s">
        <v>34</v>
      </c>
      <c r="G930" s="20" t="s">
        <v>35</v>
      </c>
      <c r="H930" t="str">
        <f>'Source Table'!$H$9</f>
        <v>Male</v>
      </c>
      <c r="I930" t="str">
        <f>'Source Table'!$H$8</f>
        <v>ذكر</v>
      </c>
      <c r="J930" t="str">
        <f t="shared" si="28"/>
        <v>2018/2017</v>
      </c>
      <c r="K930" t="str">
        <f t="shared" si="29"/>
        <v>2018/2017</v>
      </c>
      <c r="L930" s="28">
        <v>445</v>
      </c>
      <c r="M930" s="18">
        <v>2017</v>
      </c>
    </row>
    <row r="931" ht="21.75" spans="1:13">
      <c r="A931" s="18" t="s">
        <v>155</v>
      </c>
      <c r="B931" s="18" t="s">
        <v>156</v>
      </c>
      <c r="C931" s="18" t="s">
        <v>162</v>
      </c>
      <c r="D931" s="18" t="s">
        <v>158</v>
      </c>
      <c r="E931" s="18" t="s">
        <v>159</v>
      </c>
      <c r="F931" s="19" t="s">
        <v>36</v>
      </c>
      <c r="G931" s="20" t="s">
        <v>37</v>
      </c>
      <c r="H931" t="str">
        <f>'Source Table'!$H$9</f>
        <v>Male</v>
      </c>
      <c r="I931" t="str">
        <f>'Source Table'!$H$8</f>
        <v>ذكر</v>
      </c>
      <c r="J931" t="str">
        <f t="shared" si="28"/>
        <v>2018/2017</v>
      </c>
      <c r="K931" t="str">
        <f t="shared" si="29"/>
        <v>2018/2017</v>
      </c>
      <c r="L931" s="28">
        <v>1557</v>
      </c>
      <c r="M931" s="18">
        <v>2017</v>
      </c>
    </row>
    <row r="932" ht="21.75" spans="1:13">
      <c r="A932" s="18" t="s">
        <v>155</v>
      </c>
      <c r="B932" s="18" t="s">
        <v>156</v>
      </c>
      <c r="C932" s="18" t="s">
        <v>162</v>
      </c>
      <c r="D932" s="18" t="s">
        <v>158</v>
      </c>
      <c r="E932" s="18" t="s">
        <v>159</v>
      </c>
      <c r="F932" s="19" t="s">
        <v>38</v>
      </c>
      <c r="G932" s="20" t="s">
        <v>39</v>
      </c>
      <c r="H932" t="str">
        <f>'Source Table'!$H$9</f>
        <v>Male</v>
      </c>
      <c r="I932" t="str">
        <f>'Source Table'!$H$8</f>
        <v>ذكر</v>
      </c>
      <c r="J932" t="str">
        <f t="shared" si="28"/>
        <v>2018/2017</v>
      </c>
      <c r="K932" t="str">
        <f t="shared" si="29"/>
        <v>2018/2017</v>
      </c>
      <c r="L932" s="28">
        <v>2958</v>
      </c>
      <c r="M932" s="18">
        <v>2017</v>
      </c>
    </row>
    <row r="933" ht="21.75" spans="1:13">
      <c r="A933" s="18" t="s">
        <v>155</v>
      </c>
      <c r="B933" s="18" t="s">
        <v>156</v>
      </c>
      <c r="C933" s="18" t="s">
        <v>162</v>
      </c>
      <c r="D933" s="18" t="s">
        <v>158</v>
      </c>
      <c r="E933" s="18" t="s">
        <v>159</v>
      </c>
      <c r="F933" s="19" t="s">
        <v>40</v>
      </c>
      <c r="G933" s="20" t="s">
        <v>41</v>
      </c>
      <c r="H933" t="str">
        <f>'Source Table'!$H$9</f>
        <v>Male</v>
      </c>
      <c r="I933" t="str">
        <f>'Source Table'!$H$8</f>
        <v>ذكر</v>
      </c>
      <c r="J933" t="str">
        <f t="shared" si="28"/>
        <v>2018/2017</v>
      </c>
      <c r="K933" t="str">
        <f t="shared" si="29"/>
        <v>2018/2017</v>
      </c>
      <c r="L933" s="28">
        <v>937</v>
      </c>
      <c r="M933" s="18">
        <v>2017</v>
      </c>
    </row>
    <row r="934" ht="21.75" spans="1:13">
      <c r="A934" s="18" t="s">
        <v>155</v>
      </c>
      <c r="B934" s="18" t="s">
        <v>156</v>
      </c>
      <c r="C934" s="18" t="s">
        <v>162</v>
      </c>
      <c r="D934" s="18" t="s">
        <v>158</v>
      </c>
      <c r="E934" s="18" t="s">
        <v>159</v>
      </c>
      <c r="F934" s="19" t="s">
        <v>42</v>
      </c>
      <c r="G934" s="20" t="s">
        <v>43</v>
      </c>
      <c r="H934" t="str">
        <f>'Source Table'!$H$9</f>
        <v>Male</v>
      </c>
      <c r="I934" t="str">
        <f>'Source Table'!$H$8</f>
        <v>ذكر</v>
      </c>
      <c r="J934" t="str">
        <f t="shared" si="28"/>
        <v>2018/2017</v>
      </c>
      <c r="K934" t="str">
        <f t="shared" si="29"/>
        <v>2018/2017</v>
      </c>
      <c r="L934" s="28">
        <v>514</v>
      </c>
      <c r="M934" s="18">
        <v>2017</v>
      </c>
    </row>
    <row r="935" ht="21.75" spans="1:13">
      <c r="A935" s="18" t="s">
        <v>155</v>
      </c>
      <c r="B935" s="18" t="s">
        <v>156</v>
      </c>
      <c r="C935" s="18" t="s">
        <v>162</v>
      </c>
      <c r="D935" s="18" t="s">
        <v>158</v>
      </c>
      <c r="E935" s="18" t="s">
        <v>159</v>
      </c>
      <c r="F935" s="19" t="s">
        <v>44</v>
      </c>
      <c r="G935" s="20" t="s">
        <v>45</v>
      </c>
      <c r="H935" t="str">
        <f>'Source Table'!$H$9</f>
        <v>Male</v>
      </c>
      <c r="I935" t="str">
        <f>'Source Table'!$H$8</f>
        <v>ذكر</v>
      </c>
      <c r="J935" t="str">
        <f t="shared" si="28"/>
        <v>2018/2017</v>
      </c>
      <c r="K935" t="str">
        <f t="shared" si="29"/>
        <v>2018/2017</v>
      </c>
      <c r="L935" s="28">
        <v>435</v>
      </c>
      <c r="M935" s="18">
        <v>2017</v>
      </c>
    </row>
    <row r="936" ht="21.75" spans="1:13">
      <c r="A936" s="18" t="s">
        <v>155</v>
      </c>
      <c r="B936" s="18" t="s">
        <v>156</v>
      </c>
      <c r="C936" s="18" t="s">
        <v>162</v>
      </c>
      <c r="D936" s="18" t="s">
        <v>158</v>
      </c>
      <c r="E936" s="18" t="s">
        <v>159</v>
      </c>
      <c r="F936" s="19" t="s">
        <v>46</v>
      </c>
      <c r="G936" s="20" t="s">
        <v>47</v>
      </c>
      <c r="H936" t="str">
        <f>'Source Table'!$H$9</f>
        <v>Male</v>
      </c>
      <c r="I936" t="str">
        <f>'Source Table'!$H$8</f>
        <v>ذكر</v>
      </c>
      <c r="J936" t="str">
        <f t="shared" si="28"/>
        <v>2018/2017</v>
      </c>
      <c r="K936" t="str">
        <f t="shared" si="29"/>
        <v>2018/2017</v>
      </c>
      <c r="L936" s="28">
        <v>689</v>
      </c>
      <c r="M936" s="18">
        <v>2017</v>
      </c>
    </row>
    <row r="937" ht="21.75" spans="1:13">
      <c r="A937" s="18" t="s">
        <v>155</v>
      </c>
      <c r="B937" s="18" t="s">
        <v>156</v>
      </c>
      <c r="C937" s="18" t="s">
        <v>162</v>
      </c>
      <c r="D937" s="18" t="s">
        <v>158</v>
      </c>
      <c r="E937" s="18" t="s">
        <v>159</v>
      </c>
      <c r="F937" s="19" t="s">
        <v>49</v>
      </c>
      <c r="G937" s="20" t="s">
        <v>50</v>
      </c>
      <c r="H937" t="str">
        <f>'Source Table'!$H$9</f>
        <v>Male</v>
      </c>
      <c r="I937" t="str">
        <f>'Source Table'!$H$8</f>
        <v>ذكر</v>
      </c>
      <c r="J937" t="str">
        <f t="shared" si="28"/>
        <v>2018/2017</v>
      </c>
      <c r="K937" t="str">
        <f t="shared" si="29"/>
        <v>2018/2017</v>
      </c>
      <c r="L937" s="28">
        <v>811</v>
      </c>
      <c r="M937" s="18">
        <v>2017</v>
      </c>
    </row>
    <row r="938" ht="21.75" spans="1:13">
      <c r="A938" s="18" t="s">
        <v>155</v>
      </c>
      <c r="B938" s="18" t="s">
        <v>156</v>
      </c>
      <c r="C938" s="18" t="s">
        <v>162</v>
      </c>
      <c r="D938" s="18" t="s">
        <v>158</v>
      </c>
      <c r="E938" s="18" t="s">
        <v>159</v>
      </c>
      <c r="F938" s="19" t="s">
        <v>52</v>
      </c>
      <c r="G938" s="20" t="s">
        <v>53</v>
      </c>
      <c r="H938" t="str">
        <f>'Source Table'!$H$9</f>
        <v>Male</v>
      </c>
      <c r="I938" t="str">
        <f>'Source Table'!$H$8</f>
        <v>ذكر</v>
      </c>
      <c r="J938" t="str">
        <f t="shared" si="28"/>
        <v>2018/2017</v>
      </c>
      <c r="K938" t="str">
        <f t="shared" si="29"/>
        <v>2018/2017</v>
      </c>
      <c r="L938" s="28">
        <v>441</v>
      </c>
      <c r="M938" s="18">
        <v>2017</v>
      </c>
    </row>
    <row r="939" ht="21.75" spans="1:13">
      <c r="A939" s="18" t="s">
        <v>155</v>
      </c>
      <c r="B939" s="18" t="s">
        <v>156</v>
      </c>
      <c r="C939" s="18" t="s">
        <v>162</v>
      </c>
      <c r="D939" s="18" t="s">
        <v>158</v>
      </c>
      <c r="E939" s="18" t="s">
        <v>159</v>
      </c>
      <c r="F939" s="19" t="s">
        <v>54</v>
      </c>
      <c r="G939" s="20" t="s">
        <v>55</v>
      </c>
      <c r="H939" t="str">
        <f>'Source Table'!$H$9</f>
        <v>Male</v>
      </c>
      <c r="I939" t="str">
        <f>'Source Table'!$H$8</f>
        <v>ذكر</v>
      </c>
      <c r="J939" t="str">
        <f t="shared" si="28"/>
        <v>2018/2017</v>
      </c>
      <c r="K939" t="str">
        <f t="shared" si="29"/>
        <v>2018/2017</v>
      </c>
      <c r="L939" s="28">
        <v>349</v>
      </c>
      <c r="M939" s="18">
        <v>2017</v>
      </c>
    </row>
    <row r="940" ht="21.75" spans="1:13">
      <c r="A940" s="18" t="s">
        <v>155</v>
      </c>
      <c r="B940" s="18" t="s">
        <v>156</v>
      </c>
      <c r="C940" s="18" t="s">
        <v>162</v>
      </c>
      <c r="D940" s="18" t="s">
        <v>158</v>
      </c>
      <c r="E940" s="18" t="s">
        <v>159</v>
      </c>
      <c r="F940" s="19" t="s">
        <v>56</v>
      </c>
      <c r="G940" s="20" t="s">
        <v>57</v>
      </c>
      <c r="H940" t="str">
        <f>'Source Table'!$H$9</f>
        <v>Male</v>
      </c>
      <c r="I940" t="str">
        <f>'Source Table'!$H$8</f>
        <v>ذكر</v>
      </c>
      <c r="J940" t="str">
        <f t="shared" si="28"/>
        <v>2018/2017</v>
      </c>
      <c r="K940" t="str">
        <f t="shared" si="29"/>
        <v>2018/2017</v>
      </c>
      <c r="L940" s="28">
        <v>857</v>
      </c>
      <c r="M940" s="18">
        <v>2017</v>
      </c>
    </row>
    <row r="941" ht="21.75" spans="1:13">
      <c r="A941" s="18" t="s">
        <v>155</v>
      </c>
      <c r="B941" s="18" t="s">
        <v>156</v>
      </c>
      <c r="C941" s="18" t="s">
        <v>162</v>
      </c>
      <c r="D941" s="18" t="s">
        <v>158</v>
      </c>
      <c r="E941" s="18" t="s">
        <v>159</v>
      </c>
      <c r="F941" s="19" t="s">
        <v>59</v>
      </c>
      <c r="G941" s="20" t="s">
        <v>160</v>
      </c>
      <c r="H941" t="str">
        <f>'Source Table'!$H$9</f>
        <v>Male</v>
      </c>
      <c r="I941" t="str">
        <f>'Source Table'!$H$8</f>
        <v>ذكر</v>
      </c>
      <c r="J941" t="str">
        <f t="shared" si="28"/>
        <v>2018/2017</v>
      </c>
      <c r="K941" t="str">
        <f t="shared" si="29"/>
        <v>2018/2017</v>
      </c>
      <c r="L941" s="28">
        <v>2217</v>
      </c>
      <c r="M941" s="18">
        <v>2017</v>
      </c>
    </row>
    <row r="942" ht="21.75" spans="1:13">
      <c r="A942" s="18" t="s">
        <v>155</v>
      </c>
      <c r="B942" s="18" t="s">
        <v>156</v>
      </c>
      <c r="C942" s="18" t="s">
        <v>162</v>
      </c>
      <c r="D942" s="18" t="s">
        <v>158</v>
      </c>
      <c r="E942" s="18" t="s">
        <v>159</v>
      </c>
      <c r="F942" s="19" t="s">
        <v>62</v>
      </c>
      <c r="G942" s="20" t="s">
        <v>161</v>
      </c>
      <c r="H942" t="str">
        <f>'Source Table'!$H$9</f>
        <v>Male</v>
      </c>
      <c r="I942" t="str">
        <f>'Source Table'!$H$8</f>
        <v>ذكر</v>
      </c>
      <c r="J942" t="str">
        <f t="shared" si="28"/>
        <v>2018/2017</v>
      </c>
      <c r="K942" t="str">
        <f t="shared" si="29"/>
        <v>2018/2017</v>
      </c>
      <c r="L942" s="28">
        <v>1243</v>
      </c>
      <c r="M942" s="18">
        <v>2017</v>
      </c>
    </row>
    <row r="943" ht="21.75" spans="1:13">
      <c r="A943" s="18" t="s">
        <v>155</v>
      </c>
      <c r="B943" s="18" t="s">
        <v>156</v>
      </c>
      <c r="C943" s="18" t="s">
        <v>162</v>
      </c>
      <c r="D943" s="18" t="s">
        <v>158</v>
      </c>
      <c r="E943" s="18" t="s">
        <v>159</v>
      </c>
      <c r="F943" s="19" t="s">
        <v>64</v>
      </c>
      <c r="G943" s="20" t="s">
        <v>65</v>
      </c>
      <c r="H943" t="str">
        <f>'Source Table'!$H$9</f>
        <v>Male</v>
      </c>
      <c r="I943" t="str">
        <f>'Source Table'!$H$8</f>
        <v>ذكر</v>
      </c>
      <c r="J943" t="str">
        <f t="shared" si="28"/>
        <v>2018/2017</v>
      </c>
      <c r="K943" t="str">
        <f t="shared" si="29"/>
        <v>2018/2017</v>
      </c>
      <c r="L943" s="28">
        <v>1330</v>
      </c>
      <c r="M943" s="18">
        <v>2017</v>
      </c>
    </row>
    <row r="944" ht="21.75" spans="1:13">
      <c r="A944" s="18" t="s">
        <v>155</v>
      </c>
      <c r="B944" s="18" t="s">
        <v>156</v>
      </c>
      <c r="C944" s="18" t="s">
        <v>162</v>
      </c>
      <c r="D944" s="18" t="s">
        <v>158</v>
      </c>
      <c r="E944" s="18" t="s">
        <v>159</v>
      </c>
      <c r="F944" s="19" t="s">
        <v>68</v>
      </c>
      <c r="G944" s="20" t="s">
        <v>69</v>
      </c>
      <c r="H944" t="str">
        <f>'Source Table'!$H$9</f>
        <v>Male</v>
      </c>
      <c r="I944" t="str">
        <f>'Source Table'!$H$8</f>
        <v>ذكر</v>
      </c>
      <c r="J944" t="str">
        <f t="shared" si="28"/>
        <v>2018/2017</v>
      </c>
      <c r="K944" t="str">
        <f t="shared" si="29"/>
        <v>2018/2017</v>
      </c>
      <c r="L944" s="28">
        <v>791</v>
      </c>
      <c r="M944" s="18">
        <v>2017</v>
      </c>
    </row>
    <row r="945" ht="21.75" spans="1:13">
      <c r="A945" s="18" t="s">
        <v>155</v>
      </c>
      <c r="B945" s="18" t="s">
        <v>156</v>
      </c>
      <c r="C945" s="18" t="s">
        <v>162</v>
      </c>
      <c r="D945" s="18" t="s">
        <v>158</v>
      </c>
      <c r="E945" s="18" t="s">
        <v>159</v>
      </c>
      <c r="F945" s="19" t="s">
        <v>70</v>
      </c>
      <c r="G945" s="20" t="s">
        <v>71</v>
      </c>
      <c r="H945" t="str">
        <f>'Source Table'!$H$9</f>
        <v>Male</v>
      </c>
      <c r="I945" t="str">
        <f>'Source Table'!$H$8</f>
        <v>ذكر</v>
      </c>
      <c r="J945" t="str">
        <f t="shared" si="28"/>
        <v>2018/2017</v>
      </c>
      <c r="K945" t="str">
        <f t="shared" si="29"/>
        <v>2018/2017</v>
      </c>
      <c r="L945" s="28">
        <v>385</v>
      </c>
      <c r="M945" s="18">
        <v>2017</v>
      </c>
    </row>
    <row r="946" ht="21.75" spans="1:13">
      <c r="A946" s="18" t="s">
        <v>155</v>
      </c>
      <c r="B946" s="18" t="s">
        <v>156</v>
      </c>
      <c r="C946" s="18" t="s">
        <v>162</v>
      </c>
      <c r="D946" s="18" t="s">
        <v>158</v>
      </c>
      <c r="E946" s="18" t="s">
        <v>159</v>
      </c>
      <c r="F946" s="19" t="s">
        <v>74</v>
      </c>
      <c r="G946" s="20" t="s">
        <v>75</v>
      </c>
      <c r="H946" t="str">
        <f>'Source Table'!$H$9</f>
        <v>Male</v>
      </c>
      <c r="I946" t="str">
        <f>'Source Table'!$H$8</f>
        <v>ذكر</v>
      </c>
      <c r="J946" t="str">
        <f t="shared" si="28"/>
        <v>2018/2017</v>
      </c>
      <c r="K946" t="str">
        <f t="shared" si="29"/>
        <v>2018/2017</v>
      </c>
      <c r="L946" s="28">
        <v>2608</v>
      </c>
      <c r="M946" s="18">
        <v>2017</v>
      </c>
    </row>
    <row r="947" ht="21.75" spans="1:13">
      <c r="A947" s="18" t="s">
        <v>155</v>
      </c>
      <c r="B947" s="18" t="s">
        <v>156</v>
      </c>
      <c r="C947" s="18" t="s">
        <v>162</v>
      </c>
      <c r="D947" s="18" t="s">
        <v>158</v>
      </c>
      <c r="E947" s="18" t="s">
        <v>159</v>
      </c>
      <c r="F947" s="19" t="s">
        <v>76</v>
      </c>
      <c r="G947" s="20" t="s">
        <v>77</v>
      </c>
      <c r="H947" t="str">
        <f>'Source Table'!$H$9</f>
        <v>Male</v>
      </c>
      <c r="I947" t="str">
        <f>'Source Table'!$H$8</f>
        <v>ذكر</v>
      </c>
      <c r="J947" t="str">
        <f t="shared" si="28"/>
        <v>2018/2017</v>
      </c>
      <c r="K947" t="str">
        <f t="shared" si="29"/>
        <v>2018/2017</v>
      </c>
      <c r="L947" s="28">
        <v>708</v>
      </c>
      <c r="M947" s="18">
        <v>2017</v>
      </c>
    </row>
    <row r="948" ht="21.75" spans="1:13">
      <c r="A948" s="18" t="s">
        <v>155</v>
      </c>
      <c r="B948" s="18" t="s">
        <v>156</v>
      </c>
      <c r="C948" s="18" t="s">
        <v>162</v>
      </c>
      <c r="D948" s="18" t="s">
        <v>158</v>
      </c>
      <c r="E948" s="18" t="s">
        <v>159</v>
      </c>
      <c r="F948" s="19" t="s">
        <v>78</v>
      </c>
      <c r="G948" s="20" t="s">
        <v>79</v>
      </c>
      <c r="H948" t="str">
        <f>'Source Table'!$H$9</f>
        <v>Male</v>
      </c>
      <c r="I948" t="str">
        <f>'Source Table'!$H$8</f>
        <v>ذكر</v>
      </c>
      <c r="J948" t="str">
        <f t="shared" si="28"/>
        <v>2018/2017</v>
      </c>
      <c r="K948" t="str">
        <f t="shared" si="29"/>
        <v>2018/2017</v>
      </c>
      <c r="L948" s="28">
        <v>451</v>
      </c>
      <c r="M948" s="18">
        <v>2017</v>
      </c>
    </row>
    <row r="949" ht="21.75" spans="1:13">
      <c r="A949" s="18" t="s">
        <v>155</v>
      </c>
      <c r="B949" s="18" t="s">
        <v>156</v>
      </c>
      <c r="C949" s="18" t="s">
        <v>162</v>
      </c>
      <c r="D949" s="18" t="s">
        <v>158</v>
      </c>
      <c r="E949" s="18" t="s">
        <v>159</v>
      </c>
      <c r="F949" s="19" t="s">
        <v>80</v>
      </c>
      <c r="G949" s="20" t="s">
        <v>81</v>
      </c>
      <c r="H949" t="str">
        <f>'Source Table'!$H$9</f>
        <v>Male</v>
      </c>
      <c r="I949" t="str">
        <f>'Source Table'!$H$8</f>
        <v>ذكر</v>
      </c>
      <c r="J949" t="str">
        <f t="shared" si="28"/>
        <v>2018/2017</v>
      </c>
      <c r="K949" t="str">
        <f t="shared" si="29"/>
        <v>2018/2017</v>
      </c>
      <c r="L949" s="28">
        <v>446</v>
      </c>
      <c r="M949" s="18">
        <v>2017</v>
      </c>
    </row>
    <row r="950" ht="21.75" spans="1:13">
      <c r="A950" s="18" t="s">
        <v>155</v>
      </c>
      <c r="B950" s="18" t="s">
        <v>156</v>
      </c>
      <c r="C950" s="18" t="s">
        <v>162</v>
      </c>
      <c r="D950" s="18" t="s">
        <v>158</v>
      </c>
      <c r="E950" s="18" t="s">
        <v>159</v>
      </c>
      <c r="F950" s="19" t="s">
        <v>82</v>
      </c>
      <c r="G950" s="20" t="s">
        <v>83</v>
      </c>
      <c r="H950" t="str">
        <f>'Source Table'!$H$9</f>
        <v>Male</v>
      </c>
      <c r="I950" t="str">
        <f>'Source Table'!$H$8</f>
        <v>ذكر</v>
      </c>
      <c r="J950" t="str">
        <f t="shared" si="28"/>
        <v>2018/2017</v>
      </c>
      <c r="K950" t="str">
        <f t="shared" si="29"/>
        <v>2018/2017</v>
      </c>
      <c r="L950" s="28">
        <v>807</v>
      </c>
      <c r="M950" s="18">
        <v>2017</v>
      </c>
    </row>
    <row r="951" ht="21.75" spans="1:13">
      <c r="A951" s="18" t="s">
        <v>155</v>
      </c>
      <c r="B951" s="18" t="s">
        <v>156</v>
      </c>
      <c r="C951" s="18" t="s">
        <v>162</v>
      </c>
      <c r="D951" s="18" t="s">
        <v>158</v>
      </c>
      <c r="E951" s="18" t="s">
        <v>159</v>
      </c>
      <c r="F951" s="19" t="s">
        <v>84</v>
      </c>
      <c r="G951" s="20" t="s">
        <v>85</v>
      </c>
      <c r="H951" t="str">
        <f>'Source Table'!$H$9</f>
        <v>Male</v>
      </c>
      <c r="I951" t="str">
        <f>'Source Table'!$H$8</f>
        <v>ذكر</v>
      </c>
      <c r="J951" t="str">
        <f t="shared" si="28"/>
        <v>2018/2017</v>
      </c>
      <c r="K951" t="str">
        <f t="shared" si="29"/>
        <v>2018/2017</v>
      </c>
      <c r="L951" s="28">
        <v>785</v>
      </c>
      <c r="M951" s="18">
        <v>2017</v>
      </c>
    </row>
    <row r="952" ht="21.75" spans="1:13">
      <c r="A952" s="18" t="s">
        <v>155</v>
      </c>
      <c r="B952" s="18" t="s">
        <v>156</v>
      </c>
      <c r="C952" s="18" t="s">
        <v>162</v>
      </c>
      <c r="D952" s="18" t="s">
        <v>158</v>
      </c>
      <c r="E952" s="18" t="s">
        <v>159</v>
      </c>
      <c r="F952" s="19" t="s">
        <v>86</v>
      </c>
      <c r="G952" s="20" t="s">
        <v>87</v>
      </c>
      <c r="H952" t="str">
        <f>'Source Table'!$H$9</f>
        <v>Male</v>
      </c>
      <c r="I952" t="str">
        <f>'Source Table'!$H$8</f>
        <v>ذكر</v>
      </c>
      <c r="J952" t="str">
        <f t="shared" si="28"/>
        <v>2018/2017</v>
      </c>
      <c r="K952" t="str">
        <f t="shared" si="29"/>
        <v>2018/2017</v>
      </c>
      <c r="L952" s="28">
        <v>701</v>
      </c>
      <c r="M952" s="18">
        <v>2017</v>
      </c>
    </row>
    <row r="953" ht="21.75" spans="1:13">
      <c r="A953" s="18" t="s">
        <v>155</v>
      </c>
      <c r="B953" s="18" t="s">
        <v>156</v>
      </c>
      <c r="C953" s="18" t="s">
        <v>162</v>
      </c>
      <c r="D953" s="18" t="s">
        <v>158</v>
      </c>
      <c r="E953" s="18" t="s">
        <v>159</v>
      </c>
      <c r="F953" s="19" t="s">
        <v>88</v>
      </c>
      <c r="G953" s="20" t="s">
        <v>89</v>
      </c>
      <c r="H953" t="str">
        <f>'Source Table'!$H$9</f>
        <v>Male</v>
      </c>
      <c r="I953" t="str">
        <f>'Source Table'!$H$8</f>
        <v>ذكر</v>
      </c>
      <c r="J953" t="str">
        <f t="shared" si="28"/>
        <v>2018/2017</v>
      </c>
      <c r="K953" t="str">
        <f t="shared" si="29"/>
        <v>2018/2017</v>
      </c>
      <c r="L953" s="28">
        <v>990</v>
      </c>
      <c r="M953" s="18">
        <v>2017</v>
      </c>
    </row>
    <row r="954" ht="21.75" spans="1:13">
      <c r="A954" s="18" t="s">
        <v>155</v>
      </c>
      <c r="B954" s="18" t="s">
        <v>156</v>
      </c>
      <c r="C954" s="18" t="s">
        <v>162</v>
      </c>
      <c r="D954" s="18" t="s">
        <v>158</v>
      </c>
      <c r="E954" s="18" t="s">
        <v>159</v>
      </c>
      <c r="F954" s="19" t="s">
        <v>91</v>
      </c>
      <c r="G954" s="20" t="s">
        <v>92</v>
      </c>
      <c r="H954" t="str">
        <f>'Source Table'!$H$9</f>
        <v>Male</v>
      </c>
      <c r="I954" t="str">
        <f>'Source Table'!$H$8</f>
        <v>ذكر</v>
      </c>
      <c r="J954" t="str">
        <f t="shared" si="28"/>
        <v>2018/2017</v>
      </c>
      <c r="K954" t="str">
        <f t="shared" si="29"/>
        <v>2018/2017</v>
      </c>
      <c r="L954" s="28">
        <v>1469</v>
      </c>
      <c r="M954" s="18">
        <v>2017</v>
      </c>
    </row>
    <row r="955" ht="21.75" spans="1:13">
      <c r="A955" s="18" t="s">
        <v>155</v>
      </c>
      <c r="B955" s="18" t="s">
        <v>156</v>
      </c>
      <c r="C955" s="18" t="s">
        <v>162</v>
      </c>
      <c r="D955" s="18" t="s">
        <v>158</v>
      </c>
      <c r="E955" s="18" t="s">
        <v>159</v>
      </c>
      <c r="F955" s="19" t="s">
        <v>94</v>
      </c>
      <c r="G955" s="20" t="s">
        <v>95</v>
      </c>
      <c r="H955" t="str">
        <f>'Source Table'!$H$9</f>
        <v>Male</v>
      </c>
      <c r="I955" t="str">
        <f>'Source Table'!$H$8</f>
        <v>ذكر</v>
      </c>
      <c r="J955" t="str">
        <f t="shared" si="28"/>
        <v>2018/2017</v>
      </c>
      <c r="K955" t="str">
        <f t="shared" si="29"/>
        <v>2018/2017</v>
      </c>
      <c r="L955" s="28">
        <v>1209</v>
      </c>
      <c r="M955" s="18">
        <v>2017</v>
      </c>
    </row>
    <row r="956" ht="21.75" spans="1:13">
      <c r="A956" s="18" t="s">
        <v>155</v>
      </c>
      <c r="B956" s="18" t="s">
        <v>156</v>
      </c>
      <c r="C956" s="18" t="s">
        <v>162</v>
      </c>
      <c r="D956" s="18" t="s">
        <v>158</v>
      </c>
      <c r="E956" s="18" t="s">
        <v>159</v>
      </c>
      <c r="F956" s="19" t="s">
        <v>96</v>
      </c>
      <c r="G956" s="20" t="s">
        <v>97</v>
      </c>
      <c r="H956" t="str">
        <f>'Source Table'!$H$9</f>
        <v>Male</v>
      </c>
      <c r="I956" t="str">
        <f>'Source Table'!$H$8</f>
        <v>ذكر</v>
      </c>
      <c r="J956" t="str">
        <f t="shared" si="28"/>
        <v>2018/2017</v>
      </c>
      <c r="K956" t="str">
        <f t="shared" si="29"/>
        <v>2018/2017</v>
      </c>
      <c r="L956" s="28">
        <v>1394</v>
      </c>
      <c r="M956" s="18">
        <v>2017</v>
      </c>
    </row>
    <row r="957" ht="21.75" spans="1:13">
      <c r="A957" s="18" t="s">
        <v>155</v>
      </c>
      <c r="B957" s="18" t="s">
        <v>156</v>
      </c>
      <c r="C957" s="18" t="s">
        <v>162</v>
      </c>
      <c r="D957" s="18" t="s">
        <v>158</v>
      </c>
      <c r="E957" s="18" t="s">
        <v>159</v>
      </c>
      <c r="F957" s="19" t="s">
        <v>98</v>
      </c>
      <c r="G957" s="20" t="s">
        <v>99</v>
      </c>
      <c r="H957" t="str">
        <f>'Source Table'!$H$9</f>
        <v>Male</v>
      </c>
      <c r="I957" t="str">
        <f>'Source Table'!$H$8</f>
        <v>ذكر</v>
      </c>
      <c r="J957" t="str">
        <f t="shared" si="28"/>
        <v>2018/2017</v>
      </c>
      <c r="K957" t="str">
        <f t="shared" si="29"/>
        <v>2018/2017</v>
      </c>
      <c r="L957" s="32">
        <v>1570</v>
      </c>
      <c r="M957" s="18">
        <v>2017</v>
      </c>
    </row>
    <row r="958" ht="21.75" spans="1:13">
      <c r="A958" s="18" t="s">
        <v>155</v>
      </c>
      <c r="B958" s="18" t="s">
        <v>156</v>
      </c>
      <c r="C958" s="18" t="s">
        <v>162</v>
      </c>
      <c r="D958" s="18" t="s">
        <v>158</v>
      </c>
      <c r="E958" s="18" t="s">
        <v>159</v>
      </c>
      <c r="F958" s="19" t="s">
        <v>100</v>
      </c>
      <c r="G958" s="20" t="s">
        <v>101</v>
      </c>
      <c r="H958" t="str">
        <f>'Source Table'!$H$9</f>
        <v>Male</v>
      </c>
      <c r="I958" t="str">
        <f>'Source Table'!$H$8</f>
        <v>ذكر</v>
      </c>
      <c r="J958" t="str">
        <f t="shared" si="28"/>
        <v>2018/2017</v>
      </c>
      <c r="K958" t="str">
        <f t="shared" si="29"/>
        <v>2018/2017</v>
      </c>
      <c r="L958" s="32">
        <v>1077</v>
      </c>
      <c r="M958" s="18">
        <v>2017</v>
      </c>
    </row>
    <row r="959" ht="21.75" spans="1:13">
      <c r="A959" s="18" t="s">
        <v>155</v>
      </c>
      <c r="B959" s="18" t="s">
        <v>156</v>
      </c>
      <c r="C959" s="18" t="s">
        <v>162</v>
      </c>
      <c r="D959" s="18" t="s">
        <v>158</v>
      </c>
      <c r="E959" s="18" t="s">
        <v>159</v>
      </c>
      <c r="F959" s="19" t="s">
        <v>103</v>
      </c>
      <c r="G959" s="20" t="s">
        <v>104</v>
      </c>
      <c r="H959" t="str">
        <f>'Source Table'!$H$9</f>
        <v>Male</v>
      </c>
      <c r="I959" t="str">
        <f>'Source Table'!$H$8</f>
        <v>ذكر</v>
      </c>
      <c r="J959" t="str">
        <f t="shared" si="28"/>
        <v>2018/2017</v>
      </c>
      <c r="K959" t="str">
        <f t="shared" si="29"/>
        <v>2018/2017</v>
      </c>
      <c r="L959" s="28">
        <v>854</v>
      </c>
      <c r="M959" s="18">
        <v>2017</v>
      </c>
    </row>
    <row r="960" ht="21.75" spans="1:13">
      <c r="A960" s="18" t="s">
        <v>155</v>
      </c>
      <c r="B960" s="18" t="s">
        <v>156</v>
      </c>
      <c r="C960" s="18" t="s">
        <v>162</v>
      </c>
      <c r="D960" s="18" t="s">
        <v>158</v>
      </c>
      <c r="E960" s="18" t="s">
        <v>159</v>
      </c>
      <c r="F960" s="19" t="s">
        <v>106</v>
      </c>
      <c r="G960" s="20" t="s">
        <v>107</v>
      </c>
      <c r="H960" t="str">
        <f>'Source Table'!$H$9</f>
        <v>Male</v>
      </c>
      <c r="I960" t="str">
        <f>'Source Table'!$H$8</f>
        <v>ذكر</v>
      </c>
      <c r="J960" t="str">
        <f t="shared" si="28"/>
        <v>2018/2017</v>
      </c>
      <c r="K960" t="str">
        <f t="shared" si="29"/>
        <v>2018/2017</v>
      </c>
      <c r="L960" s="28">
        <v>614</v>
      </c>
      <c r="M960" s="18">
        <v>2017</v>
      </c>
    </row>
    <row r="961" ht="21.75" spans="1:13">
      <c r="A961" s="18" t="s">
        <v>155</v>
      </c>
      <c r="B961" s="18" t="s">
        <v>156</v>
      </c>
      <c r="C961" s="18" t="s">
        <v>162</v>
      </c>
      <c r="D961" s="18" t="s">
        <v>158</v>
      </c>
      <c r="E961" s="18" t="s">
        <v>159</v>
      </c>
      <c r="F961" s="19" t="s">
        <v>108</v>
      </c>
      <c r="G961" s="20" t="s">
        <v>109</v>
      </c>
      <c r="H961" t="str">
        <f>'Source Table'!$H$9</f>
        <v>Male</v>
      </c>
      <c r="I961" t="str">
        <f>'Source Table'!$H$8</f>
        <v>ذكر</v>
      </c>
      <c r="J961" t="str">
        <f t="shared" si="28"/>
        <v>2018/2017</v>
      </c>
      <c r="K961" t="str">
        <f t="shared" si="29"/>
        <v>2018/2017</v>
      </c>
      <c r="L961" s="28">
        <v>464</v>
      </c>
      <c r="M961" s="18">
        <v>2017</v>
      </c>
    </row>
    <row r="962" ht="21.75" spans="1:13">
      <c r="A962" s="18" t="s">
        <v>155</v>
      </c>
      <c r="B962" s="18" t="s">
        <v>156</v>
      </c>
      <c r="C962" s="18" t="s">
        <v>162</v>
      </c>
      <c r="D962" s="18" t="s">
        <v>158</v>
      </c>
      <c r="E962" s="18" t="s">
        <v>159</v>
      </c>
      <c r="F962" s="19" t="s">
        <v>110</v>
      </c>
      <c r="G962" s="20" t="s">
        <v>111</v>
      </c>
      <c r="H962" t="str">
        <f>'Source Table'!$H$9</f>
        <v>Male</v>
      </c>
      <c r="I962" t="str">
        <f>'Source Table'!$H$8</f>
        <v>ذكر</v>
      </c>
      <c r="J962" t="str">
        <f t="shared" si="28"/>
        <v>2018/2017</v>
      </c>
      <c r="K962" t="str">
        <f t="shared" si="29"/>
        <v>2018/2017</v>
      </c>
      <c r="L962" s="28">
        <v>336</v>
      </c>
      <c r="M962" s="18">
        <v>2017</v>
      </c>
    </row>
    <row r="963" ht="21.75" spans="1:13">
      <c r="A963" s="18" t="s">
        <v>155</v>
      </c>
      <c r="B963" s="18" t="s">
        <v>156</v>
      </c>
      <c r="C963" s="18" t="s">
        <v>162</v>
      </c>
      <c r="D963" s="18" t="s">
        <v>158</v>
      </c>
      <c r="E963" s="18" t="s">
        <v>159</v>
      </c>
      <c r="F963" s="19" t="s">
        <v>113</v>
      </c>
      <c r="G963" s="20" t="s">
        <v>114</v>
      </c>
      <c r="H963" t="str">
        <f>'Source Table'!$H$9</f>
        <v>Male</v>
      </c>
      <c r="I963" t="str">
        <f>'Source Table'!$H$8</f>
        <v>ذكر</v>
      </c>
      <c r="J963" t="str">
        <f t="shared" si="28"/>
        <v>2018/2017</v>
      </c>
      <c r="K963" t="str">
        <f t="shared" si="29"/>
        <v>2018/2017</v>
      </c>
      <c r="L963" s="28">
        <v>670</v>
      </c>
      <c r="M963" s="18">
        <v>2017</v>
      </c>
    </row>
    <row r="964" ht="21.75" spans="1:13">
      <c r="A964" s="18" t="s">
        <v>155</v>
      </c>
      <c r="B964" s="18" t="s">
        <v>156</v>
      </c>
      <c r="C964" s="18" t="s">
        <v>162</v>
      </c>
      <c r="D964" s="18" t="s">
        <v>158</v>
      </c>
      <c r="E964" s="18" t="s">
        <v>159</v>
      </c>
      <c r="F964" s="19" t="s">
        <v>115</v>
      </c>
      <c r="G964" s="20" t="s">
        <v>116</v>
      </c>
      <c r="H964" t="str">
        <f>'Source Table'!$H$9</f>
        <v>Male</v>
      </c>
      <c r="I964" t="str">
        <f>'Source Table'!$H$8</f>
        <v>ذكر</v>
      </c>
      <c r="J964" t="str">
        <f t="shared" si="28"/>
        <v>2018/2017</v>
      </c>
      <c r="K964" t="str">
        <f t="shared" si="29"/>
        <v>2018/2017</v>
      </c>
      <c r="L964" s="28">
        <v>235</v>
      </c>
      <c r="M964" s="18">
        <v>2017</v>
      </c>
    </row>
    <row r="965" ht="21.75" spans="1:13">
      <c r="A965" s="18" t="s">
        <v>155</v>
      </c>
      <c r="B965" s="18" t="s">
        <v>156</v>
      </c>
      <c r="C965" s="18" t="s">
        <v>162</v>
      </c>
      <c r="D965" s="18" t="s">
        <v>158</v>
      </c>
      <c r="E965" s="18" t="s">
        <v>159</v>
      </c>
      <c r="F965" s="19" t="s">
        <v>118</v>
      </c>
      <c r="G965" s="20" t="s">
        <v>119</v>
      </c>
      <c r="H965" t="str">
        <f>'Source Table'!$H$9</f>
        <v>Male</v>
      </c>
      <c r="I965" t="str">
        <f>'Source Table'!$H$8</f>
        <v>ذكر</v>
      </c>
      <c r="J965" t="str">
        <f t="shared" ref="J965:J1028" si="30">TEXT(M965+1,"0")&amp;"/"&amp;TEXT(M965,"0")</f>
        <v>2018/2017</v>
      </c>
      <c r="K965" t="str">
        <f t="shared" ref="K965:K1028" si="31">TEXT(M965+1,"0")&amp;"/"&amp;TEXT(M965,"0")</f>
        <v>2018/2017</v>
      </c>
      <c r="L965" s="28">
        <v>338</v>
      </c>
      <c r="M965" s="18">
        <v>2017</v>
      </c>
    </row>
    <row r="966" ht="21.75" spans="1:13">
      <c r="A966" s="18" t="s">
        <v>155</v>
      </c>
      <c r="B966" s="18" t="s">
        <v>156</v>
      </c>
      <c r="C966" s="18" t="s">
        <v>162</v>
      </c>
      <c r="D966" s="18" t="s">
        <v>158</v>
      </c>
      <c r="E966" s="18" t="s">
        <v>159</v>
      </c>
      <c r="F966" s="19" t="s">
        <v>120</v>
      </c>
      <c r="G966" s="20" t="s">
        <v>121</v>
      </c>
      <c r="H966" t="str">
        <f>'Source Table'!$H$9</f>
        <v>Male</v>
      </c>
      <c r="I966" t="str">
        <f>'Source Table'!$H$8</f>
        <v>ذكر</v>
      </c>
      <c r="J966" t="str">
        <f t="shared" si="30"/>
        <v>2018/2017</v>
      </c>
      <c r="K966" t="str">
        <f t="shared" si="31"/>
        <v>2018/2017</v>
      </c>
      <c r="L966" s="28">
        <v>614</v>
      </c>
      <c r="M966" s="18">
        <v>2017</v>
      </c>
    </row>
    <row r="967" ht="21.75" spans="1:13">
      <c r="A967" s="18" t="s">
        <v>155</v>
      </c>
      <c r="B967" s="18" t="s">
        <v>156</v>
      </c>
      <c r="C967" s="18" t="s">
        <v>162</v>
      </c>
      <c r="D967" s="18" t="s">
        <v>158</v>
      </c>
      <c r="E967" s="18" t="s">
        <v>159</v>
      </c>
      <c r="F967" s="19" t="s">
        <v>122</v>
      </c>
      <c r="G967" s="20" t="s">
        <v>123</v>
      </c>
      <c r="H967" t="str">
        <f>'Source Table'!$H$9</f>
        <v>Male</v>
      </c>
      <c r="I967" t="str">
        <f>'Source Table'!$H$8</f>
        <v>ذكر</v>
      </c>
      <c r="J967" t="str">
        <f t="shared" si="30"/>
        <v>2018/2017</v>
      </c>
      <c r="K967" t="str">
        <f t="shared" si="31"/>
        <v>2018/2017</v>
      </c>
      <c r="L967" s="28">
        <v>231</v>
      </c>
      <c r="M967" s="18">
        <v>2017</v>
      </c>
    </row>
    <row r="968" ht="21.75" spans="1:13">
      <c r="A968" s="18" t="s">
        <v>155</v>
      </c>
      <c r="B968" s="18" t="s">
        <v>156</v>
      </c>
      <c r="C968" s="18" t="s">
        <v>162</v>
      </c>
      <c r="D968" s="18" t="s">
        <v>158</v>
      </c>
      <c r="E968" s="18" t="s">
        <v>159</v>
      </c>
      <c r="F968" s="19" t="s">
        <v>124</v>
      </c>
      <c r="G968" s="20" t="s">
        <v>125</v>
      </c>
      <c r="H968" t="str">
        <f>'Source Table'!$H$9</f>
        <v>Male</v>
      </c>
      <c r="I968" t="str">
        <f>'Source Table'!$H$8</f>
        <v>ذكر</v>
      </c>
      <c r="J968" t="str">
        <f t="shared" si="30"/>
        <v>2018/2017</v>
      </c>
      <c r="K968" t="str">
        <f t="shared" si="31"/>
        <v>2018/2017</v>
      </c>
      <c r="L968" s="28">
        <v>192</v>
      </c>
      <c r="M968" s="18">
        <v>2017</v>
      </c>
    </row>
    <row r="969" ht="21.75" spans="1:13">
      <c r="A969" s="18" t="s">
        <v>155</v>
      </c>
      <c r="B969" s="18" t="s">
        <v>156</v>
      </c>
      <c r="C969" s="18" t="s">
        <v>162</v>
      </c>
      <c r="D969" s="18" t="s">
        <v>158</v>
      </c>
      <c r="E969" s="18" t="s">
        <v>159</v>
      </c>
      <c r="F969" s="19" t="s">
        <v>126</v>
      </c>
      <c r="G969" s="20" t="s">
        <v>127</v>
      </c>
      <c r="H969" t="str">
        <f>'Source Table'!$H$9</f>
        <v>Male</v>
      </c>
      <c r="I969" t="str">
        <f>'Source Table'!$H$8</f>
        <v>ذكر</v>
      </c>
      <c r="J969" t="str">
        <f t="shared" si="30"/>
        <v>2018/2017</v>
      </c>
      <c r="K969" t="str">
        <f t="shared" si="31"/>
        <v>2018/2017</v>
      </c>
      <c r="L969" s="32">
        <v>983</v>
      </c>
      <c r="M969" s="18">
        <v>2017</v>
      </c>
    </row>
    <row r="970" ht="21.75" spans="1:13">
      <c r="A970" s="18" t="s">
        <v>155</v>
      </c>
      <c r="B970" s="18" t="s">
        <v>156</v>
      </c>
      <c r="C970" s="18" t="s">
        <v>162</v>
      </c>
      <c r="D970" s="18" t="s">
        <v>158</v>
      </c>
      <c r="E970" s="18" t="s">
        <v>159</v>
      </c>
      <c r="F970" s="19" t="s">
        <v>29</v>
      </c>
      <c r="G970" s="20" t="s">
        <v>30</v>
      </c>
      <c r="H970" t="str">
        <f>'Source Table'!$G$9</f>
        <v>Female</v>
      </c>
      <c r="I970" t="str">
        <f>'Source Table'!$G$8</f>
        <v>أنثى</v>
      </c>
      <c r="J970" t="str">
        <f t="shared" si="30"/>
        <v>2018/2017</v>
      </c>
      <c r="K970" t="str">
        <f t="shared" si="31"/>
        <v>2018/2017</v>
      </c>
      <c r="L970" s="28">
        <v>6707</v>
      </c>
      <c r="M970" s="18">
        <v>2017</v>
      </c>
    </row>
    <row r="971" ht="21.75" spans="1:13">
      <c r="A971" s="18" t="s">
        <v>155</v>
      </c>
      <c r="B971" s="18" t="s">
        <v>156</v>
      </c>
      <c r="C971" s="18" t="s">
        <v>162</v>
      </c>
      <c r="D971" s="18" t="s">
        <v>158</v>
      </c>
      <c r="E971" s="18" t="s">
        <v>159</v>
      </c>
      <c r="F971" s="19" t="s">
        <v>32</v>
      </c>
      <c r="G971" s="20" t="s">
        <v>33</v>
      </c>
      <c r="H971" t="str">
        <f>'Source Table'!$G$9</f>
        <v>Female</v>
      </c>
      <c r="I971" t="str">
        <f>'Source Table'!$G$8</f>
        <v>أنثى</v>
      </c>
      <c r="J971" t="str">
        <f t="shared" si="30"/>
        <v>2018/2017</v>
      </c>
      <c r="K971" t="str">
        <f t="shared" si="31"/>
        <v>2018/2017</v>
      </c>
      <c r="L971" s="28">
        <v>7776</v>
      </c>
      <c r="M971" s="18">
        <v>2017</v>
      </c>
    </row>
    <row r="972" ht="21.75" spans="1:13">
      <c r="A972" s="18" t="s">
        <v>155</v>
      </c>
      <c r="B972" s="18" t="s">
        <v>156</v>
      </c>
      <c r="C972" s="18" t="s">
        <v>162</v>
      </c>
      <c r="D972" s="18" t="s">
        <v>158</v>
      </c>
      <c r="E972" s="18" t="s">
        <v>159</v>
      </c>
      <c r="F972" s="19" t="s">
        <v>34</v>
      </c>
      <c r="G972" s="20" t="s">
        <v>35</v>
      </c>
      <c r="H972" t="str">
        <f>'Source Table'!$G$9</f>
        <v>Female</v>
      </c>
      <c r="I972" t="str">
        <f>'Source Table'!$G$8</f>
        <v>أنثى</v>
      </c>
      <c r="J972" t="str">
        <f t="shared" si="30"/>
        <v>2018/2017</v>
      </c>
      <c r="K972" t="str">
        <f t="shared" si="31"/>
        <v>2018/2017</v>
      </c>
      <c r="L972" s="28">
        <v>1207</v>
      </c>
      <c r="M972" s="18">
        <v>2017</v>
      </c>
    </row>
    <row r="973" ht="21.75" spans="1:13">
      <c r="A973" s="18" t="s">
        <v>155</v>
      </c>
      <c r="B973" s="18" t="s">
        <v>156</v>
      </c>
      <c r="C973" s="18" t="s">
        <v>162</v>
      </c>
      <c r="D973" s="18" t="s">
        <v>158</v>
      </c>
      <c r="E973" s="18" t="s">
        <v>159</v>
      </c>
      <c r="F973" s="19" t="s">
        <v>36</v>
      </c>
      <c r="G973" s="20" t="s">
        <v>37</v>
      </c>
      <c r="H973" t="str">
        <f>'Source Table'!$G$9</f>
        <v>Female</v>
      </c>
      <c r="I973" t="str">
        <f>'Source Table'!$G$8</f>
        <v>أنثى</v>
      </c>
      <c r="J973" t="str">
        <f t="shared" si="30"/>
        <v>2018/2017</v>
      </c>
      <c r="K973" t="str">
        <f t="shared" si="31"/>
        <v>2018/2017</v>
      </c>
      <c r="L973" s="28">
        <v>5246</v>
      </c>
      <c r="M973" s="18">
        <v>2017</v>
      </c>
    </row>
    <row r="974" ht="21.75" spans="1:13">
      <c r="A974" s="18" t="s">
        <v>155</v>
      </c>
      <c r="B974" s="18" t="s">
        <v>156</v>
      </c>
      <c r="C974" s="18" t="s">
        <v>162</v>
      </c>
      <c r="D974" s="18" t="s">
        <v>158</v>
      </c>
      <c r="E974" s="18" t="s">
        <v>159</v>
      </c>
      <c r="F974" s="19" t="s">
        <v>38</v>
      </c>
      <c r="G974" s="20" t="s">
        <v>39</v>
      </c>
      <c r="H974" t="str">
        <f>'Source Table'!$G$9</f>
        <v>Female</v>
      </c>
      <c r="I974" t="str">
        <f>'Source Table'!$G$8</f>
        <v>أنثى</v>
      </c>
      <c r="J974" t="str">
        <f t="shared" si="30"/>
        <v>2018/2017</v>
      </c>
      <c r="K974" t="str">
        <f t="shared" si="31"/>
        <v>2018/2017</v>
      </c>
      <c r="L974" s="28">
        <v>7222</v>
      </c>
      <c r="M974" s="18">
        <v>2017</v>
      </c>
    </row>
    <row r="975" ht="21.75" spans="1:13">
      <c r="A975" s="18" t="s">
        <v>155</v>
      </c>
      <c r="B975" s="18" t="s">
        <v>156</v>
      </c>
      <c r="C975" s="18" t="s">
        <v>162</v>
      </c>
      <c r="D975" s="18" t="s">
        <v>158</v>
      </c>
      <c r="E975" s="18" t="s">
        <v>159</v>
      </c>
      <c r="F975" s="19" t="s">
        <v>40</v>
      </c>
      <c r="G975" s="20" t="s">
        <v>41</v>
      </c>
      <c r="H975" t="str">
        <f>'Source Table'!$G$9</f>
        <v>Female</v>
      </c>
      <c r="I975" t="str">
        <f>'Source Table'!$G$8</f>
        <v>أنثى</v>
      </c>
      <c r="J975" t="str">
        <f t="shared" si="30"/>
        <v>2018/2017</v>
      </c>
      <c r="K975" t="str">
        <f t="shared" si="31"/>
        <v>2018/2017</v>
      </c>
      <c r="L975" s="28">
        <v>3253</v>
      </c>
      <c r="M975" s="18">
        <v>2017</v>
      </c>
    </row>
    <row r="976" ht="21.75" spans="1:13">
      <c r="A976" s="18" t="s">
        <v>155</v>
      </c>
      <c r="B976" s="18" t="s">
        <v>156</v>
      </c>
      <c r="C976" s="18" t="s">
        <v>162</v>
      </c>
      <c r="D976" s="18" t="s">
        <v>158</v>
      </c>
      <c r="E976" s="18" t="s">
        <v>159</v>
      </c>
      <c r="F976" s="19" t="s">
        <v>42</v>
      </c>
      <c r="G976" s="20" t="s">
        <v>43</v>
      </c>
      <c r="H976" t="str">
        <f>'Source Table'!$G$9</f>
        <v>Female</v>
      </c>
      <c r="I976" t="str">
        <f>'Source Table'!$G$8</f>
        <v>أنثى</v>
      </c>
      <c r="J976" t="str">
        <f t="shared" si="30"/>
        <v>2018/2017</v>
      </c>
      <c r="K976" t="str">
        <f t="shared" si="31"/>
        <v>2018/2017</v>
      </c>
      <c r="L976" s="28">
        <v>1365</v>
      </c>
      <c r="M976" s="18">
        <v>2017</v>
      </c>
    </row>
    <row r="977" ht="21.75" spans="1:13">
      <c r="A977" s="18" t="s">
        <v>155</v>
      </c>
      <c r="B977" s="18" t="s">
        <v>156</v>
      </c>
      <c r="C977" s="18" t="s">
        <v>162</v>
      </c>
      <c r="D977" s="18" t="s">
        <v>158</v>
      </c>
      <c r="E977" s="18" t="s">
        <v>159</v>
      </c>
      <c r="F977" s="19" t="s">
        <v>44</v>
      </c>
      <c r="G977" s="20" t="s">
        <v>45</v>
      </c>
      <c r="H977" t="str">
        <f>'Source Table'!$G$9</f>
        <v>Female</v>
      </c>
      <c r="I977" t="str">
        <f>'Source Table'!$G$8</f>
        <v>أنثى</v>
      </c>
      <c r="J977" t="str">
        <f t="shared" si="30"/>
        <v>2018/2017</v>
      </c>
      <c r="K977" t="str">
        <f t="shared" si="31"/>
        <v>2018/2017</v>
      </c>
      <c r="L977" s="28">
        <v>729</v>
      </c>
      <c r="M977" s="18">
        <v>2017</v>
      </c>
    </row>
    <row r="978" ht="21.75" spans="1:13">
      <c r="A978" s="18" t="s">
        <v>155</v>
      </c>
      <c r="B978" s="18" t="s">
        <v>156</v>
      </c>
      <c r="C978" s="18" t="s">
        <v>162</v>
      </c>
      <c r="D978" s="18" t="s">
        <v>158</v>
      </c>
      <c r="E978" s="18" t="s">
        <v>159</v>
      </c>
      <c r="F978" s="19" t="s">
        <v>46</v>
      </c>
      <c r="G978" s="20" t="s">
        <v>47</v>
      </c>
      <c r="H978" t="str">
        <f>'Source Table'!$G$9</f>
        <v>Female</v>
      </c>
      <c r="I978" t="str">
        <f>'Source Table'!$G$8</f>
        <v>أنثى</v>
      </c>
      <c r="J978" t="str">
        <f t="shared" si="30"/>
        <v>2018/2017</v>
      </c>
      <c r="K978" t="str">
        <f t="shared" si="31"/>
        <v>2018/2017</v>
      </c>
      <c r="L978" s="28">
        <v>1048</v>
      </c>
      <c r="M978" s="18">
        <v>2017</v>
      </c>
    </row>
    <row r="979" ht="21.75" spans="1:13">
      <c r="A979" s="18" t="s">
        <v>155</v>
      </c>
      <c r="B979" s="18" t="s">
        <v>156</v>
      </c>
      <c r="C979" s="18" t="s">
        <v>162</v>
      </c>
      <c r="D979" s="18" t="s">
        <v>158</v>
      </c>
      <c r="E979" s="18" t="s">
        <v>159</v>
      </c>
      <c r="F979" s="19" t="s">
        <v>49</v>
      </c>
      <c r="G979" s="20" t="s">
        <v>50</v>
      </c>
      <c r="H979" t="str">
        <f>'Source Table'!$G$9</f>
        <v>Female</v>
      </c>
      <c r="I979" t="str">
        <f>'Source Table'!$G$8</f>
        <v>أنثى</v>
      </c>
      <c r="J979" t="str">
        <f t="shared" si="30"/>
        <v>2018/2017</v>
      </c>
      <c r="K979" t="str">
        <f t="shared" si="31"/>
        <v>2018/2017</v>
      </c>
      <c r="L979" s="28">
        <v>2716</v>
      </c>
      <c r="M979" s="18">
        <v>2017</v>
      </c>
    </row>
    <row r="980" ht="21.75" spans="1:13">
      <c r="A980" s="18" t="s">
        <v>155</v>
      </c>
      <c r="B980" s="18" t="s">
        <v>156</v>
      </c>
      <c r="C980" s="18" t="s">
        <v>162</v>
      </c>
      <c r="D980" s="18" t="s">
        <v>158</v>
      </c>
      <c r="E980" s="18" t="s">
        <v>159</v>
      </c>
      <c r="F980" s="19" t="s">
        <v>52</v>
      </c>
      <c r="G980" s="20" t="s">
        <v>53</v>
      </c>
      <c r="H980" t="str">
        <f>'Source Table'!$G$9</f>
        <v>Female</v>
      </c>
      <c r="I980" t="str">
        <f>'Source Table'!$G$8</f>
        <v>أنثى</v>
      </c>
      <c r="J980" t="str">
        <f t="shared" si="30"/>
        <v>2018/2017</v>
      </c>
      <c r="K980" t="str">
        <f t="shared" si="31"/>
        <v>2018/2017</v>
      </c>
      <c r="L980" s="28">
        <v>698</v>
      </c>
      <c r="M980" s="18">
        <v>2017</v>
      </c>
    </row>
    <row r="981" ht="21.75" spans="1:13">
      <c r="A981" s="18" t="s">
        <v>155</v>
      </c>
      <c r="B981" s="18" t="s">
        <v>156</v>
      </c>
      <c r="C981" s="18" t="s">
        <v>162</v>
      </c>
      <c r="D981" s="18" t="s">
        <v>158</v>
      </c>
      <c r="E981" s="18" t="s">
        <v>159</v>
      </c>
      <c r="F981" s="19" t="s">
        <v>54</v>
      </c>
      <c r="G981" s="20" t="s">
        <v>55</v>
      </c>
      <c r="H981" t="str">
        <f>'Source Table'!$G$9</f>
        <v>Female</v>
      </c>
      <c r="I981" t="str">
        <f>'Source Table'!$G$8</f>
        <v>أنثى</v>
      </c>
      <c r="J981" t="str">
        <f t="shared" si="30"/>
        <v>2018/2017</v>
      </c>
      <c r="K981" t="str">
        <f t="shared" si="31"/>
        <v>2018/2017</v>
      </c>
      <c r="L981" s="28">
        <v>640</v>
      </c>
      <c r="M981" s="18">
        <v>2017</v>
      </c>
    </row>
    <row r="982" ht="21.75" spans="1:13">
      <c r="A982" s="18" t="s">
        <v>155</v>
      </c>
      <c r="B982" s="18" t="s">
        <v>156</v>
      </c>
      <c r="C982" s="18" t="s">
        <v>162</v>
      </c>
      <c r="D982" s="18" t="s">
        <v>158</v>
      </c>
      <c r="E982" s="18" t="s">
        <v>159</v>
      </c>
      <c r="F982" s="19" t="s">
        <v>56</v>
      </c>
      <c r="G982" s="20" t="s">
        <v>57</v>
      </c>
      <c r="H982" t="str">
        <f>'Source Table'!$G$9</f>
        <v>Female</v>
      </c>
      <c r="I982" t="str">
        <f>'Source Table'!$G$8</f>
        <v>أنثى</v>
      </c>
      <c r="J982" t="str">
        <f t="shared" si="30"/>
        <v>2018/2017</v>
      </c>
      <c r="K982" t="str">
        <f t="shared" si="31"/>
        <v>2018/2017</v>
      </c>
      <c r="L982" s="28">
        <v>2234</v>
      </c>
      <c r="M982" s="18">
        <v>2017</v>
      </c>
    </row>
    <row r="983" ht="21.75" spans="1:13">
      <c r="A983" s="18" t="s">
        <v>155</v>
      </c>
      <c r="B983" s="18" t="s">
        <v>156</v>
      </c>
      <c r="C983" s="18" t="s">
        <v>162</v>
      </c>
      <c r="D983" s="18" t="s">
        <v>158</v>
      </c>
      <c r="E983" s="18" t="s">
        <v>159</v>
      </c>
      <c r="F983" s="19" t="s">
        <v>59</v>
      </c>
      <c r="G983" s="20" t="s">
        <v>160</v>
      </c>
      <c r="H983" t="str">
        <f>'Source Table'!$G$9</f>
        <v>Female</v>
      </c>
      <c r="I983" t="str">
        <f>'Source Table'!$G$8</f>
        <v>أنثى</v>
      </c>
      <c r="J983" t="str">
        <f t="shared" si="30"/>
        <v>2018/2017</v>
      </c>
      <c r="K983" t="str">
        <f t="shared" si="31"/>
        <v>2018/2017</v>
      </c>
      <c r="L983" s="28">
        <v>5292</v>
      </c>
      <c r="M983" s="18">
        <v>2017</v>
      </c>
    </row>
    <row r="984" ht="21.75" spans="1:13">
      <c r="A984" s="18" t="s">
        <v>155</v>
      </c>
      <c r="B984" s="18" t="s">
        <v>156</v>
      </c>
      <c r="C984" s="18" t="s">
        <v>162</v>
      </c>
      <c r="D984" s="18" t="s">
        <v>158</v>
      </c>
      <c r="E984" s="18" t="s">
        <v>159</v>
      </c>
      <c r="F984" s="19" t="s">
        <v>62</v>
      </c>
      <c r="G984" s="20" t="s">
        <v>161</v>
      </c>
      <c r="H984" t="str">
        <f>'Source Table'!$G$9</f>
        <v>Female</v>
      </c>
      <c r="I984" t="str">
        <f>'Source Table'!$G$8</f>
        <v>أنثى</v>
      </c>
      <c r="J984" t="str">
        <f t="shared" si="30"/>
        <v>2018/2017</v>
      </c>
      <c r="K984" t="str">
        <f t="shared" si="31"/>
        <v>2018/2017</v>
      </c>
      <c r="L984" s="28">
        <v>1870</v>
      </c>
      <c r="M984" s="18">
        <v>2017</v>
      </c>
    </row>
    <row r="985" ht="21.75" spans="1:13">
      <c r="A985" s="18" t="s">
        <v>155</v>
      </c>
      <c r="B985" s="18" t="s">
        <v>156</v>
      </c>
      <c r="C985" s="18" t="s">
        <v>162</v>
      </c>
      <c r="D985" s="18" t="s">
        <v>158</v>
      </c>
      <c r="E985" s="18" t="s">
        <v>159</v>
      </c>
      <c r="F985" s="19" t="s">
        <v>64</v>
      </c>
      <c r="G985" s="20" t="s">
        <v>65</v>
      </c>
      <c r="H985" t="str">
        <f>'Source Table'!$G$9</f>
        <v>Female</v>
      </c>
      <c r="I985" t="str">
        <f>'Source Table'!$G$8</f>
        <v>أنثى</v>
      </c>
      <c r="J985" t="str">
        <f t="shared" si="30"/>
        <v>2018/2017</v>
      </c>
      <c r="K985" t="str">
        <f t="shared" si="31"/>
        <v>2018/2017</v>
      </c>
      <c r="L985" s="28">
        <v>3254</v>
      </c>
      <c r="M985" s="18">
        <v>2017</v>
      </c>
    </row>
    <row r="986" ht="21.75" spans="1:13">
      <c r="A986" s="18" t="s">
        <v>155</v>
      </c>
      <c r="B986" s="18" t="s">
        <v>156</v>
      </c>
      <c r="C986" s="18" t="s">
        <v>162</v>
      </c>
      <c r="D986" s="18" t="s">
        <v>158</v>
      </c>
      <c r="E986" s="18" t="s">
        <v>159</v>
      </c>
      <c r="F986" s="19" t="s">
        <v>68</v>
      </c>
      <c r="G986" s="20" t="s">
        <v>69</v>
      </c>
      <c r="H986" t="str">
        <f>'Source Table'!$G$9</f>
        <v>Female</v>
      </c>
      <c r="I986" t="str">
        <f>'Source Table'!$G$8</f>
        <v>أنثى</v>
      </c>
      <c r="J986" t="str">
        <f t="shared" si="30"/>
        <v>2018/2017</v>
      </c>
      <c r="K986" t="str">
        <f t="shared" si="31"/>
        <v>2018/2017</v>
      </c>
      <c r="L986" s="28">
        <v>1910</v>
      </c>
      <c r="M986" s="18">
        <v>2017</v>
      </c>
    </row>
    <row r="987" ht="21.75" spans="1:13">
      <c r="A987" s="18" t="s">
        <v>155</v>
      </c>
      <c r="B987" s="18" t="s">
        <v>156</v>
      </c>
      <c r="C987" s="18" t="s">
        <v>162</v>
      </c>
      <c r="D987" s="18" t="s">
        <v>158</v>
      </c>
      <c r="E987" s="18" t="s">
        <v>159</v>
      </c>
      <c r="F987" s="19" t="s">
        <v>70</v>
      </c>
      <c r="G987" s="20" t="s">
        <v>71</v>
      </c>
      <c r="H987" t="str">
        <f>'Source Table'!$G$9</f>
        <v>Female</v>
      </c>
      <c r="I987" t="str">
        <f>'Source Table'!$G$8</f>
        <v>أنثى</v>
      </c>
      <c r="J987" t="str">
        <f t="shared" si="30"/>
        <v>2018/2017</v>
      </c>
      <c r="K987" t="str">
        <f t="shared" si="31"/>
        <v>2018/2017</v>
      </c>
      <c r="L987" s="28">
        <v>768</v>
      </c>
      <c r="M987" s="18">
        <v>2017</v>
      </c>
    </row>
    <row r="988" ht="21.75" spans="1:13">
      <c r="A988" s="18" t="s">
        <v>155</v>
      </c>
      <c r="B988" s="18" t="s">
        <v>156</v>
      </c>
      <c r="C988" s="18" t="s">
        <v>162</v>
      </c>
      <c r="D988" s="18" t="s">
        <v>158</v>
      </c>
      <c r="E988" s="18" t="s">
        <v>159</v>
      </c>
      <c r="F988" s="19" t="s">
        <v>74</v>
      </c>
      <c r="G988" s="20" t="s">
        <v>75</v>
      </c>
      <c r="H988" t="str">
        <f>'Source Table'!$G$9</f>
        <v>Female</v>
      </c>
      <c r="I988" t="str">
        <f>'Source Table'!$G$8</f>
        <v>أنثى</v>
      </c>
      <c r="J988" t="str">
        <f t="shared" si="30"/>
        <v>2018/2017</v>
      </c>
      <c r="K988" t="str">
        <f t="shared" si="31"/>
        <v>2018/2017</v>
      </c>
      <c r="L988" s="28">
        <v>5575</v>
      </c>
      <c r="M988" s="18">
        <v>2017</v>
      </c>
    </row>
    <row r="989" ht="21.75" spans="1:13">
      <c r="A989" s="18" t="s">
        <v>155</v>
      </c>
      <c r="B989" s="18" t="s">
        <v>156</v>
      </c>
      <c r="C989" s="18" t="s">
        <v>162</v>
      </c>
      <c r="D989" s="18" t="s">
        <v>158</v>
      </c>
      <c r="E989" s="18" t="s">
        <v>159</v>
      </c>
      <c r="F989" s="19" t="s">
        <v>76</v>
      </c>
      <c r="G989" s="20" t="s">
        <v>77</v>
      </c>
      <c r="H989" t="str">
        <f>'Source Table'!$G$9</f>
        <v>Female</v>
      </c>
      <c r="I989" t="str">
        <f>'Source Table'!$G$8</f>
        <v>أنثى</v>
      </c>
      <c r="J989" t="str">
        <f t="shared" si="30"/>
        <v>2018/2017</v>
      </c>
      <c r="K989" t="str">
        <f t="shared" si="31"/>
        <v>2018/2017</v>
      </c>
      <c r="L989" s="28">
        <v>2337</v>
      </c>
      <c r="M989" s="18">
        <v>2017</v>
      </c>
    </row>
    <row r="990" ht="21.75" spans="1:13">
      <c r="A990" s="18" t="s">
        <v>155</v>
      </c>
      <c r="B990" s="18" t="s">
        <v>156</v>
      </c>
      <c r="C990" s="18" t="s">
        <v>162</v>
      </c>
      <c r="D990" s="18" t="s">
        <v>158</v>
      </c>
      <c r="E990" s="18" t="s">
        <v>159</v>
      </c>
      <c r="F990" s="19" t="s">
        <v>78</v>
      </c>
      <c r="G990" s="20" t="s">
        <v>79</v>
      </c>
      <c r="H990" t="str">
        <f>'Source Table'!$G$9</f>
        <v>Female</v>
      </c>
      <c r="I990" t="str">
        <f>'Source Table'!$G$8</f>
        <v>أنثى</v>
      </c>
      <c r="J990" t="str">
        <f t="shared" si="30"/>
        <v>2018/2017</v>
      </c>
      <c r="K990" t="str">
        <f t="shared" si="31"/>
        <v>2018/2017</v>
      </c>
      <c r="L990" s="28">
        <v>699</v>
      </c>
      <c r="M990" s="18">
        <v>2017</v>
      </c>
    </row>
    <row r="991" ht="21.75" spans="1:13">
      <c r="A991" s="18" t="s">
        <v>155</v>
      </c>
      <c r="B991" s="18" t="s">
        <v>156</v>
      </c>
      <c r="C991" s="18" t="s">
        <v>162</v>
      </c>
      <c r="D991" s="18" t="s">
        <v>158</v>
      </c>
      <c r="E991" s="18" t="s">
        <v>159</v>
      </c>
      <c r="F991" s="19" t="s">
        <v>80</v>
      </c>
      <c r="G991" s="20" t="s">
        <v>81</v>
      </c>
      <c r="H991" t="str">
        <f>'Source Table'!$G$9</f>
        <v>Female</v>
      </c>
      <c r="I991" t="str">
        <f>'Source Table'!$G$8</f>
        <v>أنثى</v>
      </c>
      <c r="J991" t="str">
        <f t="shared" si="30"/>
        <v>2018/2017</v>
      </c>
      <c r="K991" t="str">
        <f t="shared" si="31"/>
        <v>2018/2017</v>
      </c>
      <c r="L991" s="28">
        <v>1029</v>
      </c>
      <c r="M991" s="18">
        <v>2017</v>
      </c>
    </row>
    <row r="992" ht="21.75" spans="1:13">
      <c r="A992" s="18" t="s">
        <v>155</v>
      </c>
      <c r="B992" s="18" t="s">
        <v>156</v>
      </c>
      <c r="C992" s="18" t="s">
        <v>162</v>
      </c>
      <c r="D992" s="18" t="s">
        <v>158</v>
      </c>
      <c r="E992" s="18" t="s">
        <v>159</v>
      </c>
      <c r="F992" s="19" t="s">
        <v>82</v>
      </c>
      <c r="G992" s="20" t="s">
        <v>83</v>
      </c>
      <c r="H992" t="str">
        <f>'Source Table'!$G$9</f>
        <v>Female</v>
      </c>
      <c r="I992" t="str">
        <f>'Source Table'!$G$8</f>
        <v>أنثى</v>
      </c>
      <c r="J992" t="str">
        <f t="shared" si="30"/>
        <v>2018/2017</v>
      </c>
      <c r="K992" t="str">
        <f t="shared" si="31"/>
        <v>2018/2017</v>
      </c>
      <c r="L992" s="28">
        <v>1597</v>
      </c>
      <c r="M992" s="18">
        <v>2017</v>
      </c>
    </row>
    <row r="993" ht="21.75" spans="1:13">
      <c r="A993" s="18" t="s">
        <v>155</v>
      </c>
      <c r="B993" s="18" t="s">
        <v>156</v>
      </c>
      <c r="C993" s="18" t="s">
        <v>162</v>
      </c>
      <c r="D993" s="18" t="s">
        <v>158</v>
      </c>
      <c r="E993" s="18" t="s">
        <v>159</v>
      </c>
      <c r="F993" s="19" t="s">
        <v>84</v>
      </c>
      <c r="G993" s="20" t="s">
        <v>85</v>
      </c>
      <c r="H993" t="str">
        <f>'Source Table'!$G$9</f>
        <v>Female</v>
      </c>
      <c r="I993" t="str">
        <f>'Source Table'!$G$8</f>
        <v>أنثى</v>
      </c>
      <c r="J993" t="str">
        <f t="shared" si="30"/>
        <v>2018/2017</v>
      </c>
      <c r="K993" t="str">
        <f t="shared" si="31"/>
        <v>2018/2017</v>
      </c>
      <c r="L993" s="28">
        <v>1272</v>
      </c>
      <c r="M993" s="18">
        <v>2017</v>
      </c>
    </row>
    <row r="994" ht="21.75" spans="1:13">
      <c r="A994" s="18" t="s">
        <v>155</v>
      </c>
      <c r="B994" s="18" t="s">
        <v>156</v>
      </c>
      <c r="C994" s="18" t="s">
        <v>162</v>
      </c>
      <c r="D994" s="18" t="s">
        <v>158</v>
      </c>
      <c r="E994" s="18" t="s">
        <v>159</v>
      </c>
      <c r="F994" s="19" t="s">
        <v>86</v>
      </c>
      <c r="G994" s="20" t="s">
        <v>87</v>
      </c>
      <c r="H994" t="str">
        <f>'Source Table'!$G$9</f>
        <v>Female</v>
      </c>
      <c r="I994" t="str">
        <f>'Source Table'!$G$8</f>
        <v>أنثى</v>
      </c>
      <c r="J994" t="str">
        <f t="shared" si="30"/>
        <v>2018/2017</v>
      </c>
      <c r="K994" t="str">
        <f t="shared" si="31"/>
        <v>2018/2017</v>
      </c>
      <c r="L994" s="28">
        <v>1106</v>
      </c>
      <c r="M994" s="18">
        <v>2017</v>
      </c>
    </row>
    <row r="995" ht="21.75" spans="1:13">
      <c r="A995" s="18" t="s">
        <v>155</v>
      </c>
      <c r="B995" s="18" t="s">
        <v>156</v>
      </c>
      <c r="C995" s="18" t="s">
        <v>162</v>
      </c>
      <c r="D995" s="18" t="s">
        <v>158</v>
      </c>
      <c r="E995" s="18" t="s">
        <v>159</v>
      </c>
      <c r="F995" s="19" t="s">
        <v>88</v>
      </c>
      <c r="G995" s="20" t="s">
        <v>89</v>
      </c>
      <c r="H995" t="str">
        <f>'Source Table'!$G$9</f>
        <v>Female</v>
      </c>
      <c r="I995" t="str">
        <f>'Source Table'!$G$8</f>
        <v>أنثى</v>
      </c>
      <c r="J995" t="str">
        <f t="shared" si="30"/>
        <v>2018/2017</v>
      </c>
      <c r="K995" t="str">
        <f t="shared" si="31"/>
        <v>2018/2017</v>
      </c>
      <c r="L995" s="28">
        <v>2035</v>
      </c>
      <c r="M995" s="18">
        <v>2017</v>
      </c>
    </row>
    <row r="996" ht="21.75" spans="1:13">
      <c r="A996" s="18" t="s">
        <v>155</v>
      </c>
      <c r="B996" s="18" t="s">
        <v>156</v>
      </c>
      <c r="C996" s="18" t="s">
        <v>162</v>
      </c>
      <c r="D996" s="18" t="s">
        <v>158</v>
      </c>
      <c r="E996" s="18" t="s">
        <v>159</v>
      </c>
      <c r="F996" s="19" t="s">
        <v>91</v>
      </c>
      <c r="G996" s="20" t="s">
        <v>92</v>
      </c>
      <c r="H996" t="str">
        <f>'Source Table'!$G$9</f>
        <v>Female</v>
      </c>
      <c r="I996" t="str">
        <f>'Source Table'!$G$8</f>
        <v>أنثى</v>
      </c>
      <c r="J996" t="str">
        <f t="shared" si="30"/>
        <v>2018/2017</v>
      </c>
      <c r="K996" t="str">
        <f t="shared" si="31"/>
        <v>2018/2017</v>
      </c>
      <c r="L996" s="28">
        <v>2477</v>
      </c>
      <c r="M996" s="18">
        <v>2017</v>
      </c>
    </row>
    <row r="997" ht="21.75" spans="1:13">
      <c r="A997" s="18" t="s">
        <v>155</v>
      </c>
      <c r="B997" s="18" t="s">
        <v>156</v>
      </c>
      <c r="C997" s="18" t="s">
        <v>162</v>
      </c>
      <c r="D997" s="18" t="s">
        <v>158</v>
      </c>
      <c r="E997" s="18" t="s">
        <v>159</v>
      </c>
      <c r="F997" s="19" t="s">
        <v>94</v>
      </c>
      <c r="G997" s="20" t="s">
        <v>95</v>
      </c>
      <c r="H997" t="str">
        <f>'Source Table'!$G$9</f>
        <v>Female</v>
      </c>
      <c r="I997" t="str">
        <f>'Source Table'!$G$8</f>
        <v>أنثى</v>
      </c>
      <c r="J997" t="str">
        <f t="shared" si="30"/>
        <v>2018/2017</v>
      </c>
      <c r="K997" t="str">
        <f t="shared" si="31"/>
        <v>2018/2017</v>
      </c>
      <c r="L997" s="28">
        <v>1582</v>
      </c>
      <c r="M997" s="18">
        <v>2017</v>
      </c>
    </row>
    <row r="998" ht="21.75" spans="1:13">
      <c r="A998" s="18" t="s">
        <v>155</v>
      </c>
      <c r="B998" s="18" t="s">
        <v>156</v>
      </c>
      <c r="C998" s="18" t="s">
        <v>162</v>
      </c>
      <c r="D998" s="18" t="s">
        <v>158</v>
      </c>
      <c r="E998" s="18" t="s">
        <v>159</v>
      </c>
      <c r="F998" s="19" t="s">
        <v>96</v>
      </c>
      <c r="G998" s="20" t="s">
        <v>97</v>
      </c>
      <c r="H998" t="str">
        <f>'Source Table'!$G$9</f>
        <v>Female</v>
      </c>
      <c r="I998" t="str">
        <f>'Source Table'!$G$8</f>
        <v>أنثى</v>
      </c>
      <c r="J998" t="str">
        <f t="shared" si="30"/>
        <v>2018/2017</v>
      </c>
      <c r="K998" t="str">
        <f t="shared" si="31"/>
        <v>2018/2017</v>
      </c>
      <c r="L998" s="28">
        <v>2280</v>
      </c>
      <c r="M998" s="18">
        <v>2017</v>
      </c>
    </row>
    <row r="999" ht="21.75" spans="1:13">
      <c r="A999" s="18" t="s">
        <v>155</v>
      </c>
      <c r="B999" s="18" t="s">
        <v>156</v>
      </c>
      <c r="C999" s="18" t="s">
        <v>162</v>
      </c>
      <c r="D999" s="18" t="s">
        <v>158</v>
      </c>
      <c r="E999" s="18" t="s">
        <v>159</v>
      </c>
      <c r="F999" s="19" t="s">
        <v>98</v>
      </c>
      <c r="G999" s="20" t="s">
        <v>99</v>
      </c>
      <c r="H999" t="str">
        <f>'Source Table'!$G$9</f>
        <v>Female</v>
      </c>
      <c r="I999" t="str">
        <f>'Source Table'!$G$8</f>
        <v>أنثى</v>
      </c>
      <c r="J999" t="str">
        <f t="shared" si="30"/>
        <v>2018/2017</v>
      </c>
      <c r="K999" t="str">
        <f t="shared" si="31"/>
        <v>2018/2017</v>
      </c>
      <c r="L999" s="32">
        <v>2595</v>
      </c>
      <c r="M999" s="18">
        <v>2017</v>
      </c>
    </row>
    <row r="1000" ht="21.75" spans="1:13">
      <c r="A1000" s="18" t="s">
        <v>155</v>
      </c>
      <c r="B1000" s="18" t="s">
        <v>156</v>
      </c>
      <c r="C1000" s="18" t="s">
        <v>162</v>
      </c>
      <c r="D1000" s="18" t="s">
        <v>158</v>
      </c>
      <c r="E1000" s="18" t="s">
        <v>159</v>
      </c>
      <c r="F1000" s="19" t="s">
        <v>100</v>
      </c>
      <c r="G1000" s="20" t="s">
        <v>101</v>
      </c>
      <c r="H1000" t="str">
        <f>'Source Table'!$G$9</f>
        <v>Female</v>
      </c>
      <c r="I1000" t="str">
        <f>'Source Table'!$G$8</f>
        <v>أنثى</v>
      </c>
      <c r="J1000" t="str">
        <f t="shared" si="30"/>
        <v>2018/2017</v>
      </c>
      <c r="K1000" t="str">
        <f t="shared" si="31"/>
        <v>2018/2017</v>
      </c>
      <c r="L1000" s="32">
        <v>2308</v>
      </c>
      <c r="M1000" s="18">
        <v>2017</v>
      </c>
    </row>
    <row r="1001" ht="21.75" spans="1:13">
      <c r="A1001" s="18" t="s">
        <v>155</v>
      </c>
      <c r="B1001" s="18" t="s">
        <v>156</v>
      </c>
      <c r="C1001" s="18" t="s">
        <v>162</v>
      </c>
      <c r="D1001" s="18" t="s">
        <v>158</v>
      </c>
      <c r="E1001" s="18" t="s">
        <v>159</v>
      </c>
      <c r="F1001" s="19" t="s">
        <v>103</v>
      </c>
      <c r="G1001" s="20" t="s">
        <v>104</v>
      </c>
      <c r="H1001" t="str">
        <f>'Source Table'!$G$9</f>
        <v>Female</v>
      </c>
      <c r="I1001" t="str">
        <f>'Source Table'!$G$8</f>
        <v>أنثى</v>
      </c>
      <c r="J1001" t="str">
        <f t="shared" si="30"/>
        <v>2018/2017</v>
      </c>
      <c r="K1001" t="str">
        <f t="shared" si="31"/>
        <v>2018/2017</v>
      </c>
      <c r="L1001" s="28">
        <v>1844</v>
      </c>
      <c r="M1001" s="18">
        <v>2017</v>
      </c>
    </row>
    <row r="1002" ht="21.75" spans="1:13">
      <c r="A1002" s="18" t="s">
        <v>155</v>
      </c>
      <c r="B1002" s="18" t="s">
        <v>156</v>
      </c>
      <c r="C1002" s="18" t="s">
        <v>162</v>
      </c>
      <c r="D1002" s="18" t="s">
        <v>158</v>
      </c>
      <c r="E1002" s="18" t="s">
        <v>159</v>
      </c>
      <c r="F1002" s="19" t="s">
        <v>106</v>
      </c>
      <c r="G1002" s="20" t="s">
        <v>107</v>
      </c>
      <c r="H1002" t="str">
        <f>'Source Table'!$G$9</f>
        <v>Female</v>
      </c>
      <c r="I1002" t="str">
        <f>'Source Table'!$G$8</f>
        <v>أنثى</v>
      </c>
      <c r="J1002" t="str">
        <f t="shared" si="30"/>
        <v>2018/2017</v>
      </c>
      <c r="K1002" t="str">
        <f t="shared" si="31"/>
        <v>2018/2017</v>
      </c>
      <c r="L1002" s="28">
        <v>1490</v>
      </c>
      <c r="M1002" s="18">
        <v>2017</v>
      </c>
    </row>
    <row r="1003" ht="21.75" spans="1:13">
      <c r="A1003" s="18" t="s">
        <v>155</v>
      </c>
      <c r="B1003" s="18" t="s">
        <v>156</v>
      </c>
      <c r="C1003" s="18" t="s">
        <v>162</v>
      </c>
      <c r="D1003" s="18" t="s">
        <v>158</v>
      </c>
      <c r="E1003" s="18" t="s">
        <v>159</v>
      </c>
      <c r="F1003" s="19" t="s">
        <v>108</v>
      </c>
      <c r="G1003" s="20" t="s">
        <v>109</v>
      </c>
      <c r="H1003" t="str">
        <f>'Source Table'!$G$9</f>
        <v>Female</v>
      </c>
      <c r="I1003" t="str">
        <f>'Source Table'!$G$8</f>
        <v>أنثى</v>
      </c>
      <c r="J1003" t="str">
        <f t="shared" si="30"/>
        <v>2018/2017</v>
      </c>
      <c r="K1003" t="str">
        <f t="shared" si="31"/>
        <v>2018/2017</v>
      </c>
      <c r="L1003" s="28">
        <v>901</v>
      </c>
      <c r="M1003" s="18">
        <v>2017</v>
      </c>
    </row>
    <row r="1004" ht="21.75" spans="1:13">
      <c r="A1004" s="18" t="s">
        <v>155</v>
      </c>
      <c r="B1004" s="18" t="s">
        <v>156</v>
      </c>
      <c r="C1004" s="18" t="s">
        <v>162</v>
      </c>
      <c r="D1004" s="18" t="s">
        <v>158</v>
      </c>
      <c r="E1004" s="18" t="s">
        <v>159</v>
      </c>
      <c r="F1004" s="19" t="s">
        <v>110</v>
      </c>
      <c r="G1004" s="20" t="s">
        <v>111</v>
      </c>
      <c r="H1004" t="str">
        <f>'Source Table'!$G$9</f>
        <v>Female</v>
      </c>
      <c r="I1004" t="str">
        <f>'Source Table'!$G$8</f>
        <v>أنثى</v>
      </c>
      <c r="J1004" t="str">
        <f t="shared" si="30"/>
        <v>2018/2017</v>
      </c>
      <c r="K1004" t="str">
        <f t="shared" si="31"/>
        <v>2018/2017</v>
      </c>
      <c r="L1004" s="28">
        <v>689</v>
      </c>
      <c r="M1004" s="18">
        <v>2017</v>
      </c>
    </row>
    <row r="1005" ht="21.75" spans="1:13">
      <c r="A1005" s="18" t="s">
        <v>155</v>
      </c>
      <c r="B1005" s="18" t="s">
        <v>156</v>
      </c>
      <c r="C1005" s="18" t="s">
        <v>162</v>
      </c>
      <c r="D1005" s="18" t="s">
        <v>158</v>
      </c>
      <c r="E1005" s="18" t="s">
        <v>159</v>
      </c>
      <c r="F1005" s="19" t="s">
        <v>113</v>
      </c>
      <c r="G1005" s="20" t="s">
        <v>114</v>
      </c>
      <c r="H1005" t="str">
        <f>'Source Table'!$G$9</f>
        <v>Female</v>
      </c>
      <c r="I1005" t="str">
        <f>'Source Table'!$G$8</f>
        <v>أنثى</v>
      </c>
      <c r="J1005" t="str">
        <f t="shared" si="30"/>
        <v>2018/2017</v>
      </c>
      <c r="K1005" t="str">
        <f t="shared" si="31"/>
        <v>2018/2017</v>
      </c>
      <c r="L1005" s="28">
        <v>1323</v>
      </c>
      <c r="M1005" s="18">
        <v>2017</v>
      </c>
    </row>
    <row r="1006" ht="21.75" spans="1:13">
      <c r="A1006" s="18" t="s">
        <v>155</v>
      </c>
      <c r="B1006" s="18" t="s">
        <v>156</v>
      </c>
      <c r="C1006" s="18" t="s">
        <v>162</v>
      </c>
      <c r="D1006" s="18" t="s">
        <v>158</v>
      </c>
      <c r="E1006" s="18" t="s">
        <v>159</v>
      </c>
      <c r="F1006" s="19" t="s">
        <v>115</v>
      </c>
      <c r="G1006" s="20" t="s">
        <v>116</v>
      </c>
      <c r="H1006" t="str">
        <f>'Source Table'!$G$9</f>
        <v>Female</v>
      </c>
      <c r="I1006" t="str">
        <f>'Source Table'!$G$8</f>
        <v>أنثى</v>
      </c>
      <c r="J1006" t="str">
        <f t="shared" si="30"/>
        <v>2018/2017</v>
      </c>
      <c r="K1006" t="str">
        <f t="shared" si="31"/>
        <v>2018/2017</v>
      </c>
      <c r="L1006" s="28">
        <v>414</v>
      </c>
      <c r="M1006" s="18">
        <v>2017</v>
      </c>
    </row>
    <row r="1007" ht="21.75" spans="1:13">
      <c r="A1007" s="18" t="s">
        <v>155</v>
      </c>
      <c r="B1007" s="18" t="s">
        <v>156</v>
      </c>
      <c r="C1007" s="18" t="s">
        <v>162</v>
      </c>
      <c r="D1007" s="18" t="s">
        <v>158</v>
      </c>
      <c r="E1007" s="18" t="s">
        <v>159</v>
      </c>
      <c r="F1007" s="19" t="s">
        <v>118</v>
      </c>
      <c r="G1007" s="20" t="s">
        <v>119</v>
      </c>
      <c r="H1007" t="str">
        <f>'Source Table'!$G$9</f>
        <v>Female</v>
      </c>
      <c r="I1007" t="str">
        <f>'Source Table'!$G$8</f>
        <v>أنثى</v>
      </c>
      <c r="J1007" t="str">
        <f t="shared" si="30"/>
        <v>2018/2017</v>
      </c>
      <c r="K1007" t="str">
        <f t="shared" si="31"/>
        <v>2018/2017</v>
      </c>
      <c r="L1007" s="28">
        <v>781</v>
      </c>
      <c r="M1007" s="18">
        <v>2017</v>
      </c>
    </row>
    <row r="1008" ht="21.75" spans="1:13">
      <c r="A1008" s="18" t="s">
        <v>155</v>
      </c>
      <c r="B1008" s="18" t="s">
        <v>156</v>
      </c>
      <c r="C1008" s="18" t="s">
        <v>162</v>
      </c>
      <c r="D1008" s="18" t="s">
        <v>158</v>
      </c>
      <c r="E1008" s="18" t="s">
        <v>159</v>
      </c>
      <c r="F1008" s="19" t="s">
        <v>120</v>
      </c>
      <c r="G1008" s="20" t="s">
        <v>121</v>
      </c>
      <c r="H1008" t="str">
        <f>'Source Table'!$G$9</f>
        <v>Female</v>
      </c>
      <c r="I1008" t="str">
        <f>'Source Table'!$G$8</f>
        <v>أنثى</v>
      </c>
      <c r="J1008" t="str">
        <f t="shared" si="30"/>
        <v>2018/2017</v>
      </c>
      <c r="K1008" t="str">
        <f t="shared" si="31"/>
        <v>2018/2017</v>
      </c>
      <c r="L1008" s="28">
        <v>910</v>
      </c>
      <c r="M1008" s="18">
        <v>2017</v>
      </c>
    </row>
    <row r="1009" ht="21.75" spans="1:13">
      <c r="A1009" s="18" t="s">
        <v>155</v>
      </c>
      <c r="B1009" s="18" t="s">
        <v>156</v>
      </c>
      <c r="C1009" s="18" t="s">
        <v>162</v>
      </c>
      <c r="D1009" s="18" t="s">
        <v>158</v>
      </c>
      <c r="E1009" s="18" t="s">
        <v>159</v>
      </c>
      <c r="F1009" s="19" t="s">
        <v>122</v>
      </c>
      <c r="G1009" s="20" t="s">
        <v>123</v>
      </c>
      <c r="H1009" t="str">
        <f>'Source Table'!$G$9</f>
        <v>Female</v>
      </c>
      <c r="I1009" t="str">
        <f>'Source Table'!$G$8</f>
        <v>أنثى</v>
      </c>
      <c r="J1009" t="str">
        <f t="shared" si="30"/>
        <v>2018/2017</v>
      </c>
      <c r="K1009" t="str">
        <f t="shared" si="31"/>
        <v>2018/2017</v>
      </c>
      <c r="L1009" s="28">
        <v>582</v>
      </c>
      <c r="M1009" s="18">
        <v>2017</v>
      </c>
    </row>
    <row r="1010" ht="21.75" spans="1:13">
      <c r="A1010" s="18" t="s">
        <v>155</v>
      </c>
      <c r="B1010" s="18" t="s">
        <v>156</v>
      </c>
      <c r="C1010" s="18" t="s">
        <v>162</v>
      </c>
      <c r="D1010" s="18" t="s">
        <v>158</v>
      </c>
      <c r="E1010" s="18" t="s">
        <v>159</v>
      </c>
      <c r="F1010" s="19" t="s">
        <v>124</v>
      </c>
      <c r="G1010" s="20" t="s">
        <v>125</v>
      </c>
      <c r="H1010" t="str">
        <f>'Source Table'!$G$9</f>
        <v>Female</v>
      </c>
      <c r="I1010" t="str">
        <f>'Source Table'!$G$8</f>
        <v>أنثى</v>
      </c>
      <c r="J1010" t="str">
        <f t="shared" si="30"/>
        <v>2018/2017</v>
      </c>
      <c r="K1010" t="str">
        <f t="shared" si="31"/>
        <v>2018/2017</v>
      </c>
      <c r="L1010" s="28">
        <v>337</v>
      </c>
      <c r="M1010" s="18">
        <v>2017</v>
      </c>
    </row>
    <row r="1011" ht="21.75" spans="1:13">
      <c r="A1011" s="18" t="s">
        <v>155</v>
      </c>
      <c r="B1011" s="18" t="s">
        <v>156</v>
      </c>
      <c r="C1011" s="18" t="s">
        <v>162</v>
      </c>
      <c r="D1011" s="18" t="s">
        <v>158</v>
      </c>
      <c r="E1011" s="18" t="s">
        <v>159</v>
      </c>
      <c r="F1011" s="19" t="s">
        <v>126</v>
      </c>
      <c r="G1011" s="20" t="s">
        <v>127</v>
      </c>
      <c r="H1011" t="str">
        <f>'Source Table'!$G$9</f>
        <v>Female</v>
      </c>
      <c r="I1011" t="str">
        <f>'Source Table'!$G$8</f>
        <v>أنثى</v>
      </c>
      <c r="J1011" t="str">
        <f t="shared" si="30"/>
        <v>2018/2017</v>
      </c>
      <c r="K1011" t="str">
        <f t="shared" si="31"/>
        <v>2018/2017</v>
      </c>
      <c r="L1011" s="32">
        <v>2255</v>
      </c>
      <c r="M1011" s="18">
        <v>2017</v>
      </c>
    </row>
    <row r="1012" ht="21.75" spans="1:13">
      <c r="A1012" s="18" t="s">
        <v>155</v>
      </c>
      <c r="B1012" s="18" t="s">
        <v>156</v>
      </c>
      <c r="C1012" s="18" t="s">
        <v>157</v>
      </c>
      <c r="D1012" s="18" t="s">
        <v>158</v>
      </c>
      <c r="E1012" s="18" t="s">
        <v>159</v>
      </c>
      <c r="F1012" s="19" t="s">
        <v>29</v>
      </c>
      <c r="G1012" s="20" t="s">
        <v>30</v>
      </c>
      <c r="H1012" t="str">
        <f>'Source Table'!$H$9</f>
        <v>Male</v>
      </c>
      <c r="I1012" t="str">
        <f>'Source Table'!$H$8</f>
        <v>ذكر</v>
      </c>
      <c r="J1012" t="str">
        <f t="shared" si="30"/>
        <v>2017/2016</v>
      </c>
      <c r="K1012" t="str">
        <f t="shared" si="31"/>
        <v>2017/2016</v>
      </c>
      <c r="L1012" s="28">
        <v>80580</v>
      </c>
      <c r="M1012" s="18">
        <v>2016</v>
      </c>
    </row>
    <row r="1013" ht="21.75" spans="1:13">
      <c r="A1013" s="18" t="s">
        <v>155</v>
      </c>
      <c r="B1013" s="18" t="s">
        <v>156</v>
      </c>
      <c r="C1013" s="18" t="s">
        <v>157</v>
      </c>
      <c r="D1013" s="18" t="s">
        <v>158</v>
      </c>
      <c r="E1013" s="18" t="s">
        <v>159</v>
      </c>
      <c r="F1013" s="19" t="s">
        <v>32</v>
      </c>
      <c r="G1013" s="20" t="s">
        <v>33</v>
      </c>
      <c r="H1013" t="str">
        <f>'Source Table'!$H$9</f>
        <v>Male</v>
      </c>
      <c r="I1013" t="str">
        <f>'Source Table'!$H$8</f>
        <v>ذكر</v>
      </c>
      <c r="J1013" t="str">
        <f t="shared" si="30"/>
        <v>2017/2016</v>
      </c>
      <c r="K1013" t="str">
        <f t="shared" si="31"/>
        <v>2017/2016</v>
      </c>
      <c r="L1013" s="28">
        <v>64098</v>
      </c>
      <c r="M1013" s="18">
        <v>2016</v>
      </c>
    </row>
    <row r="1014" ht="21.75" spans="1:13">
      <c r="A1014" s="18" t="s">
        <v>155</v>
      </c>
      <c r="B1014" s="18" t="s">
        <v>156</v>
      </c>
      <c r="C1014" s="18" t="s">
        <v>157</v>
      </c>
      <c r="D1014" s="18" t="s">
        <v>158</v>
      </c>
      <c r="E1014" s="18" t="s">
        <v>159</v>
      </c>
      <c r="F1014" s="19" t="s">
        <v>34</v>
      </c>
      <c r="G1014" s="20" t="s">
        <v>35</v>
      </c>
      <c r="H1014" t="str">
        <f>'Source Table'!$H$9</f>
        <v>Male</v>
      </c>
      <c r="I1014" t="str">
        <f>'Source Table'!$H$8</f>
        <v>ذكر</v>
      </c>
      <c r="J1014" t="str">
        <f t="shared" si="30"/>
        <v>2017/2016</v>
      </c>
      <c r="K1014" t="str">
        <f t="shared" si="31"/>
        <v>2017/2016</v>
      </c>
      <c r="L1014" s="28">
        <v>13719</v>
      </c>
      <c r="M1014" s="18">
        <v>2016</v>
      </c>
    </row>
    <row r="1015" ht="21.75" spans="1:13">
      <c r="A1015" s="18" t="s">
        <v>155</v>
      </c>
      <c r="B1015" s="18" t="s">
        <v>156</v>
      </c>
      <c r="C1015" s="18" t="s">
        <v>157</v>
      </c>
      <c r="D1015" s="18" t="s">
        <v>158</v>
      </c>
      <c r="E1015" s="18" t="s">
        <v>159</v>
      </c>
      <c r="F1015" s="19" t="s">
        <v>36</v>
      </c>
      <c r="G1015" s="20" t="s">
        <v>37</v>
      </c>
      <c r="H1015" t="str">
        <f>'Source Table'!$H$9</f>
        <v>Male</v>
      </c>
      <c r="I1015" t="str">
        <f>'Source Table'!$H$8</f>
        <v>ذكر</v>
      </c>
      <c r="J1015" t="str">
        <f t="shared" si="30"/>
        <v>2017/2016</v>
      </c>
      <c r="K1015" t="str">
        <f t="shared" si="31"/>
        <v>2017/2016</v>
      </c>
      <c r="L1015" s="28">
        <v>60137</v>
      </c>
      <c r="M1015" s="18">
        <v>2016</v>
      </c>
    </row>
    <row r="1016" ht="21.75" spans="1:13">
      <c r="A1016" s="18" t="s">
        <v>155</v>
      </c>
      <c r="B1016" s="18" t="s">
        <v>156</v>
      </c>
      <c r="C1016" s="18" t="s">
        <v>157</v>
      </c>
      <c r="D1016" s="18" t="s">
        <v>158</v>
      </c>
      <c r="E1016" s="18" t="s">
        <v>159</v>
      </c>
      <c r="F1016" s="19" t="s">
        <v>38</v>
      </c>
      <c r="G1016" s="20" t="s">
        <v>39</v>
      </c>
      <c r="H1016" t="str">
        <f>'Source Table'!$H$9</f>
        <v>Male</v>
      </c>
      <c r="I1016" t="str">
        <f>'Source Table'!$H$8</f>
        <v>ذكر</v>
      </c>
      <c r="J1016" t="str">
        <f t="shared" si="30"/>
        <v>2017/2016</v>
      </c>
      <c r="K1016" t="str">
        <f t="shared" si="31"/>
        <v>2017/2016</v>
      </c>
      <c r="L1016" s="28">
        <v>90765</v>
      </c>
      <c r="M1016" s="18">
        <v>2016</v>
      </c>
    </row>
    <row r="1017" ht="21.75" spans="1:13">
      <c r="A1017" s="18" t="s">
        <v>155</v>
      </c>
      <c r="B1017" s="18" t="s">
        <v>156</v>
      </c>
      <c r="C1017" s="18" t="s">
        <v>157</v>
      </c>
      <c r="D1017" s="18" t="s">
        <v>158</v>
      </c>
      <c r="E1017" s="18" t="s">
        <v>159</v>
      </c>
      <c r="F1017" s="19" t="s">
        <v>40</v>
      </c>
      <c r="G1017" s="20" t="s">
        <v>41</v>
      </c>
      <c r="H1017" t="str">
        <f>'Source Table'!$H$9</f>
        <v>Male</v>
      </c>
      <c r="I1017" t="str">
        <f>'Source Table'!$H$8</f>
        <v>ذكر</v>
      </c>
      <c r="J1017" t="str">
        <f t="shared" si="30"/>
        <v>2017/2016</v>
      </c>
      <c r="K1017" t="str">
        <f t="shared" si="31"/>
        <v>2017/2016</v>
      </c>
      <c r="L1017" s="28">
        <v>30072</v>
      </c>
      <c r="M1017" s="18">
        <v>2016</v>
      </c>
    </row>
    <row r="1018" ht="21.75" spans="1:13">
      <c r="A1018" s="18" t="s">
        <v>155</v>
      </c>
      <c r="B1018" s="18" t="s">
        <v>156</v>
      </c>
      <c r="C1018" s="18" t="s">
        <v>157</v>
      </c>
      <c r="D1018" s="18" t="s">
        <v>158</v>
      </c>
      <c r="E1018" s="18" t="s">
        <v>159</v>
      </c>
      <c r="F1018" s="19" t="s">
        <v>42</v>
      </c>
      <c r="G1018" s="20" t="s">
        <v>43</v>
      </c>
      <c r="H1018" t="str">
        <f>'Source Table'!$H$9</f>
        <v>Male</v>
      </c>
      <c r="I1018" t="str">
        <f>'Source Table'!$H$8</f>
        <v>ذكر</v>
      </c>
      <c r="J1018" t="str">
        <f t="shared" si="30"/>
        <v>2017/2016</v>
      </c>
      <c r="K1018" t="str">
        <f t="shared" si="31"/>
        <v>2017/2016</v>
      </c>
      <c r="L1018" s="28">
        <v>13222</v>
      </c>
      <c r="M1018" s="18">
        <v>2016</v>
      </c>
    </row>
    <row r="1019" ht="21.75" spans="1:13">
      <c r="A1019" s="18" t="s">
        <v>155</v>
      </c>
      <c r="B1019" s="18" t="s">
        <v>156</v>
      </c>
      <c r="C1019" s="18" t="s">
        <v>157</v>
      </c>
      <c r="D1019" s="18" t="s">
        <v>158</v>
      </c>
      <c r="E1019" s="18" t="s">
        <v>159</v>
      </c>
      <c r="F1019" s="19" t="s">
        <v>44</v>
      </c>
      <c r="G1019" s="20" t="s">
        <v>45</v>
      </c>
      <c r="H1019" t="str">
        <f>'Source Table'!$H$9</f>
        <v>Male</v>
      </c>
      <c r="I1019" t="str">
        <f>'Source Table'!$H$8</f>
        <v>ذكر</v>
      </c>
      <c r="J1019" t="str">
        <f t="shared" si="30"/>
        <v>2017/2016</v>
      </c>
      <c r="K1019" t="str">
        <f t="shared" si="31"/>
        <v>2017/2016</v>
      </c>
      <c r="L1019" s="28">
        <v>7030</v>
      </c>
      <c r="M1019" s="18">
        <v>2016</v>
      </c>
    </row>
    <row r="1020" ht="21.75" spans="1:13">
      <c r="A1020" s="18" t="s">
        <v>155</v>
      </c>
      <c r="B1020" s="18" t="s">
        <v>156</v>
      </c>
      <c r="C1020" s="18" t="s">
        <v>157</v>
      </c>
      <c r="D1020" s="18" t="s">
        <v>158</v>
      </c>
      <c r="E1020" s="18" t="s">
        <v>159</v>
      </c>
      <c r="F1020" s="19" t="s">
        <v>46</v>
      </c>
      <c r="G1020" s="20" t="s">
        <v>47</v>
      </c>
      <c r="H1020" t="str">
        <f>'Source Table'!$H$9</f>
        <v>Male</v>
      </c>
      <c r="I1020" t="str">
        <f>'Source Table'!$H$8</f>
        <v>ذكر</v>
      </c>
      <c r="J1020" t="str">
        <f t="shared" si="30"/>
        <v>2017/2016</v>
      </c>
      <c r="K1020" t="str">
        <f t="shared" si="31"/>
        <v>2017/2016</v>
      </c>
      <c r="L1020" s="33">
        <v>8366</v>
      </c>
      <c r="M1020" s="18">
        <v>2016</v>
      </c>
    </row>
    <row r="1021" ht="21.75" spans="1:13">
      <c r="A1021" s="18" t="s">
        <v>155</v>
      </c>
      <c r="B1021" s="18" t="s">
        <v>156</v>
      </c>
      <c r="C1021" s="18" t="s">
        <v>157</v>
      </c>
      <c r="D1021" s="18" t="s">
        <v>158</v>
      </c>
      <c r="E1021" s="18" t="s">
        <v>159</v>
      </c>
      <c r="F1021" s="19" t="s">
        <v>49</v>
      </c>
      <c r="G1021" s="20" t="s">
        <v>50</v>
      </c>
      <c r="H1021" t="str">
        <f>'Source Table'!$H$9</f>
        <v>Male</v>
      </c>
      <c r="I1021" t="str">
        <f>'Source Table'!$H$8</f>
        <v>ذكر</v>
      </c>
      <c r="J1021" t="str">
        <f t="shared" si="30"/>
        <v>2017/2016</v>
      </c>
      <c r="K1021" t="str">
        <f t="shared" si="31"/>
        <v>2017/2016</v>
      </c>
      <c r="L1021" s="28">
        <v>24947</v>
      </c>
      <c r="M1021" s="18">
        <v>2016</v>
      </c>
    </row>
    <row r="1022" ht="21.75" spans="1:13">
      <c r="A1022" s="18" t="s">
        <v>155</v>
      </c>
      <c r="B1022" s="18" t="s">
        <v>156</v>
      </c>
      <c r="C1022" s="18" t="s">
        <v>157</v>
      </c>
      <c r="D1022" s="18" t="s">
        <v>158</v>
      </c>
      <c r="E1022" s="18" t="s">
        <v>159</v>
      </c>
      <c r="F1022" s="19" t="s">
        <v>52</v>
      </c>
      <c r="G1022" s="20" t="s">
        <v>53</v>
      </c>
      <c r="H1022" t="str">
        <f>'Source Table'!$H$9</f>
        <v>Male</v>
      </c>
      <c r="I1022" t="str">
        <f>'Source Table'!$H$8</f>
        <v>ذكر</v>
      </c>
      <c r="J1022" t="str">
        <f t="shared" si="30"/>
        <v>2017/2016</v>
      </c>
      <c r="K1022" t="str">
        <f t="shared" si="31"/>
        <v>2017/2016</v>
      </c>
      <c r="L1022" s="28">
        <v>8479</v>
      </c>
      <c r="M1022" s="18">
        <v>2016</v>
      </c>
    </row>
    <row r="1023" ht="21.75" spans="1:13">
      <c r="A1023" s="18" t="s">
        <v>155</v>
      </c>
      <c r="B1023" s="18" t="s">
        <v>156</v>
      </c>
      <c r="C1023" s="18" t="s">
        <v>157</v>
      </c>
      <c r="D1023" s="18" t="s">
        <v>158</v>
      </c>
      <c r="E1023" s="18" t="s">
        <v>159</v>
      </c>
      <c r="F1023" s="19" t="s">
        <v>54</v>
      </c>
      <c r="G1023" s="20" t="s">
        <v>55</v>
      </c>
      <c r="H1023" t="str">
        <f>'Source Table'!$H$9</f>
        <v>Male</v>
      </c>
      <c r="I1023" t="str">
        <f>'Source Table'!$H$8</f>
        <v>ذكر</v>
      </c>
      <c r="J1023" t="str">
        <f t="shared" si="30"/>
        <v>2017/2016</v>
      </c>
      <c r="K1023" t="str">
        <f t="shared" si="31"/>
        <v>2017/2016</v>
      </c>
      <c r="L1023" s="28">
        <v>7554</v>
      </c>
      <c r="M1023" s="18">
        <v>2016</v>
      </c>
    </row>
    <row r="1024" ht="21.75" spans="1:13">
      <c r="A1024" s="18" t="s">
        <v>155</v>
      </c>
      <c r="B1024" s="18" t="s">
        <v>156</v>
      </c>
      <c r="C1024" s="18" t="s">
        <v>157</v>
      </c>
      <c r="D1024" s="18" t="s">
        <v>158</v>
      </c>
      <c r="E1024" s="18" t="s">
        <v>159</v>
      </c>
      <c r="F1024" s="19" t="s">
        <v>56</v>
      </c>
      <c r="G1024" s="20" t="s">
        <v>57</v>
      </c>
      <c r="H1024" t="str">
        <f>'Source Table'!$H$9</f>
        <v>Male</v>
      </c>
      <c r="I1024" t="str">
        <f>'Source Table'!$H$8</f>
        <v>ذكر</v>
      </c>
      <c r="J1024" t="str">
        <f t="shared" si="30"/>
        <v>2017/2016</v>
      </c>
      <c r="K1024" t="str">
        <f t="shared" si="31"/>
        <v>2017/2016</v>
      </c>
      <c r="L1024" s="28">
        <v>28427</v>
      </c>
      <c r="M1024" s="18">
        <v>2016</v>
      </c>
    </row>
    <row r="1025" ht="21.75" spans="1:13">
      <c r="A1025" s="18" t="s">
        <v>155</v>
      </c>
      <c r="B1025" s="18" t="s">
        <v>156</v>
      </c>
      <c r="C1025" s="18" t="s">
        <v>157</v>
      </c>
      <c r="D1025" s="18" t="s">
        <v>158</v>
      </c>
      <c r="E1025" s="18" t="s">
        <v>159</v>
      </c>
      <c r="F1025" s="19" t="s">
        <v>59</v>
      </c>
      <c r="G1025" s="20" t="s">
        <v>160</v>
      </c>
      <c r="H1025" t="str">
        <f>'Source Table'!$H$9</f>
        <v>Male</v>
      </c>
      <c r="I1025" t="str">
        <f>'Source Table'!$H$8</f>
        <v>ذكر</v>
      </c>
      <c r="J1025" t="str">
        <f t="shared" si="30"/>
        <v>2017/2016</v>
      </c>
      <c r="K1025" t="str">
        <f t="shared" si="31"/>
        <v>2017/2016</v>
      </c>
      <c r="L1025" s="28">
        <v>71048</v>
      </c>
      <c r="M1025" s="18">
        <v>2016</v>
      </c>
    </row>
    <row r="1026" ht="21.75" spans="1:13">
      <c r="A1026" s="18" t="s">
        <v>155</v>
      </c>
      <c r="B1026" s="18" t="s">
        <v>156</v>
      </c>
      <c r="C1026" s="18" t="s">
        <v>157</v>
      </c>
      <c r="D1026" s="18" t="s">
        <v>158</v>
      </c>
      <c r="E1026" s="18" t="s">
        <v>159</v>
      </c>
      <c r="F1026" s="19" t="s">
        <v>62</v>
      </c>
      <c r="G1026" s="20" t="s">
        <v>161</v>
      </c>
      <c r="H1026" t="str">
        <f>'Source Table'!$H$9</f>
        <v>Male</v>
      </c>
      <c r="I1026" t="str">
        <f>'Source Table'!$H$8</f>
        <v>ذكر</v>
      </c>
      <c r="J1026" t="str">
        <f t="shared" si="30"/>
        <v>2017/2016</v>
      </c>
      <c r="K1026" t="str">
        <f t="shared" si="31"/>
        <v>2017/2016</v>
      </c>
      <c r="L1026" s="28">
        <v>27644</v>
      </c>
      <c r="M1026" s="18">
        <v>2016</v>
      </c>
    </row>
    <row r="1027" ht="21.75" spans="1:13">
      <c r="A1027" s="18" t="s">
        <v>155</v>
      </c>
      <c r="B1027" s="18" t="s">
        <v>156</v>
      </c>
      <c r="C1027" s="18" t="s">
        <v>157</v>
      </c>
      <c r="D1027" s="18" t="s">
        <v>158</v>
      </c>
      <c r="E1027" s="18" t="s">
        <v>159</v>
      </c>
      <c r="F1027" s="19" t="s">
        <v>64</v>
      </c>
      <c r="G1027" s="20" t="s">
        <v>65</v>
      </c>
      <c r="H1027" t="str">
        <f>'Source Table'!$H$9</f>
        <v>Male</v>
      </c>
      <c r="I1027" t="str">
        <f>'Source Table'!$H$8</f>
        <v>ذكر</v>
      </c>
      <c r="J1027" t="str">
        <f t="shared" si="30"/>
        <v>2017/2016</v>
      </c>
      <c r="K1027" t="str">
        <f t="shared" si="31"/>
        <v>2017/2016</v>
      </c>
      <c r="L1027" s="28">
        <v>48978</v>
      </c>
      <c r="M1027" s="18">
        <v>2016</v>
      </c>
    </row>
    <row r="1028" ht="21.75" spans="1:13">
      <c r="A1028" s="18" t="s">
        <v>155</v>
      </c>
      <c r="B1028" s="18" t="s">
        <v>156</v>
      </c>
      <c r="C1028" s="18" t="s">
        <v>157</v>
      </c>
      <c r="D1028" s="18" t="s">
        <v>158</v>
      </c>
      <c r="E1028" s="18" t="s">
        <v>159</v>
      </c>
      <c r="F1028" s="19" t="s">
        <v>68</v>
      </c>
      <c r="G1028" s="20" t="s">
        <v>69</v>
      </c>
      <c r="H1028" t="str">
        <f>'Source Table'!$H$9</f>
        <v>Male</v>
      </c>
      <c r="I1028" t="str">
        <f>'Source Table'!$H$8</f>
        <v>ذكر</v>
      </c>
      <c r="J1028" t="str">
        <f t="shared" si="30"/>
        <v>2017/2016</v>
      </c>
      <c r="K1028" t="str">
        <f t="shared" si="31"/>
        <v>2017/2016</v>
      </c>
      <c r="L1028" s="28">
        <v>21044</v>
      </c>
      <c r="M1028" s="18">
        <v>2016</v>
      </c>
    </row>
    <row r="1029" ht="21.75" spans="1:13">
      <c r="A1029" s="18" t="s">
        <v>155</v>
      </c>
      <c r="B1029" s="18" t="s">
        <v>156</v>
      </c>
      <c r="C1029" s="18" t="s">
        <v>157</v>
      </c>
      <c r="D1029" s="18" t="s">
        <v>158</v>
      </c>
      <c r="E1029" s="18" t="s">
        <v>159</v>
      </c>
      <c r="F1029" s="19" t="s">
        <v>70</v>
      </c>
      <c r="G1029" s="20" t="s">
        <v>71</v>
      </c>
      <c r="H1029" t="str">
        <f>'Source Table'!$H$9</f>
        <v>Male</v>
      </c>
      <c r="I1029" t="str">
        <f>'Source Table'!$H$8</f>
        <v>ذكر</v>
      </c>
      <c r="J1029" t="str">
        <f t="shared" ref="J1029:J1092" si="32">TEXT(M1029+1,"0")&amp;"/"&amp;TEXT(M1029,"0")</f>
        <v>2017/2016</v>
      </c>
      <c r="K1029" t="str">
        <f t="shared" ref="K1029:K1092" si="33">TEXT(M1029+1,"0")&amp;"/"&amp;TEXT(M1029,"0")</f>
        <v>2017/2016</v>
      </c>
      <c r="L1029" s="28">
        <v>5150</v>
      </c>
      <c r="M1029" s="18">
        <v>2016</v>
      </c>
    </row>
    <row r="1030" ht="21.75" spans="1:13">
      <c r="A1030" s="18" t="s">
        <v>155</v>
      </c>
      <c r="B1030" s="18" t="s">
        <v>156</v>
      </c>
      <c r="C1030" s="18" t="s">
        <v>157</v>
      </c>
      <c r="D1030" s="18" t="s">
        <v>158</v>
      </c>
      <c r="E1030" s="18" t="s">
        <v>159</v>
      </c>
      <c r="F1030" s="19" t="s">
        <v>74</v>
      </c>
      <c r="G1030" s="20" t="s">
        <v>75</v>
      </c>
      <c r="H1030" t="str">
        <f>'Source Table'!$H$9</f>
        <v>Male</v>
      </c>
      <c r="I1030" t="str">
        <f>'Source Table'!$H$8</f>
        <v>ذكر</v>
      </c>
      <c r="J1030" t="str">
        <f t="shared" si="32"/>
        <v>2017/2016</v>
      </c>
      <c r="K1030" t="str">
        <f t="shared" si="33"/>
        <v>2017/2016</v>
      </c>
      <c r="L1030" s="28">
        <v>73277</v>
      </c>
      <c r="M1030" s="18">
        <v>2016</v>
      </c>
    </row>
    <row r="1031" ht="21.75" spans="1:13">
      <c r="A1031" s="18" t="s">
        <v>155</v>
      </c>
      <c r="B1031" s="18" t="s">
        <v>156</v>
      </c>
      <c r="C1031" s="18" t="s">
        <v>157</v>
      </c>
      <c r="D1031" s="18" t="s">
        <v>158</v>
      </c>
      <c r="E1031" s="18" t="s">
        <v>159</v>
      </c>
      <c r="F1031" s="19" t="s">
        <v>76</v>
      </c>
      <c r="G1031" s="20" t="s">
        <v>77</v>
      </c>
      <c r="H1031" t="str">
        <f>'Source Table'!$H$9</f>
        <v>Male</v>
      </c>
      <c r="I1031" t="str">
        <f>'Source Table'!$H$8</f>
        <v>ذكر</v>
      </c>
      <c r="J1031" t="str">
        <f t="shared" si="32"/>
        <v>2017/2016</v>
      </c>
      <c r="K1031" t="str">
        <f t="shared" si="33"/>
        <v>2017/2016</v>
      </c>
      <c r="L1031" s="28">
        <v>22705</v>
      </c>
      <c r="M1031" s="18">
        <v>2016</v>
      </c>
    </row>
    <row r="1032" ht="21.75" spans="1:13">
      <c r="A1032" s="18" t="s">
        <v>155</v>
      </c>
      <c r="B1032" s="18" t="s">
        <v>156</v>
      </c>
      <c r="C1032" s="18" t="s">
        <v>157</v>
      </c>
      <c r="D1032" s="18" t="s">
        <v>158</v>
      </c>
      <c r="E1032" s="18" t="s">
        <v>159</v>
      </c>
      <c r="F1032" s="19" t="s">
        <v>78</v>
      </c>
      <c r="G1032" s="20" t="s">
        <v>79</v>
      </c>
      <c r="H1032" t="str">
        <f>'Source Table'!$H$9</f>
        <v>Male</v>
      </c>
      <c r="I1032" t="str">
        <f>'Source Table'!$H$8</f>
        <v>ذكر</v>
      </c>
      <c r="J1032" t="str">
        <f t="shared" si="32"/>
        <v>2017/2016</v>
      </c>
      <c r="K1032" t="str">
        <f t="shared" si="33"/>
        <v>2017/2016</v>
      </c>
      <c r="L1032" s="28">
        <v>8181</v>
      </c>
      <c r="M1032" s="18">
        <v>2016</v>
      </c>
    </row>
    <row r="1033" ht="21.75" spans="1:13">
      <c r="A1033" s="18" t="s">
        <v>155</v>
      </c>
      <c r="B1033" s="18" t="s">
        <v>156</v>
      </c>
      <c r="C1033" s="18" t="s">
        <v>157</v>
      </c>
      <c r="D1033" s="18" t="s">
        <v>158</v>
      </c>
      <c r="E1033" s="18" t="s">
        <v>159</v>
      </c>
      <c r="F1033" s="19" t="s">
        <v>80</v>
      </c>
      <c r="G1033" s="20" t="s">
        <v>81</v>
      </c>
      <c r="H1033" t="str">
        <f>'Source Table'!$H$9</f>
        <v>Male</v>
      </c>
      <c r="I1033" t="str">
        <f>'Source Table'!$H$8</f>
        <v>ذكر</v>
      </c>
      <c r="J1033" t="str">
        <f t="shared" si="32"/>
        <v>2017/2016</v>
      </c>
      <c r="K1033" t="str">
        <f t="shared" si="33"/>
        <v>2017/2016</v>
      </c>
      <c r="L1033" s="28">
        <v>9523</v>
      </c>
      <c r="M1033" s="18">
        <v>2016</v>
      </c>
    </row>
    <row r="1034" ht="21.75" spans="1:13">
      <c r="A1034" s="18" t="s">
        <v>155</v>
      </c>
      <c r="B1034" s="18" t="s">
        <v>156</v>
      </c>
      <c r="C1034" s="18" t="s">
        <v>157</v>
      </c>
      <c r="D1034" s="18" t="s">
        <v>158</v>
      </c>
      <c r="E1034" s="18" t="s">
        <v>159</v>
      </c>
      <c r="F1034" s="19" t="s">
        <v>82</v>
      </c>
      <c r="G1034" s="20" t="s">
        <v>83</v>
      </c>
      <c r="H1034" t="str">
        <f>'Source Table'!$H$9</f>
        <v>Male</v>
      </c>
      <c r="I1034" t="str">
        <f>'Source Table'!$H$8</f>
        <v>ذكر</v>
      </c>
      <c r="J1034" t="str">
        <f t="shared" si="32"/>
        <v>2017/2016</v>
      </c>
      <c r="K1034" t="str">
        <f t="shared" si="33"/>
        <v>2017/2016</v>
      </c>
      <c r="L1034" s="28">
        <v>16942</v>
      </c>
      <c r="M1034" s="18">
        <v>2016</v>
      </c>
    </row>
    <row r="1035" ht="21.75" spans="1:13">
      <c r="A1035" s="18" t="s">
        <v>155</v>
      </c>
      <c r="B1035" s="18" t="s">
        <v>156</v>
      </c>
      <c r="C1035" s="18" t="s">
        <v>157</v>
      </c>
      <c r="D1035" s="18" t="s">
        <v>158</v>
      </c>
      <c r="E1035" s="18" t="s">
        <v>159</v>
      </c>
      <c r="F1035" s="19" t="s">
        <v>84</v>
      </c>
      <c r="G1035" s="20" t="s">
        <v>85</v>
      </c>
      <c r="H1035" t="str">
        <f>'Source Table'!$H$9</f>
        <v>Male</v>
      </c>
      <c r="I1035" t="str">
        <f>'Source Table'!$H$8</f>
        <v>ذكر</v>
      </c>
      <c r="J1035" t="str">
        <f t="shared" si="32"/>
        <v>2017/2016</v>
      </c>
      <c r="K1035" t="str">
        <f t="shared" si="33"/>
        <v>2017/2016</v>
      </c>
      <c r="L1035" s="28">
        <v>13160</v>
      </c>
      <c r="M1035" s="18">
        <v>2016</v>
      </c>
    </row>
    <row r="1036" ht="21.75" spans="1:13">
      <c r="A1036" s="18" t="s">
        <v>155</v>
      </c>
      <c r="B1036" s="18" t="s">
        <v>156</v>
      </c>
      <c r="C1036" s="18" t="s">
        <v>157</v>
      </c>
      <c r="D1036" s="18" t="s">
        <v>158</v>
      </c>
      <c r="E1036" s="18" t="s">
        <v>159</v>
      </c>
      <c r="F1036" s="19" t="s">
        <v>86</v>
      </c>
      <c r="G1036" s="20" t="s">
        <v>87</v>
      </c>
      <c r="H1036" t="str">
        <f>'Source Table'!$H$9</f>
        <v>Male</v>
      </c>
      <c r="I1036" t="str">
        <f>'Source Table'!$H$8</f>
        <v>ذكر</v>
      </c>
      <c r="J1036" t="str">
        <f t="shared" si="32"/>
        <v>2017/2016</v>
      </c>
      <c r="K1036" t="str">
        <f t="shared" si="33"/>
        <v>2017/2016</v>
      </c>
      <c r="L1036" s="28">
        <v>14570</v>
      </c>
      <c r="M1036" s="18">
        <v>2016</v>
      </c>
    </row>
    <row r="1037" ht="21.75" spans="1:13">
      <c r="A1037" s="18" t="s">
        <v>155</v>
      </c>
      <c r="B1037" s="18" t="s">
        <v>156</v>
      </c>
      <c r="C1037" s="18" t="s">
        <v>157</v>
      </c>
      <c r="D1037" s="18" t="s">
        <v>158</v>
      </c>
      <c r="E1037" s="18" t="s">
        <v>159</v>
      </c>
      <c r="F1037" s="19" t="s">
        <v>88</v>
      </c>
      <c r="G1037" s="20" t="s">
        <v>89</v>
      </c>
      <c r="H1037" t="str">
        <f>'Source Table'!$H$9</f>
        <v>Male</v>
      </c>
      <c r="I1037" t="str">
        <f>'Source Table'!$H$8</f>
        <v>ذكر</v>
      </c>
      <c r="J1037" t="str">
        <f t="shared" si="32"/>
        <v>2017/2016</v>
      </c>
      <c r="K1037" t="str">
        <f t="shared" si="33"/>
        <v>2017/2016</v>
      </c>
      <c r="L1037" s="28">
        <v>23821</v>
      </c>
      <c r="M1037" s="18">
        <v>2016</v>
      </c>
    </row>
    <row r="1038" ht="21.75" spans="1:13">
      <c r="A1038" s="18" t="s">
        <v>155</v>
      </c>
      <c r="B1038" s="18" t="s">
        <v>156</v>
      </c>
      <c r="C1038" s="18" t="s">
        <v>157</v>
      </c>
      <c r="D1038" s="18" t="s">
        <v>158</v>
      </c>
      <c r="E1038" s="18" t="s">
        <v>159</v>
      </c>
      <c r="F1038" s="19" t="s">
        <v>91</v>
      </c>
      <c r="G1038" s="20" t="s">
        <v>92</v>
      </c>
      <c r="H1038" t="str">
        <f>'Source Table'!$H$9</f>
        <v>Male</v>
      </c>
      <c r="I1038" t="str">
        <f>'Source Table'!$H$8</f>
        <v>ذكر</v>
      </c>
      <c r="J1038" t="str">
        <f t="shared" si="32"/>
        <v>2017/2016</v>
      </c>
      <c r="K1038" t="str">
        <f t="shared" si="33"/>
        <v>2017/2016</v>
      </c>
      <c r="L1038" s="28">
        <v>23802</v>
      </c>
      <c r="M1038" s="18">
        <v>2016</v>
      </c>
    </row>
    <row r="1039" ht="21.75" spans="1:13">
      <c r="A1039" s="18" t="s">
        <v>155</v>
      </c>
      <c r="B1039" s="18" t="s">
        <v>156</v>
      </c>
      <c r="C1039" s="18" t="s">
        <v>157</v>
      </c>
      <c r="D1039" s="18" t="s">
        <v>158</v>
      </c>
      <c r="E1039" s="18" t="s">
        <v>159</v>
      </c>
      <c r="F1039" s="19" t="s">
        <v>94</v>
      </c>
      <c r="G1039" s="20" t="s">
        <v>95</v>
      </c>
      <c r="H1039" t="str">
        <f>'Source Table'!$H$9</f>
        <v>Male</v>
      </c>
      <c r="I1039" t="str">
        <f>'Source Table'!$H$8</f>
        <v>ذكر</v>
      </c>
      <c r="J1039" t="str">
        <f t="shared" si="32"/>
        <v>2017/2016</v>
      </c>
      <c r="K1039" t="str">
        <f t="shared" si="33"/>
        <v>2017/2016</v>
      </c>
      <c r="L1039" s="28">
        <v>14208</v>
      </c>
      <c r="M1039" s="18">
        <v>2016</v>
      </c>
    </row>
    <row r="1040" ht="21.75" spans="1:13">
      <c r="A1040" s="18" t="s">
        <v>155</v>
      </c>
      <c r="B1040" s="18" t="s">
        <v>156</v>
      </c>
      <c r="C1040" s="18" t="s">
        <v>157</v>
      </c>
      <c r="D1040" s="18" t="s">
        <v>158</v>
      </c>
      <c r="E1040" s="18" t="s">
        <v>159</v>
      </c>
      <c r="F1040" s="19" t="s">
        <v>96</v>
      </c>
      <c r="G1040" s="20" t="s">
        <v>97</v>
      </c>
      <c r="H1040" t="str">
        <f>'Source Table'!$H$9</f>
        <v>Male</v>
      </c>
      <c r="I1040" t="str">
        <f>'Source Table'!$H$8</f>
        <v>ذكر</v>
      </c>
      <c r="J1040" t="str">
        <f t="shared" si="32"/>
        <v>2017/2016</v>
      </c>
      <c r="K1040" t="str">
        <f t="shared" si="33"/>
        <v>2017/2016</v>
      </c>
      <c r="L1040" s="28">
        <v>28327</v>
      </c>
      <c r="M1040" s="18">
        <v>2016</v>
      </c>
    </row>
    <row r="1041" ht="21.75" spans="1:13">
      <c r="A1041" s="18" t="s">
        <v>155</v>
      </c>
      <c r="B1041" s="18" t="s">
        <v>156</v>
      </c>
      <c r="C1041" s="18" t="s">
        <v>157</v>
      </c>
      <c r="D1041" s="18" t="s">
        <v>158</v>
      </c>
      <c r="E1041" s="18" t="s">
        <v>159</v>
      </c>
      <c r="F1041" s="19" t="s">
        <v>98</v>
      </c>
      <c r="G1041" s="20" t="s">
        <v>99</v>
      </c>
      <c r="H1041" t="str">
        <f>'Source Table'!$H$9</f>
        <v>Male</v>
      </c>
      <c r="I1041" t="str">
        <f>'Source Table'!$H$8</f>
        <v>ذكر</v>
      </c>
      <c r="J1041" t="str">
        <f t="shared" si="32"/>
        <v>2017/2016</v>
      </c>
      <c r="K1041" t="str">
        <f t="shared" si="33"/>
        <v>2017/2016</v>
      </c>
      <c r="L1041" s="32">
        <v>28899</v>
      </c>
      <c r="M1041" s="18">
        <v>2016</v>
      </c>
    </row>
    <row r="1042" ht="21.75" spans="1:13">
      <c r="A1042" s="18" t="s">
        <v>155</v>
      </c>
      <c r="B1042" s="18" t="s">
        <v>156</v>
      </c>
      <c r="C1042" s="18" t="s">
        <v>157</v>
      </c>
      <c r="D1042" s="18" t="s">
        <v>158</v>
      </c>
      <c r="E1042" s="18" t="s">
        <v>159</v>
      </c>
      <c r="F1042" s="19" t="s">
        <v>100</v>
      </c>
      <c r="G1042" s="20" t="s">
        <v>101</v>
      </c>
      <c r="H1042" t="str">
        <f>'Source Table'!$H$9</f>
        <v>Male</v>
      </c>
      <c r="I1042" t="str">
        <f>'Source Table'!$H$8</f>
        <v>ذكر</v>
      </c>
      <c r="J1042" t="str">
        <f t="shared" si="32"/>
        <v>2017/2016</v>
      </c>
      <c r="K1042" t="str">
        <f t="shared" si="33"/>
        <v>2017/2016</v>
      </c>
      <c r="L1042" s="32">
        <v>22220</v>
      </c>
      <c r="M1042" s="18">
        <v>2016</v>
      </c>
    </row>
    <row r="1043" ht="21.75" spans="1:13">
      <c r="A1043" s="18" t="s">
        <v>155</v>
      </c>
      <c r="B1043" s="18" t="s">
        <v>156</v>
      </c>
      <c r="C1043" s="18" t="s">
        <v>157</v>
      </c>
      <c r="D1043" s="18" t="s">
        <v>158</v>
      </c>
      <c r="E1043" s="18" t="s">
        <v>159</v>
      </c>
      <c r="F1043" s="19" t="s">
        <v>103</v>
      </c>
      <c r="G1043" s="20" t="s">
        <v>104</v>
      </c>
      <c r="H1043" t="str">
        <f>'Source Table'!$H$9</f>
        <v>Male</v>
      </c>
      <c r="I1043" t="str">
        <f>'Source Table'!$H$8</f>
        <v>ذكر</v>
      </c>
      <c r="J1043" t="str">
        <f t="shared" si="32"/>
        <v>2017/2016</v>
      </c>
      <c r="K1043" t="str">
        <f t="shared" si="33"/>
        <v>2017/2016</v>
      </c>
      <c r="L1043" s="34">
        <v>14584</v>
      </c>
      <c r="M1043" s="18">
        <v>2016</v>
      </c>
    </row>
    <row r="1044" ht="21.75" spans="1:13">
      <c r="A1044" s="18" t="s">
        <v>155</v>
      </c>
      <c r="B1044" s="18" t="s">
        <v>156</v>
      </c>
      <c r="C1044" s="18" t="s">
        <v>157</v>
      </c>
      <c r="D1044" s="18" t="s">
        <v>158</v>
      </c>
      <c r="E1044" s="18" t="s">
        <v>159</v>
      </c>
      <c r="F1044" s="19" t="s">
        <v>106</v>
      </c>
      <c r="G1044" s="20" t="s">
        <v>107</v>
      </c>
      <c r="H1044" t="str">
        <f>'Source Table'!$H$9</f>
        <v>Male</v>
      </c>
      <c r="I1044" t="str">
        <f>'Source Table'!$H$8</f>
        <v>ذكر</v>
      </c>
      <c r="J1044" t="str">
        <f t="shared" si="32"/>
        <v>2017/2016</v>
      </c>
      <c r="K1044" t="str">
        <f t="shared" si="33"/>
        <v>2017/2016</v>
      </c>
      <c r="L1044" s="34">
        <v>10760</v>
      </c>
      <c r="M1044" s="18">
        <v>2016</v>
      </c>
    </row>
    <row r="1045" ht="21.75" spans="1:13">
      <c r="A1045" s="18" t="s">
        <v>155</v>
      </c>
      <c r="B1045" s="18" t="s">
        <v>156</v>
      </c>
      <c r="C1045" s="18" t="s">
        <v>157</v>
      </c>
      <c r="D1045" s="18" t="s">
        <v>158</v>
      </c>
      <c r="E1045" s="18" t="s">
        <v>159</v>
      </c>
      <c r="F1045" s="19" t="s">
        <v>108</v>
      </c>
      <c r="G1045" s="20" t="s">
        <v>109</v>
      </c>
      <c r="H1045" t="str">
        <f>'Source Table'!$H$9</f>
        <v>Male</v>
      </c>
      <c r="I1045" t="str">
        <f>'Source Table'!$H$8</f>
        <v>ذكر</v>
      </c>
      <c r="J1045" t="str">
        <f t="shared" si="32"/>
        <v>2017/2016</v>
      </c>
      <c r="K1045" t="str">
        <f t="shared" si="33"/>
        <v>2017/2016</v>
      </c>
      <c r="L1045" s="34">
        <v>6349</v>
      </c>
      <c r="M1045" s="18">
        <v>2016</v>
      </c>
    </row>
    <row r="1046" ht="21.75" spans="1:13">
      <c r="A1046" s="18" t="s">
        <v>155</v>
      </c>
      <c r="B1046" s="18" t="s">
        <v>156</v>
      </c>
      <c r="C1046" s="18" t="s">
        <v>157</v>
      </c>
      <c r="D1046" s="18" t="s">
        <v>158</v>
      </c>
      <c r="E1046" s="18" t="s">
        <v>159</v>
      </c>
      <c r="F1046" s="19" t="s">
        <v>110</v>
      </c>
      <c r="G1046" s="20" t="s">
        <v>111</v>
      </c>
      <c r="H1046" t="str">
        <f>'Source Table'!$H$9</f>
        <v>Male</v>
      </c>
      <c r="I1046" t="str">
        <f>'Source Table'!$H$8</f>
        <v>ذكر</v>
      </c>
      <c r="J1046" t="str">
        <f t="shared" si="32"/>
        <v>2017/2016</v>
      </c>
      <c r="K1046" t="str">
        <f t="shared" si="33"/>
        <v>2017/2016</v>
      </c>
      <c r="L1046" s="34">
        <v>7449</v>
      </c>
      <c r="M1046" s="18">
        <v>2016</v>
      </c>
    </row>
    <row r="1047" ht="21.75" spans="1:13">
      <c r="A1047" s="18" t="s">
        <v>155</v>
      </c>
      <c r="B1047" s="18" t="s">
        <v>156</v>
      </c>
      <c r="C1047" s="18" t="s">
        <v>157</v>
      </c>
      <c r="D1047" s="18" t="s">
        <v>158</v>
      </c>
      <c r="E1047" s="18" t="s">
        <v>159</v>
      </c>
      <c r="F1047" s="19" t="s">
        <v>113</v>
      </c>
      <c r="G1047" s="20" t="s">
        <v>114</v>
      </c>
      <c r="H1047" t="str">
        <f>'Source Table'!$H$9</f>
        <v>Male</v>
      </c>
      <c r="I1047" t="str">
        <f>'Source Table'!$H$8</f>
        <v>ذكر</v>
      </c>
      <c r="J1047" t="str">
        <f t="shared" si="32"/>
        <v>2017/2016</v>
      </c>
      <c r="K1047" t="str">
        <f t="shared" si="33"/>
        <v>2017/2016</v>
      </c>
      <c r="L1047" s="28">
        <v>10290</v>
      </c>
      <c r="M1047" s="18">
        <v>2016</v>
      </c>
    </row>
    <row r="1048" ht="21.75" spans="1:13">
      <c r="A1048" s="18" t="s">
        <v>155</v>
      </c>
      <c r="B1048" s="18" t="s">
        <v>156</v>
      </c>
      <c r="C1048" s="18" t="s">
        <v>157</v>
      </c>
      <c r="D1048" s="18" t="s">
        <v>158</v>
      </c>
      <c r="E1048" s="18" t="s">
        <v>159</v>
      </c>
      <c r="F1048" s="19" t="s">
        <v>115</v>
      </c>
      <c r="G1048" s="20" t="s">
        <v>116</v>
      </c>
      <c r="H1048" t="str">
        <f>'Source Table'!$H$9</f>
        <v>Male</v>
      </c>
      <c r="I1048" t="str">
        <f>'Source Table'!$H$8</f>
        <v>ذكر</v>
      </c>
      <c r="J1048" t="str">
        <f t="shared" si="32"/>
        <v>2017/2016</v>
      </c>
      <c r="K1048" t="str">
        <f t="shared" si="33"/>
        <v>2017/2016</v>
      </c>
      <c r="L1048" s="28">
        <v>3806</v>
      </c>
      <c r="M1048" s="18">
        <v>2016</v>
      </c>
    </row>
    <row r="1049" ht="21.75" spans="1:13">
      <c r="A1049" s="18" t="s">
        <v>155</v>
      </c>
      <c r="B1049" s="18" t="s">
        <v>156</v>
      </c>
      <c r="C1049" s="18" t="s">
        <v>157</v>
      </c>
      <c r="D1049" s="18" t="s">
        <v>158</v>
      </c>
      <c r="E1049" s="18" t="s">
        <v>159</v>
      </c>
      <c r="F1049" s="19" t="s">
        <v>118</v>
      </c>
      <c r="G1049" s="20" t="s">
        <v>119</v>
      </c>
      <c r="H1049" t="str">
        <f>'Source Table'!$H$9</f>
        <v>Male</v>
      </c>
      <c r="I1049" t="str">
        <f>'Source Table'!$H$8</f>
        <v>ذكر</v>
      </c>
      <c r="J1049" t="str">
        <f t="shared" si="32"/>
        <v>2017/2016</v>
      </c>
      <c r="K1049" t="str">
        <f t="shared" si="33"/>
        <v>2017/2016</v>
      </c>
      <c r="L1049" s="28">
        <v>7278</v>
      </c>
      <c r="M1049" s="18">
        <v>2016</v>
      </c>
    </row>
    <row r="1050" ht="21.75" spans="1:13">
      <c r="A1050" s="18" t="s">
        <v>155</v>
      </c>
      <c r="B1050" s="18" t="s">
        <v>156</v>
      </c>
      <c r="C1050" s="18" t="s">
        <v>157</v>
      </c>
      <c r="D1050" s="18" t="s">
        <v>158</v>
      </c>
      <c r="E1050" s="18" t="s">
        <v>159</v>
      </c>
      <c r="F1050" s="19" t="s">
        <v>120</v>
      </c>
      <c r="G1050" s="20" t="s">
        <v>121</v>
      </c>
      <c r="H1050" t="str">
        <f>'Source Table'!$H$9</f>
        <v>Male</v>
      </c>
      <c r="I1050" t="str">
        <f>'Source Table'!$H$8</f>
        <v>ذكر</v>
      </c>
      <c r="J1050" t="str">
        <f t="shared" si="32"/>
        <v>2017/2016</v>
      </c>
      <c r="K1050" t="str">
        <f t="shared" si="33"/>
        <v>2017/2016</v>
      </c>
      <c r="L1050" s="28">
        <v>6146</v>
      </c>
      <c r="M1050" s="18">
        <v>2016</v>
      </c>
    </row>
    <row r="1051" ht="21.75" spans="1:13">
      <c r="A1051" s="18" t="s">
        <v>155</v>
      </c>
      <c r="B1051" s="18" t="s">
        <v>156</v>
      </c>
      <c r="C1051" s="18" t="s">
        <v>157</v>
      </c>
      <c r="D1051" s="18" t="s">
        <v>158</v>
      </c>
      <c r="E1051" s="18" t="s">
        <v>159</v>
      </c>
      <c r="F1051" s="19" t="s">
        <v>122</v>
      </c>
      <c r="G1051" s="20" t="s">
        <v>123</v>
      </c>
      <c r="H1051" t="str">
        <f>'Source Table'!$H$9</f>
        <v>Male</v>
      </c>
      <c r="I1051" t="str">
        <f>'Source Table'!$H$8</f>
        <v>ذكر</v>
      </c>
      <c r="J1051" t="str">
        <f t="shared" si="32"/>
        <v>2017/2016</v>
      </c>
      <c r="K1051" t="str">
        <f t="shared" si="33"/>
        <v>2017/2016</v>
      </c>
      <c r="L1051" s="28">
        <v>4332</v>
      </c>
      <c r="M1051" s="18">
        <v>2016</v>
      </c>
    </row>
    <row r="1052" ht="21.75" spans="1:13">
      <c r="A1052" s="18" t="s">
        <v>155</v>
      </c>
      <c r="B1052" s="18" t="s">
        <v>156</v>
      </c>
      <c r="C1052" s="18" t="s">
        <v>157</v>
      </c>
      <c r="D1052" s="18" t="s">
        <v>158</v>
      </c>
      <c r="E1052" s="18" t="s">
        <v>159</v>
      </c>
      <c r="F1052" s="19" t="s">
        <v>124</v>
      </c>
      <c r="G1052" s="20" t="s">
        <v>125</v>
      </c>
      <c r="H1052" t="str">
        <f>'Source Table'!$H$9</f>
        <v>Male</v>
      </c>
      <c r="I1052" t="str">
        <f>'Source Table'!$H$8</f>
        <v>ذكر</v>
      </c>
      <c r="J1052" t="str">
        <f t="shared" si="32"/>
        <v>2017/2016</v>
      </c>
      <c r="K1052" t="str">
        <f t="shared" si="33"/>
        <v>2017/2016</v>
      </c>
      <c r="L1052" s="28">
        <v>1709</v>
      </c>
      <c r="M1052" s="18">
        <v>2016</v>
      </c>
    </row>
    <row r="1053" ht="21.75" spans="1:13">
      <c r="A1053" s="18" t="s">
        <v>155</v>
      </c>
      <c r="B1053" s="18" t="s">
        <v>156</v>
      </c>
      <c r="C1053" s="18" t="s">
        <v>157</v>
      </c>
      <c r="D1053" s="18" t="s">
        <v>158</v>
      </c>
      <c r="E1053" s="18" t="s">
        <v>159</v>
      </c>
      <c r="F1053" s="19" t="s">
        <v>126</v>
      </c>
      <c r="G1053" s="20" t="s">
        <v>127</v>
      </c>
      <c r="H1053" t="str">
        <f>'Source Table'!$H$9</f>
        <v>Male</v>
      </c>
      <c r="I1053" t="str">
        <f>'Source Table'!$H$8</f>
        <v>ذكر</v>
      </c>
      <c r="J1053" t="str">
        <f t="shared" si="32"/>
        <v>2017/2016</v>
      </c>
      <c r="K1053" t="str">
        <f t="shared" si="33"/>
        <v>2017/2016</v>
      </c>
      <c r="L1053" s="32">
        <v>23113</v>
      </c>
      <c r="M1053" s="18">
        <v>2016</v>
      </c>
    </row>
    <row r="1054" ht="21.75" spans="1:13">
      <c r="A1054" s="18" t="s">
        <v>155</v>
      </c>
      <c r="B1054" s="18" t="s">
        <v>156</v>
      </c>
      <c r="C1054" s="18" t="s">
        <v>157</v>
      </c>
      <c r="D1054" s="18" t="s">
        <v>158</v>
      </c>
      <c r="E1054" s="18" t="s">
        <v>159</v>
      </c>
      <c r="F1054" s="19" t="s">
        <v>29</v>
      </c>
      <c r="G1054" s="20" t="s">
        <v>30</v>
      </c>
      <c r="H1054" t="str">
        <f>'Source Table'!$G$9</f>
        <v>Female</v>
      </c>
      <c r="I1054" t="str">
        <f>'Source Table'!$G$8</f>
        <v>أنثى</v>
      </c>
      <c r="J1054" t="str">
        <f t="shared" si="32"/>
        <v>2017/2016</v>
      </c>
      <c r="K1054" t="str">
        <f t="shared" si="33"/>
        <v>2017/2016</v>
      </c>
      <c r="L1054" s="28">
        <v>82353</v>
      </c>
      <c r="M1054" s="18">
        <v>2016</v>
      </c>
    </row>
    <row r="1055" ht="21.75" spans="1:13">
      <c r="A1055" s="18" t="s">
        <v>155</v>
      </c>
      <c r="B1055" s="18" t="s">
        <v>156</v>
      </c>
      <c r="C1055" s="18" t="s">
        <v>157</v>
      </c>
      <c r="D1055" s="18" t="s">
        <v>158</v>
      </c>
      <c r="E1055" s="18" t="s">
        <v>159</v>
      </c>
      <c r="F1055" s="19" t="s">
        <v>32</v>
      </c>
      <c r="G1055" s="20" t="s">
        <v>33</v>
      </c>
      <c r="H1055" t="str">
        <f>'Source Table'!$G$9</f>
        <v>Female</v>
      </c>
      <c r="I1055" t="str">
        <f>'Source Table'!$G$8</f>
        <v>أنثى</v>
      </c>
      <c r="J1055" t="str">
        <f t="shared" si="32"/>
        <v>2017/2016</v>
      </c>
      <c r="K1055" t="str">
        <f t="shared" si="33"/>
        <v>2017/2016</v>
      </c>
      <c r="L1055" s="28">
        <v>60915</v>
      </c>
      <c r="M1055" s="18">
        <v>2016</v>
      </c>
    </row>
    <row r="1056" ht="21.75" spans="1:13">
      <c r="A1056" s="18" t="s">
        <v>155</v>
      </c>
      <c r="B1056" s="18" t="s">
        <v>156</v>
      </c>
      <c r="C1056" s="18" t="s">
        <v>157</v>
      </c>
      <c r="D1056" s="18" t="s">
        <v>158</v>
      </c>
      <c r="E1056" s="18" t="s">
        <v>159</v>
      </c>
      <c r="F1056" s="19" t="s">
        <v>34</v>
      </c>
      <c r="G1056" s="20" t="s">
        <v>35</v>
      </c>
      <c r="H1056" t="str">
        <f>'Source Table'!$G$9</f>
        <v>Female</v>
      </c>
      <c r="I1056" t="str">
        <f>'Source Table'!$G$8</f>
        <v>أنثى</v>
      </c>
      <c r="J1056" t="str">
        <f t="shared" si="32"/>
        <v>2017/2016</v>
      </c>
      <c r="K1056" t="str">
        <f t="shared" si="33"/>
        <v>2017/2016</v>
      </c>
      <c r="L1056" s="28">
        <v>13831</v>
      </c>
      <c r="M1056" s="18">
        <v>2016</v>
      </c>
    </row>
    <row r="1057" ht="21.75" spans="1:13">
      <c r="A1057" s="18" t="s">
        <v>155</v>
      </c>
      <c r="B1057" s="18" t="s">
        <v>156</v>
      </c>
      <c r="C1057" s="18" t="s">
        <v>157</v>
      </c>
      <c r="D1057" s="18" t="s">
        <v>158</v>
      </c>
      <c r="E1057" s="18" t="s">
        <v>159</v>
      </c>
      <c r="F1057" s="19" t="s">
        <v>36</v>
      </c>
      <c r="G1057" s="20" t="s">
        <v>37</v>
      </c>
      <c r="H1057" t="str">
        <f>'Source Table'!$G$9</f>
        <v>Female</v>
      </c>
      <c r="I1057" t="str">
        <f>'Source Table'!$G$8</f>
        <v>أنثى</v>
      </c>
      <c r="J1057" t="str">
        <f t="shared" si="32"/>
        <v>2017/2016</v>
      </c>
      <c r="K1057" t="str">
        <f t="shared" si="33"/>
        <v>2017/2016</v>
      </c>
      <c r="L1057" s="28">
        <v>60518</v>
      </c>
      <c r="M1057" s="18">
        <v>2016</v>
      </c>
    </row>
    <row r="1058" ht="21.75" spans="1:13">
      <c r="A1058" s="18" t="s">
        <v>155</v>
      </c>
      <c r="B1058" s="18" t="s">
        <v>156</v>
      </c>
      <c r="C1058" s="18" t="s">
        <v>157</v>
      </c>
      <c r="D1058" s="18" t="s">
        <v>158</v>
      </c>
      <c r="E1058" s="18" t="s">
        <v>159</v>
      </c>
      <c r="F1058" s="19" t="s">
        <v>38</v>
      </c>
      <c r="G1058" s="20" t="s">
        <v>39</v>
      </c>
      <c r="H1058" t="str">
        <f>'Source Table'!$G$9</f>
        <v>Female</v>
      </c>
      <c r="I1058" t="str">
        <f>'Source Table'!$G$8</f>
        <v>أنثى</v>
      </c>
      <c r="J1058" t="str">
        <f t="shared" si="32"/>
        <v>2017/2016</v>
      </c>
      <c r="K1058" t="str">
        <f t="shared" si="33"/>
        <v>2017/2016</v>
      </c>
      <c r="L1058" s="28">
        <v>87787</v>
      </c>
      <c r="M1058" s="18">
        <v>2016</v>
      </c>
    </row>
    <row r="1059" ht="21.75" spans="1:13">
      <c r="A1059" s="18" t="s">
        <v>155</v>
      </c>
      <c r="B1059" s="18" t="s">
        <v>156</v>
      </c>
      <c r="C1059" s="18" t="s">
        <v>157</v>
      </c>
      <c r="D1059" s="18" t="s">
        <v>158</v>
      </c>
      <c r="E1059" s="18" t="s">
        <v>159</v>
      </c>
      <c r="F1059" s="19" t="s">
        <v>40</v>
      </c>
      <c r="G1059" s="20" t="s">
        <v>41</v>
      </c>
      <c r="H1059" t="str">
        <f>'Source Table'!$G$9</f>
        <v>Female</v>
      </c>
      <c r="I1059" t="str">
        <f>'Source Table'!$G$8</f>
        <v>أنثى</v>
      </c>
      <c r="J1059" t="str">
        <f t="shared" si="32"/>
        <v>2017/2016</v>
      </c>
      <c r="K1059" t="str">
        <f t="shared" si="33"/>
        <v>2017/2016</v>
      </c>
      <c r="L1059" s="28">
        <v>29163</v>
      </c>
      <c r="M1059" s="18">
        <v>2016</v>
      </c>
    </row>
    <row r="1060" ht="21.75" spans="1:13">
      <c r="A1060" s="18" t="s">
        <v>155</v>
      </c>
      <c r="B1060" s="18" t="s">
        <v>156</v>
      </c>
      <c r="C1060" s="18" t="s">
        <v>157</v>
      </c>
      <c r="D1060" s="18" t="s">
        <v>158</v>
      </c>
      <c r="E1060" s="18" t="s">
        <v>159</v>
      </c>
      <c r="F1060" s="19" t="s">
        <v>42</v>
      </c>
      <c r="G1060" s="20" t="s">
        <v>43</v>
      </c>
      <c r="H1060" t="str">
        <f>'Source Table'!$G$9</f>
        <v>Female</v>
      </c>
      <c r="I1060" t="str">
        <f>'Source Table'!$G$8</f>
        <v>أنثى</v>
      </c>
      <c r="J1060" t="str">
        <f t="shared" si="32"/>
        <v>2017/2016</v>
      </c>
      <c r="K1060" t="str">
        <f t="shared" si="33"/>
        <v>2017/2016</v>
      </c>
      <c r="L1060" s="28">
        <v>13665</v>
      </c>
      <c r="M1060" s="18">
        <v>2016</v>
      </c>
    </row>
    <row r="1061" ht="21.75" spans="1:13">
      <c r="A1061" s="18" t="s">
        <v>155</v>
      </c>
      <c r="B1061" s="18" t="s">
        <v>156</v>
      </c>
      <c r="C1061" s="18" t="s">
        <v>157</v>
      </c>
      <c r="D1061" s="18" t="s">
        <v>158</v>
      </c>
      <c r="E1061" s="18" t="s">
        <v>159</v>
      </c>
      <c r="F1061" s="19" t="s">
        <v>44</v>
      </c>
      <c r="G1061" s="20" t="s">
        <v>45</v>
      </c>
      <c r="H1061" t="str">
        <f>'Source Table'!$G$9</f>
        <v>Female</v>
      </c>
      <c r="I1061" t="str">
        <f>'Source Table'!$G$8</f>
        <v>أنثى</v>
      </c>
      <c r="J1061" t="str">
        <f t="shared" si="32"/>
        <v>2017/2016</v>
      </c>
      <c r="K1061" t="str">
        <f t="shared" si="33"/>
        <v>2017/2016</v>
      </c>
      <c r="L1061" s="28">
        <v>7222</v>
      </c>
      <c r="M1061" s="18">
        <v>2016</v>
      </c>
    </row>
    <row r="1062" ht="21.75" spans="1:13">
      <c r="A1062" s="18" t="s">
        <v>155</v>
      </c>
      <c r="B1062" s="18" t="s">
        <v>156</v>
      </c>
      <c r="C1062" s="18" t="s">
        <v>157</v>
      </c>
      <c r="D1062" s="18" t="s">
        <v>158</v>
      </c>
      <c r="E1062" s="18" t="s">
        <v>159</v>
      </c>
      <c r="F1062" s="19" t="s">
        <v>46</v>
      </c>
      <c r="G1062" s="20" t="s">
        <v>47</v>
      </c>
      <c r="H1062" t="str">
        <f>'Source Table'!$G$9</f>
        <v>Female</v>
      </c>
      <c r="I1062" t="str">
        <f>'Source Table'!$G$8</f>
        <v>أنثى</v>
      </c>
      <c r="J1062" t="str">
        <f t="shared" si="32"/>
        <v>2017/2016</v>
      </c>
      <c r="K1062" t="str">
        <f t="shared" si="33"/>
        <v>2017/2016</v>
      </c>
      <c r="L1062" s="33">
        <v>8805</v>
      </c>
      <c r="M1062" s="18">
        <v>2016</v>
      </c>
    </row>
    <row r="1063" ht="21.75" spans="1:13">
      <c r="A1063" s="18" t="s">
        <v>155</v>
      </c>
      <c r="B1063" s="18" t="s">
        <v>156</v>
      </c>
      <c r="C1063" s="18" t="s">
        <v>157</v>
      </c>
      <c r="D1063" s="18" t="s">
        <v>158</v>
      </c>
      <c r="E1063" s="18" t="s">
        <v>159</v>
      </c>
      <c r="F1063" s="19" t="s">
        <v>49</v>
      </c>
      <c r="G1063" s="20" t="s">
        <v>50</v>
      </c>
      <c r="H1063" t="str">
        <f>'Source Table'!$G$9</f>
        <v>Female</v>
      </c>
      <c r="I1063" t="str">
        <f>'Source Table'!$G$8</f>
        <v>أنثى</v>
      </c>
      <c r="J1063" t="str">
        <f t="shared" si="32"/>
        <v>2017/2016</v>
      </c>
      <c r="K1063" t="str">
        <f t="shared" si="33"/>
        <v>2017/2016</v>
      </c>
      <c r="L1063" s="28">
        <v>24254</v>
      </c>
      <c r="M1063" s="18">
        <v>2016</v>
      </c>
    </row>
    <row r="1064" ht="21.75" spans="1:13">
      <c r="A1064" s="18" t="s">
        <v>155</v>
      </c>
      <c r="B1064" s="18" t="s">
        <v>156</v>
      </c>
      <c r="C1064" s="18" t="s">
        <v>157</v>
      </c>
      <c r="D1064" s="18" t="s">
        <v>158</v>
      </c>
      <c r="E1064" s="18" t="s">
        <v>159</v>
      </c>
      <c r="F1064" s="19" t="s">
        <v>52</v>
      </c>
      <c r="G1064" s="20" t="s">
        <v>53</v>
      </c>
      <c r="H1064" t="str">
        <f>'Source Table'!$G$9</f>
        <v>Female</v>
      </c>
      <c r="I1064" t="str">
        <f>'Source Table'!$G$8</f>
        <v>أنثى</v>
      </c>
      <c r="J1064" t="str">
        <f t="shared" si="32"/>
        <v>2017/2016</v>
      </c>
      <c r="K1064" t="str">
        <f t="shared" si="33"/>
        <v>2017/2016</v>
      </c>
      <c r="L1064" s="28">
        <v>8218</v>
      </c>
      <c r="M1064" s="18">
        <v>2016</v>
      </c>
    </row>
    <row r="1065" ht="21.75" spans="1:13">
      <c r="A1065" s="18" t="s">
        <v>155</v>
      </c>
      <c r="B1065" s="18" t="s">
        <v>156</v>
      </c>
      <c r="C1065" s="18" t="s">
        <v>157</v>
      </c>
      <c r="D1065" s="18" t="s">
        <v>158</v>
      </c>
      <c r="E1065" s="18" t="s">
        <v>159</v>
      </c>
      <c r="F1065" s="19" t="s">
        <v>54</v>
      </c>
      <c r="G1065" s="20" t="s">
        <v>55</v>
      </c>
      <c r="H1065" t="str">
        <f>'Source Table'!$G$9</f>
        <v>Female</v>
      </c>
      <c r="I1065" t="str">
        <f>'Source Table'!$G$8</f>
        <v>أنثى</v>
      </c>
      <c r="J1065" t="str">
        <f t="shared" si="32"/>
        <v>2017/2016</v>
      </c>
      <c r="K1065" t="str">
        <f t="shared" si="33"/>
        <v>2017/2016</v>
      </c>
      <c r="L1065" s="28">
        <v>7216</v>
      </c>
      <c r="M1065" s="18">
        <v>2016</v>
      </c>
    </row>
    <row r="1066" ht="21.75" spans="1:13">
      <c r="A1066" s="18" t="s">
        <v>155</v>
      </c>
      <c r="B1066" s="18" t="s">
        <v>156</v>
      </c>
      <c r="C1066" s="18" t="s">
        <v>157</v>
      </c>
      <c r="D1066" s="18" t="s">
        <v>158</v>
      </c>
      <c r="E1066" s="18" t="s">
        <v>159</v>
      </c>
      <c r="F1066" s="19" t="s">
        <v>56</v>
      </c>
      <c r="G1066" s="20" t="s">
        <v>57</v>
      </c>
      <c r="H1066" t="str">
        <f>'Source Table'!$G$9</f>
        <v>Female</v>
      </c>
      <c r="I1066" t="str">
        <f>'Source Table'!$G$8</f>
        <v>أنثى</v>
      </c>
      <c r="J1066" t="str">
        <f t="shared" si="32"/>
        <v>2017/2016</v>
      </c>
      <c r="K1066" t="str">
        <f t="shared" si="33"/>
        <v>2017/2016</v>
      </c>
      <c r="L1066" s="28">
        <v>27018</v>
      </c>
      <c r="M1066" s="18">
        <v>2016</v>
      </c>
    </row>
    <row r="1067" ht="21.75" spans="1:13">
      <c r="A1067" s="18" t="s">
        <v>155</v>
      </c>
      <c r="B1067" s="18" t="s">
        <v>156</v>
      </c>
      <c r="C1067" s="18" t="s">
        <v>157</v>
      </c>
      <c r="D1067" s="18" t="s">
        <v>158</v>
      </c>
      <c r="E1067" s="18" t="s">
        <v>159</v>
      </c>
      <c r="F1067" s="19" t="s">
        <v>59</v>
      </c>
      <c r="G1067" s="20" t="s">
        <v>160</v>
      </c>
      <c r="H1067" t="str">
        <f>'Source Table'!$G$9</f>
        <v>Female</v>
      </c>
      <c r="I1067" t="str">
        <f>'Source Table'!$G$8</f>
        <v>أنثى</v>
      </c>
      <c r="J1067" t="str">
        <f t="shared" si="32"/>
        <v>2017/2016</v>
      </c>
      <c r="K1067" t="str">
        <f t="shared" si="33"/>
        <v>2017/2016</v>
      </c>
      <c r="L1067" s="28">
        <v>69177</v>
      </c>
      <c r="M1067" s="18">
        <v>2016</v>
      </c>
    </row>
    <row r="1068" ht="21.75" spans="1:13">
      <c r="A1068" s="18" t="s">
        <v>155</v>
      </c>
      <c r="B1068" s="18" t="s">
        <v>156</v>
      </c>
      <c r="C1068" s="18" t="s">
        <v>157</v>
      </c>
      <c r="D1068" s="18" t="s">
        <v>158</v>
      </c>
      <c r="E1068" s="18" t="s">
        <v>159</v>
      </c>
      <c r="F1068" s="19" t="s">
        <v>62</v>
      </c>
      <c r="G1068" s="20" t="s">
        <v>161</v>
      </c>
      <c r="H1068" t="str">
        <f>'Source Table'!$G$9</f>
        <v>Female</v>
      </c>
      <c r="I1068" t="str">
        <f>'Source Table'!$G$8</f>
        <v>أنثى</v>
      </c>
      <c r="J1068" t="str">
        <f t="shared" si="32"/>
        <v>2017/2016</v>
      </c>
      <c r="K1068" t="str">
        <f t="shared" si="33"/>
        <v>2017/2016</v>
      </c>
      <c r="L1068" s="28">
        <v>25587</v>
      </c>
      <c r="M1068" s="18">
        <v>2016</v>
      </c>
    </row>
    <row r="1069" ht="21.75" spans="1:13">
      <c r="A1069" s="18" t="s">
        <v>155</v>
      </c>
      <c r="B1069" s="18" t="s">
        <v>156</v>
      </c>
      <c r="C1069" s="18" t="s">
        <v>157</v>
      </c>
      <c r="D1069" s="18" t="s">
        <v>158</v>
      </c>
      <c r="E1069" s="18" t="s">
        <v>159</v>
      </c>
      <c r="F1069" s="19" t="s">
        <v>64</v>
      </c>
      <c r="G1069" s="20" t="s">
        <v>65</v>
      </c>
      <c r="H1069" t="str">
        <f>'Source Table'!$G$9</f>
        <v>Female</v>
      </c>
      <c r="I1069" t="str">
        <f>'Source Table'!$G$8</f>
        <v>أنثى</v>
      </c>
      <c r="J1069" t="str">
        <f t="shared" si="32"/>
        <v>2017/2016</v>
      </c>
      <c r="K1069" t="str">
        <f t="shared" si="33"/>
        <v>2017/2016</v>
      </c>
      <c r="L1069" s="28">
        <v>48963</v>
      </c>
      <c r="M1069" s="18">
        <v>2016</v>
      </c>
    </row>
    <row r="1070" ht="21.75" spans="1:13">
      <c r="A1070" s="18" t="s">
        <v>155</v>
      </c>
      <c r="B1070" s="18" t="s">
        <v>156</v>
      </c>
      <c r="C1070" s="18" t="s">
        <v>157</v>
      </c>
      <c r="D1070" s="18" t="s">
        <v>158</v>
      </c>
      <c r="E1070" s="18" t="s">
        <v>159</v>
      </c>
      <c r="F1070" s="19" t="s">
        <v>68</v>
      </c>
      <c r="G1070" s="20" t="s">
        <v>69</v>
      </c>
      <c r="H1070" t="str">
        <f>'Source Table'!$G$9</f>
        <v>Female</v>
      </c>
      <c r="I1070" t="str">
        <f>'Source Table'!$G$8</f>
        <v>أنثى</v>
      </c>
      <c r="J1070" t="str">
        <f t="shared" si="32"/>
        <v>2017/2016</v>
      </c>
      <c r="K1070" t="str">
        <f t="shared" si="33"/>
        <v>2017/2016</v>
      </c>
      <c r="L1070" s="28">
        <v>20050</v>
      </c>
      <c r="M1070" s="18">
        <v>2016</v>
      </c>
    </row>
    <row r="1071" ht="21.75" spans="1:13">
      <c r="A1071" s="18" t="s">
        <v>155</v>
      </c>
      <c r="B1071" s="18" t="s">
        <v>156</v>
      </c>
      <c r="C1071" s="18" t="s">
        <v>157</v>
      </c>
      <c r="D1071" s="18" t="s">
        <v>158</v>
      </c>
      <c r="E1071" s="18" t="s">
        <v>159</v>
      </c>
      <c r="F1071" s="19" t="s">
        <v>70</v>
      </c>
      <c r="G1071" s="20" t="s">
        <v>71</v>
      </c>
      <c r="H1071" t="str">
        <f>'Source Table'!$G$9</f>
        <v>Female</v>
      </c>
      <c r="I1071" t="str">
        <f>'Source Table'!$G$8</f>
        <v>أنثى</v>
      </c>
      <c r="J1071" t="str">
        <f t="shared" si="32"/>
        <v>2017/2016</v>
      </c>
      <c r="K1071" t="str">
        <f t="shared" si="33"/>
        <v>2017/2016</v>
      </c>
      <c r="L1071" s="28">
        <v>5034</v>
      </c>
      <c r="M1071" s="18">
        <v>2016</v>
      </c>
    </row>
    <row r="1072" ht="21.75" spans="1:13">
      <c r="A1072" s="18" t="s">
        <v>155</v>
      </c>
      <c r="B1072" s="18" t="s">
        <v>156</v>
      </c>
      <c r="C1072" s="18" t="s">
        <v>157</v>
      </c>
      <c r="D1072" s="18" t="s">
        <v>158</v>
      </c>
      <c r="E1072" s="18" t="s">
        <v>159</v>
      </c>
      <c r="F1072" s="19" t="s">
        <v>74</v>
      </c>
      <c r="G1072" s="20" t="s">
        <v>75</v>
      </c>
      <c r="H1072" t="str">
        <f>'Source Table'!$G$9</f>
        <v>Female</v>
      </c>
      <c r="I1072" t="str">
        <f>'Source Table'!$G$8</f>
        <v>أنثى</v>
      </c>
      <c r="J1072" t="str">
        <f t="shared" si="32"/>
        <v>2017/2016</v>
      </c>
      <c r="K1072" t="str">
        <f t="shared" si="33"/>
        <v>2017/2016</v>
      </c>
      <c r="L1072" s="28">
        <v>70601</v>
      </c>
      <c r="M1072" s="18">
        <v>2016</v>
      </c>
    </row>
    <row r="1073" ht="21.75" spans="1:13">
      <c r="A1073" s="18" t="s">
        <v>155</v>
      </c>
      <c r="B1073" s="18" t="s">
        <v>156</v>
      </c>
      <c r="C1073" s="18" t="s">
        <v>157</v>
      </c>
      <c r="D1073" s="18" t="s">
        <v>158</v>
      </c>
      <c r="E1073" s="18" t="s">
        <v>159</v>
      </c>
      <c r="F1073" s="19" t="s">
        <v>76</v>
      </c>
      <c r="G1073" s="20" t="s">
        <v>77</v>
      </c>
      <c r="H1073" t="str">
        <f>'Source Table'!$G$9</f>
        <v>Female</v>
      </c>
      <c r="I1073" t="str">
        <f>'Source Table'!$G$8</f>
        <v>أنثى</v>
      </c>
      <c r="J1073" t="str">
        <f t="shared" si="32"/>
        <v>2017/2016</v>
      </c>
      <c r="K1073" t="str">
        <f t="shared" si="33"/>
        <v>2017/2016</v>
      </c>
      <c r="L1073" s="28">
        <v>22559</v>
      </c>
      <c r="M1073" s="18">
        <v>2016</v>
      </c>
    </row>
    <row r="1074" ht="21.75" spans="1:13">
      <c r="A1074" s="18" t="s">
        <v>155</v>
      </c>
      <c r="B1074" s="18" t="s">
        <v>156</v>
      </c>
      <c r="C1074" s="18" t="s">
        <v>157</v>
      </c>
      <c r="D1074" s="18" t="s">
        <v>158</v>
      </c>
      <c r="E1074" s="18" t="s">
        <v>159</v>
      </c>
      <c r="F1074" s="19" t="s">
        <v>78</v>
      </c>
      <c r="G1074" s="20" t="s">
        <v>79</v>
      </c>
      <c r="H1074" t="str">
        <f>'Source Table'!$G$9</f>
        <v>Female</v>
      </c>
      <c r="I1074" t="str">
        <f>'Source Table'!$G$8</f>
        <v>أنثى</v>
      </c>
      <c r="J1074" t="str">
        <f t="shared" si="32"/>
        <v>2017/2016</v>
      </c>
      <c r="K1074" t="str">
        <f t="shared" si="33"/>
        <v>2017/2016</v>
      </c>
      <c r="L1074" s="28">
        <v>7929</v>
      </c>
      <c r="M1074" s="18">
        <v>2016</v>
      </c>
    </row>
    <row r="1075" ht="21.75" spans="1:13">
      <c r="A1075" s="18" t="s">
        <v>155</v>
      </c>
      <c r="B1075" s="18" t="s">
        <v>156</v>
      </c>
      <c r="C1075" s="18" t="s">
        <v>157</v>
      </c>
      <c r="D1075" s="18" t="s">
        <v>158</v>
      </c>
      <c r="E1075" s="18" t="s">
        <v>159</v>
      </c>
      <c r="F1075" s="19" t="s">
        <v>80</v>
      </c>
      <c r="G1075" s="20" t="s">
        <v>81</v>
      </c>
      <c r="H1075" t="str">
        <f>'Source Table'!$G$9</f>
        <v>Female</v>
      </c>
      <c r="I1075" t="str">
        <f>'Source Table'!$G$8</f>
        <v>أنثى</v>
      </c>
      <c r="J1075" t="str">
        <f t="shared" si="32"/>
        <v>2017/2016</v>
      </c>
      <c r="K1075" t="str">
        <f t="shared" si="33"/>
        <v>2017/2016</v>
      </c>
      <c r="L1075" s="28">
        <v>9504</v>
      </c>
      <c r="M1075" s="18">
        <v>2016</v>
      </c>
    </row>
    <row r="1076" ht="21.75" spans="1:13">
      <c r="A1076" s="18" t="s">
        <v>155</v>
      </c>
      <c r="B1076" s="18" t="s">
        <v>156</v>
      </c>
      <c r="C1076" s="18" t="s">
        <v>157</v>
      </c>
      <c r="D1076" s="18" t="s">
        <v>158</v>
      </c>
      <c r="E1076" s="18" t="s">
        <v>159</v>
      </c>
      <c r="F1076" s="19" t="s">
        <v>82</v>
      </c>
      <c r="G1076" s="20" t="s">
        <v>83</v>
      </c>
      <c r="H1076" t="str">
        <f>'Source Table'!$G$9</f>
        <v>Female</v>
      </c>
      <c r="I1076" t="str">
        <f>'Source Table'!$G$8</f>
        <v>أنثى</v>
      </c>
      <c r="J1076" t="str">
        <f t="shared" si="32"/>
        <v>2017/2016</v>
      </c>
      <c r="K1076" t="str">
        <f t="shared" si="33"/>
        <v>2017/2016</v>
      </c>
      <c r="L1076" s="28">
        <v>16555</v>
      </c>
      <c r="M1076" s="18">
        <v>2016</v>
      </c>
    </row>
    <row r="1077" ht="21.75" spans="1:13">
      <c r="A1077" s="18" t="s">
        <v>155</v>
      </c>
      <c r="B1077" s="18" t="s">
        <v>156</v>
      </c>
      <c r="C1077" s="18" t="s">
        <v>157</v>
      </c>
      <c r="D1077" s="18" t="s">
        <v>158</v>
      </c>
      <c r="E1077" s="18" t="s">
        <v>159</v>
      </c>
      <c r="F1077" s="19" t="s">
        <v>84</v>
      </c>
      <c r="G1077" s="20" t="s">
        <v>85</v>
      </c>
      <c r="H1077" t="str">
        <f>'Source Table'!$G$9</f>
        <v>Female</v>
      </c>
      <c r="I1077" t="str">
        <f>'Source Table'!$G$8</f>
        <v>أنثى</v>
      </c>
      <c r="J1077" t="str">
        <f t="shared" si="32"/>
        <v>2017/2016</v>
      </c>
      <c r="K1077" t="str">
        <f t="shared" si="33"/>
        <v>2017/2016</v>
      </c>
      <c r="L1077" s="28">
        <v>12833</v>
      </c>
      <c r="M1077" s="18">
        <v>2016</v>
      </c>
    </row>
    <row r="1078" ht="21.75" spans="1:13">
      <c r="A1078" s="18" t="s">
        <v>155</v>
      </c>
      <c r="B1078" s="18" t="s">
        <v>156</v>
      </c>
      <c r="C1078" s="18" t="s">
        <v>157</v>
      </c>
      <c r="D1078" s="18" t="s">
        <v>158</v>
      </c>
      <c r="E1078" s="18" t="s">
        <v>159</v>
      </c>
      <c r="F1078" s="19" t="s">
        <v>86</v>
      </c>
      <c r="G1078" s="20" t="s">
        <v>87</v>
      </c>
      <c r="H1078" t="str">
        <f>'Source Table'!$G$9</f>
        <v>Female</v>
      </c>
      <c r="I1078" t="str">
        <f>'Source Table'!$G$8</f>
        <v>أنثى</v>
      </c>
      <c r="J1078" t="str">
        <f t="shared" si="32"/>
        <v>2017/2016</v>
      </c>
      <c r="K1078" t="str">
        <f t="shared" si="33"/>
        <v>2017/2016</v>
      </c>
      <c r="L1078" s="28">
        <v>13097</v>
      </c>
      <c r="M1078" s="18">
        <v>2016</v>
      </c>
    </row>
    <row r="1079" ht="21.75" spans="1:13">
      <c r="A1079" s="18" t="s">
        <v>155</v>
      </c>
      <c r="B1079" s="18" t="s">
        <v>156</v>
      </c>
      <c r="C1079" s="18" t="s">
        <v>157</v>
      </c>
      <c r="D1079" s="18" t="s">
        <v>158</v>
      </c>
      <c r="E1079" s="18" t="s">
        <v>159</v>
      </c>
      <c r="F1079" s="19" t="s">
        <v>88</v>
      </c>
      <c r="G1079" s="20" t="s">
        <v>89</v>
      </c>
      <c r="H1079" t="str">
        <f>'Source Table'!$G$9</f>
        <v>Female</v>
      </c>
      <c r="I1079" t="str">
        <f>'Source Table'!$G$8</f>
        <v>أنثى</v>
      </c>
      <c r="J1079" t="str">
        <f t="shared" si="32"/>
        <v>2017/2016</v>
      </c>
      <c r="K1079" t="str">
        <f t="shared" si="33"/>
        <v>2017/2016</v>
      </c>
      <c r="L1079" s="28">
        <v>23339</v>
      </c>
      <c r="M1079" s="18">
        <v>2016</v>
      </c>
    </row>
    <row r="1080" ht="21.75" spans="1:13">
      <c r="A1080" s="18" t="s">
        <v>155</v>
      </c>
      <c r="B1080" s="18" t="s">
        <v>156</v>
      </c>
      <c r="C1080" s="18" t="s">
        <v>157</v>
      </c>
      <c r="D1080" s="18" t="s">
        <v>158</v>
      </c>
      <c r="E1080" s="18" t="s">
        <v>159</v>
      </c>
      <c r="F1080" s="19" t="s">
        <v>91</v>
      </c>
      <c r="G1080" s="20" t="s">
        <v>92</v>
      </c>
      <c r="H1080" t="str">
        <f>'Source Table'!$G$9</f>
        <v>Female</v>
      </c>
      <c r="I1080" t="str">
        <f>'Source Table'!$G$8</f>
        <v>أنثى</v>
      </c>
      <c r="J1080" t="str">
        <f t="shared" si="32"/>
        <v>2017/2016</v>
      </c>
      <c r="K1080" t="str">
        <f t="shared" si="33"/>
        <v>2017/2016</v>
      </c>
      <c r="L1080" s="28">
        <v>22724</v>
      </c>
      <c r="M1080" s="18">
        <v>2016</v>
      </c>
    </row>
    <row r="1081" ht="21.75" spans="1:13">
      <c r="A1081" s="18" t="s">
        <v>155</v>
      </c>
      <c r="B1081" s="18" t="s">
        <v>156</v>
      </c>
      <c r="C1081" s="18" t="s">
        <v>157</v>
      </c>
      <c r="D1081" s="18" t="s">
        <v>158</v>
      </c>
      <c r="E1081" s="18" t="s">
        <v>159</v>
      </c>
      <c r="F1081" s="19" t="s">
        <v>94</v>
      </c>
      <c r="G1081" s="20" t="s">
        <v>95</v>
      </c>
      <c r="H1081" t="str">
        <f>'Source Table'!$G$9</f>
        <v>Female</v>
      </c>
      <c r="I1081" t="str">
        <f>'Source Table'!$G$8</f>
        <v>أنثى</v>
      </c>
      <c r="J1081" t="str">
        <f t="shared" si="32"/>
        <v>2017/2016</v>
      </c>
      <c r="K1081" t="str">
        <f t="shared" si="33"/>
        <v>2017/2016</v>
      </c>
      <c r="L1081" s="28">
        <v>13703</v>
      </c>
      <c r="M1081" s="18">
        <v>2016</v>
      </c>
    </row>
    <row r="1082" ht="21.75" spans="1:13">
      <c r="A1082" s="18" t="s">
        <v>155</v>
      </c>
      <c r="B1082" s="18" t="s">
        <v>156</v>
      </c>
      <c r="C1082" s="18" t="s">
        <v>157</v>
      </c>
      <c r="D1082" s="18" t="s">
        <v>158</v>
      </c>
      <c r="E1082" s="18" t="s">
        <v>159</v>
      </c>
      <c r="F1082" s="19" t="s">
        <v>96</v>
      </c>
      <c r="G1082" s="20" t="s">
        <v>97</v>
      </c>
      <c r="H1082" t="str">
        <f>'Source Table'!$G$9</f>
        <v>Female</v>
      </c>
      <c r="I1082" t="str">
        <f>'Source Table'!$G$8</f>
        <v>أنثى</v>
      </c>
      <c r="J1082" t="str">
        <f t="shared" si="32"/>
        <v>2017/2016</v>
      </c>
      <c r="K1082" t="str">
        <f t="shared" si="33"/>
        <v>2017/2016</v>
      </c>
      <c r="L1082" s="28">
        <v>28309</v>
      </c>
      <c r="M1082" s="18">
        <v>2016</v>
      </c>
    </row>
    <row r="1083" ht="21.75" spans="1:13">
      <c r="A1083" s="18" t="s">
        <v>155</v>
      </c>
      <c r="B1083" s="18" t="s">
        <v>156</v>
      </c>
      <c r="C1083" s="18" t="s">
        <v>157</v>
      </c>
      <c r="D1083" s="18" t="s">
        <v>158</v>
      </c>
      <c r="E1083" s="18" t="s">
        <v>159</v>
      </c>
      <c r="F1083" s="19" t="s">
        <v>98</v>
      </c>
      <c r="G1083" s="20" t="s">
        <v>99</v>
      </c>
      <c r="H1083" t="str">
        <f>'Source Table'!$G$9</f>
        <v>Female</v>
      </c>
      <c r="I1083" t="str">
        <f>'Source Table'!$G$8</f>
        <v>أنثى</v>
      </c>
      <c r="J1083" t="str">
        <f t="shared" si="32"/>
        <v>2017/2016</v>
      </c>
      <c r="K1083" t="str">
        <f t="shared" si="33"/>
        <v>2017/2016</v>
      </c>
      <c r="L1083" s="32">
        <v>29194</v>
      </c>
      <c r="M1083" s="18">
        <v>2016</v>
      </c>
    </row>
    <row r="1084" ht="21.75" spans="1:13">
      <c r="A1084" s="18" t="s">
        <v>155</v>
      </c>
      <c r="B1084" s="18" t="s">
        <v>156</v>
      </c>
      <c r="C1084" s="18" t="s">
        <v>157</v>
      </c>
      <c r="D1084" s="18" t="s">
        <v>158</v>
      </c>
      <c r="E1084" s="18" t="s">
        <v>159</v>
      </c>
      <c r="F1084" s="19" t="s">
        <v>100</v>
      </c>
      <c r="G1084" s="20" t="s">
        <v>101</v>
      </c>
      <c r="H1084" t="str">
        <f>'Source Table'!$G$9</f>
        <v>Female</v>
      </c>
      <c r="I1084" t="str">
        <f>'Source Table'!$G$8</f>
        <v>أنثى</v>
      </c>
      <c r="J1084" t="str">
        <f t="shared" si="32"/>
        <v>2017/2016</v>
      </c>
      <c r="K1084" t="str">
        <f t="shared" si="33"/>
        <v>2017/2016</v>
      </c>
      <c r="L1084" s="32">
        <v>21512</v>
      </c>
      <c r="M1084" s="18">
        <v>2016</v>
      </c>
    </row>
    <row r="1085" ht="21.75" spans="1:13">
      <c r="A1085" s="18" t="s">
        <v>155</v>
      </c>
      <c r="B1085" s="18" t="s">
        <v>156</v>
      </c>
      <c r="C1085" s="18" t="s">
        <v>157</v>
      </c>
      <c r="D1085" s="18" t="s">
        <v>158</v>
      </c>
      <c r="E1085" s="18" t="s">
        <v>159</v>
      </c>
      <c r="F1085" s="19" t="s">
        <v>103</v>
      </c>
      <c r="G1085" s="20" t="s">
        <v>104</v>
      </c>
      <c r="H1085" t="str">
        <f>'Source Table'!$G$9</f>
        <v>Female</v>
      </c>
      <c r="I1085" t="str">
        <f>'Source Table'!$G$8</f>
        <v>أنثى</v>
      </c>
      <c r="J1085" t="str">
        <f t="shared" si="32"/>
        <v>2017/2016</v>
      </c>
      <c r="K1085" t="str">
        <f t="shared" si="33"/>
        <v>2017/2016</v>
      </c>
      <c r="L1085" s="34">
        <v>14114</v>
      </c>
      <c r="M1085" s="18">
        <v>2016</v>
      </c>
    </row>
    <row r="1086" ht="21.75" spans="1:13">
      <c r="A1086" s="18" t="s">
        <v>155</v>
      </c>
      <c r="B1086" s="18" t="s">
        <v>156</v>
      </c>
      <c r="C1086" s="18" t="s">
        <v>157</v>
      </c>
      <c r="D1086" s="18" t="s">
        <v>158</v>
      </c>
      <c r="E1086" s="18" t="s">
        <v>159</v>
      </c>
      <c r="F1086" s="19" t="s">
        <v>106</v>
      </c>
      <c r="G1086" s="20" t="s">
        <v>107</v>
      </c>
      <c r="H1086" t="str">
        <f>'Source Table'!$G$9</f>
        <v>Female</v>
      </c>
      <c r="I1086" t="str">
        <f>'Source Table'!$G$8</f>
        <v>أنثى</v>
      </c>
      <c r="J1086" t="str">
        <f t="shared" si="32"/>
        <v>2017/2016</v>
      </c>
      <c r="K1086" t="str">
        <f t="shared" si="33"/>
        <v>2017/2016</v>
      </c>
      <c r="L1086" s="34">
        <v>10791</v>
      </c>
      <c r="M1086" s="18">
        <v>2016</v>
      </c>
    </row>
    <row r="1087" ht="21.75" spans="1:13">
      <c r="A1087" s="18" t="s">
        <v>155</v>
      </c>
      <c r="B1087" s="18" t="s">
        <v>156</v>
      </c>
      <c r="C1087" s="18" t="s">
        <v>157</v>
      </c>
      <c r="D1087" s="18" t="s">
        <v>158</v>
      </c>
      <c r="E1087" s="18" t="s">
        <v>159</v>
      </c>
      <c r="F1087" s="19" t="s">
        <v>108</v>
      </c>
      <c r="G1087" s="20" t="s">
        <v>109</v>
      </c>
      <c r="H1087" t="str">
        <f>'Source Table'!$G$9</f>
        <v>Female</v>
      </c>
      <c r="I1087" t="str">
        <f>'Source Table'!$G$8</f>
        <v>أنثى</v>
      </c>
      <c r="J1087" t="str">
        <f t="shared" si="32"/>
        <v>2017/2016</v>
      </c>
      <c r="K1087" t="str">
        <f t="shared" si="33"/>
        <v>2017/2016</v>
      </c>
      <c r="L1087" s="34">
        <v>6053</v>
      </c>
      <c r="M1087" s="18">
        <v>2016</v>
      </c>
    </row>
    <row r="1088" ht="21.75" spans="1:13">
      <c r="A1088" s="18" t="s">
        <v>155</v>
      </c>
      <c r="B1088" s="18" t="s">
        <v>156</v>
      </c>
      <c r="C1088" s="18" t="s">
        <v>157</v>
      </c>
      <c r="D1088" s="18" t="s">
        <v>158</v>
      </c>
      <c r="E1088" s="18" t="s">
        <v>159</v>
      </c>
      <c r="F1088" s="19" t="s">
        <v>110</v>
      </c>
      <c r="G1088" s="20" t="s">
        <v>111</v>
      </c>
      <c r="H1088" t="str">
        <f>'Source Table'!$G$9</f>
        <v>Female</v>
      </c>
      <c r="I1088" t="str">
        <f>'Source Table'!$G$8</f>
        <v>أنثى</v>
      </c>
      <c r="J1088" t="str">
        <f t="shared" si="32"/>
        <v>2017/2016</v>
      </c>
      <c r="K1088" t="str">
        <f t="shared" si="33"/>
        <v>2017/2016</v>
      </c>
      <c r="L1088" s="34">
        <v>7329</v>
      </c>
      <c r="M1088" s="18">
        <v>2016</v>
      </c>
    </row>
    <row r="1089" ht="21.75" spans="1:13">
      <c r="A1089" s="18" t="s">
        <v>155</v>
      </c>
      <c r="B1089" s="18" t="s">
        <v>156</v>
      </c>
      <c r="C1089" s="18" t="s">
        <v>157</v>
      </c>
      <c r="D1089" s="18" t="s">
        <v>158</v>
      </c>
      <c r="E1089" s="18" t="s">
        <v>159</v>
      </c>
      <c r="F1089" s="19" t="s">
        <v>113</v>
      </c>
      <c r="G1089" s="20" t="s">
        <v>114</v>
      </c>
      <c r="H1089" t="str">
        <f>'Source Table'!$G$9</f>
        <v>Female</v>
      </c>
      <c r="I1089" t="str">
        <f>'Source Table'!$G$8</f>
        <v>أنثى</v>
      </c>
      <c r="J1089" t="str">
        <f t="shared" si="32"/>
        <v>2017/2016</v>
      </c>
      <c r="K1089" t="str">
        <f t="shared" si="33"/>
        <v>2017/2016</v>
      </c>
      <c r="L1089" s="28">
        <v>10267</v>
      </c>
      <c r="M1089" s="18">
        <v>2016</v>
      </c>
    </row>
    <row r="1090" ht="21.75" spans="1:13">
      <c r="A1090" s="18" t="s">
        <v>155</v>
      </c>
      <c r="B1090" s="18" t="s">
        <v>156</v>
      </c>
      <c r="C1090" s="18" t="s">
        <v>157</v>
      </c>
      <c r="D1090" s="18" t="s">
        <v>158</v>
      </c>
      <c r="E1090" s="18" t="s">
        <v>159</v>
      </c>
      <c r="F1090" s="19" t="s">
        <v>115</v>
      </c>
      <c r="G1090" s="20" t="s">
        <v>116</v>
      </c>
      <c r="H1090" t="str">
        <f>'Source Table'!$G$9</f>
        <v>Female</v>
      </c>
      <c r="I1090" t="str">
        <f>'Source Table'!$G$8</f>
        <v>أنثى</v>
      </c>
      <c r="J1090" t="str">
        <f t="shared" si="32"/>
        <v>2017/2016</v>
      </c>
      <c r="K1090" t="str">
        <f t="shared" si="33"/>
        <v>2017/2016</v>
      </c>
      <c r="L1090" s="28">
        <v>3801</v>
      </c>
      <c r="M1090" s="18">
        <v>2016</v>
      </c>
    </row>
    <row r="1091" ht="21.75" spans="1:13">
      <c r="A1091" s="18" t="s">
        <v>155</v>
      </c>
      <c r="B1091" s="18" t="s">
        <v>156</v>
      </c>
      <c r="C1091" s="18" t="s">
        <v>157</v>
      </c>
      <c r="D1091" s="18" t="s">
        <v>158</v>
      </c>
      <c r="E1091" s="18" t="s">
        <v>159</v>
      </c>
      <c r="F1091" s="19" t="s">
        <v>118</v>
      </c>
      <c r="G1091" s="20" t="s">
        <v>119</v>
      </c>
      <c r="H1091" t="str">
        <f>'Source Table'!$G$9</f>
        <v>Female</v>
      </c>
      <c r="I1091" t="str">
        <f>'Source Table'!$G$8</f>
        <v>أنثى</v>
      </c>
      <c r="J1091" t="str">
        <f t="shared" si="32"/>
        <v>2017/2016</v>
      </c>
      <c r="K1091" t="str">
        <f t="shared" si="33"/>
        <v>2017/2016</v>
      </c>
      <c r="L1091" s="28">
        <v>5845</v>
      </c>
      <c r="M1091" s="18">
        <v>2016</v>
      </c>
    </row>
    <row r="1092" ht="21.75" spans="1:13">
      <c r="A1092" s="18" t="s">
        <v>155</v>
      </c>
      <c r="B1092" s="18" t="s">
        <v>156</v>
      </c>
      <c r="C1092" s="18" t="s">
        <v>157</v>
      </c>
      <c r="D1092" s="18" t="s">
        <v>158</v>
      </c>
      <c r="E1092" s="18" t="s">
        <v>159</v>
      </c>
      <c r="F1092" s="19" t="s">
        <v>120</v>
      </c>
      <c r="G1092" s="20" t="s">
        <v>121</v>
      </c>
      <c r="H1092" t="str">
        <f>'Source Table'!$G$9</f>
        <v>Female</v>
      </c>
      <c r="I1092" t="str">
        <f>'Source Table'!$G$8</f>
        <v>أنثى</v>
      </c>
      <c r="J1092" t="str">
        <f t="shared" si="32"/>
        <v>2017/2016</v>
      </c>
      <c r="K1092" t="str">
        <f t="shared" si="33"/>
        <v>2017/2016</v>
      </c>
      <c r="L1092" s="28">
        <v>7060</v>
      </c>
      <c r="M1092" s="18">
        <v>2016</v>
      </c>
    </row>
    <row r="1093" ht="21.75" spans="1:13">
      <c r="A1093" s="18" t="s">
        <v>155</v>
      </c>
      <c r="B1093" s="18" t="s">
        <v>156</v>
      </c>
      <c r="C1093" s="18" t="s">
        <v>157</v>
      </c>
      <c r="D1093" s="18" t="s">
        <v>158</v>
      </c>
      <c r="E1093" s="18" t="s">
        <v>159</v>
      </c>
      <c r="F1093" s="19" t="s">
        <v>122</v>
      </c>
      <c r="G1093" s="20" t="s">
        <v>123</v>
      </c>
      <c r="H1093" t="str">
        <f>'Source Table'!$G$9</f>
        <v>Female</v>
      </c>
      <c r="I1093" t="str">
        <f>'Source Table'!$G$8</f>
        <v>أنثى</v>
      </c>
      <c r="J1093" t="str">
        <f t="shared" ref="J1093:J1156" si="34">TEXT(M1093+1,"0")&amp;"/"&amp;TEXT(M1093,"0")</f>
        <v>2017/2016</v>
      </c>
      <c r="K1093" t="str">
        <f t="shared" ref="K1093:K1156" si="35">TEXT(M1093+1,"0")&amp;"/"&amp;TEXT(M1093,"0")</f>
        <v>2017/2016</v>
      </c>
      <c r="L1093" s="28">
        <v>4589</v>
      </c>
      <c r="M1093" s="18">
        <v>2016</v>
      </c>
    </row>
    <row r="1094" ht="21.75" spans="1:13">
      <c r="A1094" s="18" t="s">
        <v>155</v>
      </c>
      <c r="B1094" s="18" t="s">
        <v>156</v>
      </c>
      <c r="C1094" s="18" t="s">
        <v>157</v>
      </c>
      <c r="D1094" s="18" t="s">
        <v>158</v>
      </c>
      <c r="E1094" s="18" t="s">
        <v>159</v>
      </c>
      <c r="F1094" s="19" t="s">
        <v>124</v>
      </c>
      <c r="G1094" s="20" t="s">
        <v>125</v>
      </c>
      <c r="H1094" t="str">
        <f>'Source Table'!$G$9</f>
        <v>Female</v>
      </c>
      <c r="I1094" t="str">
        <f>'Source Table'!$G$8</f>
        <v>أنثى</v>
      </c>
      <c r="J1094" t="str">
        <f t="shared" si="34"/>
        <v>2017/2016</v>
      </c>
      <c r="K1094" t="str">
        <f t="shared" si="35"/>
        <v>2017/2016</v>
      </c>
      <c r="L1094" s="28">
        <v>1756</v>
      </c>
      <c r="M1094" s="18">
        <v>2016</v>
      </c>
    </row>
    <row r="1095" ht="21.75" spans="1:13">
      <c r="A1095" s="18" t="s">
        <v>155</v>
      </c>
      <c r="B1095" s="18" t="s">
        <v>156</v>
      </c>
      <c r="C1095" s="18" t="s">
        <v>157</v>
      </c>
      <c r="D1095" s="18" t="s">
        <v>158</v>
      </c>
      <c r="E1095" s="18" t="s">
        <v>159</v>
      </c>
      <c r="F1095" s="19" t="s">
        <v>126</v>
      </c>
      <c r="G1095" s="20" t="s">
        <v>127</v>
      </c>
      <c r="H1095" t="str">
        <f>'Source Table'!$G$9</f>
        <v>Female</v>
      </c>
      <c r="I1095" t="str">
        <f>'Source Table'!$G$8</f>
        <v>أنثى</v>
      </c>
      <c r="J1095" t="str">
        <f t="shared" si="34"/>
        <v>2017/2016</v>
      </c>
      <c r="K1095" t="str">
        <f t="shared" si="35"/>
        <v>2017/2016</v>
      </c>
      <c r="L1095" s="32">
        <v>22530</v>
      </c>
      <c r="M1095" s="18">
        <v>2016</v>
      </c>
    </row>
    <row r="1096" ht="21.75" spans="1:13">
      <c r="A1096" s="18" t="s">
        <v>155</v>
      </c>
      <c r="B1096" s="18" t="s">
        <v>156</v>
      </c>
      <c r="C1096" s="18" t="s">
        <v>162</v>
      </c>
      <c r="D1096" s="18" t="s">
        <v>158</v>
      </c>
      <c r="E1096" s="18" t="s">
        <v>159</v>
      </c>
      <c r="F1096" s="19" t="s">
        <v>29</v>
      </c>
      <c r="G1096" s="20" t="s">
        <v>30</v>
      </c>
      <c r="H1096" t="str">
        <f>'Source Table'!$H$9</f>
        <v>Male</v>
      </c>
      <c r="I1096" t="str">
        <f>'Source Table'!$H$8</f>
        <v>ذكر</v>
      </c>
      <c r="J1096" t="str">
        <f t="shared" si="34"/>
        <v>2017/2016</v>
      </c>
      <c r="K1096" t="str">
        <f t="shared" si="35"/>
        <v>2017/2016</v>
      </c>
      <c r="L1096" s="28">
        <v>2789</v>
      </c>
      <c r="M1096" s="18">
        <v>2016</v>
      </c>
    </row>
    <row r="1097" ht="21.75" spans="1:13">
      <c r="A1097" s="18" t="s">
        <v>155</v>
      </c>
      <c r="B1097" s="18" t="s">
        <v>156</v>
      </c>
      <c r="C1097" s="18" t="s">
        <v>162</v>
      </c>
      <c r="D1097" s="18" t="s">
        <v>158</v>
      </c>
      <c r="E1097" s="18" t="s">
        <v>159</v>
      </c>
      <c r="F1097" s="19" t="s">
        <v>32</v>
      </c>
      <c r="G1097" s="20" t="s">
        <v>33</v>
      </c>
      <c r="H1097" t="str">
        <f>'Source Table'!$H$9</f>
        <v>Male</v>
      </c>
      <c r="I1097" t="str">
        <f>'Source Table'!$H$8</f>
        <v>ذكر</v>
      </c>
      <c r="J1097" t="str">
        <f t="shared" si="34"/>
        <v>2017/2016</v>
      </c>
      <c r="K1097" t="str">
        <f t="shared" si="35"/>
        <v>2017/2016</v>
      </c>
      <c r="L1097" s="28">
        <v>1973</v>
      </c>
      <c r="M1097" s="18">
        <v>2016</v>
      </c>
    </row>
    <row r="1098" ht="21.75" spans="1:13">
      <c r="A1098" s="18" t="s">
        <v>155</v>
      </c>
      <c r="B1098" s="18" t="s">
        <v>156</v>
      </c>
      <c r="C1098" s="18" t="s">
        <v>162</v>
      </c>
      <c r="D1098" s="18" t="s">
        <v>158</v>
      </c>
      <c r="E1098" s="18" t="s">
        <v>159</v>
      </c>
      <c r="F1098" s="19" t="s">
        <v>34</v>
      </c>
      <c r="G1098" s="20" t="s">
        <v>35</v>
      </c>
      <c r="H1098" t="str">
        <f>'Source Table'!$H$9</f>
        <v>Male</v>
      </c>
      <c r="I1098" t="str">
        <f>'Source Table'!$H$8</f>
        <v>ذكر</v>
      </c>
      <c r="J1098" t="str">
        <f t="shared" si="34"/>
        <v>2017/2016</v>
      </c>
      <c r="K1098" t="str">
        <f t="shared" si="35"/>
        <v>2017/2016</v>
      </c>
      <c r="L1098" s="28">
        <v>407</v>
      </c>
      <c r="M1098" s="18">
        <v>2016</v>
      </c>
    </row>
    <row r="1099" ht="21.75" spans="1:13">
      <c r="A1099" s="18" t="s">
        <v>155</v>
      </c>
      <c r="B1099" s="18" t="s">
        <v>156</v>
      </c>
      <c r="C1099" s="18" t="s">
        <v>162</v>
      </c>
      <c r="D1099" s="18" t="s">
        <v>158</v>
      </c>
      <c r="E1099" s="18" t="s">
        <v>159</v>
      </c>
      <c r="F1099" s="19" t="s">
        <v>36</v>
      </c>
      <c r="G1099" s="20" t="s">
        <v>37</v>
      </c>
      <c r="H1099" t="str">
        <f>'Source Table'!$H$9</f>
        <v>Male</v>
      </c>
      <c r="I1099" t="str">
        <f>'Source Table'!$H$8</f>
        <v>ذكر</v>
      </c>
      <c r="J1099" t="str">
        <f t="shared" si="34"/>
        <v>2017/2016</v>
      </c>
      <c r="K1099" t="str">
        <f t="shared" si="35"/>
        <v>2017/2016</v>
      </c>
      <c r="L1099" s="28">
        <v>1360</v>
      </c>
      <c r="M1099" s="18">
        <v>2016</v>
      </c>
    </row>
    <row r="1100" ht="21.75" spans="1:13">
      <c r="A1100" s="18" t="s">
        <v>155</v>
      </c>
      <c r="B1100" s="18" t="s">
        <v>156</v>
      </c>
      <c r="C1100" s="18" t="s">
        <v>162</v>
      </c>
      <c r="D1100" s="18" t="s">
        <v>158</v>
      </c>
      <c r="E1100" s="18" t="s">
        <v>159</v>
      </c>
      <c r="F1100" s="19" t="s">
        <v>38</v>
      </c>
      <c r="G1100" s="20" t="s">
        <v>39</v>
      </c>
      <c r="H1100" t="str">
        <f>'Source Table'!$H$9</f>
        <v>Male</v>
      </c>
      <c r="I1100" t="str">
        <f>'Source Table'!$H$8</f>
        <v>ذكر</v>
      </c>
      <c r="J1100" t="str">
        <f t="shared" si="34"/>
        <v>2017/2016</v>
      </c>
      <c r="K1100" t="str">
        <f t="shared" si="35"/>
        <v>2017/2016</v>
      </c>
      <c r="L1100" s="28">
        <v>2750</v>
      </c>
      <c r="M1100" s="18">
        <v>2016</v>
      </c>
    </row>
    <row r="1101" ht="21.75" spans="1:13">
      <c r="A1101" s="18" t="s">
        <v>155</v>
      </c>
      <c r="B1101" s="18" t="s">
        <v>156</v>
      </c>
      <c r="C1101" s="18" t="s">
        <v>162</v>
      </c>
      <c r="D1101" s="18" t="s">
        <v>158</v>
      </c>
      <c r="E1101" s="18" t="s">
        <v>159</v>
      </c>
      <c r="F1101" s="19" t="s">
        <v>40</v>
      </c>
      <c r="G1101" s="20" t="s">
        <v>41</v>
      </c>
      <c r="H1101" t="str">
        <f>'Source Table'!$H$9</f>
        <v>Male</v>
      </c>
      <c r="I1101" t="str">
        <f>'Source Table'!$H$8</f>
        <v>ذكر</v>
      </c>
      <c r="J1101" t="str">
        <f t="shared" si="34"/>
        <v>2017/2016</v>
      </c>
      <c r="K1101" t="str">
        <f t="shared" si="35"/>
        <v>2017/2016</v>
      </c>
      <c r="L1101" s="28">
        <v>932</v>
      </c>
      <c r="M1101" s="18">
        <v>2016</v>
      </c>
    </row>
    <row r="1102" ht="21.75" spans="1:13">
      <c r="A1102" s="18" t="s">
        <v>155</v>
      </c>
      <c r="B1102" s="18" t="s">
        <v>156</v>
      </c>
      <c r="C1102" s="18" t="s">
        <v>162</v>
      </c>
      <c r="D1102" s="18" t="s">
        <v>158</v>
      </c>
      <c r="E1102" s="18" t="s">
        <v>159</v>
      </c>
      <c r="F1102" s="19" t="s">
        <v>42</v>
      </c>
      <c r="G1102" s="20" t="s">
        <v>43</v>
      </c>
      <c r="H1102" t="str">
        <f>'Source Table'!$H$9</f>
        <v>Male</v>
      </c>
      <c r="I1102" t="str">
        <f>'Source Table'!$H$8</f>
        <v>ذكر</v>
      </c>
      <c r="J1102" t="str">
        <f t="shared" si="34"/>
        <v>2017/2016</v>
      </c>
      <c r="K1102" t="str">
        <f t="shared" si="35"/>
        <v>2017/2016</v>
      </c>
      <c r="L1102" s="28">
        <v>493</v>
      </c>
      <c r="M1102" s="18">
        <v>2016</v>
      </c>
    </row>
    <row r="1103" ht="21.75" spans="1:13">
      <c r="A1103" s="18" t="s">
        <v>155</v>
      </c>
      <c r="B1103" s="18" t="s">
        <v>156</v>
      </c>
      <c r="C1103" s="18" t="s">
        <v>162</v>
      </c>
      <c r="D1103" s="18" t="s">
        <v>158</v>
      </c>
      <c r="E1103" s="18" t="s">
        <v>159</v>
      </c>
      <c r="F1103" s="19" t="s">
        <v>44</v>
      </c>
      <c r="G1103" s="20" t="s">
        <v>45</v>
      </c>
      <c r="H1103" t="str">
        <f>'Source Table'!$H$9</f>
        <v>Male</v>
      </c>
      <c r="I1103" t="str">
        <f>'Source Table'!$H$8</f>
        <v>ذكر</v>
      </c>
      <c r="J1103" t="str">
        <f t="shared" si="34"/>
        <v>2017/2016</v>
      </c>
      <c r="K1103" t="str">
        <f t="shared" si="35"/>
        <v>2017/2016</v>
      </c>
      <c r="L1103" s="28">
        <v>427</v>
      </c>
      <c r="M1103" s="18">
        <v>2016</v>
      </c>
    </row>
    <row r="1104" ht="21.75" spans="1:13">
      <c r="A1104" s="18" t="s">
        <v>155</v>
      </c>
      <c r="B1104" s="18" t="s">
        <v>156</v>
      </c>
      <c r="C1104" s="18" t="s">
        <v>162</v>
      </c>
      <c r="D1104" s="18" t="s">
        <v>158</v>
      </c>
      <c r="E1104" s="18" t="s">
        <v>159</v>
      </c>
      <c r="F1104" s="19" t="s">
        <v>46</v>
      </c>
      <c r="G1104" s="20" t="s">
        <v>47</v>
      </c>
      <c r="H1104" t="str">
        <f>'Source Table'!$H$9</f>
        <v>Male</v>
      </c>
      <c r="I1104" t="str">
        <f>'Source Table'!$H$8</f>
        <v>ذكر</v>
      </c>
      <c r="J1104" t="str">
        <f t="shared" si="34"/>
        <v>2017/2016</v>
      </c>
      <c r="K1104" t="str">
        <f t="shared" si="35"/>
        <v>2017/2016</v>
      </c>
      <c r="L1104" s="28">
        <v>675</v>
      </c>
      <c r="M1104" s="18">
        <v>2016</v>
      </c>
    </row>
    <row r="1105" ht="21.75" spans="1:13">
      <c r="A1105" s="18" t="s">
        <v>155</v>
      </c>
      <c r="B1105" s="18" t="s">
        <v>156</v>
      </c>
      <c r="C1105" s="18" t="s">
        <v>162</v>
      </c>
      <c r="D1105" s="18" t="s">
        <v>158</v>
      </c>
      <c r="E1105" s="18" t="s">
        <v>159</v>
      </c>
      <c r="F1105" s="19" t="s">
        <v>49</v>
      </c>
      <c r="G1105" s="20" t="s">
        <v>50</v>
      </c>
      <c r="H1105" t="str">
        <f>'Source Table'!$H$9</f>
        <v>Male</v>
      </c>
      <c r="I1105" t="str">
        <f>'Source Table'!$H$8</f>
        <v>ذكر</v>
      </c>
      <c r="J1105" t="str">
        <f t="shared" si="34"/>
        <v>2017/2016</v>
      </c>
      <c r="K1105" t="str">
        <f t="shared" si="35"/>
        <v>2017/2016</v>
      </c>
      <c r="L1105" s="28">
        <v>761</v>
      </c>
      <c r="M1105" s="18">
        <v>2016</v>
      </c>
    </row>
    <row r="1106" ht="21.75" spans="1:13">
      <c r="A1106" s="18" t="s">
        <v>155</v>
      </c>
      <c r="B1106" s="18" t="s">
        <v>156</v>
      </c>
      <c r="C1106" s="18" t="s">
        <v>162</v>
      </c>
      <c r="D1106" s="18" t="s">
        <v>158</v>
      </c>
      <c r="E1106" s="18" t="s">
        <v>159</v>
      </c>
      <c r="F1106" s="19" t="s">
        <v>52</v>
      </c>
      <c r="G1106" s="20" t="s">
        <v>53</v>
      </c>
      <c r="H1106" t="str">
        <f>'Source Table'!$H$9</f>
        <v>Male</v>
      </c>
      <c r="I1106" t="str">
        <f>'Source Table'!$H$8</f>
        <v>ذكر</v>
      </c>
      <c r="J1106" t="str">
        <f t="shared" si="34"/>
        <v>2017/2016</v>
      </c>
      <c r="K1106" t="str">
        <f t="shared" si="35"/>
        <v>2017/2016</v>
      </c>
      <c r="L1106" s="28">
        <v>410</v>
      </c>
      <c r="M1106" s="18">
        <v>2016</v>
      </c>
    </row>
    <row r="1107" ht="21.75" spans="1:13">
      <c r="A1107" s="18" t="s">
        <v>155</v>
      </c>
      <c r="B1107" s="18" t="s">
        <v>156</v>
      </c>
      <c r="C1107" s="18" t="s">
        <v>162</v>
      </c>
      <c r="D1107" s="18" t="s">
        <v>158</v>
      </c>
      <c r="E1107" s="18" t="s">
        <v>159</v>
      </c>
      <c r="F1107" s="19" t="s">
        <v>54</v>
      </c>
      <c r="G1107" s="20" t="s">
        <v>55</v>
      </c>
      <c r="H1107" t="str">
        <f>'Source Table'!$H$9</f>
        <v>Male</v>
      </c>
      <c r="I1107" t="str">
        <f>'Source Table'!$H$8</f>
        <v>ذكر</v>
      </c>
      <c r="J1107" t="str">
        <f t="shared" si="34"/>
        <v>2017/2016</v>
      </c>
      <c r="K1107" t="str">
        <f t="shared" si="35"/>
        <v>2017/2016</v>
      </c>
      <c r="L1107" s="28">
        <v>328</v>
      </c>
      <c r="M1107" s="18">
        <v>2016</v>
      </c>
    </row>
    <row r="1108" ht="21.75" spans="1:13">
      <c r="A1108" s="18" t="s">
        <v>155</v>
      </c>
      <c r="B1108" s="18" t="s">
        <v>156</v>
      </c>
      <c r="C1108" s="18" t="s">
        <v>162</v>
      </c>
      <c r="D1108" s="18" t="s">
        <v>158</v>
      </c>
      <c r="E1108" s="18" t="s">
        <v>159</v>
      </c>
      <c r="F1108" s="19" t="s">
        <v>56</v>
      </c>
      <c r="G1108" s="20" t="s">
        <v>57</v>
      </c>
      <c r="H1108" t="str">
        <f>'Source Table'!$H$9</f>
        <v>Male</v>
      </c>
      <c r="I1108" t="str">
        <f>'Source Table'!$H$8</f>
        <v>ذكر</v>
      </c>
      <c r="J1108" t="str">
        <f t="shared" si="34"/>
        <v>2017/2016</v>
      </c>
      <c r="K1108" t="str">
        <f t="shared" si="35"/>
        <v>2017/2016</v>
      </c>
      <c r="L1108" s="28">
        <v>839</v>
      </c>
      <c r="M1108" s="18">
        <v>2016</v>
      </c>
    </row>
    <row r="1109" ht="21.75" spans="1:13">
      <c r="A1109" s="18" t="s">
        <v>155</v>
      </c>
      <c r="B1109" s="18" t="s">
        <v>156</v>
      </c>
      <c r="C1109" s="18" t="s">
        <v>162</v>
      </c>
      <c r="D1109" s="18" t="s">
        <v>158</v>
      </c>
      <c r="E1109" s="18" t="s">
        <v>159</v>
      </c>
      <c r="F1109" s="19" t="s">
        <v>59</v>
      </c>
      <c r="G1109" s="20" t="s">
        <v>160</v>
      </c>
      <c r="H1109" t="str">
        <f>'Source Table'!$H$9</f>
        <v>Male</v>
      </c>
      <c r="I1109" t="str">
        <f>'Source Table'!$H$8</f>
        <v>ذكر</v>
      </c>
      <c r="J1109" t="str">
        <f t="shared" si="34"/>
        <v>2017/2016</v>
      </c>
      <c r="K1109" t="str">
        <f t="shared" si="35"/>
        <v>2017/2016</v>
      </c>
      <c r="L1109" s="28">
        <v>2328</v>
      </c>
      <c r="M1109" s="18">
        <v>2016</v>
      </c>
    </row>
    <row r="1110" ht="21.75" spans="1:13">
      <c r="A1110" s="18" t="s">
        <v>155</v>
      </c>
      <c r="B1110" s="18" t="s">
        <v>156</v>
      </c>
      <c r="C1110" s="18" t="s">
        <v>162</v>
      </c>
      <c r="D1110" s="18" t="s">
        <v>158</v>
      </c>
      <c r="E1110" s="18" t="s">
        <v>159</v>
      </c>
      <c r="F1110" s="19" t="s">
        <v>62</v>
      </c>
      <c r="G1110" s="20" t="s">
        <v>161</v>
      </c>
      <c r="H1110" t="str">
        <f>'Source Table'!$H$9</f>
        <v>Male</v>
      </c>
      <c r="I1110" t="str">
        <f>'Source Table'!$H$8</f>
        <v>ذكر</v>
      </c>
      <c r="J1110" t="str">
        <f t="shared" si="34"/>
        <v>2017/2016</v>
      </c>
      <c r="K1110" t="str">
        <f t="shared" si="35"/>
        <v>2017/2016</v>
      </c>
      <c r="L1110" s="28">
        <v>1157</v>
      </c>
      <c r="M1110" s="18">
        <v>2016</v>
      </c>
    </row>
    <row r="1111" ht="21.75" spans="1:13">
      <c r="A1111" s="18" t="s">
        <v>155</v>
      </c>
      <c r="B1111" s="18" t="s">
        <v>156</v>
      </c>
      <c r="C1111" s="18" t="s">
        <v>162</v>
      </c>
      <c r="D1111" s="18" t="s">
        <v>158</v>
      </c>
      <c r="E1111" s="18" t="s">
        <v>159</v>
      </c>
      <c r="F1111" s="19" t="s">
        <v>64</v>
      </c>
      <c r="G1111" s="20" t="s">
        <v>65</v>
      </c>
      <c r="H1111" t="str">
        <f>'Source Table'!$H$9</f>
        <v>Male</v>
      </c>
      <c r="I1111" t="str">
        <f>'Source Table'!$H$8</f>
        <v>ذكر</v>
      </c>
      <c r="J1111" t="str">
        <f t="shared" si="34"/>
        <v>2017/2016</v>
      </c>
      <c r="K1111" t="str">
        <f t="shared" si="35"/>
        <v>2017/2016</v>
      </c>
      <c r="L1111" s="28">
        <v>1319</v>
      </c>
      <c r="M1111" s="18">
        <v>2016</v>
      </c>
    </row>
    <row r="1112" ht="21.75" spans="1:13">
      <c r="A1112" s="18" t="s">
        <v>155</v>
      </c>
      <c r="B1112" s="18" t="s">
        <v>156</v>
      </c>
      <c r="C1112" s="18" t="s">
        <v>162</v>
      </c>
      <c r="D1112" s="18" t="s">
        <v>158</v>
      </c>
      <c r="E1112" s="18" t="s">
        <v>159</v>
      </c>
      <c r="F1112" s="19" t="s">
        <v>68</v>
      </c>
      <c r="G1112" s="20" t="s">
        <v>69</v>
      </c>
      <c r="H1112" t="str">
        <f>'Source Table'!$H$9</f>
        <v>Male</v>
      </c>
      <c r="I1112" t="str">
        <f>'Source Table'!$H$8</f>
        <v>ذكر</v>
      </c>
      <c r="J1112" t="str">
        <f t="shared" si="34"/>
        <v>2017/2016</v>
      </c>
      <c r="K1112" t="str">
        <f t="shared" si="35"/>
        <v>2017/2016</v>
      </c>
      <c r="L1112" s="28">
        <v>731</v>
      </c>
      <c r="M1112" s="18">
        <v>2016</v>
      </c>
    </row>
    <row r="1113" ht="21.75" spans="1:13">
      <c r="A1113" s="18" t="s">
        <v>155</v>
      </c>
      <c r="B1113" s="18" t="s">
        <v>156</v>
      </c>
      <c r="C1113" s="18" t="s">
        <v>162</v>
      </c>
      <c r="D1113" s="18" t="s">
        <v>158</v>
      </c>
      <c r="E1113" s="18" t="s">
        <v>159</v>
      </c>
      <c r="F1113" s="19" t="s">
        <v>70</v>
      </c>
      <c r="G1113" s="20" t="s">
        <v>71</v>
      </c>
      <c r="H1113" t="str">
        <f>'Source Table'!$H$9</f>
        <v>Male</v>
      </c>
      <c r="I1113" t="str">
        <f>'Source Table'!$H$8</f>
        <v>ذكر</v>
      </c>
      <c r="J1113" t="str">
        <f t="shared" si="34"/>
        <v>2017/2016</v>
      </c>
      <c r="K1113" t="str">
        <f t="shared" si="35"/>
        <v>2017/2016</v>
      </c>
      <c r="L1113" s="28">
        <v>391</v>
      </c>
      <c r="M1113" s="18">
        <v>2016</v>
      </c>
    </row>
    <row r="1114" ht="21.75" spans="1:13">
      <c r="A1114" s="18" t="s">
        <v>155</v>
      </c>
      <c r="B1114" s="18" t="s">
        <v>156</v>
      </c>
      <c r="C1114" s="18" t="s">
        <v>162</v>
      </c>
      <c r="D1114" s="18" t="s">
        <v>158</v>
      </c>
      <c r="E1114" s="18" t="s">
        <v>159</v>
      </c>
      <c r="F1114" s="19" t="s">
        <v>74</v>
      </c>
      <c r="G1114" s="20" t="s">
        <v>75</v>
      </c>
      <c r="H1114" t="str">
        <f>'Source Table'!$H$9</f>
        <v>Male</v>
      </c>
      <c r="I1114" t="str">
        <f>'Source Table'!$H$8</f>
        <v>ذكر</v>
      </c>
      <c r="J1114" t="str">
        <f t="shared" si="34"/>
        <v>2017/2016</v>
      </c>
      <c r="K1114" t="str">
        <f t="shared" si="35"/>
        <v>2017/2016</v>
      </c>
      <c r="L1114" s="28">
        <v>2546</v>
      </c>
      <c r="M1114" s="18">
        <v>2016</v>
      </c>
    </row>
    <row r="1115" ht="21.75" spans="1:13">
      <c r="A1115" s="18" t="s">
        <v>155</v>
      </c>
      <c r="B1115" s="18" t="s">
        <v>156</v>
      </c>
      <c r="C1115" s="18" t="s">
        <v>162</v>
      </c>
      <c r="D1115" s="18" t="s">
        <v>158</v>
      </c>
      <c r="E1115" s="18" t="s">
        <v>159</v>
      </c>
      <c r="F1115" s="19" t="s">
        <v>76</v>
      </c>
      <c r="G1115" s="20" t="s">
        <v>77</v>
      </c>
      <c r="H1115" t="str">
        <f>'Source Table'!$H$9</f>
        <v>Male</v>
      </c>
      <c r="I1115" t="str">
        <f>'Source Table'!$H$8</f>
        <v>ذكر</v>
      </c>
      <c r="J1115" t="str">
        <f t="shared" si="34"/>
        <v>2017/2016</v>
      </c>
      <c r="K1115" t="str">
        <f t="shared" si="35"/>
        <v>2017/2016</v>
      </c>
      <c r="L1115" s="28">
        <v>668</v>
      </c>
      <c r="M1115" s="18">
        <v>2016</v>
      </c>
    </row>
    <row r="1116" ht="21.75" spans="1:13">
      <c r="A1116" s="18" t="s">
        <v>155</v>
      </c>
      <c r="B1116" s="18" t="s">
        <v>156</v>
      </c>
      <c r="C1116" s="18" t="s">
        <v>162</v>
      </c>
      <c r="D1116" s="18" t="s">
        <v>158</v>
      </c>
      <c r="E1116" s="18" t="s">
        <v>159</v>
      </c>
      <c r="F1116" s="19" t="s">
        <v>78</v>
      </c>
      <c r="G1116" s="20" t="s">
        <v>79</v>
      </c>
      <c r="H1116" t="str">
        <f>'Source Table'!$H$9</f>
        <v>Male</v>
      </c>
      <c r="I1116" t="str">
        <f>'Source Table'!$H$8</f>
        <v>ذكر</v>
      </c>
      <c r="J1116" t="str">
        <f t="shared" si="34"/>
        <v>2017/2016</v>
      </c>
      <c r="K1116" t="str">
        <f t="shared" si="35"/>
        <v>2017/2016</v>
      </c>
      <c r="L1116" s="28">
        <v>476</v>
      </c>
      <c r="M1116" s="18">
        <v>2016</v>
      </c>
    </row>
    <row r="1117" ht="21.75" spans="1:13">
      <c r="A1117" s="18" t="s">
        <v>155</v>
      </c>
      <c r="B1117" s="18" t="s">
        <v>156</v>
      </c>
      <c r="C1117" s="18" t="s">
        <v>162</v>
      </c>
      <c r="D1117" s="18" t="s">
        <v>158</v>
      </c>
      <c r="E1117" s="18" t="s">
        <v>159</v>
      </c>
      <c r="F1117" s="19" t="s">
        <v>80</v>
      </c>
      <c r="G1117" s="20" t="s">
        <v>81</v>
      </c>
      <c r="H1117" t="str">
        <f>'Source Table'!$H$9</f>
        <v>Male</v>
      </c>
      <c r="I1117" t="str">
        <f>'Source Table'!$H$8</f>
        <v>ذكر</v>
      </c>
      <c r="J1117" t="str">
        <f t="shared" si="34"/>
        <v>2017/2016</v>
      </c>
      <c r="K1117" t="str">
        <f t="shared" si="35"/>
        <v>2017/2016</v>
      </c>
      <c r="L1117" s="28">
        <v>440</v>
      </c>
      <c r="M1117" s="18">
        <v>2016</v>
      </c>
    </row>
    <row r="1118" ht="21.75" spans="1:13">
      <c r="A1118" s="18" t="s">
        <v>155</v>
      </c>
      <c r="B1118" s="18" t="s">
        <v>156</v>
      </c>
      <c r="C1118" s="18" t="s">
        <v>162</v>
      </c>
      <c r="D1118" s="18" t="s">
        <v>158</v>
      </c>
      <c r="E1118" s="18" t="s">
        <v>159</v>
      </c>
      <c r="F1118" s="19" t="s">
        <v>82</v>
      </c>
      <c r="G1118" s="20" t="s">
        <v>83</v>
      </c>
      <c r="H1118" t="str">
        <f>'Source Table'!$H$9</f>
        <v>Male</v>
      </c>
      <c r="I1118" t="str">
        <f>'Source Table'!$H$8</f>
        <v>ذكر</v>
      </c>
      <c r="J1118" t="str">
        <f t="shared" si="34"/>
        <v>2017/2016</v>
      </c>
      <c r="K1118" t="str">
        <f t="shared" si="35"/>
        <v>2017/2016</v>
      </c>
      <c r="L1118" s="28">
        <v>791</v>
      </c>
      <c r="M1118" s="18">
        <v>2016</v>
      </c>
    </row>
    <row r="1119" ht="21.75" spans="1:13">
      <c r="A1119" s="18" t="s">
        <v>155</v>
      </c>
      <c r="B1119" s="18" t="s">
        <v>156</v>
      </c>
      <c r="C1119" s="18" t="s">
        <v>162</v>
      </c>
      <c r="D1119" s="18" t="s">
        <v>158</v>
      </c>
      <c r="E1119" s="18" t="s">
        <v>159</v>
      </c>
      <c r="F1119" s="19" t="s">
        <v>84</v>
      </c>
      <c r="G1119" s="20" t="s">
        <v>85</v>
      </c>
      <c r="H1119" t="str">
        <f>'Source Table'!$H$9</f>
        <v>Male</v>
      </c>
      <c r="I1119" t="str">
        <f>'Source Table'!$H$8</f>
        <v>ذكر</v>
      </c>
      <c r="J1119" t="str">
        <f t="shared" si="34"/>
        <v>2017/2016</v>
      </c>
      <c r="K1119" t="str">
        <f t="shared" si="35"/>
        <v>2017/2016</v>
      </c>
      <c r="L1119" s="28">
        <v>780</v>
      </c>
      <c r="M1119" s="18">
        <v>2016</v>
      </c>
    </row>
    <row r="1120" ht="21.75" spans="1:13">
      <c r="A1120" s="18" t="s">
        <v>155</v>
      </c>
      <c r="B1120" s="18" t="s">
        <v>156</v>
      </c>
      <c r="C1120" s="18" t="s">
        <v>162</v>
      </c>
      <c r="D1120" s="18" t="s">
        <v>158</v>
      </c>
      <c r="E1120" s="18" t="s">
        <v>159</v>
      </c>
      <c r="F1120" s="19" t="s">
        <v>86</v>
      </c>
      <c r="G1120" s="20" t="s">
        <v>87</v>
      </c>
      <c r="H1120" t="str">
        <f>'Source Table'!$H$9</f>
        <v>Male</v>
      </c>
      <c r="I1120" t="str">
        <f>'Source Table'!$H$8</f>
        <v>ذكر</v>
      </c>
      <c r="J1120" t="str">
        <f t="shared" si="34"/>
        <v>2017/2016</v>
      </c>
      <c r="K1120" t="str">
        <f t="shared" si="35"/>
        <v>2017/2016</v>
      </c>
      <c r="L1120" s="28">
        <v>664</v>
      </c>
      <c r="M1120" s="18">
        <v>2016</v>
      </c>
    </row>
    <row r="1121" ht="21.75" spans="1:13">
      <c r="A1121" s="18" t="s">
        <v>155</v>
      </c>
      <c r="B1121" s="18" t="s">
        <v>156</v>
      </c>
      <c r="C1121" s="18" t="s">
        <v>162</v>
      </c>
      <c r="D1121" s="18" t="s">
        <v>158</v>
      </c>
      <c r="E1121" s="18" t="s">
        <v>159</v>
      </c>
      <c r="F1121" s="19" t="s">
        <v>88</v>
      </c>
      <c r="G1121" s="20" t="s">
        <v>89</v>
      </c>
      <c r="H1121" t="str">
        <f>'Source Table'!$H$9</f>
        <v>Male</v>
      </c>
      <c r="I1121" t="str">
        <f>'Source Table'!$H$8</f>
        <v>ذكر</v>
      </c>
      <c r="J1121" t="str">
        <f t="shared" si="34"/>
        <v>2017/2016</v>
      </c>
      <c r="K1121" t="str">
        <f t="shared" si="35"/>
        <v>2017/2016</v>
      </c>
      <c r="L1121" s="28">
        <v>977</v>
      </c>
      <c r="M1121" s="18">
        <v>2016</v>
      </c>
    </row>
    <row r="1122" ht="21.75" spans="1:13">
      <c r="A1122" s="18" t="s">
        <v>155</v>
      </c>
      <c r="B1122" s="18" t="s">
        <v>156</v>
      </c>
      <c r="C1122" s="18" t="s">
        <v>162</v>
      </c>
      <c r="D1122" s="18" t="s">
        <v>158</v>
      </c>
      <c r="E1122" s="18" t="s">
        <v>159</v>
      </c>
      <c r="F1122" s="19" t="s">
        <v>91</v>
      </c>
      <c r="G1122" s="20" t="s">
        <v>92</v>
      </c>
      <c r="H1122" t="str">
        <f>'Source Table'!$H$9</f>
        <v>Male</v>
      </c>
      <c r="I1122" t="str">
        <f>'Source Table'!$H$8</f>
        <v>ذكر</v>
      </c>
      <c r="J1122" t="str">
        <f t="shared" si="34"/>
        <v>2017/2016</v>
      </c>
      <c r="K1122" t="str">
        <f t="shared" si="35"/>
        <v>2017/2016</v>
      </c>
      <c r="L1122" s="28">
        <v>1376</v>
      </c>
      <c r="M1122" s="18">
        <v>2016</v>
      </c>
    </row>
    <row r="1123" ht="21.75" spans="1:13">
      <c r="A1123" s="18" t="s">
        <v>155</v>
      </c>
      <c r="B1123" s="18" t="s">
        <v>156</v>
      </c>
      <c r="C1123" s="18" t="s">
        <v>162</v>
      </c>
      <c r="D1123" s="18" t="s">
        <v>158</v>
      </c>
      <c r="E1123" s="18" t="s">
        <v>159</v>
      </c>
      <c r="F1123" s="19" t="s">
        <v>94</v>
      </c>
      <c r="G1123" s="20" t="s">
        <v>95</v>
      </c>
      <c r="H1123" t="str">
        <f>'Source Table'!$H$9</f>
        <v>Male</v>
      </c>
      <c r="I1123" t="str">
        <f>'Source Table'!$H$8</f>
        <v>ذكر</v>
      </c>
      <c r="J1123" t="str">
        <f t="shared" si="34"/>
        <v>2017/2016</v>
      </c>
      <c r="K1123" t="str">
        <f t="shared" si="35"/>
        <v>2017/2016</v>
      </c>
      <c r="L1123" s="28">
        <v>1122</v>
      </c>
      <c r="M1123" s="18">
        <v>2016</v>
      </c>
    </row>
    <row r="1124" ht="21.75" spans="1:13">
      <c r="A1124" s="18" t="s">
        <v>155</v>
      </c>
      <c r="B1124" s="18" t="s">
        <v>156</v>
      </c>
      <c r="C1124" s="18" t="s">
        <v>162</v>
      </c>
      <c r="D1124" s="18" t="s">
        <v>158</v>
      </c>
      <c r="E1124" s="18" t="s">
        <v>159</v>
      </c>
      <c r="F1124" s="19" t="s">
        <v>96</v>
      </c>
      <c r="G1124" s="20" t="s">
        <v>97</v>
      </c>
      <c r="H1124" t="str">
        <f>'Source Table'!$H$9</f>
        <v>Male</v>
      </c>
      <c r="I1124" t="str">
        <f>'Source Table'!$H$8</f>
        <v>ذكر</v>
      </c>
      <c r="J1124" t="str">
        <f t="shared" si="34"/>
        <v>2017/2016</v>
      </c>
      <c r="K1124" t="str">
        <f t="shared" si="35"/>
        <v>2017/2016</v>
      </c>
      <c r="L1124" s="28">
        <v>1286</v>
      </c>
      <c r="M1124" s="18">
        <v>2016</v>
      </c>
    </row>
    <row r="1125" ht="21.75" spans="1:13">
      <c r="A1125" s="18" t="s">
        <v>155</v>
      </c>
      <c r="B1125" s="18" t="s">
        <v>156</v>
      </c>
      <c r="C1125" s="18" t="s">
        <v>162</v>
      </c>
      <c r="D1125" s="18" t="s">
        <v>158</v>
      </c>
      <c r="E1125" s="18" t="s">
        <v>159</v>
      </c>
      <c r="F1125" s="19" t="s">
        <v>98</v>
      </c>
      <c r="G1125" s="20" t="s">
        <v>99</v>
      </c>
      <c r="H1125" t="str">
        <f>'Source Table'!$H$9</f>
        <v>Male</v>
      </c>
      <c r="I1125" t="str">
        <f>'Source Table'!$H$8</f>
        <v>ذكر</v>
      </c>
      <c r="J1125" t="str">
        <f t="shared" si="34"/>
        <v>2017/2016</v>
      </c>
      <c r="K1125" t="str">
        <f t="shared" si="35"/>
        <v>2017/2016</v>
      </c>
      <c r="L1125" s="32">
        <v>1513</v>
      </c>
      <c r="M1125" s="18">
        <v>2016</v>
      </c>
    </row>
    <row r="1126" ht="21.75" spans="1:13">
      <c r="A1126" s="18" t="s">
        <v>155</v>
      </c>
      <c r="B1126" s="18" t="s">
        <v>156</v>
      </c>
      <c r="C1126" s="18" t="s">
        <v>162</v>
      </c>
      <c r="D1126" s="18" t="s">
        <v>158</v>
      </c>
      <c r="E1126" s="18" t="s">
        <v>159</v>
      </c>
      <c r="F1126" s="19" t="s">
        <v>100</v>
      </c>
      <c r="G1126" s="20" t="s">
        <v>101</v>
      </c>
      <c r="H1126" t="str">
        <f>'Source Table'!$H$9</f>
        <v>Male</v>
      </c>
      <c r="I1126" t="str">
        <f>'Source Table'!$H$8</f>
        <v>ذكر</v>
      </c>
      <c r="J1126" t="str">
        <f t="shared" si="34"/>
        <v>2017/2016</v>
      </c>
      <c r="K1126" t="str">
        <f t="shared" si="35"/>
        <v>2017/2016</v>
      </c>
      <c r="L1126" s="32">
        <v>985</v>
      </c>
      <c r="M1126" s="18">
        <v>2016</v>
      </c>
    </row>
    <row r="1127" ht="21.75" spans="1:13">
      <c r="A1127" s="18" t="s">
        <v>155</v>
      </c>
      <c r="B1127" s="18" t="s">
        <v>156</v>
      </c>
      <c r="C1127" s="18" t="s">
        <v>162</v>
      </c>
      <c r="D1127" s="18" t="s">
        <v>158</v>
      </c>
      <c r="E1127" s="18" t="s">
        <v>159</v>
      </c>
      <c r="F1127" s="19" t="s">
        <v>103</v>
      </c>
      <c r="G1127" s="20" t="s">
        <v>104</v>
      </c>
      <c r="H1127" t="str">
        <f>'Source Table'!$H$9</f>
        <v>Male</v>
      </c>
      <c r="I1127" t="str">
        <f>'Source Table'!$H$8</f>
        <v>ذكر</v>
      </c>
      <c r="J1127" t="str">
        <f t="shared" si="34"/>
        <v>2017/2016</v>
      </c>
      <c r="K1127" t="str">
        <f t="shared" si="35"/>
        <v>2017/2016</v>
      </c>
      <c r="L1127" s="34">
        <v>829</v>
      </c>
      <c r="M1127" s="18">
        <v>2016</v>
      </c>
    </row>
    <row r="1128" ht="21.75" spans="1:13">
      <c r="A1128" s="18" t="s">
        <v>155</v>
      </c>
      <c r="B1128" s="18" t="s">
        <v>156</v>
      </c>
      <c r="C1128" s="18" t="s">
        <v>162</v>
      </c>
      <c r="D1128" s="18" t="s">
        <v>158</v>
      </c>
      <c r="E1128" s="18" t="s">
        <v>159</v>
      </c>
      <c r="F1128" s="19" t="s">
        <v>106</v>
      </c>
      <c r="G1128" s="20" t="s">
        <v>107</v>
      </c>
      <c r="H1128" t="str">
        <f>'Source Table'!$H$9</f>
        <v>Male</v>
      </c>
      <c r="I1128" t="str">
        <f>'Source Table'!$H$8</f>
        <v>ذكر</v>
      </c>
      <c r="J1128" t="str">
        <f t="shared" si="34"/>
        <v>2017/2016</v>
      </c>
      <c r="K1128" t="str">
        <f t="shared" si="35"/>
        <v>2017/2016</v>
      </c>
      <c r="L1128" s="34">
        <v>590</v>
      </c>
      <c r="M1128" s="18">
        <v>2016</v>
      </c>
    </row>
    <row r="1129" ht="21.75" spans="1:13">
      <c r="A1129" s="18" t="s">
        <v>155</v>
      </c>
      <c r="B1129" s="18" t="s">
        <v>156</v>
      </c>
      <c r="C1129" s="18" t="s">
        <v>162</v>
      </c>
      <c r="D1129" s="18" t="s">
        <v>158</v>
      </c>
      <c r="E1129" s="18" t="s">
        <v>159</v>
      </c>
      <c r="F1129" s="19" t="s">
        <v>108</v>
      </c>
      <c r="G1129" s="20" t="s">
        <v>109</v>
      </c>
      <c r="H1129" t="str">
        <f>'Source Table'!$H$9</f>
        <v>Male</v>
      </c>
      <c r="I1129" t="str">
        <f>'Source Table'!$H$8</f>
        <v>ذكر</v>
      </c>
      <c r="J1129" t="str">
        <f t="shared" si="34"/>
        <v>2017/2016</v>
      </c>
      <c r="K1129" t="str">
        <f t="shared" si="35"/>
        <v>2017/2016</v>
      </c>
      <c r="L1129" s="34">
        <v>453</v>
      </c>
      <c r="M1129" s="18">
        <v>2016</v>
      </c>
    </row>
    <row r="1130" ht="21.75" spans="1:13">
      <c r="A1130" s="18" t="s">
        <v>155</v>
      </c>
      <c r="B1130" s="18" t="s">
        <v>156</v>
      </c>
      <c r="C1130" s="18" t="s">
        <v>162</v>
      </c>
      <c r="D1130" s="18" t="s">
        <v>158</v>
      </c>
      <c r="E1130" s="18" t="s">
        <v>159</v>
      </c>
      <c r="F1130" s="19" t="s">
        <v>110</v>
      </c>
      <c r="G1130" s="20" t="s">
        <v>111</v>
      </c>
      <c r="H1130" t="str">
        <f>'Source Table'!$H$9</f>
        <v>Male</v>
      </c>
      <c r="I1130" t="str">
        <f>'Source Table'!$H$8</f>
        <v>ذكر</v>
      </c>
      <c r="J1130" t="str">
        <f t="shared" si="34"/>
        <v>2017/2016</v>
      </c>
      <c r="K1130" t="str">
        <f t="shared" si="35"/>
        <v>2017/2016</v>
      </c>
      <c r="L1130" s="34">
        <v>326</v>
      </c>
      <c r="M1130" s="18">
        <v>2016</v>
      </c>
    </row>
    <row r="1131" ht="21.75" spans="1:13">
      <c r="A1131" s="18" t="s">
        <v>155</v>
      </c>
      <c r="B1131" s="18" t="s">
        <v>156</v>
      </c>
      <c r="C1131" s="18" t="s">
        <v>162</v>
      </c>
      <c r="D1131" s="18" t="s">
        <v>158</v>
      </c>
      <c r="E1131" s="18" t="s">
        <v>159</v>
      </c>
      <c r="F1131" s="19" t="s">
        <v>113</v>
      </c>
      <c r="G1131" s="20" t="s">
        <v>114</v>
      </c>
      <c r="H1131" t="str">
        <f>'Source Table'!$H$9</f>
        <v>Male</v>
      </c>
      <c r="I1131" t="str">
        <f>'Source Table'!$H$8</f>
        <v>ذكر</v>
      </c>
      <c r="J1131" t="str">
        <f t="shared" si="34"/>
        <v>2017/2016</v>
      </c>
      <c r="K1131" t="str">
        <f t="shared" si="35"/>
        <v>2017/2016</v>
      </c>
      <c r="L1131" s="28">
        <v>658</v>
      </c>
      <c r="M1131" s="18">
        <v>2016</v>
      </c>
    </row>
    <row r="1132" ht="21.75" spans="1:13">
      <c r="A1132" s="18" t="s">
        <v>155</v>
      </c>
      <c r="B1132" s="18" t="s">
        <v>156</v>
      </c>
      <c r="C1132" s="18" t="s">
        <v>162</v>
      </c>
      <c r="D1132" s="18" t="s">
        <v>158</v>
      </c>
      <c r="E1132" s="18" t="s">
        <v>159</v>
      </c>
      <c r="F1132" s="19" t="s">
        <v>115</v>
      </c>
      <c r="G1132" s="20" t="s">
        <v>116</v>
      </c>
      <c r="H1132" t="str">
        <f>'Source Table'!$H$9</f>
        <v>Male</v>
      </c>
      <c r="I1132" t="str">
        <f>'Source Table'!$H$8</f>
        <v>ذكر</v>
      </c>
      <c r="J1132" t="str">
        <f t="shared" si="34"/>
        <v>2017/2016</v>
      </c>
      <c r="K1132" t="str">
        <f t="shared" si="35"/>
        <v>2017/2016</v>
      </c>
      <c r="L1132" s="28">
        <v>238</v>
      </c>
      <c r="M1132" s="18">
        <v>2016</v>
      </c>
    </row>
    <row r="1133" ht="21.75" spans="1:13">
      <c r="A1133" s="18" t="s">
        <v>155</v>
      </c>
      <c r="B1133" s="18" t="s">
        <v>156</v>
      </c>
      <c r="C1133" s="18" t="s">
        <v>162</v>
      </c>
      <c r="D1133" s="18" t="s">
        <v>158</v>
      </c>
      <c r="E1133" s="18" t="s">
        <v>159</v>
      </c>
      <c r="F1133" s="19" t="s">
        <v>118</v>
      </c>
      <c r="G1133" s="20" t="s">
        <v>119</v>
      </c>
      <c r="H1133" t="str">
        <f>'Source Table'!$H$9</f>
        <v>Male</v>
      </c>
      <c r="I1133" t="str">
        <f>'Source Table'!$H$8</f>
        <v>ذكر</v>
      </c>
      <c r="J1133" t="str">
        <f t="shared" si="34"/>
        <v>2017/2016</v>
      </c>
      <c r="K1133" t="str">
        <f t="shared" si="35"/>
        <v>2017/2016</v>
      </c>
      <c r="L1133" s="28">
        <v>470</v>
      </c>
      <c r="M1133" s="18">
        <v>2016</v>
      </c>
    </row>
    <row r="1134" ht="21.75" spans="1:13">
      <c r="A1134" s="18" t="s">
        <v>155</v>
      </c>
      <c r="B1134" s="18" t="s">
        <v>156</v>
      </c>
      <c r="C1134" s="18" t="s">
        <v>162</v>
      </c>
      <c r="D1134" s="18" t="s">
        <v>158</v>
      </c>
      <c r="E1134" s="18" t="s">
        <v>159</v>
      </c>
      <c r="F1134" s="19" t="s">
        <v>120</v>
      </c>
      <c r="G1134" s="20" t="s">
        <v>121</v>
      </c>
      <c r="H1134" t="str">
        <f>'Source Table'!$H$9</f>
        <v>Male</v>
      </c>
      <c r="I1134" t="str">
        <f>'Source Table'!$H$8</f>
        <v>ذكر</v>
      </c>
      <c r="J1134" t="str">
        <f t="shared" si="34"/>
        <v>2017/2016</v>
      </c>
      <c r="K1134" t="str">
        <f t="shared" si="35"/>
        <v>2017/2016</v>
      </c>
      <c r="L1134" s="28">
        <v>446</v>
      </c>
      <c r="M1134" s="18">
        <v>2016</v>
      </c>
    </row>
    <row r="1135" ht="21.75" spans="1:13">
      <c r="A1135" s="18" t="s">
        <v>155</v>
      </c>
      <c r="B1135" s="18" t="s">
        <v>156</v>
      </c>
      <c r="C1135" s="18" t="s">
        <v>162</v>
      </c>
      <c r="D1135" s="18" t="s">
        <v>158</v>
      </c>
      <c r="E1135" s="18" t="s">
        <v>159</v>
      </c>
      <c r="F1135" s="19" t="s">
        <v>122</v>
      </c>
      <c r="G1135" s="20" t="s">
        <v>123</v>
      </c>
      <c r="H1135" t="str">
        <f>'Source Table'!$H$9</f>
        <v>Male</v>
      </c>
      <c r="I1135" t="str">
        <f>'Source Table'!$H$8</f>
        <v>ذكر</v>
      </c>
      <c r="J1135" t="str">
        <f t="shared" si="34"/>
        <v>2017/2016</v>
      </c>
      <c r="K1135" t="str">
        <f t="shared" si="35"/>
        <v>2017/2016</v>
      </c>
      <c r="L1135" s="28">
        <v>220</v>
      </c>
      <c r="M1135" s="18">
        <v>2016</v>
      </c>
    </row>
    <row r="1136" ht="21.75" spans="1:13">
      <c r="A1136" s="18" t="s">
        <v>155</v>
      </c>
      <c r="B1136" s="18" t="s">
        <v>156</v>
      </c>
      <c r="C1136" s="18" t="s">
        <v>162</v>
      </c>
      <c r="D1136" s="18" t="s">
        <v>158</v>
      </c>
      <c r="E1136" s="18" t="s">
        <v>159</v>
      </c>
      <c r="F1136" s="19" t="s">
        <v>124</v>
      </c>
      <c r="G1136" s="20" t="s">
        <v>125</v>
      </c>
      <c r="H1136" t="str">
        <f>'Source Table'!$H$9</f>
        <v>Male</v>
      </c>
      <c r="I1136" t="str">
        <f>'Source Table'!$H$8</f>
        <v>ذكر</v>
      </c>
      <c r="J1136" t="str">
        <f t="shared" si="34"/>
        <v>2017/2016</v>
      </c>
      <c r="K1136" t="str">
        <f t="shared" si="35"/>
        <v>2017/2016</v>
      </c>
      <c r="L1136" s="28">
        <v>178</v>
      </c>
      <c r="M1136" s="18">
        <v>2016</v>
      </c>
    </row>
    <row r="1137" ht="21.75" spans="1:13">
      <c r="A1137" s="18" t="s">
        <v>155</v>
      </c>
      <c r="B1137" s="18" t="s">
        <v>156</v>
      </c>
      <c r="C1137" s="18" t="s">
        <v>162</v>
      </c>
      <c r="D1137" s="18" t="s">
        <v>158</v>
      </c>
      <c r="E1137" s="18" t="s">
        <v>159</v>
      </c>
      <c r="F1137" s="19" t="s">
        <v>126</v>
      </c>
      <c r="G1137" s="20" t="s">
        <v>127</v>
      </c>
      <c r="H1137" t="str">
        <f>'Source Table'!$H$9</f>
        <v>Male</v>
      </c>
      <c r="I1137" t="str">
        <f>'Source Table'!$H$8</f>
        <v>ذكر</v>
      </c>
      <c r="J1137" t="str">
        <f t="shared" si="34"/>
        <v>2017/2016</v>
      </c>
      <c r="K1137" t="str">
        <f t="shared" si="35"/>
        <v>2017/2016</v>
      </c>
      <c r="L1137" s="35">
        <v>974</v>
      </c>
      <c r="M1137" s="18">
        <v>2016</v>
      </c>
    </row>
    <row r="1138" ht="21.75" spans="1:13">
      <c r="A1138" s="18" t="s">
        <v>155</v>
      </c>
      <c r="B1138" s="18" t="s">
        <v>156</v>
      </c>
      <c r="C1138" s="18" t="s">
        <v>162</v>
      </c>
      <c r="D1138" s="18" t="s">
        <v>158</v>
      </c>
      <c r="E1138" s="18" t="s">
        <v>159</v>
      </c>
      <c r="F1138" s="19" t="s">
        <v>29</v>
      </c>
      <c r="G1138" s="20" t="s">
        <v>30</v>
      </c>
      <c r="H1138" t="str">
        <f>'Source Table'!$G$9</f>
        <v>Female</v>
      </c>
      <c r="I1138" t="str">
        <f>'Source Table'!$G$8</f>
        <v>أنثى</v>
      </c>
      <c r="J1138" t="str">
        <f t="shared" si="34"/>
        <v>2017/2016</v>
      </c>
      <c r="K1138" t="str">
        <f t="shared" si="35"/>
        <v>2017/2016</v>
      </c>
      <c r="L1138" s="28">
        <v>6693</v>
      </c>
      <c r="M1138" s="18">
        <v>2016</v>
      </c>
    </row>
    <row r="1139" ht="21.75" spans="1:13">
      <c r="A1139" s="18" t="s">
        <v>155</v>
      </c>
      <c r="B1139" s="18" t="s">
        <v>156</v>
      </c>
      <c r="C1139" s="18" t="s">
        <v>162</v>
      </c>
      <c r="D1139" s="18" t="s">
        <v>158</v>
      </c>
      <c r="E1139" s="18" t="s">
        <v>159</v>
      </c>
      <c r="F1139" s="19" t="s">
        <v>32</v>
      </c>
      <c r="G1139" s="20" t="s">
        <v>33</v>
      </c>
      <c r="H1139" t="str">
        <f>'Source Table'!$G$9</f>
        <v>Female</v>
      </c>
      <c r="I1139" t="str">
        <f>'Source Table'!$G$8</f>
        <v>أنثى</v>
      </c>
      <c r="J1139" t="str">
        <f t="shared" si="34"/>
        <v>2017/2016</v>
      </c>
      <c r="K1139" t="str">
        <f t="shared" si="35"/>
        <v>2017/2016</v>
      </c>
      <c r="L1139" s="28">
        <v>6744</v>
      </c>
      <c r="M1139" s="18">
        <v>2016</v>
      </c>
    </row>
    <row r="1140" ht="21.75" spans="1:13">
      <c r="A1140" s="18" t="s">
        <v>155</v>
      </c>
      <c r="B1140" s="18" t="s">
        <v>156</v>
      </c>
      <c r="C1140" s="18" t="s">
        <v>162</v>
      </c>
      <c r="D1140" s="18" t="s">
        <v>158</v>
      </c>
      <c r="E1140" s="18" t="s">
        <v>159</v>
      </c>
      <c r="F1140" s="19" t="s">
        <v>34</v>
      </c>
      <c r="G1140" s="20" t="s">
        <v>35</v>
      </c>
      <c r="H1140" t="str">
        <f>'Source Table'!$G$9</f>
        <v>Female</v>
      </c>
      <c r="I1140" t="str">
        <f>'Source Table'!$G$8</f>
        <v>أنثى</v>
      </c>
      <c r="J1140" t="str">
        <f t="shared" si="34"/>
        <v>2017/2016</v>
      </c>
      <c r="K1140" t="str">
        <f t="shared" si="35"/>
        <v>2017/2016</v>
      </c>
      <c r="L1140" s="28">
        <v>1125</v>
      </c>
      <c r="M1140" s="18">
        <v>2016</v>
      </c>
    </row>
    <row r="1141" ht="21.75" spans="1:13">
      <c r="A1141" s="18" t="s">
        <v>155</v>
      </c>
      <c r="B1141" s="18" t="s">
        <v>156</v>
      </c>
      <c r="C1141" s="18" t="s">
        <v>162</v>
      </c>
      <c r="D1141" s="18" t="s">
        <v>158</v>
      </c>
      <c r="E1141" s="18" t="s">
        <v>159</v>
      </c>
      <c r="F1141" s="19" t="s">
        <v>36</v>
      </c>
      <c r="G1141" s="20" t="s">
        <v>37</v>
      </c>
      <c r="H1141" t="str">
        <f>'Source Table'!$G$9</f>
        <v>Female</v>
      </c>
      <c r="I1141" t="str">
        <f>'Source Table'!$G$8</f>
        <v>أنثى</v>
      </c>
      <c r="J1141" t="str">
        <f t="shared" si="34"/>
        <v>2017/2016</v>
      </c>
      <c r="K1141" t="str">
        <f t="shared" si="35"/>
        <v>2017/2016</v>
      </c>
      <c r="L1141" s="28">
        <v>4591</v>
      </c>
      <c r="M1141" s="18">
        <v>2016</v>
      </c>
    </row>
    <row r="1142" ht="21.75" spans="1:13">
      <c r="A1142" s="18" t="s">
        <v>155</v>
      </c>
      <c r="B1142" s="18" t="s">
        <v>156</v>
      </c>
      <c r="C1142" s="18" t="s">
        <v>162</v>
      </c>
      <c r="D1142" s="18" t="s">
        <v>158</v>
      </c>
      <c r="E1142" s="18" t="s">
        <v>159</v>
      </c>
      <c r="F1142" s="19" t="s">
        <v>38</v>
      </c>
      <c r="G1142" s="20" t="s">
        <v>39</v>
      </c>
      <c r="H1142" t="str">
        <f>'Source Table'!$G$9</f>
        <v>Female</v>
      </c>
      <c r="I1142" t="str">
        <f>'Source Table'!$G$8</f>
        <v>أنثى</v>
      </c>
      <c r="J1142" t="str">
        <f t="shared" si="34"/>
        <v>2017/2016</v>
      </c>
      <c r="K1142" t="str">
        <f t="shared" si="35"/>
        <v>2017/2016</v>
      </c>
      <c r="L1142" s="28">
        <v>6813</v>
      </c>
      <c r="M1142" s="18">
        <v>2016</v>
      </c>
    </row>
    <row r="1143" ht="21.75" spans="1:13">
      <c r="A1143" s="18" t="s">
        <v>155</v>
      </c>
      <c r="B1143" s="18" t="s">
        <v>156</v>
      </c>
      <c r="C1143" s="18" t="s">
        <v>162</v>
      </c>
      <c r="D1143" s="18" t="s">
        <v>158</v>
      </c>
      <c r="E1143" s="18" t="s">
        <v>159</v>
      </c>
      <c r="F1143" s="19" t="s">
        <v>40</v>
      </c>
      <c r="G1143" s="20" t="s">
        <v>41</v>
      </c>
      <c r="H1143" t="str">
        <f>'Source Table'!$G$9</f>
        <v>Female</v>
      </c>
      <c r="I1143" t="str">
        <f>'Source Table'!$G$8</f>
        <v>أنثى</v>
      </c>
      <c r="J1143" t="str">
        <f t="shared" si="34"/>
        <v>2017/2016</v>
      </c>
      <c r="K1143" t="str">
        <f t="shared" si="35"/>
        <v>2017/2016</v>
      </c>
      <c r="L1143" s="28">
        <v>3018</v>
      </c>
      <c r="M1143" s="18">
        <v>2016</v>
      </c>
    </row>
    <row r="1144" ht="21.75" spans="1:13">
      <c r="A1144" s="18" t="s">
        <v>155</v>
      </c>
      <c r="B1144" s="18" t="s">
        <v>156</v>
      </c>
      <c r="C1144" s="18" t="s">
        <v>162</v>
      </c>
      <c r="D1144" s="18" t="s">
        <v>158</v>
      </c>
      <c r="E1144" s="18" t="s">
        <v>159</v>
      </c>
      <c r="F1144" s="19" t="s">
        <v>42</v>
      </c>
      <c r="G1144" s="20" t="s">
        <v>43</v>
      </c>
      <c r="H1144" t="str">
        <f>'Source Table'!$G$9</f>
        <v>Female</v>
      </c>
      <c r="I1144" t="str">
        <f>'Source Table'!$G$8</f>
        <v>أنثى</v>
      </c>
      <c r="J1144" t="str">
        <f t="shared" si="34"/>
        <v>2017/2016</v>
      </c>
      <c r="K1144" t="str">
        <f t="shared" si="35"/>
        <v>2017/2016</v>
      </c>
      <c r="L1144" s="28">
        <v>1291</v>
      </c>
      <c r="M1144" s="18">
        <v>2016</v>
      </c>
    </row>
    <row r="1145" ht="21.75" spans="1:13">
      <c r="A1145" s="18" t="s">
        <v>155</v>
      </c>
      <c r="B1145" s="18" t="s">
        <v>156</v>
      </c>
      <c r="C1145" s="18" t="s">
        <v>162</v>
      </c>
      <c r="D1145" s="18" t="s">
        <v>158</v>
      </c>
      <c r="E1145" s="18" t="s">
        <v>159</v>
      </c>
      <c r="F1145" s="19" t="s">
        <v>44</v>
      </c>
      <c r="G1145" s="20" t="s">
        <v>45</v>
      </c>
      <c r="H1145" t="str">
        <f>'Source Table'!$G$9</f>
        <v>Female</v>
      </c>
      <c r="I1145" t="str">
        <f>'Source Table'!$G$8</f>
        <v>أنثى</v>
      </c>
      <c r="J1145" t="str">
        <f t="shared" si="34"/>
        <v>2017/2016</v>
      </c>
      <c r="K1145" t="str">
        <f t="shared" si="35"/>
        <v>2017/2016</v>
      </c>
      <c r="L1145" s="28">
        <v>683</v>
      </c>
      <c r="M1145" s="18">
        <v>2016</v>
      </c>
    </row>
    <row r="1146" ht="21.75" spans="1:13">
      <c r="A1146" s="18" t="s">
        <v>155</v>
      </c>
      <c r="B1146" s="18" t="s">
        <v>156</v>
      </c>
      <c r="C1146" s="18" t="s">
        <v>162</v>
      </c>
      <c r="D1146" s="18" t="s">
        <v>158</v>
      </c>
      <c r="E1146" s="18" t="s">
        <v>159</v>
      </c>
      <c r="F1146" s="19" t="s">
        <v>46</v>
      </c>
      <c r="G1146" s="20" t="s">
        <v>47</v>
      </c>
      <c r="H1146" t="str">
        <f>'Source Table'!$G$9</f>
        <v>Female</v>
      </c>
      <c r="I1146" t="str">
        <f>'Source Table'!$G$8</f>
        <v>أنثى</v>
      </c>
      <c r="J1146" t="str">
        <f t="shared" si="34"/>
        <v>2017/2016</v>
      </c>
      <c r="K1146" t="str">
        <f t="shared" si="35"/>
        <v>2017/2016</v>
      </c>
      <c r="L1146" s="28">
        <v>1016</v>
      </c>
      <c r="M1146" s="18">
        <v>2016</v>
      </c>
    </row>
    <row r="1147" ht="21.75" spans="1:13">
      <c r="A1147" s="18" t="s">
        <v>155</v>
      </c>
      <c r="B1147" s="18" t="s">
        <v>156</v>
      </c>
      <c r="C1147" s="18" t="s">
        <v>162</v>
      </c>
      <c r="D1147" s="18" t="s">
        <v>158</v>
      </c>
      <c r="E1147" s="18" t="s">
        <v>159</v>
      </c>
      <c r="F1147" s="19" t="s">
        <v>49</v>
      </c>
      <c r="G1147" s="20" t="s">
        <v>50</v>
      </c>
      <c r="H1147" t="str">
        <f>'Source Table'!$G$9</f>
        <v>Female</v>
      </c>
      <c r="I1147" t="str">
        <f>'Source Table'!$G$8</f>
        <v>أنثى</v>
      </c>
      <c r="J1147" t="str">
        <f t="shared" si="34"/>
        <v>2017/2016</v>
      </c>
      <c r="K1147" t="str">
        <f t="shared" si="35"/>
        <v>2017/2016</v>
      </c>
      <c r="L1147" s="28">
        <v>2536</v>
      </c>
      <c r="M1147" s="18">
        <v>2016</v>
      </c>
    </row>
    <row r="1148" ht="21.75" spans="1:13">
      <c r="A1148" s="18" t="s">
        <v>155</v>
      </c>
      <c r="B1148" s="18" t="s">
        <v>156</v>
      </c>
      <c r="C1148" s="18" t="s">
        <v>162</v>
      </c>
      <c r="D1148" s="18" t="s">
        <v>158</v>
      </c>
      <c r="E1148" s="18" t="s">
        <v>159</v>
      </c>
      <c r="F1148" s="19" t="s">
        <v>52</v>
      </c>
      <c r="G1148" s="20" t="s">
        <v>53</v>
      </c>
      <c r="H1148" t="str">
        <f>'Source Table'!$G$9</f>
        <v>Female</v>
      </c>
      <c r="I1148" t="str">
        <f>'Source Table'!$G$8</f>
        <v>أنثى</v>
      </c>
      <c r="J1148" t="str">
        <f t="shared" si="34"/>
        <v>2017/2016</v>
      </c>
      <c r="K1148" t="str">
        <f t="shared" si="35"/>
        <v>2017/2016</v>
      </c>
      <c r="L1148" s="28">
        <v>708</v>
      </c>
      <c r="M1148" s="18">
        <v>2016</v>
      </c>
    </row>
    <row r="1149" ht="21.75" spans="1:13">
      <c r="A1149" s="18" t="s">
        <v>155</v>
      </c>
      <c r="B1149" s="18" t="s">
        <v>156</v>
      </c>
      <c r="C1149" s="18" t="s">
        <v>162</v>
      </c>
      <c r="D1149" s="18" t="s">
        <v>158</v>
      </c>
      <c r="E1149" s="18" t="s">
        <v>159</v>
      </c>
      <c r="F1149" s="19" t="s">
        <v>54</v>
      </c>
      <c r="G1149" s="20" t="s">
        <v>55</v>
      </c>
      <c r="H1149" t="str">
        <f>'Source Table'!$G$9</f>
        <v>Female</v>
      </c>
      <c r="I1149" t="str">
        <f>'Source Table'!$G$8</f>
        <v>أنثى</v>
      </c>
      <c r="J1149" t="str">
        <f t="shared" si="34"/>
        <v>2017/2016</v>
      </c>
      <c r="K1149" t="str">
        <f t="shared" si="35"/>
        <v>2017/2016</v>
      </c>
      <c r="L1149" s="28">
        <v>610</v>
      </c>
      <c r="M1149" s="18">
        <v>2016</v>
      </c>
    </row>
    <row r="1150" ht="21.75" spans="1:13">
      <c r="A1150" s="18" t="s">
        <v>155</v>
      </c>
      <c r="B1150" s="18" t="s">
        <v>156</v>
      </c>
      <c r="C1150" s="18" t="s">
        <v>162</v>
      </c>
      <c r="D1150" s="18" t="s">
        <v>158</v>
      </c>
      <c r="E1150" s="18" t="s">
        <v>159</v>
      </c>
      <c r="F1150" s="19" t="s">
        <v>56</v>
      </c>
      <c r="G1150" s="20" t="s">
        <v>57</v>
      </c>
      <c r="H1150" t="str">
        <f>'Source Table'!$G$9</f>
        <v>Female</v>
      </c>
      <c r="I1150" t="str">
        <f>'Source Table'!$G$8</f>
        <v>أنثى</v>
      </c>
      <c r="J1150" t="str">
        <f t="shared" si="34"/>
        <v>2017/2016</v>
      </c>
      <c r="K1150" t="str">
        <f t="shared" si="35"/>
        <v>2017/2016</v>
      </c>
      <c r="L1150" s="28">
        <v>2057</v>
      </c>
      <c r="M1150" s="18">
        <v>2016</v>
      </c>
    </row>
    <row r="1151" ht="21.75" spans="1:13">
      <c r="A1151" s="18" t="s">
        <v>155</v>
      </c>
      <c r="B1151" s="18" t="s">
        <v>156</v>
      </c>
      <c r="C1151" s="18" t="s">
        <v>162</v>
      </c>
      <c r="D1151" s="18" t="s">
        <v>158</v>
      </c>
      <c r="E1151" s="18" t="s">
        <v>159</v>
      </c>
      <c r="F1151" s="19" t="s">
        <v>59</v>
      </c>
      <c r="G1151" s="20" t="s">
        <v>160</v>
      </c>
      <c r="H1151" t="str">
        <f>'Source Table'!$G$9</f>
        <v>Female</v>
      </c>
      <c r="I1151" t="str">
        <f>'Source Table'!$G$8</f>
        <v>أنثى</v>
      </c>
      <c r="J1151" t="str">
        <f t="shared" si="34"/>
        <v>2017/2016</v>
      </c>
      <c r="K1151" t="str">
        <f t="shared" si="35"/>
        <v>2017/2016</v>
      </c>
      <c r="L1151" s="28">
        <v>5169</v>
      </c>
      <c r="M1151" s="18">
        <v>2016</v>
      </c>
    </row>
    <row r="1152" ht="21.75" spans="1:13">
      <c r="A1152" s="18" t="s">
        <v>155</v>
      </c>
      <c r="B1152" s="18" t="s">
        <v>156</v>
      </c>
      <c r="C1152" s="18" t="s">
        <v>162</v>
      </c>
      <c r="D1152" s="18" t="s">
        <v>158</v>
      </c>
      <c r="E1152" s="18" t="s">
        <v>159</v>
      </c>
      <c r="F1152" s="19" t="s">
        <v>62</v>
      </c>
      <c r="G1152" s="20" t="s">
        <v>161</v>
      </c>
      <c r="H1152" t="str">
        <f>'Source Table'!$G$9</f>
        <v>Female</v>
      </c>
      <c r="I1152" t="str">
        <f>'Source Table'!$G$8</f>
        <v>أنثى</v>
      </c>
      <c r="J1152" t="str">
        <f t="shared" si="34"/>
        <v>2017/2016</v>
      </c>
      <c r="K1152" t="str">
        <f t="shared" si="35"/>
        <v>2017/2016</v>
      </c>
      <c r="L1152" s="28">
        <v>1740</v>
      </c>
      <c r="M1152" s="18">
        <v>2016</v>
      </c>
    </row>
    <row r="1153" ht="21.75" spans="1:13">
      <c r="A1153" s="18" t="s">
        <v>155</v>
      </c>
      <c r="B1153" s="18" t="s">
        <v>156</v>
      </c>
      <c r="C1153" s="18" t="s">
        <v>162</v>
      </c>
      <c r="D1153" s="18" t="s">
        <v>158</v>
      </c>
      <c r="E1153" s="18" t="s">
        <v>159</v>
      </c>
      <c r="F1153" s="19" t="s">
        <v>64</v>
      </c>
      <c r="G1153" s="20" t="s">
        <v>65</v>
      </c>
      <c r="H1153" t="str">
        <f>'Source Table'!$G$9</f>
        <v>Female</v>
      </c>
      <c r="I1153" t="str">
        <f>'Source Table'!$G$8</f>
        <v>أنثى</v>
      </c>
      <c r="J1153" t="str">
        <f t="shared" si="34"/>
        <v>2017/2016</v>
      </c>
      <c r="K1153" t="str">
        <f t="shared" si="35"/>
        <v>2017/2016</v>
      </c>
      <c r="L1153" s="28">
        <v>3092</v>
      </c>
      <c r="M1153" s="18">
        <v>2016</v>
      </c>
    </row>
    <row r="1154" ht="21.75" spans="1:13">
      <c r="A1154" s="18" t="s">
        <v>155</v>
      </c>
      <c r="B1154" s="18" t="s">
        <v>156</v>
      </c>
      <c r="C1154" s="18" t="s">
        <v>162</v>
      </c>
      <c r="D1154" s="18" t="s">
        <v>158</v>
      </c>
      <c r="E1154" s="18" t="s">
        <v>159</v>
      </c>
      <c r="F1154" s="19" t="s">
        <v>68</v>
      </c>
      <c r="G1154" s="20" t="s">
        <v>69</v>
      </c>
      <c r="H1154" t="str">
        <f>'Source Table'!$G$9</f>
        <v>Female</v>
      </c>
      <c r="I1154" t="str">
        <f>'Source Table'!$G$8</f>
        <v>أنثى</v>
      </c>
      <c r="J1154" t="str">
        <f t="shared" si="34"/>
        <v>2017/2016</v>
      </c>
      <c r="K1154" t="str">
        <f t="shared" si="35"/>
        <v>2017/2016</v>
      </c>
      <c r="L1154" s="28">
        <v>1754</v>
      </c>
      <c r="M1154" s="18">
        <v>2016</v>
      </c>
    </row>
    <row r="1155" ht="21.75" spans="1:13">
      <c r="A1155" s="18" t="s">
        <v>155</v>
      </c>
      <c r="B1155" s="18" t="s">
        <v>156</v>
      </c>
      <c r="C1155" s="18" t="s">
        <v>162</v>
      </c>
      <c r="D1155" s="18" t="s">
        <v>158</v>
      </c>
      <c r="E1155" s="18" t="s">
        <v>159</v>
      </c>
      <c r="F1155" s="19" t="s">
        <v>70</v>
      </c>
      <c r="G1155" s="20" t="s">
        <v>71</v>
      </c>
      <c r="H1155" t="str">
        <f>'Source Table'!$G$9</f>
        <v>Female</v>
      </c>
      <c r="I1155" t="str">
        <f>'Source Table'!$G$8</f>
        <v>أنثى</v>
      </c>
      <c r="J1155" t="str">
        <f t="shared" si="34"/>
        <v>2017/2016</v>
      </c>
      <c r="K1155" t="str">
        <f t="shared" si="35"/>
        <v>2017/2016</v>
      </c>
      <c r="L1155" s="28">
        <v>736</v>
      </c>
      <c r="M1155" s="18">
        <v>2016</v>
      </c>
    </row>
    <row r="1156" ht="21.75" spans="1:13">
      <c r="A1156" s="18" t="s">
        <v>155</v>
      </c>
      <c r="B1156" s="18" t="s">
        <v>156</v>
      </c>
      <c r="C1156" s="18" t="s">
        <v>162</v>
      </c>
      <c r="D1156" s="18" t="s">
        <v>158</v>
      </c>
      <c r="E1156" s="18" t="s">
        <v>159</v>
      </c>
      <c r="F1156" s="19" t="s">
        <v>74</v>
      </c>
      <c r="G1156" s="20" t="s">
        <v>75</v>
      </c>
      <c r="H1156" t="str">
        <f>'Source Table'!$G$9</f>
        <v>Female</v>
      </c>
      <c r="I1156" t="str">
        <f>'Source Table'!$G$8</f>
        <v>أنثى</v>
      </c>
      <c r="J1156" t="str">
        <f t="shared" si="34"/>
        <v>2017/2016</v>
      </c>
      <c r="K1156" t="str">
        <f t="shared" si="35"/>
        <v>2017/2016</v>
      </c>
      <c r="L1156" s="28">
        <v>5372</v>
      </c>
      <c r="M1156" s="18">
        <v>2016</v>
      </c>
    </row>
    <row r="1157" ht="21.75" spans="1:13">
      <c r="A1157" s="18" t="s">
        <v>155</v>
      </c>
      <c r="B1157" s="18" t="s">
        <v>156</v>
      </c>
      <c r="C1157" s="18" t="s">
        <v>162</v>
      </c>
      <c r="D1157" s="18" t="s">
        <v>158</v>
      </c>
      <c r="E1157" s="18" t="s">
        <v>159</v>
      </c>
      <c r="F1157" s="19" t="s">
        <v>76</v>
      </c>
      <c r="G1157" s="20" t="s">
        <v>77</v>
      </c>
      <c r="H1157" t="str">
        <f>'Source Table'!$G$9</f>
        <v>Female</v>
      </c>
      <c r="I1157" t="str">
        <f>'Source Table'!$G$8</f>
        <v>أنثى</v>
      </c>
      <c r="J1157" t="str">
        <f t="shared" ref="J1157:J1220" si="36">TEXT(M1157+1,"0")&amp;"/"&amp;TEXT(M1157,"0")</f>
        <v>2017/2016</v>
      </c>
      <c r="K1157" t="str">
        <f t="shared" ref="K1157:K1220" si="37">TEXT(M1157+1,"0")&amp;"/"&amp;TEXT(M1157,"0")</f>
        <v>2017/2016</v>
      </c>
      <c r="L1157" s="28">
        <v>2103</v>
      </c>
      <c r="M1157" s="18">
        <v>2016</v>
      </c>
    </row>
    <row r="1158" ht="21.75" spans="1:13">
      <c r="A1158" s="18" t="s">
        <v>155</v>
      </c>
      <c r="B1158" s="18" t="s">
        <v>156</v>
      </c>
      <c r="C1158" s="18" t="s">
        <v>162</v>
      </c>
      <c r="D1158" s="18" t="s">
        <v>158</v>
      </c>
      <c r="E1158" s="18" t="s">
        <v>159</v>
      </c>
      <c r="F1158" s="19" t="s">
        <v>78</v>
      </c>
      <c r="G1158" s="20" t="s">
        <v>79</v>
      </c>
      <c r="H1158" t="str">
        <f>'Source Table'!$G$9</f>
        <v>Female</v>
      </c>
      <c r="I1158" t="str">
        <f>'Source Table'!$G$8</f>
        <v>أنثى</v>
      </c>
      <c r="J1158" t="str">
        <f t="shared" si="36"/>
        <v>2017/2016</v>
      </c>
      <c r="K1158" t="str">
        <f t="shared" si="37"/>
        <v>2017/2016</v>
      </c>
      <c r="L1158" s="28">
        <v>676</v>
      </c>
      <c r="M1158" s="18">
        <v>2016</v>
      </c>
    </row>
    <row r="1159" ht="21.75" spans="1:13">
      <c r="A1159" s="18" t="s">
        <v>155</v>
      </c>
      <c r="B1159" s="18" t="s">
        <v>156</v>
      </c>
      <c r="C1159" s="18" t="s">
        <v>162</v>
      </c>
      <c r="D1159" s="18" t="s">
        <v>158</v>
      </c>
      <c r="E1159" s="18" t="s">
        <v>159</v>
      </c>
      <c r="F1159" s="19" t="s">
        <v>80</v>
      </c>
      <c r="G1159" s="20" t="s">
        <v>81</v>
      </c>
      <c r="H1159" t="str">
        <f>'Source Table'!$G$9</f>
        <v>Female</v>
      </c>
      <c r="I1159" t="str">
        <f>'Source Table'!$G$8</f>
        <v>أنثى</v>
      </c>
      <c r="J1159" t="str">
        <f t="shared" si="36"/>
        <v>2017/2016</v>
      </c>
      <c r="K1159" t="str">
        <f t="shared" si="37"/>
        <v>2017/2016</v>
      </c>
      <c r="L1159" s="28">
        <v>1015</v>
      </c>
      <c r="M1159" s="18">
        <v>2016</v>
      </c>
    </row>
    <row r="1160" ht="21.75" spans="1:13">
      <c r="A1160" s="18" t="s">
        <v>155</v>
      </c>
      <c r="B1160" s="18" t="s">
        <v>156</v>
      </c>
      <c r="C1160" s="18" t="s">
        <v>162</v>
      </c>
      <c r="D1160" s="18" t="s">
        <v>158</v>
      </c>
      <c r="E1160" s="18" t="s">
        <v>159</v>
      </c>
      <c r="F1160" s="19" t="s">
        <v>82</v>
      </c>
      <c r="G1160" s="20" t="s">
        <v>83</v>
      </c>
      <c r="H1160" t="str">
        <f>'Source Table'!$G$9</f>
        <v>Female</v>
      </c>
      <c r="I1160" t="str">
        <f>'Source Table'!$G$8</f>
        <v>أنثى</v>
      </c>
      <c r="J1160" t="str">
        <f t="shared" si="36"/>
        <v>2017/2016</v>
      </c>
      <c r="K1160" t="str">
        <f t="shared" si="37"/>
        <v>2017/2016</v>
      </c>
      <c r="L1160" s="28">
        <v>1501</v>
      </c>
      <c r="M1160" s="18">
        <v>2016</v>
      </c>
    </row>
    <row r="1161" ht="21.75" spans="1:13">
      <c r="A1161" s="18" t="s">
        <v>155</v>
      </c>
      <c r="B1161" s="18" t="s">
        <v>156</v>
      </c>
      <c r="C1161" s="18" t="s">
        <v>162</v>
      </c>
      <c r="D1161" s="18" t="s">
        <v>158</v>
      </c>
      <c r="E1161" s="18" t="s">
        <v>159</v>
      </c>
      <c r="F1161" s="19" t="s">
        <v>84</v>
      </c>
      <c r="G1161" s="20" t="s">
        <v>85</v>
      </c>
      <c r="H1161" t="str">
        <f>'Source Table'!$G$9</f>
        <v>Female</v>
      </c>
      <c r="I1161" t="str">
        <f>'Source Table'!$G$8</f>
        <v>أنثى</v>
      </c>
      <c r="J1161" t="str">
        <f t="shared" si="36"/>
        <v>2017/2016</v>
      </c>
      <c r="K1161" t="str">
        <f t="shared" si="37"/>
        <v>2017/2016</v>
      </c>
      <c r="L1161" s="28">
        <v>1279</v>
      </c>
      <c r="M1161" s="18">
        <v>2016</v>
      </c>
    </row>
    <row r="1162" ht="21.75" spans="1:13">
      <c r="A1162" s="18" t="s">
        <v>155</v>
      </c>
      <c r="B1162" s="18" t="s">
        <v>156</v>
      </c>
      <c r="C1162" s="18" t="s">
        <v>162</v>
      </c>
      <c r="D1162" s="18" t="s">
        <v>158</v>
      </c>
      <c r="E1162" s="18" t="s">
        <v>159</v>
      </c>
      <c r="F1162" s="19" t="s">
        <v>86</v>
      </c>
      <c r="G1162" s="20" t="s">
        <v>87</v>
      </c>
      <c r="H1162" t="str">
        <f>'Source Table'!$G$9</f>
        <v>Female</v>
      </c>
      <c r="I1162" t="str">
        <f>'Source Table'!$G$8</f>
        <v>أنثى</v>
      </c>
      <c r="J1162" t="str">
        <f t="shared" si="36"/>
        <v>2017/2016</v>
      </c>
      <c r="K1162" t="str">
        <f t="shared" si="37"/>
        <v>2017/2016</v>
      </c>
      <c r="L1162" s="28">
        <v>1144</v>
      </c>
      <c r="M1162" s="18">
        <v>2016</v>
      </c>
    </row>
    <row r="1163" ht="21.75" spans="1:13">
      <c r="A1163" s="18" t="s">
        <v>155</v>
      </c>
      <c r="B1163" s="18" t="s">
        <v>156</v>
      </c>
      <c r="C1163" s="18" t="s">
        <v>162</v>
      </c>
      <c r="D1163" s="18" t="s">
        <v>158</v>
      </c>
      <c r="E1163" s="18" t="s">
        <v>159</v>
      </c>
      <c r="F1163" s="19" t="s">
        <v>88</v>
      </c>
      <c r="G1163" s="20" t="s">
        <v>89</v>
      </c>
      <c r="H1163" t="str">
        <f>'Source Table'!$G$9</f>
        <v>Female</v>
      </c>
      <c r="I1163" t="str">
        <f>'Source Table'!$G$8</f>
        <v>أنثى</v>
      </c>
      <c r="J1163" t="str">
        <f t="shared" si="36"/>
        <v>2017/2016</v>
      </c>
      <c r="K1163" t="str">
        <f t="shared" si="37"/>
        <v>2017/2016</v>
      </c>
      <c r="L1163" s="28">
        <v>1954</v>
      </c>
      <c r="M1163" s="18">
        <v>2016</v>
      </c>
    </row>
    <row r="1164" ht="21.75" spans="1:13">
      <c r="A1164" s="18" t="s">
        <v>155</v>
      </c>
      <c r="B1164" s="18" t="s">
        <v>156</v>
      </c>
      <c r="C1164" s="18" t="s">
        <v>162</v>
      </c>
      <c r="D1164" s="18" t="s">
        <v>158</v>
      </c>
      <c r="E1164" s="18" t="s">
        <v>159</v>
      </c>
      <c r="F1164" s="19" t="s">
        <v>91</v>
      </c>
      <c r="G1164" s="20" t="s">
        <v>92</v>
      </c>
      <c r="H1164" t="str">
        <f>'Source Table'!$G$9</f>
        <v>Female</v>
      </c>
      <c r="I1164" t="str">
        <f>'Source Table'!$G$8</f>
        <v>أنثى</v>
      </c>
      <c r="J1164" t="str">
        <f t="shared" si="36"/>
        <v>2017/2016</v>
      </c>
      <c r="K1164" t="str">
        <f t="shared" si="37"/>
        <v>2017/2016</v>
      </c>
      <c r="L1164" s="28">
        <v>2261</v>
      </c>
      <c r="M1164" s="18">
        <v>2016</v>
      </c>
    </row>
    <row r="1165" ht="21.75" spans="1:13">
      <c r="A1165" s="18" t="s">
        <v>155</v>
      </c>
      <c r="B1165" s="18" t="s">
        <v>156</v>
      </c>
      <c r="C1165" s="18" t="s">
        <v>162</v>
      </c>
      <c r="D1165" s="18" t="s">
        <v>158</v>
      </c>
      <c r="E1165" s="18" t="s">
        <v>159</v>
      </c>
      <c r="F1165" s="19" t="s">
        <v>94</v>
      </c>
      <c r="G1165" s="20" t="s">
        <v>95</v>
      </c>
      <c r="H1165" t="str">
        <f>'Source Table'!$G$9</f>
        <v>Female</v>
      </c>
      <c r="I1165" t="str">
        <f>'Source Table'!$G$8</f>
        <v>أنثى</v>
      </c>
      <c r="J1165" t="str">
        <f t="shared" si="36"/>
        <v>2017/2016</v>
      </c>
      <c r="K1165" t="str">
        <f t="shared" si="37"/>
        <v>2017/2016</v>
      </c>
      <c r="L1165" s="28">
        <v>1483</v>
      </c>
      <c r="M1165" s="18">
        <v>2016</v>
      </c>
    </row>
    <row r="1166" ht="21.75" spans="1:13">
      <c r="A1166" s="18" t="s">
        <v>155</v>
      </c>
      <c r="B1166" s="18" t="s">
        <v>156</v>
      </c>
      <c r="C1166" s="18" t="s">
        <v>162</v>
      </c>
      <c r="D1166" s="18" t="s">
        <v>158</v>
      </c>
      <c r="E1166" s="18" t="s">
        <v>159</v>
      </c>
      <c r="F1166" s="19" t="s">
        <v>96</v>
      </c>
      <c r="G1166" s="20" t="s">
        <v>97</v>
      </c>
      <c r="H1166" t="str">
        <f>'Source Table'!$G$9</f>
        <v>Female</v>
      </c>
      <c r="I1166" t="str">
        <f>'Source Table'!$G$8</f>
        <v>أنثى</v>
      </c>
      <c r="J1166" t="str">
        <f t="shared" si="36"/>
        <v>2017/2016</v>
      </c>
      <c r="K1166" t="str">
        <f t="shared" si="37"/>
        <v>2017/2016</v>
      </c>
      <c r="L1166" s="28">
        <v>2225</v>
      </c>
      <c r="M1166" s="18">
        <v>2016</v>
      </c>
    </row>
    <row r="1167" ht="21.75" spans="1:13">
      <c r="A1167" s="18" t="s">
        <v>155</v>
      </c>
      <c r="B1167" s="18" t="s">
        <v>156</v>
      </c>
      <c r="C1167" s="18" t="s">
        <v>162</v>
      </c>
      <c r="D1167" s="18" t="s">
        <v>158</v>
      </c>
      <c r="E1167" s="18" t="s">
        <v>159</v>
      </c>
      <c r="F1167" s="19" t="s">
        <v>98</v>
      </c>
      <c r="G1167" s="20" t="s">
        <v>99</v>
      </c>
      <c r="H1167" t="str">
        <f>'Source Table'!$G$9</f>
        <v>Female</v>
      </c>
      <c r="I1167" t="str">
        <f>'Source Table'!$G$8</f>
        <v>أنثى</v>
      </c>
      <c r="J1167" t="str">
        <f t="shared" si="36"/>
        <v>2017/2016</v>
      </c>
      <c r="K1167" t="str">
        <f t="shared" si="37"/>
        <v>2017/2016</v>
      </c>
      <c r="L1167" s="32">
        <v>2453</v>
      </c>
      <c r="M1167" s="18">
        <v>2016</v>
      </c>
    </row>
    <row r="1168" ht="21.75" spans="1:13">
      <c r="A1168" s="18" t="s">
        <v>155</v>
      </c>
      <c r="B1168" s="18" t="s">
        <v>156</v>
      </c>
      <c r="C1168" s="18" t="s">
        <v>162</v>
      </c>
      <c r="D1168" s="18" t="s">
        <v>158</v>
      </c>
      <c r="E1168" s="18" t="s">
        <v>159</v>
      </c>
      <c r="F1168" s="19" t="s">
        <v>100</v>
      </c>
      <c r="G1168" s="20" t="s">
        <v>101</v>
      </c>
      <c r="H1168" t="str">
        <f>'Source Table'!$G$9</f>
        <v>Female</v>
      </c>
      <c r="I1168" t="str">
        <f>'Source Table'!$G$8</f>
        <v>أنثى</v>
      </c>
      <c r="J1168" t="str">
        <f t="shared" si="36"/>
        <v>2017/2016</v>
      </c>
      <c r="K1168" t="str">
        <f t="shared" si="37"/>
        <v>2017/2016</v>
      </c>
      <c r="L1168" s="32">
        <v>2231</v>
      </c>
      <c r="M1168" s="18">
        <v>2016</v>
      </c>
    </row>
    <row r="1169" ht="21.75" spans="1:13">
      <c r="A1169" s="18" t="s">
        <v>155</v>
      </c>
      <c r="B1169" s="18" t="s">
        <v>156</v>
      </c>
      <c r="C1169" s="18" t="s">
        <v>162</v>
      </c>
      <c r="D1169" s="18" t="s">
        <v>158</v>
      </c>
      <c r="E1169" s="18" t="s">
        <v>159</v>
      </c>
      <c r="F1169" s="19" t="s">
        <v>103</v>
      </c>
      <c r="G1169" s="20" t="s">
        <v>104</v>
      </c>
      <c r="H1169" t="str">
        <f>'Source Table'!$G$9</f>
        <v>Female</v>
      </c>
      <c r="I1169" t="str">
        <f>'Source Table'!$G$8</f>
        <v>أنثى</v>
      </c>
      <c r="J1169" t="str">
        <f t="shared" si="36"/>
        <v>2017/2016</v>
      </c>
      <c r="K1169" t="str">
        <f t="shared" si="37"/>
        <v>2017/2016</v>
      </c>
      <c r="L1169" s="34">
        <v>1799</v>
      </c>
      <c r="M1169" s="18">
        <v>2016</v>
      </c>
    </row>
    <row r="1170" ht="21.75" spans="1:13">
      <c r="A1170" s="18" t="s">
        <v>155</v>
      </c>
      <c r="B1170" s="18" t="s">
        <v>156</v>
      </c>
      <c r="C1170" s="18" t="s">
        <v>162</v>
      </c>
      <c r="D1170" s="18" t="s">
        <v>158</v>
      </c>
      <c r="E1170" s="18" t="s">
        <v>159</v>
      </c>
      <c r="F1170" s="19" t="s">
        <v>106</v>
      </c>
      <c r="G1170" s="20" t="s">
        <v>107</v>
      </c>
      <c r="H1170" t="str">
        <f>'Source Table'!$G$9</f>
        <v>Female</v>
      </c>
      <c r="I1170" t="str">
        <f>'Source Table'!$G$8</f>
        <v>أنثى</v>
      </c>
      <c r="J1170" t="str">
        <f t="shared" si="36"/>
        <v>2017/2016</v>
      </c>
      <c r="K1170" t="str">
        <f t="shared" si="37"/>
        <v>2017/2016</v>
      </c>
      <c r="L1170" s="34">
        <v>1409</v>
      </c>
      <c r="M1170" s="18">
        <v>2016</v>
      </c>
    </row>
    <row r="1171" ht="21.75" spans="1:13">
      <c r="A1171" s="18" t="s">
        <v>155</v>
      </c>
      <c r="B1171" s="18" t="s">
        <v>156</v>
      </c>
      <c r="C1171" s="18" t="s">
        <v>162</v>
      </c>
      <c r="D1171" s="18" t="s">
        <v>158</v>
      </c>
      <c r="E1171" s="18" t="s">
        <v>159</v>
      </c>
      <c r="F1171" s="19" t="s">
        <v>108</v>
      </c>
      <c r="G1171" s="20" t="s">
        <v>109</v>
      </c>
      <c r="H1171" t="str">
        <f>'Source Table'!$G$9</f>
        <v>Female</v>
      </c>
      <c r="I1171" t="str">
        <f>'Source Table'!$G$8</f>
        <v>أنثى</v>
      </c>
      <c r="J1171" t="str">
        <f t="shared" si="36"/>
        <v>2017/2016</v>
      </c>
      <c r="K1171" t="str">
        <f t="shared" si="37"/>
        <v>2017/2016</v>
      </c>
      <c r="L1171" s="34">
        <v>916</v>
      </c>
      <c r="M1171" s="18">
        <v>2016</v>
      </c>
    </row>
    <row r="1172" ht="21.75" spans="1:13">
      <c r="A1172" s="18" t="s">
        <v>155</v>
      </c>
      <c r="B1172" s="18" t="s">
        <v>156</v>
      </c>
      <c r="C1172" s="18" t="s">
        <v>162</v>
      </c>
      <c r="D1172" s="18" t="s">
        <v>158</v>
      </c>
      <c r="E1172" s="18" t="s">
        <v>159</v>
      </c>
      <c r="F1172" s="19" t="s">
        <v>110</v>
      </c>
      <c r="G1172" s="20" t="s">
        <v>111</v>
      </c>
      <c r="H1172" t="str">
        <f>'Source Table'!$G$9</f>
        <v>Female</v>
      </c>
      <c r="I1172" t="str">
        <f>'Source Table'!$G$8</f>
        <v>أنثى</v>
      </c>
      <c r="J1172" t="str">
        <f t="shared" si="36"/>
        <v>2017/2016</v>
      </c>
      <c r="K1172" t="str">
        <f t="shared" si="37"/>
        <v>2017/2016</v>
      </c>
      <c r="L1172" s="34">
        <v>611</v>
      </c>
      <c r="M1172" s="18">
        <v>2016</v>
      </c>
    </row>
    <row r="1173" ht="21.75" spans="1:13">
      <c r="A1173" s="18" t="s">
        <v>155</v>
      </c>
      <c r="B1173" s="18" t="s">
        <v>156</v>
      </c>
      <c r="C1173" s="18" t="s">
        <v>162</v>
      </c>
      <c r="D1173" s="18" t="s">
        <v>158</v>
      </c>
      <c r="E1173" s="18" t="s">
        <v>159</v>
      </c>
      <c r="F1173" s="19" t="s">
        <v>113</v>
      </c>
      <c r="G1173" s="20" t="s">
        <v>114</v>
      </c>
      <c r="H1173" t="str">
        <f>'Source Table'!$G$9</f>
        <v>Female</v>
      </c>
      <c r="I1173" t="str">
        <f>'Source Table'!$G$8</f>
        <v>أنثى</v>
      </c>
      <c r="J1173" t="str">
        <f t="shared" si="36"/>
        <v>2017/2016</v>
      </c>
      <c r="K1173" t="str">
        <f t="shared" si="37"/>
        <v>2017/2016</v>
      </c>
      <c r="L1173" s="28">
        <v>1266</v>
      </c>
      <c r="M1173" s="18">
        <v>2016</v>
      </c>
    </row>
    <row r="1174" ht="21.75" spans="1:13">
      <c r="A1174" s="18" t="s">
        <v>155</v>
      </c>
      <c r="B1174" s="18" t="s">
        <v>156</v>
      </c>
      <c r="C1174" s="18" t="s">
        <v>162</v>
      </c>
      <c r="D1174" s="18" t="s">
        <v>158</v>
      </c>
      <c r="E1174" s="18" t="s">
        <v>159</v>
      </c>
      <c r="F1174" s="19" t="s">
        <v>115</v>
      </c>
      <c r="G1174" s="20" t="s">
        <v>116</v>
      </c>
      <c r="H1174" t="str">
        <f>'Source Table'!$G$9</f>
        <v>Female</v>
      </c>
      <c r="I1174" t="str">
        <f>'Source Table'!$G$8</f>
        <v>أنثى</v>
      </c>
      <c r="J1174" t="str">
        <f t="shared" si="36"/>
        <v>2017/2016</v>
      </c>
      <c r="K1174" t="str">
        <f t="shared" si="37"/>
        <v>2017/2016</v>
      </c>
      <c r="L1174" s="28">
        <v>427</v>
      </c>
      <c r="M1174" s="18">
        <v>2016</v>
      </c>
    </row>
    <row r="1175" ht="21.75" spans="1:13">
      <c r="A1175" s="18" t="s">
        <v>155</v>
      </c>
      <c r="B1175" s="18" t="s">
        <v>156</v>
      </c>
      <c r="C1175" s="18" t="s">
        <v>162</v>
      </c>
      <c r="D1175" s="18" t="s">
        <v>158</v>
      </c>
      <c r="E1175" s="18" t="s">
        <v>159</v>
      </c>
      <c r="F1175" s="19" t="s">
        <v>118</v>
      </c>
      <c r="G1175" s="20" t="s">
        <v>119</v>
      </c>
      <c r="H1175" t="str">
        <f>'Source Table'!$G$9</f>
        <v>Female</v>
      </c>
      <c r="I1175" t="str">
        <f>'Source Table'!$G$8</f>
        <v>أنثى</v>
      </c>
      <c r="J1175" t="str">
        <f t="shared" si="36"/>
        <v>2017/2016</v>
      </c>
      <c r="K1175" t="str">
        <f t="shared" si="37"/>
        <v>2017/2016</v>
      </c>
      <c r="L1175" s="28">
        <v>741</v>
      </c>
      <c r="M1175" s="18">
        <v>2016</v>
      </c>
    </row>
    <row r="1176" ht="21.75" spans="1:13">
      <c r="A1176" s="18" t="s">
        <v>155</v>
      </c>
      <c r="B1176" s="18" t="s">
        <v>156</v>
      </c>
      <c r="C1176" s="18" t="s">
        <v>162</v>
      </c>
      <c r="D1176" s="18" t="s">
        <v>158</v>
      </c>
      <c r="E1176" s="18" t="s">
        <v>159</v>
      </c>
      <c r="F1176" s="19" t="s">
        <v>120</v>
      </c>
      <c r="G1176" s="20" t="s">
        <v>121</v>
      </c>
      <c r="H1176" t="str">
        <f>'Source Table'!$G$9</f>
        <v>Female</v>
      </c>
      <c r="I1176" t="str">
        <f>'Source Table'!$G$8</f>
        <v>أنثى</v>
      </c>
      <c r="J1176" t="str">
        <f t="shared" si="36"/>
        <v>2017/2016</v>
      </c>
      <c r="K1176" t="str">
        <f t="shared" si="37"/>
        <v>2017/2016</v>
      </c>
      <c r="L1176" s="28">
        <v>871</v>
      </c>
      <c r="M1176" s="18">
        <v>2016</v>
      </c>
    </row>
    <row r="1177" ht="21.75" spans="1:13">
      <c r="A1177" s="18" t="s">
        <v>155</v>
      </c>
      <c r="B1177" s="18" t="s">
        <v>156</v>
      </c>
      <c r="C1177" s="18" t="s">
        <v>162</v>
      </c>
      <c r="D1177" s="18" t="s">
        <v>158</v>
      </c>
      <c r="E1177" s="18" t="s">
        <v>159</v>
      </c>
      <c r="F1177" s="19" t="s">
        <v>122</v>
      </c>
      <c r="G1177" s="20" t="s">
        <v>123</v>
      </c>
      <c r="H1177" t="str">
        <f>'Source Table'!$G$9</f>
        <v>Female</v>
      </c>
      <c r="I1177" t="str">
        <f>'Source Table'!$G$8</f>
        <v>أنثى</v>
      </c>
      <c r="J1177" t="str">
        <f t="shared" si="36"/>
        <v>2017/2016</v>
      </c>
      <c r="K1177" t="str">
        <f t="shared" si="37"/>
        <v>2017/2016</v>
      </c>
      <c r="L1177" s="28">
        <v>583</v>
      </c>
      <c r="M1177" s="18">
        <v>2016</v>
      </c>
    </row>
    <row r="1178" ht="21.75" spans="1:13">
      <c r="A1178" s="18" t="s">
        <v>155</v>
      </c>
      <c r="B1178" s="18" t="s">
        <v>156</v>
      </c>
      <c r="C1178" s="18" t="s">
        <v>162</v>
      </c>
      <c r="D1178" s="18" t="s">
        <v>158</v>
      </c>
      <c r="E1178" s="18" t="s">
        <v>159</v>
      </c>
      <c r="F1178" s="19" t="s">
        <v>124</v>
      </c>
      <c r="G1178" s="20" t="s">
        <v>125</v>
      </c>
      <c r="H1178" t="str">
        <f>'Source Table'!$G$9</f>
        <v>Female</v>
      </c>
      <c r="I1178" t="str">
        <f>'Source Table'!$G$8</f>
        <v>أنثى</v>
      </c>
      <c r="J1178" t="str">
        <f t="shared" si="36"/>
        <v>2017/2016</v>
      </c>
      <c r="K1178" t="str">
        <f t="shared" si="37"/>
        <v>2017/2016</v>
      </c>
      <c r="L1178" s="28">
        <v>356</v>
      </c>
      <c r="M1178" s="18">
        <v>2016</v>
      </c>
    </row>
    <row r="1179" ht="21.75" spans="1:13">
      <c r="A1179" s="18" t="s">
        <v>155</v>
      </c>
      <c r="B1179" s="18" t="s">
        <v>156</v>
      </c>
      <c r="C1179" s="18" t="s">
        <v>162</v>
      </c>
      <c r="D1179" s="18" t="s">
        <v>158</v>
      </c>
      <c r="E1179" s="18" t="s">
        <v>159</v>
      </c>
      <c r="F1179" s="19" t="s">
        <v>126</v>
      </c>
      <c r="G1179" s="20" t="s">
        <v>127</v>
      </c>
      <c r="H1179" t="str">
        <f>'Source Table'!$G$9</f>
        <v>Female</v>
      </c>
      <c r="I1179" t="str">
        <f>'Source Table'!$G$8</f>
        <v>أنثى</v>
      </c>
      <c r="J1179" t="str">
        <f t="shared" si="36"/>
        <v>2017/2016</v>
      </c>
      <c r="K1179" t="str">
        <f t="shared" si="37"/>
        <v>2017/2016</v>
      </c>
      <c r="L1179" s="35">
        <v>2134</v>
      </c>
      <c r="M1179" s="18">
        <v>2016</v>
      </c>
    </row>
    <row r="1180" ht="21.75" spans="1:13">
      <c r="A1180" s="18" t="s">
        <v>155</v>
      </c>
      <c r="B1180" s="18" t="s">
        <v>156</v>
      </c>
      <c r="C1180" s="18" t="s">
        <v>157</v>
      </c>
      <c r="D1180" s="18" t="s">
        <v>158</v>
      </c>
      <c r="E1180" s="18" t="s">
        <v>159</v>
      </c>
      <c r="F1180" s="19" t="s">
        <v>29</v>
      </c>
      <c r="G1180" s="20" t="s">
        <v>30</v>
      </c>
      <c r="H1180" t="str">
        <f>'Source Table'!$H$9</f>
        <v>Male</v>
      </c>
      <c r="I1180" t="str">
        <f>'Source Table'!$H$8</f>
        <v>ذكر</v>
      </c>
      <c r="J1180" t="str">
        <f t="shared" si="36"/>
        <v>2016/2015</v>
      </c>
      <c r="K1180" t="str">
        <f t="shared" si="37"/>
        <v>2016/2015</v>
      </c>
      <c r="L1180" s="36">
        <v>78563</v>
      </c>
      <c r="M1180" s="18">
        <v>2015</v>
      </c>
    </row>
    <row r="1181" ht="21.75" spans="1:13">
      <c r="A1181" s="18" t="s">
        <v>155</v>
      </c>
      <c r="B1181" s="18" t="s">
        <v>156</v>
      </c>
      <c r="C1181" s="18" t="s">
        <v>157</v>
      </c>
      <c r="D1181" s="18" t="s">
        <v>158</v>
      </c>
      <c r="E1181" s="18" t="s">
        <v>159</v>
      </c>
      <c r="F1181" s="19" t="s">
        <v>32</v>
      </c>
      <c r="G1181" s="20" t="s">
        <v>33</v>
      </c>
      <c r="H1181" t="str">
        <f>'Source Table'!$H$9</f>
        <v>Male</v>
      </c>
      <c r="I1181" t="str">
        <f>'Source Table'!$H$8</f>
        <v>ذكر</v>
      </c>
      <c r="J1181" t="str">
        <f t="shared" si="36"/>
        <v>2016/2015</v>
      </c>
      <c r="K1181" t="str">
        <f t="shared" si="37"/>
        <v>2016/2015</v>
      </c>
      <c r="L1181" s="36">
        <v>63635</v>
      </c>
      <c r="M1181" s="18">
        <v>2015</v>
      </c>
    </row>
    <row r="1182" ht="21.75" spans="1:13">
      <c r="A1182" s="18" t="s">
        <v>155</v>
      </c>
      <c r="B1182" s="18" t="s">
        <v>156</v>
      </c>
      <c r="C1182" s="18" t="s">
        <v>157</v>
      </c>
      <c r="D1182" s="18" t="s">
        <v>158</v>
      </c>
      <c r="E1182" s="18" t="s">
        <v>159</v>
      </c>
      <c r="F1182" s="19" t="s">
        <v>34</v>
      </c>
      <c r="G1182" s="20" t="s">
        <v>35</v>
      </c>
      <c r="H1182" t="str">
        <f>'Source Table'!$H$9</f>
        <v>Male</v>
      </c>
      <c r="I1182" t="str">
        <f>'Source Table'!$H$8</f>
        <v>ذكر</v>
      </c>
      <c r="J1182" t="str">
        <f t="shared" si="36"/>
        <v>2016/2015</v>
      </c>
      <c r="K1182" t="str">
        <f t="shared" si="37"/>
        <v>2016/2015</v>
      </c>
      <c r="L1182" s="36">
        <v>12831</v>
      </c>
      <c r="M1182" s="18">
        <v>2015</v>
      </c>
    </row>
    <row r="1183" ht="21.75" spans="1:13">
      <c r="A1183" s="18" t="s">
        <v>155</v>
      </c>
      <c r="B1183" s="18" t="s">
        <v>156</v>
      </c>
      <c r="C1183" s="18" t="s">
        <v>157</v>
      </c>
      <c r="D1183" s="18" t="s">
        <v>158</v>
      </c>
      <c r="E1183" s="18" t="s">
        <v>159</v>
      </c>
      <c r="F1183" s="19" t="s">
        <v>36</v>
      </c>
      <c r="G1183" s="20" t="s">
        <v>37</v>
      </c>
      <c r="H1183" t="str">
        <f>'Source Table'!$H$9</f>
        <v>Male</v>
      </c>
      <c r="I1183" t="str">
        <f>'Source Table'!$H$8</f>
        <v>ذكر</v>
      </c>
      <c r="J1183" t="str">
        <f t="shared" si="36"/>
        <v>2016/2015</v>
      </c>
      <c r="K1183" t="str">
        <f t="shared" si="37"/>
        <v>2016/2015</v>
      </c>
      <c r="L1183" s="36">
        <v>59059</v>
      </c>
      <c r="M1183" s="18">
        <v>2015</v>
      </c>
    </row>
    <row r="1184" ht="21.75" spans="1:13">
      <c r="A1184" s="18" t="s">
        <v>155</v>
      </c>
      <c r="B1184" s="18" t="s">
        <v>156</v>
      </c>
      <c r="C1184" s="18" t="s">
        <v>157</v>
      </c>
      <c r="D1184" s="18" t="s">
        <v>158</v>
      </c>
      <c r="E1184" s="18" t="s">
        <v>159</v>
      </c>
      <c r="F1184" s="19" t="s">
        <v>38</v>
      </c>
      <c r="G1184" s="20" t="s">
        <v>39</v>
      </c>
      <c r="H1184" t="str">
        <f>'Source Table'!$H$9</f>
        <v>Male</v>
      </c>
      <c r="I1184" t="str">
        <f>'Source Table'!$H$8</f>
        <v>ذكر</v>
      </c>
      <c r="J1184" t="str">
        <f t="shared" si="36"/>
        <v>2016/2015</v>
      </c>
      <c r="K1184" t="str">
        <f t="shared" si="37"/>
        <v>2016/2015</v>
      </c>
      <c r="L1184" s="36">
        <v>87540</v>
      </c>
      <c r="M1184" s="18">
        <v>2015</v>
      </c>
    </row>
    <row r="1185" ht="21.75" spans="1:13">
      <c r="A1185" s="18" t="s">
        <v>155</v>
      </c>
      <c r="B1185" s="18" t="s">
        <v>156</v>
      </c>
      <c r="C1185" s="18" t="s">
        <v>157</v>
      </c>
      <c r="D1185" s="18" t="s">
        <v>158</v>
      </c>
      <c r="E1185" s="18" t="s">
        <v>159</v>
      </c>
      <c r="F1185" s="19" t="s">
        <v>40</v>
      </c>
      <c r="G1185" s="20" t="s">
        <v>41</v>
      </c>
      <c r="H1185" t="str">
        <f>'Source Table'!$H$9</f>
        <v>Male</v>
      </c>
      <c r="I1185" t="str">
        <f>'Source Table'!$H$8</f>
        <v>ذكر</v>
      </c>
      <c r="J1185" t="str">
        <f t="shared" si="36"/>
        <v>2016/2015</v>
      </c>
      <c r="K1185" t="str">
        <f t="shared" si="37"/>
        <v>2016/2015</v>
      </c>
      <c r="L1185" s="36">
        <v>28439</v>
      </c>
      <c r="M1185" s="18">
        <v>2015</v>
      </c>
    </row>
    <row r="1186" ht="21.75" spans="1:13">
      <c r="A1186" s="18" t="s">
        <v>155</v>
      </c>
      <c r="B1186" s="18" t="s">
        <v>156</v>
      </c>
      <c r="C1186" s="18" t="s">
        <v>157</v>
      </c>
      <c r="D1186" s="18" t="s">
        <v>158</v>
      </c>
      <c r="E1186" s="18" t="s">
        <v>159</v>
      </c>
      <c r="F1186" s="19" t="s">
        <v>42</v>
      </c>
      <c r="G1186" s="20" t="s">
        <v>43</v>
      </c>
      <c r="H1186" t="str">
        <f>'Source Table'!$H$9</f>
        <v>Male</v>
      </c>
      <c r="I1186" t="str">
        <f>'Source Table'!$H$8</f>
        <v>ذكر</v>
      </c>
      <c r="J1186" t="str">
        <f t="shared" si="36"/>
        <v>2016/2015</v>
      </c>
      <c r="K1186" t="str">
        <f t="shared" si="37"/>
        <v>2016/2015</v>
      </c>
      <c r="L1186" s="36">
        <v>12571</v>
      </c>
      <c r="M1186" s="18">
        <v>2015</v>
      </c>
    </row>
    <row r="1187" ht="21.75" spans="1:13">
      <c r="A1187" s="18" t="s">
        <v>155</v>
      </c>
      <c r="B1187" s="18" t="s">
        <v>156</v>
      </c>
      <c r="C1187" s="18" t="s">
        <v>157</v>
      </c>
      <c r="D1187" s="18" t="s">
        <v>158</v>
      </c>
      <c r="E1187" s="18" t="s">
        <v>159</v>
      </c>
      <c r="F1187" s="19" t="s">
        <v>44</v>
      </c>
      <c r="G1187" s="20" t="s">
        <v>45</v>
      </c>
      <c r="H1187" t="str">
        <f>'Source Table'!$H$9</f>
        <v>Male</v>
      </c>
      <c r="I1187" t="str">
        <f>'Source Table'!$H$8</f>
        <v>ذكر</v>
      </c>
      <c r="J1187" t="str">
        <f t="shared" si="36"/>
        <v>2016/2015</v>
      </c>
      <c r="K1187" t="str">
        <f t="shared" si="37"/>
        <v>2016/2015</v>
      </c>
      <c r="L1187" s="36">
        <v>6692</v>
      </c>
      <c r="M1187" s="18">
        <v>2015</v>
      </c>
    </row>
    <row r="1188" ht="21.75" spans="1:13">
      <c r="A1188" s="18" t="s">
        <v>155</v>
      </c>
      <c r="B1188" s="18" t="s">
        <v>156</v>
      </c>
      <c r="C1188" s="18" t="s">
        <v>157</v>
      </c>
      <c r="D1188" s="18" t="s">
        <v>158</v>
      </c>
      <c r="E1188" s="18" t="s">
        <v>159</v>
      </c>
      <c r="F1188" s="19" t="s">
        <v>46</v>
      </c>
      <c r="G1188" s="20" t="s">
        <v>47</v>
      </c>
      <c r="H1188" t="str">
        <f>'Source Table'!$H$9</f>
        <v>Male</v>
      </c>
      <c r="I1188" t="str">
        <f>'Source Table'!$H$8</f>
        <v>ذكر</v>
      </c>
      <c r="J1188" t="str">
        <f t="shared" si="36"/>
        <v>2016/2015</v>
      </c>
      <c r="K1188" t="str">
        <f t="shared" si="37"/>
        <v>2016/2015</v>
      </c>
      <c r="L1188" s="36">
        <v>7524</v>
      </c>
      <c r="M1188" s="18">
        <v>2015</v>
      </c>
    </row>
    <row r="1189" ht="21.75" spans="1:13">
      <c r="A1189" s="18" t="s">
        <v>155</v>
      </c>
      <c r="B1189" s="18" t="s">
        <v>156</v>
      </c>
      <c r="C1189" s="18" t="s">
        <v>157</v>
      </c>
      <c r="D1189" s="18" t="s">
        <v>158</v>
      </c>
      <c r="E1189" s="18" t="s">
        <v>159</v>
      </c>
      <c r="F1189" s="19" t="s">
        <v>49</v>
      </c>
      <c r="G1189" s="20" t="s">
        <v>50</v>
      </c>
      <c r="H1189" t="str">
        <f>'Source Table'!$H$9</f>
        <v>Male</v>
      </c>
      <c r="I1189" t="str">
        <f>'Source Table'!$H$8</f>
        <v>ذكر</v>
      </c>
      <c r="J1189" t="str">
        <f t="shared" si="36"/>
        <v>2016/2015</v>
      </c>
      <c r="K1189" t="str">
        <f t="shared" si="37"/>
        <v>2016/2015</v>
      </c>
      <c r="L1189" s="36">
        <v>24563</v>
      </c>
      <c r="M1189" s="18">
        <v>2015</v>
      </c>
    </row>
    <row r="1190" ht="21.75" spans="1:13">
      <c r="A1190" s="18" t="s">
        <v>155</v>
      </c>
      <c r="B1190" s="18" t="s">
        <v>156</v>
      </c>
      <c r="C1190" s="18" t="s">
        <v>157</v>
      </c>
      <c r="D1190" s="18" t="s">
        <v>158</v>
      </c>
      <c r="E1190" s="18" t="s">
        <v>159</v>
      </c>
      <c r="F1190" s="19" t="s">
        <v>52</v>
      </c>
      <c r="G1190" s="20" t="s">
        <v>53</v>
      </c>
      <c r="H1190" t="str">
        <f>'Source Table'!$H$9</f>
        <v>Male</v>
      </c>
      <c r="I1190" t="str">
        <f>'Source Table'!$H$8</f>
        <v>ذكر</v>
      </c>
      <c r="J1190" t="str">
        <f t="shared" si="36"/>
        <v>2016/2015</v>
      </c>
      <c r="K1190" t="str">
        <f t="shared" si="37"/>
        <v>2016/2015</v>
      </c>
      <c r="L1190" s="36">
        <v>8345</v>
      </c>
      <c r="M1190" s="18">
        <v>2015</v>
      </c>
    </row>
    <row r="1191" ht="21.75" spans="1:13">
      <c r="A1191" s="18" t="s">
        <v>155</v>
      </c>
      <c r="B1191" s="18" t="s">
        <v>156</v>
      </c>
      <c r="C1191" s="18" t="s">
        <v>157</v>
      </c>
      <c r="D1191" s="18" t="s">
        <v>158</v>
      </c>
      <c r="E1191" s="18" t="s">
        <v>159</v>
      </c>
      <c r="F1191" s="19" t="s">
        <v>54</v>
      </c>
      <c r="G1191" s="20" t="s">
        <v>55</v>
      </c>
      <c r="H1191" t="str">
        <f>'Source Table'!$H$9</f>
        <v>Male</v>
      </c>
      <c r="I1191" t="str">
        <f>'Source Table'!$H$8</f>
        <v>ذكر</v>
      </c>
      <c r="J1191" t="str">
        <f t="shared" si="36"/>
        <v>2016/2015</v>
      </c>
      <c r="K1191" t="str">
        <f t="shared" si="37"/>
        <v>2016/2015</v>
      </c>
      <c r="L1191" s="36">
        <v>7170</v>
      </c>
      <c r="M1191" s="18">
        <v>2015</v>
      </c>
    </row>
    <row r="1192" ht="21.75" spans="1:13">
      <c r="A1192" s="18" t="s">
        <v>155</v>
      </c>
      <c r="B1192" s="18" t="s">
        <v>156</v>
      </c>
      <c r="C1192" s="18" t="s">
        <v>157</v>
      </c>
      <c r="D1192" s="18" t="s">
        <v>158</v>
      </c>
      <c r="E1192" s="18" t="s">
        <v>159</v>
      </c>
      <c r="F1192" s="19" t="s">
        <v>56</v>
      </c>
      <c r="G1192" s="20" t="s">
        <v>57</v>
      </c>
      <c r="H1192" t="str">
        <f>'Source Table'!$H$9</f>
        <v>Male</v>
      </c>
      <c r="I1192" t="str">
        <f>'Source Table'!$H$8</f>
        <v>ذكر</v>
      </c>
      <c r="J1192" t="str">
        <f t="shared" si="36"/>
        <v>2016/2015</v>
      </c>
      <c r="K1192" t="str">
        <f t="shared" si="37"/>
        <v>2016/2015</v>
      </c>
      <c r="L1192" s="36">
        <v>26127</v>
      </c>
      <c r="M1192" s="18">
        <v>2015</v>
      </c>
    </row>
    <row r="1193" ht="21.75" spans="1:13">
      <c r="A1193" s="18" t="s">
        <v>155</v>
      </c>
      <c r="B1193" s="18" t="s">
        <v>156</v>
      </c>
      <c r="C1193" s="18" t="s">
        <v>157</v>
      </c>
      <c r="D1193" s="18" t="s">
        <v>158</v>
      </c>
      <c r="E1193" s="18" t="s">
        <v>159</v>
      </c>
      <c r="F1193" s="19" t="s">
        <v>59</v>
      </c>
      <c r="G1193" s="20" t="s">
        <v>160</v>
      </c>
      <c r="H1193" t="str">
        <f>'Source Table'!$H$9</f>
        <v>Male</v>
      </c>
      <c r="I1193" t="str">
        <f>'Source Table'!$H$8</f>
        <v>ذكر</v>
      </c>
      <c r="J1193" t="str">
        <f t="shared" si="36"/>
        <v>2016/2015</v>
      </c>
      <c r="K1193" t="str">
        <f t="shared" si="37"/>
        <v>2016/2015</v>
      </c>
      <c r="L1193" s="36">
        <v>66634</v>
      </c>
      <c r="M1193" s="18">
        <v>2015</v>
      </c>
    </row>
    <row r="1194" ht="21.75" spans="1:13">
      <c r="A1194" s="18" t="s">
        <v>155</v>
      </c>
      <c r="B1194" s="18" t="s">
        <v>156</v>
      </c>
      <c r="C1194" s="18" t="s">
        <v>157</v>
      </c>
      <c r="D1194" s="18" t="s">
        <v>158</v>
      </c>
      <c r="E1194" s="18" t="s">
        <v>159</v>
      </c>
      <c r="F1194" s="19" t="s">
        <v>62</v>
      </c>
      <c r="G1194" s="20" t="s">
        <v>161</v>
      </c>
      <c r="H1194" t="str">
        <f>'Source Table'!$H$9</f>
        <v>Male</v>
      </c>
      <c r="I1194" t="str">
        <f>'Source Table'!$H$8</f>
        <v>ذكر</v>
      </c>
      <c r="J1194" t="str">
        <f t="shared" si="36"/>
        <v>2016/2015</v>
      </c>
      <c r="K1194" t="str">
        <f t="shared" si="37"/>
        <v>2016/2015</v>
      </c>
      <c r="L1194" s="36">
        <v>21486</v>
      </c>
      <c r="M1194" s="18">
        <v>2015</v>
      </c>
    </row>
    <row r="1195" ht="21.75" spans="1:13">
      <c r="A1195" s="18" t="s">
        <v>155</v>
      </c>
      <c r="B1195" s="18" t="s">
        <v>156</v>
      </c>
      <c r="C1195" s="18" t="s">
        <v>157</v>
      </c>
      <c r="D1195" s="18" t="s">
        <v>158</v>
      </c>
      <c r="E1195" s="18" t="s">
        <v>159</v>
      </c>
      <c r="F1195" s="19" t="s">
        <v>64</v>
      </c>
      <c r="G1195" s="20" t="s">
        <v>65</v>
      </c>
      <c r="H1195" t="str">
        <f>'Source Table'!$H$9</f>
        <v>Male</v>
      </c>
      <c r="I1195" t="str">
        <f>'Source Table'!$H$8</f>
        <v>ذكر</v>
      </c>
      <c r="J1195" t="str">
        <f t="shared" si="36"/>
        <v>2016/2015</v>
      </c>
      <c r="K1195" t="str">
        <f t="shared" si="37"/>
        <v>2016/2015</v>
      </c>
      <c r="L1195" s="36">
        <v>48606</v>
      </c>
      <c r="M1195" s="18">
        <v>2015</v>
      </c>
    </row>
    <row r="1196" ht="21.75" spans="1:13">
      <c r="A1196" s="18" t="s">
        <v>155</v>
      </c>
      <c r="B1196" s="18" t="s">
        <v>156</v>
      </c>
      <c r="C1196" s="18" t="s">
        <v>157</v>
      </c>
      <c r="D1196" s="18" t="s">
        <v>158</v>
      </c>
      <c r="E1196" s="18" t="s">
        <v>159</v>
      </c>
      <c r="F1196" s="19" t="s">
        <v>68</v>
      </c>
      <c r="G1196" s="20" t="s">
        <v>69</v>
      </c>
      <c r="H1196" t="str">
        <f>'Source Table'!$H$9</f>
        <v>Male</v>
      </c>
      <c r="I1196" t="str">
        <f>'Source Table'!$H$8</f>
        <v>ذكر</v>
      </c>
      <c r="J1196" t="str">
        <f t="shared" si="36"/>
        <v>2016/2015</v>
      </c>
      <c r="K1196" t="str">
        <f t="shared" si="37"/>
        <v>2016/2015</v>
      </c>
      <c r="L1196" s="36">
        <v>20426</v>
      </c>
      <c r="M1196" s="18">
        <v>2015</v>
      </c>
    </row>
    <row r="1197" ht="21.75" spans="1:13">
      <c r="A1197" s="18" t="s">
        <v>155</v>
      </c>
      <c r="B1197" s="18" t="s">
        <v>156</v>
      </c>
      <c r="C1197" s="18" t="s">
        <v>157</v>
      </c>
      <c r="D1197" s="18" t="s">
        <v>158</v>
      </c>
      <c r="E1197" s="18" t="s">
        <v>159</v>
      </c>
      <c r="F1197" s="19" t="s">
        <v>70</v>
      </c>
      <c r="G1197" s="20" t="s">
        <v>71</v>
      </c>
      <c r="H1197" t="str">
        <f>'Source Table'!$H$9</f>
        <v>Male</v>
      </c>
      <c r="I1197" t="str">
        <f>'Source Table'!$H$8</f>
        <v>ذكر</v>
      </c>
      <c r="J1197" t="str">
        <f t="shared" si="36"/>
        <v>2016/2015</v>
      </c>
      <c r="K1197" t="str">
        <f t="shared" si="37"/>
        <v>2016/2015</v>
      </c>
      <c r="L1197" s="36">
        <v>4887</v>
      </c>
      <c r="M1197" s="18">
        <v>2015</v>
      </c>
    </row>
    <row r="1198" ht="21.75" spans="1:13">
      <c r="A1198" s="18" t="s">
        <v>155</v>
      </c>
      <c r="B1198" s="18" t="s">
        <v>156</v>
      </c>
      <c r="C1198" s="18" t="s">
        <v>157</v>
      </c>
      <c r="D1198" s="18" t="s">
        <v>158</v>
      </c>
      <c r="E1198" s="18" t="s">
        <v>159</v>
      </c>
      <c r="F1198" s="19" t="s">
        <v>74</v>
      </c>
      <c r="G1198" s="20" t="s">
        <v>75</v>
      </c>
      <c r="H1198" t="str">
        <f>'Source Table'!$H$9</f>
        <v>Male</v>
      </c>
      <c r="I1198" t="str">
        <f>'Source Table'!$H$8</f>
        <v>ذكر</v>
      </c>
      <c r="J1198" t="str">
        <f t="shared" si="36"/>
        <v>2016/2015</v>
      </c>
      <c r="K1198" t="str">
        <f t="shared" si="37"/>
        <v>2016/2015</v>
      </c>
      <c r="L1198" s="36">
        <v>70141</v>
      </c>
      <c r="M1198" s="18">
        <v>2015</v>
      </c>
    </row>
    <row r="1199" ht="21.75" spans="1:13">
      <c r="A1199" s="18" t="s">
        <v>155</v>
      </c>
      <c r="B1199" s="18" t="s">
        <v>156</v>
      </c>
      <c r="C1199" s="18" t="s">
        <v>157</v>
      </c>
      <c r="D1199" s="18" t="s">
        <v>158</v>
      </c>
      <c r="E1199" s="18" t="s">
        <v>159</v>
      </c>
      <c r="F1199" s="19" t="s">
        <v>76</v>
      </c>
      <c r="G1199" s="20" t="s">
        <v>77</v>
      </c>
      <c r="H1199" t="str">
        <f>'Source Table'!$H$9</f>
        <v>Male</v>
      </c>
      <c r="I1199" t="str">
        <f>'Source Table'!$H$8</f>
        <v>ذكر</v>
      </c>
      <c r="J1199" t="str">
        <f t="shared" si="36"/>
        <v>2016/2015</v>
      </c>
      <c r="K1199" t="str">
        <f t="shared" si="37"/>
        <v>2016/2015</v>
      </c>
      <c r="L1199" s="36">
        <v>20092</v>
      </c>
      <c r="M1199" s="18">
        <v>2015</v>
      </c>
    </row>
    <row r="1200" ht="21.75" spans="1:13">
      <c r="A1200" s="18" t="s">
        <v>155</v>
      </c>
      <c r="B1200" s="18" t="s">
        <v>156</v>
      </c>
      <c r="C1200" s="18" t="s">
        <v>157</v>
      </c>
      <c r="D1200" s="18" t="s">
        <v>158</v>
      </c>
      <c r="E1200" s="18" t="s">
        <v>159</v>
      </c>
      <c r="F1200" s="19" t="s">
        <v>78</v>
      </c>
      <c r="G1200" s="20" t="s">
        <v>79</v>
      </c>
      <c r="H1200" t="str">
        <f>'Source Table'!$H$9</f>
        <v>Male</v>
      </c>
      <c r="I1200" t="str">
        <f>'Source Table'!$H$8</f>
        <v>ذكر</v>
      </c>
      <c r="J1200" t="str">
        <f t="shared" si="36"/>
        <v>2016/2015</v>
      </c>
      <c r="K1200" t="str">
        <f t="shared" si="37"/>
        <v>2016/2015</v>
      </c>
      <c r="L1200" s="36">
        <v>8018</v>
      </c>
      <c r="M1200" s="18">
        <v>2015</v>
      </c>
    </row>
    <row r="1201" ht="21.75" spans="1:13">
      <c r="A1201" s="18" t="s">
        <v>155</v>
      </c>
      <c r="B1201" s="18" t="s">
        <v>156</v>
      </c>
      <c r="C1201" s="18" t="s">
        <v>157</v>
      </c>
      <c r="D1201" s="18" t="s">
        <v>158</v>
      </c>
      <c r="E1201" s="18" t="s">
        <v>159</v>
      </c>
      <c r="F1201" s="19" t="s">
        <v>80</v>
      </c>
      <c r="G1201" s="20" t="s">
        <v>81</v>
      </c>
      <c r="H1201" t="str">
        <f>'Source Table'!$H$9</f>
        <v>Male</v>
      </c>
      <c r="I1201" t="str">
        <f>'Source Table'!$H$8</f>
        <v>ذكر</v>
      </c>
      <c r="J1201" t="str">
        <f t="shared" si="36"/>
        <v>2016/2015</v>
      </c>
      <c r="K1201" t="str">
        <f t="shared" si="37"/>
        <v>2016/2015</v>
      </c>
      <c r="L1201" s="36">
        <v>9197</v>
      </c>
      <c r="M1201" s="18">
        <v>2015</v>
      </c>
    </row>
    <row r="1202" ht="21.75" spans="1:13">
      <c r="A1202" s="18" t="s">
        <v>155</v>
      </c>
      <c r="B1202" s="18" t="s">
        <v>156</v>
      </c>
      <c r="C1202" s="18" t="s">
        <v>157</v>
      </c>
      <c r="D1202" s="18" t="s">
        <v>158</v>
      </c>
      <c r="E1202" s="18" t="s">
        <v>159</v>
      </c>
      <c r="F1202" s="19" t="s">
        <v>82</v>
      </c>
      <c r="G1202" s="20" t="s">
        <v>83</v>
      </c>
      <c r="H1202" t="str">
        <f>'Source Table'!$H$9</f>
        <v>Male</v>
      </c>
      <c r="I1202" t="str">
        <f>'Source Table'!$H$8</f>
        <v>ذكر</v>
      </c>
      <c r="J1202" t="str">
        <f t="shared" si="36"/>
        <v>2016/2015</v>
      </c>
      <c r="K1202" t="str">
        <f t="shared" si="37"/>
        <v>2016/2015</v>
      </c>
      <c r="L1202" s="36">
        <v>15851</v>
      </c>
      <c r="M1202" s="18">
        <v>2015</v>
      </c>
    </row>
    <row r="1203" ht="21.75" spans="1:13">
      <c r="A1203" s="18" t="s">
        <v>155</v>
      </c>
      <c r="B1203" s="18" t="s">
        <v>156</v>
      </c>
      <c r="C1203" s="18" t="s">
        <v>157</v>
      </c>
      <c r="D1203" s="18" t="s">
        <v>158</v>
      </c>
      <c r="E1203" s="18" t="s">
        <v>159</v>
      </c>
      <c r="F1203" s="19" t="s">
        <v>84</v>
      </c>
      <c r="G1203" s="20" t="s">
        <v>85</v>
      </c>
      <c r="H1203" t="str">
        <f>'Source Table'!$H$9</f>
        <v>Male</v>
      </c>
      <c r="I1203" t="str">
        <f>'Source Table'!$H$8</f>
        <v>ذكر</v>
      </c>
      <c r="J1203" t="str">
        <f t="shared" si="36"/>
        <v>2016/2015</v>
      </c>
      <c r="K1203" t="str">
        <f t="shared" si="37"/>
        <v>2016/2015</v>
      </c>
      <c r="L1203" s="36">
        <v>12543</v>
      </c>
      <c r="M1203" s="18">
        <v>2015</v>
      </c>
    </row>
    <row r="1204" ht="21.75" spans="1:13">
      <c r="A1204" s="18" t="s">
        <v>155</v>
      </c>
      <c r="B1204" s="18" t="s">
        <v>156</v>
      </c>
      <c r="C1204" s="18" t="s">
        <v>157</v>
      </c>
      <c r="D1204" s="18" t="s">
        <v>158</v>
      </c>
      <c r="E1204" s="18" t="s">
        <v>159</v>
      </c>
      <c r="F1204" s="19" t="s">
        <v>86</v>
      </c>
      <c r="G1204" s="20" t="s">
        <v>87</v>
      </c>
      <c r="H1204" t="str">
        <f>'Source Table'!$H$9</f>
        <v>Male</v>
      </c>
      <c r="I1204" t="str">
        <f>'Source Table'!$H$8</f>
        <v>ذكر</v>
      </c>
      <c r="J1204" t="str">
        <f t="shared" si="36"/>
        <v>2016/2015</v>
      </c>
      <c r="K1204" t="str">
        <f t="shared" si="37"/>
        <v>2016/2015</v>
      </c>
      <c r="L1204" s="36">
        <v>13119</v>
      </c>
      <c r="M1204" s="18">
        <v>2015</v>
      </c>
    </row>
    <row r="1205" ht="21.75" spans="1:13">
      <c r="A1205" s="18" t="s">
        <v>155</v>
      </c>
      <c r="B1205" s="18" t="s">
        <v>156</v>
      </c>
      <c r="C1205" s="18" t="s">
        <v>157</v>
      </c>
      <c r="D1205" s="18" t="s">
        <v>158</v>
      </c>
      <c r="E1205" s="18" t="s">
        <v>159</v>
      </c>
      <c r="F1205" s="19" t="s">
        <v>88</v>
      </c>
      <c r="G1205" s="20" t="s">
        <v>89</v>
      </c>
      <c r="H1205" t="str">
        <f>'Source Table'!$H$9</f>
        <v>Male</v>
      </c>
      <c r="I1205" t="str">
        <f>'Source Table'!$H$8</f>
        <v>ذكر</v>
      </c>
      <c r="J1205" t="str">
        <f t="shared" si="36"/>
        <v>2016/2015</v>
      </c>
      <c r="K1205" t="str">
        <f t="shared" si="37"/>
        <v>2016/2015</v>
      </c>
      <c r="L1205" s="36">
        <v>23336</v>
      </c>
      <c r="M1205" s="18">
        <v>2015</v>
      </c>
    </row>
    <row r="1206" ht="21.75" spans="1:13">
      <c r="A1206" s="18" t="s">
        <v>155</v>
      </c>
      <c r="B1206" s="18" t="s">
        <v>156</v>
      </c>
      <c r="C1206" s="18" t="s">
        <v>157</v>
      </c>
      <c r="D1206" s="18" t="s">
        <v>158</v>
      </c>
      <c r="E1206" s="18" t="s">
        <v>159</v>
      </c>
      <c r="F1206" s="19" t="s">
        <v>91</v>
      </c>
      <c r="G1206" s="20" t="s">
        <v>92</v>
      </c>
      <c r="H1206" t="str">
        <f>'Source Table'!$H$9</f>
        <v>Male</v>
      </c>
      <c r="I1206" t="str">
        <f>'Source Table'!$H$8</f>
        <v>ذكر</v>
      </c>
      <c r="J1206" t="str">
        <f t="shared" si="36"/>
        <v>2016/2015</v>
      </c>
      <c r="K1206" t="str">
        <f t="shared" si="37"/>
        <v>2016/2015</v>
      </c>
      <c r="L1206" s="36">
        <v>22812</v>
      </c>
      <c r="M1206" s="18">
        <v>2015</v>
      </c>
    </row>
    <row r="1207" ht="21.75" spans="1:13">
      <c r="A1207" s="18" t="s">
        <v>155</v>
      </c>
      <c r="B1207" s="18" t="s">
        <v>156</v>
      </c>
      <c r="C1207" s="18" t="s">
        <v>157</v>
      </c>
      <c r="D1207" s="18" t="s">
        <v>158</v>
      </c>
      <c r="E1207" s="18" t="s">
        <v>159</v>
      </c>
      <c r="F1207" s="19" t="s">
        <v>94</v>
      </c>
      <c r="G1207" s="20" t="s">
        <v>95</v>
      </c>
      <c r="H1207" t="str">
        <f>'Source Table'!$H$9</f>
        <v>Male</v>
      </c>
      <c r="I1207" t="str">
        <f>'Source Table'!$H$8</f>
        <v>ذكر</v>
      </c>
      <c r="J1207" t="str">
        <f t="shared" si="36"/>
        <v>2016/2015</v>
      </c>
      <c r="K1207" t="str">
        <f t="shared" si="37"/>
        <v>2016/2015</v>
      </c>
      <c r="L1207" s="36">
        <v>13979</v>
      </c>
      <c r="M1207" s="18">
        <v>2015</v>
      </c>
    </row>
    <row r="1208" ht="21.75" spans="1:13">
      <c r="A1208" s="18" t="s">
        <v>155</v>
      </c>
      <c r="B1208" s="18" t="s">
        <v>156</v>
      </c>
      <c r="C1208" s="18" t="s">
        <v>157</v>
      </c>
      <c r="D1208" s="18" t="s">
        <v>158</v>
      </c>
      <c r="E1208" s="18" t="s">
        <v>159</v>
      </c>
      <c r="F1208" s="19" t="s">
        <v>96</v>
      </c>
      <c r="G1208" s="20" t="s">
        <v>97</v>
      </c>
      <c r="H1208" t="str">
        <f>'Source Table'!$H$9</f>
        <v>Male</v>
      </c>
      <c r="I1208" t="str">
        <f>'Source Table'!$H$8</f>
        <v>ذكر</v>
      </c>
      <c r="J1208" t="str">
        <f t="shared" si="36"/>
        <v>2016/2015</v>
      </c>
      <c r="K1208" t="str">
        <f t="shared" si="37"/>
        <v>2016/2015</v>
      </c>
      <c r="L1208" s="36">
        <v>23313</v>
      </c>
      <c r="M1208" s="18">
        <v>2015</v>
      </c>
    </row>
    <row r="1209" ht="21.75" spans="1:13">
      <c r="A1209" s="18" t="s">
        <v>155</v>
      </c>
      <c r="B1209" s="18" t="s">
        <v>156</v>
      </c>
      <c r="C1209" s="18" t="s">
        <v>157</v>
      </c>
      <c r="D1209" s="18" t="s">
        <v>158</v>
      </c>
      <c r="E1209" s="18" t="s">
        <v>159</v>
      </c>
      <c r="F1209" s="19" t="s">
        <v>98</v>
      </c>
      <c r="G1209" s="20" t="s">
        <v>99</v>
      </c>
      <c r="H1209" t="str">
        <f>'Source Table'!$H$9</f>
        <v>Male</v>
      </c>
      <c r="I1209" t="str">
        <f>'Source Table'!$H$8</f>
        <v>ذكر</v>
      </c>
      <c r="J1209" t="str">
        <f t="shared" si="36"/>
        <v>2016/2015</v>
      </c>
      <c r="K1209" t="str">
        <f t="shared" si="37"/>
        <v>2016/2015</v>
      </c>
      <c r="L1209" s="37">
        <v>27966</v>
      </c>
      <c r="M1209" s="18">
        <v>2015</v>
      </c>
    </row>
    <row r="1210" ht="21.75" spans="1:13">
      <c r="A1210" s="18" t="s">
        <v>155</v>
      </c>
      <c r="B1210" s="18" t="s">
        <v>156</v>
      </c>
      <c r="C1210" s="18" t="s">
        <v>157</v>
      </c>
      <c r="D1210" s="18" t="s">
        <v>158</v>
      </c>
      <c r="E1210" s="18" t="s">
        <v>159</v>
      </c>
      <c r="F1210" s="19" t="s">
        <v>100</v>
      </c>
      <c r="G1210" s="20" t="s">
        <v>101</v>
      </c>
      <c r="H1210" t="str">
        <f>'Source Table'!$H$9</f>
        <v>Male</v>
      </c>
      <c r="I1210" t="str">
        <f>'Source Table'!$H$8</f>
        <v>ذكر</v>
      </c>
      <c r="J1210" t="str">
        <f t="shared" si="36"/>
        <v>2016/2015</v>
      </c>
      <c r="K1210" t="str">
        <f t="shared" si="37"/>
        <v>2016/2015</v>
      </c>
      <c r="L1210" s="37">
        <v>20355</v>
      </c>
      <c r="M1210" s="18">
        <v>2015</v>
      </c>
    </row>
    <row r="1211" ht="21.75" spans="1:13">
      <c r="A1211" s="18" t="s">
        <v>155</v>
      </c>
      <c r="B1211" s="18" t="s">
        <v>156</v>
      </c>
      <c r="C1211" s="18" t="s">
        <v>157</v>
      </c>
      <c r="D1211" s="18" t="s">
        <v>158</v>
      </c>
      <c r="E1211" s="18" t="s">
        <v>159</v>
      </c>
      <c r="F1211" s="19" t="s">
        <v>103</v>
      </c>
      <c r="G1211" s="20" t="s">
        <v>104</v>
      </c>
      <c r="H1211" t="str">
        <f>'Source Table'!$H$9</f>
        <v>Male</v>
      </c>
      <c r="I1211" t="str">
        <f>'Source Table'!$H$8</f>
        <v>ذكر</v>
      </c>
      <c r="J1211" t="str">
        <f t="shared" si="36"/>
        <v>2016/2015</v>
      </c>
      <c r="K1211" t="str">
        <f t="shared" si="37"/>
        <v>2016/2015</v>
      </c>
      <c r="L1211" s="36">
        <v>14353</v>
      </c>
      <c r="M1211" s="18">
        <v>2015</v>
      </c>
    </row>
    <row r="1212" ht="21.75" spans="1:13">
      <c r="A1212" s="18" t="s">
        <v>155</v>
      </c>
      <c r="B1212" s="18" t="s">
        <v>156</v>
      </c>
      <c r="C1212" s="18" t="s">
        <v>157</v>
      </c>
      <c r="D1212" s="18" t="s">
        <v>158</v>
      </c>
      <c r="E1212" s="18" t="s">
        <v>159</v>
      </c>
      <c r="F1212" s="19" t="s">
        <v>106</v>
      </c>
      <c r="G1212" s="20" t="s">
        <v>107</v>
      </c>
      <c r="H1212" t="str">
        <f>'Source Table'!$H$9</f>
        <v>Male</v>
      </c>
      <c r="I1212" t="str">
        <f>'Source Table'!$H$8</f>
        <v>ذكر</v>
      </c>
      <c r="J1212" t="str">
        <f t="shared" si="36"/>
        <v>2016/2015</v>
      </c>
      <c r="K1212" t="str">
        <f t="shared" si="37"/>
        <v>2016/2015</v>
      </c>
      <c r="L1212" s="36">
        <v>10256</v>
      </c>
      <c r="M1212" s="18">
        <v>2015</v>
      </c>
    </row>
    <row r="1213" ht="21.75" spans="1:13">
      <c r="A1213" s="18" t="s">
        <v>155</v>
      </c>
      <c r="B1213" s="18" t="s">
        <v>156</v>
      </c>
      <c r="C1213" s="18" t="s">
        <v>157</v>
      </c>
      <c r="D1213" s="18" t="s">
        <v>158</v>
      </c>
      <c r="E1213" s="18" t="s">
        <v>159</v>
      </c>
      <c r="F1213" s="19" t="s">
        <v>108</v>
      </c>
      <c r="G1213" s="20" t="s">
        <v>109</v>
      </c>
      <c r="H1213" t="str">
        <f>'Source Table'!$H$9</f>
        <v>Male</v>
      </c>
      <c r="I1213" t="str">
        <f>'Source Table'!$H$8</f>
        <v>ذكر</v>
      </c>
      <c r="J1213" t="str">
        <f t="shared" si="36"/>
        <v>2016/2015</v>
      </c>
      <c r="K1213" t="str">
        <f t="shared" si="37"/>
        <v>2016/2015</v>
      </c>
      <c r="L1213" s="36">
        <v>6051</v>
      </c>
      <c r="M1213" s="18">
        <v>2015</v>
      </c>
    </row>
    <row r="1214" ht="21.75" spans="1:13">
      <c r="A1214" s="18" t="s">
        <v>155</v>
      </c>
      <c r="B1214" s="18" t="s">
        <v>156</v>
      </c>
      <c r="C1214" s="18" t="s">
        <v>157</v>
      </c>
      <c r="D1214" s="18" t="s">
        <v>158</v>
      </c>
      <c r="E1214" s="18" t="s">
        <v>159</v>
      </c>
      <c r="F1214" s="19" t="s">
        <v>110</v>
      </c>
      <c r="G1214" s="20" t="s">
        <v>111</v>
      </c>
      <c r="H1214" t="str">
        <f>'Source Table'!$H$9</f>
        <v>Male</v>
      </c>
      <c r="I1214" t="str">
        <f>'Source Table'!$H$8</f>
        <v>ذكر</v>
      </c>
      <c r="J1214" t="str">
        <f t="shared" si="36"/>
        <v>2016/2015</v>
      </c>
      <c r="K1214" t="str">
        <f t="shared" si="37"/>
        <v>2016/2015</v>
      </c>
      <c r="L1214" s="36">
        <v>7199</v>
      </c>
      <c r="M1214" s="18">
        <v>2015</v>
      </c>
    </row>
    <row r="1215" ht="21.75" spans="1:13">
      <c r="A1215" s="18" t="s">
        <v>155</v>
      </c>
      <c r="B1215" s="18" t="s">
        <v>156</v>
      </c>
      <c r="C1215" s="18" t="s">
        <v>157</v>
      </c>
      <c r="D1215" s="18" t="s">
        <v>158</v>
      </c>
      <c r="E1215" s="18" t="s">
        <v>159</v>
      </c>
      <c r="F1215" s="19" t="s">
        <v>113</v>
      </c>
      <c r="G1215" s="20" t="s">
        <v>114</v>
      </c>
      <c r="H1215" t="str">
        <f>'Source Table'!$H$9</f>
        <v>Male</v>
      </c>
      <c r="I1215" t="str">
        <f>'Source Table'!$H$8</f>
        <v>ذكر</v>
      </c>
      <c r="J1215" t="str">
        <f t="shared" si="36"/>
        <v>2016/2015</v>
      </c>
      <c r="K1215" t="str">
        <f t="shared" si="37"/>
        <v>2016/2015</v>
      </c>
      <c r="L1215" s="36">
        <v>10058</v>
      </c>
      <c r="M1215" s="18">
        <v>2015</v>
      </c>
    </row>
    <row r="1216" ht="21.75" spans="1:13">
      <c r="A1216" s="18" t="s">
        <v>155</v>
      </c>
      <c r="B1216" s="18" t="s">
        <v>156</v>
      </c>
      <c r="C1216" s="18" t="s">
        <v>157</v>
      </c>
      <c r="D1216" s="18" t="s">
        <v>158</v>
      </c>
      <c r="E1216" s="18" t="s">
        <v>159</v>
      </c>
      <c r="F1216" s="19" t="s">
        <v>115</v>
      </c>
      <c r="G1216" s="20" t="s">
        <v>116</v>
      </c>
      <c r="H1216" t="str">
        <f>'Source Table'!$H$9</f>
        <v>Male</v>
      </c>
      <c r="I1216" t="str">
        <f>'Source Table'!$H$8</f>
        <v>ذكر</v>
      </c>
      <c r="J1216" t="str">
        <f t="shared" si="36"/>
        <v>2016/2015</v>
      </c>
      <c r="K1216" t="str">
        <f t="shared" si="37"/>
        <v>2016/2015</v>
      </c>
      <c r="L1216" s="36">
        <v>3701</v>
      </c>
      <c r="M1216" s="18">
        <v>2015</v>
      </c>
    </row>
    <row r="1217" ht="21.75" spans="1:13">
      <c r="A1217" s="18" t="s">
        <v>155</v>
      </c>
      <c r="B1217" s="18" t="s">
        <v>156</v>
      </c>
      <c r="C1217" s="18" t="s">
        <v>157</v>
      </c>
      <c r="D1217" s="18" t="s">
        <v>158</v>
      </c>
      <c r="E1217" s="18" t="s">
        <v>159</v>
      </c>
      <c r="F1217" s="19" t="s">
        <v>118</v>
      </c>
      <c r="G1217" s="20" t="s">
        <v>119</v>
      </c>
      <c r="H1217" t="str">
        <f>'Source Table'!$H$9</f>
        <v>Male</v>
      </c>
      <c r="I1217" t="str">
        <f>'Source Table'!$H$8</f>
        <v>ذكر</v>
      </c>
      <c r="J1217" t="str">
        <f t="shared" si="36"/>
        <v>2016/2015</v>
      </c>
      <c r="K1217" t="str">
        <f t="shared" si="37"/>
        <v>2016/2015</v>
      </c>
      <c r="L1217" s="36">
        <v>7719</v>
      </c>
      <c r="M1217" s="18">
        <v>2015</v>
      </c>
    </row>
    <row r="1218" ht="21.75" spans="1:13">
      <c r="A1218" s="18" t="s">
        <v>155</v>
      </c>
      <c r="B1218" s="18" t="s">
        <v>156</v>
      </c>
      <c r="C1218" s="18" t="s">
        <v>157</v>
      </c>
      <c r="D1218" s="18" t="s">
        <v>158</v>
      </c>
      <c r="E1218" s="18" t="s">
        <v>159</v>
      </c>
      <c r="F1218" s="19" t="s">
        <v>120</v>
      </c>
      <c r="G1218" s="20" t="s">
        <v>121</v>
      </c>
      <c r="H1218" t="str">
        <f>'Source Table'!$H$9</f>
        <v>Male</v>
      </c>
      <c r="I1218" t="str">
        <f>'Source Table'!$H$8</f>
        <v>ذكر</v>
      </c>
      <c r="J1218" t="str">
        <f t="shared" si="36"/>
        <v>2016/2015</v>
      </c>
      <c r="K1218" t="str">
        <f t="shared" si="37"/>
        <v>2016/2015</v>
      </c>
      <c r="L1218" s="36">
        <v>4606</v>
      </c>
      <c r="M1218" s="18">
        <v>2015</v>
      </c>
    </row>
    <row r="1219" ht="21.75" spans="1:13">
      <c r="A1219" s="18" t="s">
        <v>155</v>
      </c>
      <c r="B1219" s="18" t="s">
        <v>156</v>
      </c>
      <c r="C1219" s="18" t="s">
        <v>157</v>
      </c>
      <c r="D1219" s="18" t="s">
        <v>158</v>
      </c>
      <c r="E1219" s="18" t="s">
        <v>159</v>
      </c>
      <c r="F1219" s="19" t="s">
        <v>122</v>
      </c>
      <c r="G1219" s="20" t="s">
        <v>123</v>
      </c>
      <c r="H1219" t="str">
        <f>'Source Table'!$H$9</f>
        <v>Male</v>
      </c>
      <c r="I1219" t="str">
        <f>'Source Table'!$H$8</f>
        <v>ذكر</v>
      </c>
      <c r="J1219" t="str">
        <f t="shared" si="36"/>
        <v>2016/2015</v>
      </c>
      <c r="K1219" t="str">
        <f t="shared" si="37"/>
        <v>2016/2015</v>
      </c>
      <c r="L1219" s="36">
        <v>4268</v>
      </c>
      <c r="M1219" s="18">
        <v>2015</v>
      </c>
    </row>
    <row r="1220" ht="21.75" spans="1:13">
      <c r="A1220" s="18" t="s">
        <v>155</v>
      </c>
      <c r="B1220" s="18" t="s">
        <v>156</v>
      </c>
      <c r="C1220" s="18" t="s">
        <v>157</v>
      </c>
      <c r="D1220" s="18" t="s">
        <v>158</v>
      </c>
      <c r="E1220" s="18" t="s">
        <v>159</v>
      </c>
      <c r="F1220" s="19" t="s">
        <v>124</v>
      </c>
      <c r="G1220" s="20" t="s">
        <v>125</v>
      </c>
      <c r="H1220" t="str">
        <f>'Source Table'!$H$9</f>
        <v>Male</v>
      </c>
      <c r="I1220" t="str">
        <f>'Source Table'!$H$8</f>
        <v>ذكر</v>
      </c>
      <c r="J1220" t="str">
        <f t="shared" si="36"/>
        <v>2016/2015</v>
      </c>
      <c r="K1220" t="str">
        <f t="shared" si="37"/>
        <v>2016/2015</v>
      </c>
      <c r="L1220" s="36">
        <v>1657</v>
      </c>
      <c r="M1220" s="18">
        <v>2015</v>
      </c>
    </row>
    <row r="1221" ht="21.75" spans="1:13">
      <c r="A1221" s="18" t="s">
        <v>155</v>
      </c>
      <c r="B1221" s="18" t="s">
        <v>156</v>
      </c>
      <c r="C1221" s="18" t="s">
        <v>157</v>
      </c>
      <c r="D1221" s="18" t="s">
        <v>158</v>
      </c>
      <c r="E1221" s="18" t="s">
        <v>159</v>
      </c>
      <c r="F1221" s="19" t="s">
        <v>126</v>
      </c>
      <c r="G1221" s="20" t="s">
        <v>127</v>
      </c>
      <c r="H1221" t="str">
        <f>'Source Table'!$H$9</f>
        <v>Male</v>
      </c>
      <c r="I1221" t="str">
        <f>'Source Table'!$H$8</f>
        <v>ذكر</v>
      </c>
      <c r="J1221" t="str">
        <f t="shared" ref="J1221:J1284" si="38">TEXT(M1221+1,"0")&amp;"/"&amp;TEXT(M1221,"0")</f>
        <v>2016/2015</v>
      </c>
      <c r="K1221" t="str">
        <f t="shared" ref="K1221:K1284" si="39">TEXT(M1221+1,"0")&amp;"/"&amp;TEXT(M1221,"0")</f>
        <v>2016/2015</v>
      </c>
      <c r="L1221" s="37">
        <v>21041</v>
      </c>
      <c r="M1221" s="18">
        <v>2015</v>
      </c>
    </row>
    <row r="1222" ht="21.75" spans="1:13">
      <c r="A1222" s="18" t="s">
        <v>155</v>
      </c>
      <c r="B1222" s="18" t="s">
        <v>156</v>
      </c>
      <c r="C1222" s="18" t="s">
        <v>157</v>
      </c>
      <c r="D1222" s="18" t="s">
        <v>158</v>
      </c>
      <c r="E1222" s="18" t="s">
        <v>159</v>
      </c>
      <c r="F1222" s="19" t="s">
        <v>29</v>
      </c>
      <c r="G1222" s="20" t="s">
        <v>30</v>
      </c>
      <c r="H1222" t="str">
        <f>'Source Table'!$G$9</f>
        <v>Female</v>
      </c>
      <c r="I1222" t="str">
        <f>'Source Table'!$G$8</f>
        <v>أنثى</v>
      </c>
      <c r="J1222" t="str">
        <f t="shared" si="38"/>
        <v>2016/2015</v>
      </c>
      <c r="K1222" t="str">
        <f t="shared" si="39"/>
        <v>2016/2015</v>
      </c>
      <c r="L1222" s="36">
        <v>81500</v>
      </c>
      <c r="M1222" s="18">
        <v>2015</v>
      </c>
    </row>
    <row r="1223" ht="21.75" spans="1:13">
      <c r="A1223" s="18" t="s">
        <v>155</v>
      </c>
      <c r="B1223" s="18" t="s">
        <v>156</v>
      </c>
      <c r="C1223" s="18" t="s">
        <v>157</v>
      </c>
      <c r="D1223" s="18" t="s">
        <v>158</v>
      </c>
      <c r="E1223" s="18" t="s">
        <v>159</v>
      </c>
      <c r="F1223" s="19" t="s">
        <v>32</v>
      </c>
      <c r="G1223" s="20" t="s">
        <v>33</v>
      </c>
      <c r="H1223" t="str">
        <f>'Source Table'!$G$9</f>
        <v>Female</v>
      </c>
      <c r="I1223" t="str">
        <f>'Source Table'!$G$8</f>
        <v>أنثى</v>
      </c>
      <c r="J1223" t="str">
        <f t="shared" si="38"/>
        <v>2016/2015</v>
      </c>
      <c r="K1223" t="str">
        <f t="shared" si="39"/>
        <v>2016/2015</v>
      </c>
      <c r="L1223" s="36">
        <v>59045</v>
      </c>
      <c r="M1223" s="18">
        <v>2015</v>
      </c>
    </row>
    <row r="1224" ht="21.75" spans="1:13">
      <c r="A1224" s="18" t="s">
        <v>155</v>
      </c>
      <c r="B1224" s="18" t="s">
        <v>156</v>
      </c>
      <c r="C1224" s="18" t="s">
        <v>157</v>
      </c>
      <c r="D1224" s="18" t="s">
        <v>158</v>
      </c>
      <c r="E1224" s="18" t="s">
        <v>159</v>
      </c>
      <c r="F1224" s="19" t="s">
        <v>34</v>
      </c>
      <c r="G1224" s="20" t="s">
        <v>35</v>
      </c>
      <c r="H1224" t="str">
        <f>'Source Table'!$G$9</f>
        <v>Female</v>
      </c>
      <c r="I1224" t="str">
        <f>'Source Table'!$G$8</f>
        <v>أنثى</v>
      </c>
      <c r="J1224" t="str">
        <f t="shared" si="38"/>
        <v>2016/2015</v>
      </c>
      <c r="K1224" t="str">
        <f t="shared" si="39"/>
        <v>2016/2015</v>
      </c>
      <c r="L1224" s="36">
        <v>13176</v>
      </c>
      <c r="M1224" s="18">
        <v>2015</v>
      </c>
    </row>
    <row r="1225" ht="21.75" spans="1:13">
      <c r="A1225" s="18" t="s">
        <v>155</v>
      </c>
      <c r="B1225" s="18" t="s">
        <v>156</v>
      </c>
      <c r="C1225" s="18" t="s">
        <v>157</v>
      </c>
      <c r="D1225" s="18" t="s">
        <v>158</v>
      </c>
      <c r="E1225" s="18" t="s">
        <v>159</v>
      </c>
      <c r="F1225" s="19" t="s">
        <v>36</v>
      </c>
      <c r="G1225" s="20" t="s">
        <v>37</v>
      </c>
      <c r="H1225" t="str">
        <f>'Source Table'!$G$9</f>
        <v>Female</v>
      </c>
      <c r="I1225" t="str">
        <f>'Source Table'!$G$8</f>
        <v>أنثى</v>
      </c>
      <c r="J1225" t="str">
        <f t="shared" si="38"/>
        <v>2016/2015</v>
      </c>
      <c r="K1225" t="str">
        <f t="shared" si="39"/>
        <v>2016/2015</v>
      </c>
      <c r="L1225" s="36">
        <v>59091</v>
      </c>
      <c r="M1225" s="18">
        <v>2015</v>
      </c>
    </row>
    <row r="1226" ht="21.75" spans="1:13">
      <c r="A1226" s="18" t="s">
        <v>155</v>
      </c>
      <c r="B1226" s="18" t="s">
        <v>156</v>
      </c>
      <c r="C1226" s="18" t="s">
        <v>157</v>
      </c>
      <c r="D1226" s="18" t="s">
        <v>158</v>
      </c>
      <c r="E1226" s="18" t="s">
        <v>159</v>
      </c>
      <c r="F1226" s="19" t="s">
        <v>38</v>
      </c>
      <c r="G1226" s="20" t="s">
        <v>39</v>
      </c>
      <c r="H1226" t="str">
        <f>'Source Table'!$G$9</f>
        <v>Female</v>
      </c>
      <c r="I1226" t="str">
        <f>'Source Table'!$G$8</f>
        <v>أنثى</v>
      </c>
      <c r="J1226" t="str">
        <f t="shared" si="38"/>
        <v>2016/2015</v>
      </c>
      <c r="K1226" t="str">
        <f t="shared" si="39"/>
        <v>2016/2015</v>
      </c>
      <c r="L1226" s="36">
        <v>84482</v>
      </c>
      <c r="M1226" s="18">
        <v>2015</v>
      </c>
    </row>
    <row r="1227" ht="21.75" spans="1:13">
      <c r="A1227" s="18" t="s">
        <v>155</v>
      </c>
      <c r="B1227" s="18" t="s">
        <v>156</v>
      </c>
      <c r="C1227" s="18" t="s">
        <v>157</v>
      </c>
      <c r="D1227" s="18" t="s">
        <v>158</v>
      </c>
      <c r="E1227" s="18" t="s">
        <v>159</v>
      </c>
      <c r="F1227" s="19" t="s">
        <v>40</v>
      </c>
      <c r="G1227" s="20" t="s">
        <v>41</v>
      </c>
      <c r="H1227" t="str">
        <f>'Source Table'!$G$9</f>
        <v>Female</v>
      </c>
      <c r="I1227" t="str">
        <f>'Source Table'!$G$8</f>
        <v>أنثى</v>
      </c>
      <c r="J1227" t="str">
        <f t="shared" si="38"/>
        <v>2016/2015</v>
      </c>
      <c r="K1227" t="str">
        <f t="shared" si="39"/>
        <v>2016/2015</v>
      </c>
      <c r="L1227" s="36">
        <v>27224</v>
      </c>
      <c r="M1227" s="18">
        <v>2015</v>
      </c>
    </row>
    <row r="1228" ht="21.75" spans="1:13">
      <c r="A1228" s="18" t="s">
        <v>155</v>
      </c>
      <c r="B1228" s="18" t="s">
        <v>156</v>
      </c>
      <c r="C1228" s="18" t="s">
        <v>157</v>
      </c>
      <c r="D1228" s="18" t="s">
        <v>158</v>
      </c>
      <c r="E1228" s="18" t="s">
        <v>159</v>
      </c>
      <c r="F1228" s="19" t="s">
        <v>42</v>
      </c>
      <c r="G1228" s="20" t="s">
        <v>43</v>
      </c>
      <c r="H1228" t="str">
        <f>'Source Table'!$G$9</f>
        <v>Female</v>
      </c>
      <c r="I1228" t="str">
        <f>'Source Table'!$G$8</f>
        <v>أنثى</v>
      </c>
      <c r="J1228" t="str">
        <f t="shared" si="38"/>
        <v>2016/2015</v>
      </c>
      <c r="K1228" t="str">
        <f t="shared" si="39"/>
        <v>2016/2015</v>
      </c>
      <c r="L1228" s="36">
        <v>12481</v>
      </c>
      <c r="M1228" s="18">
        <v>2015</v>
      </c>
    </row>
    <row r="1229" ht="21.75" spans="1:13">
      <c r="A1229" s="18" t="s">
        <v>155</v>
      </c>
      <c r="B1229" s="18" t="s">
        <v>156</v>
      </c>
      <c r="C1229" s="18" t="s">
        <v>157</v>
      </c>
      <c r="D1229" s="18" t="s">
        <v>158</v>
      </c>
      <c r="E1229" s="18" t="s">
        <v>159</v>
      </c>
      <c r="F1229" s="19" t="s">
        <v>44</v>
      </c>
      <c r="G1229" s="20" t="s">
        <v>45</v>
      </c>
      <c r="H1229" t="str">
        <f>'Source Table'!$G$9</f>
        <v>Female</v>
      </c>
      <c r="I1229" t="str">
        <f>'Source Table'!$G$8</f>
        <v>أنثى</v>
      </c>
      <c r="J1229" t="str">
        <f t="shared" si="38"/>
        <v>2016/2015</v>
      </c>
      <c r="K1229" t="str">
        <f t="shared" si="39"/>
        <v>2016/2015</v>
      </c>
      <c r="L1229" s="36">
        <v>6760</v>
      </c>
      <c r="M1229" s="18">
        <v>2015</v>
      </c>
    </row>
    <row r="1230" ht="21.75" spans="1:13">
      <c r="A1230" s="18" t="s">
        <v>155</v>
      </c>
      <c r="B1230" s="18" t="s">
        <v>156</v>
      </c>
      <c r="C1230" s="18" t="s">
        <v>157</v>
      </c>
      <c r="D1230" s="18" t="s">
        <v>158</v>
      </c>
      <c r="E1230" s="18" t="s">
        <v>159</v>
      </c>
      <c r="F1230" s="19" t="s">
        <v>46</v>
      </c>
      <c r="G1230" s="20" t="s">
        <v>47</v>
      </c>
      <c r="H1230" t="str">
        <f>'Source Table'!$G$9</f>
        <v>Female</v>
      </c>
      <c r="I1230" t="str">
        <f>'Source Table'!$G$8</f>
        <v>أنثى</v>
      </c>
      <c r="J1230" t="str">
        <f t="shared" si="38"/>
        <v>2016/2015</v>
      </c>
      <c r="K1230" t="str">
        <f t="shared" si="39"/>
        <v>2016/2015</v>
      </c>
      <c r="L1230" s="36">
        <v>8014</v>
      </c>
      <c r="M1230" s="18">
        <v>2015</v>
      </c>
    </row>
    <row r="1231" ht="21.75" spans="1:13">
      <c r="A1231" s="18" t="s">
        <v>155</v>
      </c>
      <c r="B1231" s="18" t="s">
        <v>156</v>
      </c>
      <c r="C1231" s="18" t="s">
        <v>157</v>
      </c>
      <c r="D1231" s="18" t="s">
        <v>158</v>
      </c>
      <c r="E1231" s="18" t="s">
        <v>159</v>
      </c>
      <c r="F1231" s="19" t="s">
        <v>49</v>
      </c>
      <c r="G1231" s="20" t="s">
        <v>50</v>
      </c>
      <c r="H1231" t="str">
        <f>'Source Table'!$G$9</f>
        <v>Female</v>
      </c>
      <c r="I1231" t="str">
        <f>'Source Table'!$G$8</f>
        <v>أنثى</v>
      </c>
      <c r="J1231" t="str">
        <f t="shared" si="38"/>
        <v>2016/2015</v>
      </c>
      <c r="K1231" t="str">
        <f t="shared" si="39"/>
        <v>2016/2015</v>
      </c>
      <c r="L1231" s="36">
        <v>23688</v>
      </c>
      <c r="M1231" s="18">
        <v>2015</v>
      </c>
    </row>
    <row r="1232" ht="21.75" spans="1:13">
      <c r="A1232" s="18" t="s">
        <v>155</v>
      </c>
      <c r="B1232" s="18" t="s">
        <v>156</v>
      </c>
      <c r="C1232" s="18" t="s">
        <v>157</v>
      </c>
      <c r="D1232" s="18" t="s">
        <v>158</v>
      </c>
      <c r="E1232" s="18" t="s">
        <v>159</v>
      </c>
      <c r="F1232" s="19" t="s">
        <v>52</v>
      </c>
      <c r="G1232" s="20" t="s">
        <v>53</v>
      </c>
      <c r="H1232" t="str">
        <f>'Source Table'!$G$9</f>
        <v>Female</v>
      </c>
      <c r="I1232" t="str">
        <f>'Source Table'!$G$8</f>
        <v>أنثى</v>
      </c>
      <c r="J1232" t="str">
        <f t="shared" si="38"/>
        <v>2016/2015</v>
      </c>
      <c r="K1232" t="str">
        <f t="shared" si="39"/>
        <v>2016/2015</v>
      </c>
      <c r="L1232" s="36">
        <v>7988</v>
      </c>
      <c r="M1232" s="18">
        <v>2015</v>
      </c>
    </row>
    <row r="1233" ht="21.75" spans="1:13">
      <c r="A1233" s="18" t="s">
        <v>155</v>
      </c>
      <c r="B1233" s="18" t="s">
        <v>156</v>
      </c>
      <c r="C1233" s="18" t="s">
        <v>157</v>
      </c>
      <c r="D1233" s="18" t="s">
        <v>158</v>
      </c>
      <c r="E1233" s="18" t="s">
        <v>159</v>
      </c>
      <c r="F1233" s="19" t="s">
        <v>54</v>
      </c>
      <c r="G1233" s="20" t="s">
        <v>55</v>
      </c>
      <c r="H1233" t="str">
        <f>'Source Table'!$G$9</f>
        <v>Female</v>
      </c>
      <c r="I1233" t="str">
        <f>'Source Table'!$G$8</f>
        <v>أنثى</v>
      </c>
      <c r="J1233" t="str">
        <f t="shared" si="38"/>
        <v>2016/2015</v>
      </c>
      <c r="K1233" t="str">
        <f t="shared" si="39"/>
        <v>2016/2015</v>
      </c>
      <c r="L1233" s="36">
        <v>6864</v>
      </c>
      <c r="M1233" s="18">
        <v>2015</v>
      </c>
    </row>
    <row r="1234" ht="21.75" spans="1:13">
      <c r="A1234" s="18" t="s">
        <v>155</v>
      </c>
      <c r="B1234" s="18" t="s">
        <v>156</v>
      </c>
      <c r="C1234" s="18" t="s">
        <v>157</v>
      </c>
      <c r="D1234" s="18" t="s">
        <v>158</v>
      </c>
      <c r="E1234" s="18" t="s">
        <v>159</v>
      </c>
      <c r="F1234" s="19" t="s">
        <v>56</v>
      </c>
      <c r="G1234" s="20" t="s">
        <v>57</v>
      </c>
      <c r="H1234" t="str">
        <f>'Source Table'!$G$9</f>
        <v>Female</v>
      </c>
      <c r="I1234" t="str">
        <f>'Source Table'!$G$8</f>
        <v>أنثى</v>
      </c>
      <c r="J1234" t="str">
        <f t="shared" si="38"/>
        <v>2016/2015</v>
      </c>
      <c r="K1234" t="str">
        <f t="shared" si="39"/>
        <v>2016/2015</v>
      </c>
      <c r="L1234" s="36">
        <v>25518</v>
      </c>
      <c r="M1234" s="18">
        <v>2015</v>
      </c>
    </row>
    <row r="1235" ht="21.75" spans="1:13">
      <c r="A1235" s="18" t="s">
        <v>155</v>
      </c>
      <c r="B1235" s="18" t="s">
        <v>156</v>
      </c>
      <c r="C1235" s="18" t="s">
        <v>157</v>
      </c>
      <c r="D1235" s="18" t="s">
        <v>158</v>
      </c>
      <c r="E1235" s="18" t="s">
        <v>159</v>
      </c>
      <c r="F1235" s="19" t="s">
        <v>59</v>
      </c>
      <c r="G1235" s="20" t="s">
        <v>160</v>
      </c>
      <c r="H1235" t="str">
        <f>'Source Table'!$G$9</f>
        <v>Female</v>
      </c>
      <c r="I1235" t="str">
        <f>'Source Table'!$G$8</f>
        <v>أنثى</v>
      </c>
      <c r="J1235" t="str">
        <f t="shared" si="38"/>
        <v>2016/2015</v>
      </c>
      <c r="K1235" t="str">
        <f t="shared" si="39"/>
        <v>2016/2015</v>
      </c>
      <c r="L1235" s="36">
        <v>66429</v>
      </c>
      <c r="M1235" s="18">
        <v>2015</v>
      </c>
    </row>
    <row r="1236" ht="21.75" spans="1:13">
      <c r="A1236" s="18" t="s">
        <v>155</v>
      </c>
      <c r="B1236" s="18" t="s">
        <v>156</v>
      </c>
      <c r="C1236" s="18" t="s">
        <v>157</v>
      </c>
      <c r="D1236" s="18" t="s">
        <v>158</v>
      </c>
      <c r="E1236" s="18" t="s">
        <v>159</v>
      </c>
      <c r="F1236" s="19" t="s">
        <v>62</v>
      </c>
      <c r="G1236" s="20" t="s">
        <v>161</v>
      </c>
      <c r="H1236" t="str">
        <f>'Source Table'!$G$9</f>
        <v>Female</v>
      </c>
      <c r="I1236" t="str">
        <f>'Source Table'!$G$8</f>
        <v>أنثى</v>
      </c>
      <c r="J1236" t="str">
        <f t="shared" si="38"/>
        <v>2016/2015</v>
      </c>
      <c r="K1236" t="str">
        <f t="shared" si="39"/>
        <v>2016/2015</v>
      </c>
      <c r="L1236" s="36">
        <v>20603</v>
      </c>
      <c r="M1236" s="18">
        <v>2015</v>
      </c>
    </row>
    <row r="1237" ht="21.75" spans="1:13">
      <c r="A1237" s="18" t="s">
        <v>155</v>
      </c>
      <c r="B1237" s="18" t="s">
        <v>156</v>
      </c>
      <c r="C1237" s="18" t="s">
        <v>157</v>
      </c>
      <c r="D1237" s="18" t="s">
        <v>158</v>
      </c>
      <c r="E1237" s="18" t="s">
        <v>159</v>
      </c>
      <c r="F1237" s="19" t="s">
        <v>64</v>
      </c>
      <c r="G1237" s="20" t="s">
        <v>65</v>
      </c>
      <c r="H1237" t="str">
        <f>'Source Table'!$G$9</f>
        <v>Female</v>
      </c>
      <c r="I1237" t="str">
        <f>'Source Table'!$G$8</f>
        <v>أنثى</v>
      </c>
      <c r="J1237" t="str">
        <f t="shared" si="38"/>
        <v>2016/2015</v>
      </c>
      <c r="K1237" t="str">
        <f t="shared" si="39"/>
        <v>2016/2015</v>
      </c>
      <c r="L1237" s="36">
        <v>48549</v>
      </c>
      <c r="M1237" s="18">
        <v>2015</v>
      </c>
    </row>
    <row r="1238" ht="21.75" spans="1:13">
      <c r="A1238" s="18" t="s">
        <v>155</v>
      </c>
      <c r="B1238" s="18" t="s">
        <v>156</v>
      </c>
      <c r="C1238" s="18" t="s">
        <v>157</v>
      </c>
      <c r="D1238" s="18" t="s">
        <v>158</v>
      </c>
      <c r="E1238" s="18" t="s">
        <v>159</v>
      </c>
      <c r="F1238" s="19" t="s">
        <v>68</v>
      </c>
      <c r="G1238" s="20" t="s">
        <v>69</v>
      </c>
      <c r="H1238" t="str">
        <f>'Source Table'!$G$9</f>
        <v>Female</v>
      </c>
      <c r="I1238" t="str">
        <f>'Source Table'!$G$8</f>
        <v>أنثى</v>
      </c>
      <c r="J1238" t="str">
        <f t="shared" si="38"/>
        <v>2016/2015</v>
      </c>
      <c r="K1238" t="str">
        <f t="shared" si="39"/>
        <v>2016/2015</v>
      </c>
      <c r="L1238" s="36">
        <v>19286</v>
      </c>
      <c r="M1238" s="18">
        <v>2015</v>
      </c>
    </row>
    <row r="1239" ht="21.75" spans="1:13">
      <c r="A1239" s="18" t="s">
        <v>155</v>
      </c>
      <c r="B1239" s="18" t="s">
        <v>156</v>
      </c>
      <c r="C1239" s="18" t="s">
        <v>157</v>
      </c>
      <c r="D1239" s="18" t="s">
        <v>158</v>
      </c>
      <c r="E1239" s="18" t="s">
        <v>159</v>
      </c>
      <c r="F1239" s="19" t="s">
        <v>70</v>
      </c>
      <c r="G1239" s="20" t="s">
        <v>71</v>
      </c>
      <c r="H1239" t="str">
        <f>'Source Table'!$G$9</f>
        <v>Female</v>
      </c>
      <c r="I1239" t="str">
        <f>'Source Table'!$G$8</f>
        <v>أنثى</v>
      </c>
      <c r="J1239" t="str">
        <f t="shared" si="38"/>
        <v>2016/2015</v>
      </c>
      <c r="K1239" t="str">
        <f t="shared" si="39"/>
        <v>2016/2015</v>
      </c>
      <c r="L1239" s="36">
        <v>4755</v>
      </c>
      <c r="M1239" s="18">
        <v>2015</v>
      </c>
    </row>
    <row r="1240" ht="21.75" spans="1:13">
      <c r="A1240" s="18" t="s">
        <v>155</v>
      </c>
      <c r="B1240" s="18" t="s">
        <v>156</v>
      </c>
      <c r="C1240" s="18" t="s">
        <v>157</v>
      </c>
      <c r="D1240" s="18" t="s">
        <v>158</v>
      </c>
      <c r="E1240" s="18" t="s">
        <v>159</v>
      </c>
      <c r="F1240" s="19" t="s">
        <v>74</v>
      </c>
      <c r="G1240" s="20" t="s">
        <v>75</v>
      </c>
      <c r="H1240" t="str">
        <f>'Source Table'!$G$9</f>
        <v>Female</v>
      </c>
      <c r="I1240" t="str">
        <f>'Source Table'!$G$8</f>
        <v>أنثى</v>
      </c>
      <c r="J1240" t="str">
        <f t="shared" si="38"/>
        <v>2016/2015</v>
      </c>
      <c r="K1240" t="str">
        <f t="shared" si="39"/>
        <v>2016/2015</v>
      </c>
      <c r="L1240" s="36">
        <v>65702</v>
      </c>
      <c r="M1240" s="18">
        <v>2015</v>
      </c>
    </row>
    <row r="1241" ht="21.75" spans="1:13">
      <c r="A1241" s="18" t="s">
        <v>155</v>
      </c>
      <c r="B1241" s="18" t="s">
        <v>156</v>
      </c>
      <c r="C1241" s="18" t="s">
        <v>157</v>
      </c>
      <c r="D1241" s="18" t="s">
        <v>158</v>
      </c>
      <c r="E1241" s="18" t="s">
        <v>159</v>
      </c>
      <c r="F1241" s="19" t="s">
        <v>76</v>
      </c>
      <c r="G1241" s="20" t="s">
        <v>77</v>
      </c>
      <c r="H1241" t="str">
        <f>'Source Table'!$G$9</f>
        <v>Female</v>
      </c>
      <c r="I1241" t="str">
        <f>'Source Table'!$G$8</f>
        <v>أنثى</v>
      </c>
      <c r="J1241" t="str">
        <f t="shared" si="38"/>
        <v>2016/2015</v>
      </c>
      <c r="K1241" t="str">
        <f t="shared" si="39"/>
        <v>2016/2015</v>
      </c>
      <c r="L1241" s="36">
        <v>22180</v>
      </c>
      <c r="M1241" s="18">
        <v>2015</v>
      </c>
    </row>
    <row r="1242" ht="21.75" spans="1:13">
      <c r="A1242" s="18" t="s">
        <v>155</v>
      </c>
      <c r="B1242" s="18" t="s">
        <v>156</v>
      </c>
      <c r="C1242" s="18" t="s">
        <v>157</v>
      </c>
      <c r="D1242" s="18" t="s">
        <v>158</v>
      </c>
      <c r="E1242" s="18" t="s">
        <v>159</v>
      </c>
      <c r="F1242" s="19" t="s">
        <v>78</v>
      </c>
      <c r="G1242" s="20" t="s">
        <v>79</v>
      </c>
      <c r="H1242" t="str">
        <f>'Source Table'!$G$9</f>
        <v>Female</v>
      </c>
      <c r="I1242" t="str">
        <f>'Source Table'!$G$8</f>
        <v>أنثى</v>
      </c>
      <c r="J1242" t="str">
        <f t="shared" si="38"/>
        <v>2016/2015</v>
      </c>
      <c r="K1242" t="str">
        <f t="shared" si="39"/>
        <v>2016/2015</v>
      </c>
      <c r="L1242" s="36">
        <v>7748</v>
      </c>
      <c r="M1242" s="18">
        <v>2015</v>
      </c>
    </row>
    <row r="1243" ht="21.75" spans="1:13">
      <c r="A1243" s="18" t="s">
        <v>155</v>
      </c>
      <c r="B1243" s="18" t="s">
        <v>156</v>
      </c>
      <c r="C1243" s="18" t="s">
        <v>157</v>
      </c>
      <c r="D1243" s="18" t="s">
        <v>158</v>
      </c>
      <c r="E1243" s="18" t="s">
        <v>159</v>
      </c>
      <c r="F1243" s="19" t="s">
        <v>80</v>
      </c>
      <c r="G1243" s="20" t="s">
        <v>81</v>
      </c>
      <c r="H1243" t="str">
        <f>'Source Table'!$G$9</f>
        <v>Female</v>
      </c>
      <c r="I1243" t="str">
        <f>'Source Table'!$G$8</f>
        <v>أنثى</v>
      </c>
      <c r="J1243" t="str">
        <f t="shared" si="38"/>
        <v>2016/2015</v>
      </c>
      <c r="K1243" t="str">
        <f t="shared" si="39"/>
        <v>2016/2015</v>
      </c>
      <c r="L1243" s="36">
        <v>9173</v>
      </c>
      <c r="M1243" s="18">
        <v>2015</v>
      </c>
    </row>
    <row r="1244" ht="21.75" spans="1:13">
      <c r="A1244" s="18" t="s">
        <v>155</v>
      </c>
      <c r="B1244" s="18" t="s">
        <v>156</v>
      </c>
      <c r="C1244" s="18" t="s">
        <v>157</v>
      </c>
      <c r="D1244" s="18" t="s">
        <v>158</v>
      </c>
      <c r="E1244" s="18" t="s">
        <v>159</v>
      </c>
      <c r="F1244" s="19" t="s">
        <v>82</v>
      </c>
      <c r="G1244" s="20" t="s">
        <v>83</v>
      </c>
      <c r="H1244" t="str">
        <f>'Source Table'!$G$9</f>
        <v>Female</v>
      </c>
      <c r="I1244" t="str">
        <f>'Source Table'!$G$8</f>
        <v>أنثى</v>
      </c>
      <c r="J1244" t="str">
        <f t="shared" si="38"/>
        <v>2016/2015</v>
      </c>
      <c r="K1244" t="str">
        <f t="shared" si="39"/>
        <v>2016/2015</v>
      </c>
      <c r="L1244" s="36">
        <v>15561</v>
      </c>
      <c r="M1244" s="18">
        <v>2015</v>
      </c>
    </row>
    <row r="1245" ht="21.75" spans="1:13">
      <c r="A1245" s="18" t="s">
        <v>155</v>
      </c>
      <c r="B1245" s="18" t="s">
        <v>156</v>
      </c>
      <c r="C1245" s="18" t="s">
        <v>157</v>
      </c>
      <c r="D1245" s="18" t="s">
        <v>158</v>
      </c>
      <c r="E1245" s="18" t="s">
        <v>159</v>
      </c>
      <c r="F1245" s="19" t="s">
        <v>84</v>
      </c>
      <c r="G1245" s="20" t="s">
        <v>85</v>
      </c>
      <c r="H1245" t="str">
        <f>'Source Table'!$G$9</f>
        <v>Female</v>
      </c>
      <c r="I1245" t="str">
        <f>'Source Table'!$G$8</f>
        <v>أنثى</v>
      </c>
      <c r="J1245" t="str">
        <f t="shared" si="38"/>
        <v>2016/2015</v>
      </c>
      <c r="K1245" t="str">
        <f t="shared" si="39"/>
        <v>2016/2015</v>
      </c>
      <c r="L1245" s="36">
        <v>12604</v>
      </c>
      <c r="M1245" s="18">
        <v>2015</v>
      </c>
    </row>
    <row r="1246" ht="21.75" spans="1:13">
      <c r="A1246" s="18" t="s">
        <v>155</v>
      </c>
      <c r="B1246" s="18" t="s">
        <v>156</v>
      </c>
      <c r="C1246" s="18" t="s">
        <v>157</v>
      </c>
      <c r="D1246" s="18" t="s">
        <v>158</v>
      </c>
      <c r="E1246" s="18" t="s">
        <v>159</v>
      </c>
      <c r="F1246" s="19" t="s">
        <v>86</v>
      </c>
      <c r="G1246" s="20" t="s">
        <v>87</v>
      </c>
      <c r="H1246" t="str">
        <f>'Source Table'!$G$9</f>
        <v>Female</v>
      </c>
      <c r="I1246" t="str">
        <f>'Source Table'!$G$8</f>
        <v>أنثى</v>
      </c>
      <c r="J1246" t="str">
        <f t="shared" si="38"/>
        <v>2016/2015</v>
      </c>
      <c r="K1246" t="str">
        <f t="shared" si="39"/>
        <v>2016/2015</v>
      </c>
      <c r="L1246" s="36">
        <v>13569</v>
      </c>
      <c r="M1246" s="18">
        <v>2015</v>
      </c>
    </row>
    <row r="1247" ht="21.75" spans="1:13">
      <c r="A1247" s="18" t="s">
        <v>155</v>
      </c>
      <c r="B1247" s="18" t="s">
        <v>156</v>
      </c>
      <c r="C1247" s="18" t="s">
        <v>157</v>
      </c>
      <c r="D1247" s="18" t="s">
        <v>158</v>
      </c>
      <c r="E1247" s="18" t="s">
        <v>159</v>
      </c>
      <c r="F1247" s="19" t="s">
        <v>88</v>
      </c>
      <c r="G1247" s="20" t="s">
        <v>89</v>
      </c>
      <c r="H1247" t="str">
        <f>'Source Table'!$G$9</f>
        <v>Female</v>
      </c>
      <c r="I1247" t="str">
        <f>'Source Table'!$G$8</f>
        <v>أنثى</v>
      </c>
      <c r="J1247" t="str">
        <f t="shared" si="38"/>
        <v>2016/2015</v>
      </c>
      <c r="K1247" t="str">
        <f t="shared" si="39"/>
        <v>2016/2015</v>
      </c>
      <c r="L1247" s="36">
        <v>22907</v>
      </c>
      <c r="M1247" s="18">
        <v>2015</v>
      </c>
    </row>
    <row r="1248" ht="21.75" spans="1:13">
      <c r="A1248" s="18" t="s">
        <v>155</v>
      </c>
      <c r="B1248" s="18" t="s">
        <v>156</v>
      </c>
      <c r="C1248" s="18" t="s">
        <v>157</v>
      </c>
      <c r="D1248" s="18" t="s">
        <v>158</v>
      </c>
      <c r="E1248" s="18" t="s">
        <v>159</v>
      </c>
      <c r="F1248" s="19" t="s">
        <v>91</v>
      </c>
      <c r="G1248" s="20" t="s">
        <v>92</v>
      </c>
      <c r="H1248" t="str">
        <f>'Source Table'!$G$9</f>
        <v>Female</v>
      </c>
      <c r="I1248" t="str">
        <f>'Source Table'!$G$8</f>
        <v>أنثى</v>
      </c>
      <c r="J1248" t="str">
        <f t="shared" si="38"/>
        <v>2016/2015</v>
      </c>
      <c r="K1248" t="str">
        <f t="shared" si="39"/>
        <v>2016/2015</v>
      </c>
      <c r="L1248" s="36">
        <v>21490</v>
      </c>
      <c r="M1248" s="18">
        <v>2015</v>
      </c>
    </row>
    <row r="1249" ht="21.75" spans="1:13">
      <c r="A1249" s="18" t="s">
        <v>155</v>
      </c>
      <c r="B1249" s="18" t="s">
        <v>156</v>
      </c>
      <c r="C1249" s="18" t="s">
        <v>157</v>
      </c>
      <c r="D1249" s="18" t="s">
        <v>158</v>
      </c>
      <c r="E1249" s="18" t="s">
        <v>159</v>
      </c>
      <c r="F1249" s="19" t="s">
        <v>94</v>
      </c>
      <c r="G1249" s="20" t="s">
        <v>95</v>
      </c>
      <c r="H1249" t="str">
        <f>'Source Table'!$G$9</f>
        <v>Female</v>
      </c>
      <c r="I1249" t="str">
        <f>'Source Table'!$G$8</f>
        <v>أنثى</v>
      </c>
      <c r="J1249" t="str">
        <f t="shared" si="38"/>
        <v>2016/2015</v>
      </c>
      <c r="K1249" t="str">
        <f t="shared" si="39"/>
        <v>2016/2015</v>
      </c>
      <c r="L1249" s="36">
        <v>12982</v>
      </c>
      <c r="M1249" s="18">
        <v>2015</v>
      </c>
    </row>
    <row r="1250" ht="21.75" spans="1:13">
      <c r="A1250" s="18" t="s">
        <v>155</v>
      </c>
      <c r="B1250" s="18" t="s">
        <v>156</v>
      </c>
      <c r="C1250" s="18" t="s">
        <v>157</v>
      </c>
      <c r="D1250" s="18" t="s">
        <v>158</v>
      </c>
      <c r="E1250" s="18" t="s">
        <v>159</v>
      </c>
      <c r="F1250" s="19" t="s">
        <v>96</v>
      </c>
      <c r="G1250" s="20" t="s">
        <v>97</v>
      </c>
      <c r="H1250" t="str">
        <f>'Source Table'!$G$9</f>
        <v>Female</v>
      </c>
      <c r="I1250" t="str">
        <f>'Source Table'!$G$8</f>
        <v>أنثى</v>
      </c>
      <c r="J1250" t="str">
        <f t="shared" si="38"/>
        <v>2016/2015</v>
      </c>
      <c r="K1250" t="str">
        <f t="shared" si="39"/>
        <v>2016/2015</v>
      </c>
      <c r="L1250" s="36">
        <v>24021</v>
      </c>
      <c r="M1250" s="18">
        <v>2015</v>
      </c>
    </row>
    <row r="1251" ht="21.75" spans="1:13">
      <c r="A1251" s="18" t="s">
        <v>155</v>
      </c>
      <c r="B1251" s="18" t="s">
        <v>156</v>
      </c>
      <c r="C1251" s="18" t="s">
        <v>157</v>
      </c>
      <c r="D1251" s="18" t="s">
        <v>158</v>
      </c>
      <c r="E1251" s="18" t="s">
        <v>159</v>
      </c>
      <c r="F1251" s="19" t="s">
        <v>98</v>
      </c>
      <c r="G1251" s="20" t="s">
        <v>99</v>
      </c>
      <c r="H1251" t="str">
        <f>'Source Table'!$G$9</f>
        <v>Female</v>
      </c>
      <c r="I1251" t="str">
        <f>'Source Table'!$G$8</f>
        <v>أنثى</v>
      </c>
      <c r="J1251" t="str">
        <f t="shared" si="38"/>
        <v>2016/2015</v>
      </c>
      <c r="K1251" t="str">
        <f t="shared" si="39"/>
        <v>2016/2015</v>
      </c>
      <c r="L1251" s="37">
        <v>28819</v>
      </c>
      <c r="M1251" s="18">
        <v>2015</v>
      </c>
    </row>
    <row r="1252" ht="21.75" spans="1:13">
      <c r="A1252" s="18" t="s">
        <v>155</v>
      </c>
      <c r="B1252" s="18" t="s">
        <v>156</v>
      </c>
      <c r="C1252" s="18" t="s">
        <v>157</v>
      </c>
      <c r="D1252" s="18" t="s">
        <v>158</v>
      </c>
      <c r="E1252" s="18" t="s">
        <v>159</v>
      </c>
      <c r="F1252" s="19" t="s">
        <v>100</v>
      </c>
      <c r="G1252" s="20" t="s">
        <v>101</v>
      </c>
      <c r="H1252" t="str">
        <f>'Source Table'!$G$9</f>
        <v>Female</v>
      </c>
      <c r="I1252" t="str">
        <f>'Source Table'!$G$8</f>
        <v>أنثى</v>
      </c>
      <c r="J1252" t="str">
        <f t="shared" si="38"/>
        <v>2016/2015</v>
      </c>
      <c r="K1252" t="str">
        <f t="shared" si="39"/>
        <v>2016/2015</v>
      </c>
      <c r="L1252" s="37">
        <v>20261</v>
      </c>
      <c r="M1252" s="18">
        <v>2015</v>
      </c>
    </row>
    <row r="1253" ht="21.75" spans="1:13">
      <c r="A1253" s="18" t="s">
        <v>155</v>
      </c>
      <c r="B1253" s="18" t="s">
        <v>156</v>
      </c>
      <c r="C1253" s="18" t="s">
        <v>157</v>
      </c>
      <c r="D1253" s="18" t="s">
        <v>158</v>
      </c>
      <c r="E1253" s="18" t="s">
        <v>159</v>
      </c>
      <c r="F1253" s="19" t="s">
        <v>103</v>
      </c>
      <c r="G1253" s="20" t="s">
        <v>104</v>
      </c>
      <c r="H1253" t="str">
        <f>'Source Table'!$G$9</f>
        <v>Female</v>
      </c>
      <c r="I1253" t="str">
        <f>'Source Table'!$G$8</f>
        <v>أنثى</v>
      </c>
      <c r="J1253" t="str">
        <f t="shared" si="38"/>
        <v>2016/2015</v>
      </c>
      <c r="K1253" t="str">
        <f t="shared" si="39"/>
        <v>2016/2015</v>
      </c>
      <c r="L1253" s="36">
        <v>13659</v>
      </c>
      <c r="M1253" s="18">
        <v>2015</v>
      </c>
    </row>
    <row r="1254" ht="21.75" spans="1:13">
      <c r="A1254" s="18" t="s">
        <v>155</v>
      </c>
      <c r="B1254" s="18" t="s">
        <v>156</v>
      </c>
      <c r="C1254" s="18" t="s">
        <v>157</v>
      </c>
      <c r="D1254" s="18" t="s">
        <v>158</v>
      </c>
      <c r="E1254" s="18" t="s">
        <v>159</v>
      </c>
      <c r="F1254" s="19" t="s">
        <v>106</v>
      </c>
      <c r="G1254" s="20" t="s">
        <v>107</v>
      </c>
      <c r="H1254" t="str">
        <f>'Source Table'!$G$9</f>
        <v>Female</v>
      </c>
      <c r="I1254" t="str">
        <f>'Source Table'!$G$8</f>
        <v>أنثى</v>
      </c>
      <c r="J1254" t="str">
        <f t="shared" si="38"/>
        <v>2016/2015</v>
      </c>
      <c r="K1254" t="str">
        <f t="shared" si="39"/>
        <v>2016/2015</v>
      </c>
      <c r="L1254" s="36">
        <v>10226</v>
      </c>
      <c r="M1254" s="18">
        <v>2015</v>
      </c>
    </row>
    <row r="1255" ht="21.75" spans="1:13">
      <c r="A1255" s="18" t="s">
        <v>155</v>
      </c>
      <c r="B1255" s="18" t="s">
        <v>156</v>
      </c>
      <c r="C1255" s="18" t="s">
        <v>157</v>
      </c>
      <c r="D1255" s="18" t="s">
        <v>158</v>
      </c>
      <c r="E1255" s="18" t="s">
        <v>159</v>
      </c>
      <c r="F1255" s="19" t="s">
        <v>108</v>
      </c>
      <c r="G1255" s="20" t="s">
        <v>109</v>
      </c>
      <c r="H1255" t="str">
        <f>'Source Table'!$G$9</f>
        <v>Female</v>
      </c>
      <c r="I1255" t="str">
        <f>'Source Table'!$G$8</f>
        <v>أنثى</v>
      </c>
      <c r="J1255" t="str">
        <f t="shared" si="38"/>
        <v>2016/2015</v>
      </c>
      <c r="K1255" t="str">
        <f t="shared" si="39"/>
        <v>2016/2015</v>
      </c>
      <c r="L1255" s="36">
        <v>5727</v>
      </c>
      <c r="M1255" s="18">
        <v>2015</v>
      </c>
    </row>
    <row r="1256" ht="21.75" spans="1:13">
      <c r="A1256" s="18" t="s">
        <v>155</v>
      </c>
      <c r="B1256" s="18" t="s">
        <v>156</v>
      </c>
      <c r="C1256" s="18" t="s">
        <v>157</v>
      </c>
      <c r="D1256" s="18" t="s">
        <v>158</v>
      </c>
      <c r="E1256" s="18" t="s">
        <v>159</v>
      </c>
      <c r="F1256" s="19" t="s">
        <v>110</v>
      </c>
      <c r="G1256" s="20" t="s">
        <v>111</v>
      </c>
      <c r="H1256" t="str">
        <f>'Source Table'!$G$9</f>
        <v>Female</v>
      </c>
      <c r="I1256" t="str">
        <f>'Source Table'!$G$8</f>
        <v>أنثى</v>
      </c>
      <c r="J1256" t="str">
        <f t="shared" si="38"/>
        <v>2016/2015</v>
      </c>
      <c r="K1256" t="str">
        <f t="shared" si="39"/>
        <v>2016/2015</v>
      </c>
      <c r="L1256" s="36">
        <v>7192</v>
      </c>
      <c r="M1256" s="18">
        <v>2015</v>
      </c>
    </row>
    <row r="1257" ht="21.75" spans="1:13">
      <c r="A1257" s="18" t="s">
        <v>155</v>
      </c>
      <c r="B1257" s="18" t="s">
        <v>156</v>
      </c>
      <c r="C1257" s="18" t="s">
        <v>157</v>
      </c>
      <c r="D1257" s="18" t="s">
        <v>158</v>
      </c>
      <c r="E1257" s="18" t="s">
        <v>159</v>
      </c>
      <c r="F1257" s="19" t="s">
        <v>113</v>
      </c>
      <c r="G1257" s="20" t="s">
        <v>114</v>
      </c>
      <c r="H1257" t="str">
        <f>'Source Table'!$G$9</f>
        <v>Female</v>
      </c>
      <c r="I1257" t="str">
        <f>'Source Table'!$G$8</f>
        <v>أنثى</v>
      </c>
      <c r="J1257" t="str">
        <f t="shared" si="38"/>
        <v>2016/2015</v>
      </c>
      <c r="K1257" t="str">
        <f t="shared" si="39"/>
        <v>2016/2015</v>
      </c>
      <c r="L1257" s="36">
        <v>9991</v>
      </c>
      <c r="M1257" s="18">
        <v>2015</v>
      </c>
    </row>
    <row r="1258" ht="21.75" spans="1:13">
      <c r="A1258" s="18" t="s">
        <v>155</v>
      </c>
      <c r="B1258" s="18" t="s">
        <v>156</v>
      </c>
      <c r="C1258" s="18" t="s">
        <v>157</v>
      </c>
      <c r="D1258" s="18" t="s">
        <v>158</v>
      </c>
      <c r="E1258" s="18" t="s">
        <v>159</v>
      </c>
      <c r="F1258" s="19" t="s">
        <v>115</v>
      </c>
      <c r="G1258" s="20" t="s">
        <v>116</v>
      </c>
      <c r="H1258" t="str">
        <f>'Source Table'!$G$9</f>
        <v>Female</v>
      </c>
      <c r="I1258" t="str">
        <f>'Source Table'!$G$8</f>
        <v>أنثى</v>
      </c>
      <c r="J1258" t="str">
        <f t="shared" si="38"/>
        <v>2016/2015</v>
      </c>
      <c r="K1258" t="str">
        <f t="shared" si="39"/>
        <v>2016/2015</v>
      </c>
      <c r="L1258" s="36">
        <v>3674</v>
      </c>
      <c r="M1258" s="18">
        <v>2015</v>
      </c>
    </row>
    <row r="1259" ht="21.75" spans="1:13">
      <c r="A1259" s="18" t="s">
        <v>155</v>
      </c>
      <c r="B1259" s="18" t="s">
        <v>156</v>
      </c>
      <c r="C1259" s="18" t="s">
        <v>157</v>
      </c>
      <c r="D1259" s="18" t="s">
        <v>158</v>
      </c>
      <c r="E1259" s="18" t="s">
        <v>159</v>
      </c>
      <c r="F1259" s="19" t="s">
        <v>118</v>
      </c>
      <c r="G1259" s="20" t="s">
        <v>119</v>
      </c>
      <c r="H1259" t="str">
        <f>'Source Table'!$G$9</f>
        <v>Female</v>
      </c>
      <c r="I1259" t="str">
        <f>'Source Table'!$G$8</f>
        <v>أنثى</v>
      </c>
      <c r="J1259" t="str">
        <f t="shared" si="38"/>
        <v>2016/2015</v>
      </c>
      <c r="K1259" t="str">
        <f t="shared" si="39"/>
        <v>2016/2015</v>
      </c>
      <c r="L1259" s="36">
        <v>5237</v>
      </c>
      <c r="M1259" s="18">
        <v>2015</v>
      </c>
    </row>
    <row r="1260" ht="21.75" spans="1:13">
      <c r="A1260" s="18" t="s">
        <v>155</v>
      </c>
      <c r="B1260" s="18" t="s">
        <v>156</v>
      </c>
      <c r="C1260" s="18" t="s">
        <v>157</v>
      </c>
      <c r="D1260" s="18" t="s">
        <v>158</v>
      </c>
      <c r="E1260" s="18" t="s">
        <v>159</v>
      </c>
      <c r="F1260" s="19" t="s">
        <v>120</v>
      </c>
      <c r="G1260" s="20" t="s">
        <v>121</v>
      </c>
      <c r="H1260" t="str">
        <f>'Source Table'!$G$9</f>
        <v>Female</v>
      </c>
      <c r="I1260" t="str">
        <f>'Source Table'!$G$8</f>
        <v>أنثى</v>
      </c>
      <c r="J1260" t="str">
        <f t="shared" si="38"/>
        <v>2016/2015</v>
      </c>
      <c r="K1260" t="str">
        <f t="shared" si="39"/>
        <v>2016/2015</v>
      </c>
      <c r="L1260" s="36">
        <v>6717</v>
      </c>
      <c r="M1260" s="18">
        <v>2015</v>
      </c>
    </row>
    <row r="1261" ht="21.75" spans="1:13">
      <c r="A1261" s="18" t="s">
        <v>155</v>
      </c>
      <c r="B1261" s="18" t="s">
        <v>156</v>
      </c>
      <c r="C1261" s="18" t="s">
        <v>157</v>
      </c>
      <c r="D1261" s="18" t="s">
        <v>158</v>
      </c>
      <c r="E1261" s="18" t="s">
        <v>159</v>
      </c>
      <c r="F1261" s="19" t="s">
        <v>122</v>
      </c>
      <c r="G1261" s="20" t="s">
        <v>123</v>
      </c>
      <c r="H1261" t="str">
        <f>'Source Table'!$G$9</f>
        <v>Female</v>
      </c>
      <c r="I1261" t="str">
        <f>'Source Table'!$G$8</f>
        <v>أنثى</v>
      </c>
      <c r="J1261" t="str">
        <f t="shared" si="38"/>
        <v>2016/2015</v>
      </c>
      <c r="K1261" t="str">
        <f t="shared" si="39"/>
        <v>2016/2015</v>
      </c>
      <c r="L1261" s="36">
        <v>4497</v>
      </c>
      <c r="M1261" s="18">
        <v>2015</v>
      </c>
    </row>
    <row r="1262" ht="21.75" spans="1:13">
      <c r="A1262" s="18" t="s">
        <v>155</v>
      </c>
      <c r="B1262" s="18" t="s">
        <v>156</v>
      </c>
      <c r="C1262" s="18" t="s">
        <v>157</v>
      </c>
      <c r="D1262" s="18" t="s">
        <v>158</v>
      </c>
      <c r="E1262" s="18" t="s">
        <v>159</v>
      </c>
      <c r="F1262" s="19" t="s">
        <v>124</v>
      </c>
      <c r="G1262" s="20" t="s">
        <v>125</v>
      </c>
      <c r="H1262" t="str">
        <f>'Source Table'!$G$9</f>
        <v>Female</v>
      </c>
      <c r="I1262" t="str">
        <f>'Source Table'!$G$8</f>
        <v>أنثى</v>
      </c>
      <c r="J1262" t="str">
        <f t="shared" si="38"/>
        <v>2016/2015</v>
      </c>
      <c r="K1262" t="str">
        <f t="shared" si="39"/>
        <v>2016/2015</v>
      </c>
      <c r="L1262" s="36">
        <v>1688</v>
      </c>
      <c r="M1262" s="18">
        <v>2015</v>
      </c>
    </row>
    <row r="1263" ht="21.75" spans="1:13">
      <c r="A1263" s="18" t="s">
        <v>155</v>
      </c>
      <c r="B1263" s="18" t="s">
        <v>156</v>
      </c>
      <c r="C1263" s="18" t="s">
        <v>157</v>
      </c>
      <c r="D1263" s="18" t="s">
        <v>158</v>
      </c>
      <c r="E1263" s="18" t="s">
        <v>159</v>
      </c>
      <c r="F1263" s="19" t="s">
        <v>126</v>
      </c>
      <c r="G1263" s="20" t="s">
        <v>127</v>
      </c>
      <c r="H1263" t="str">
        <f>'Source Table'!$G$9</f>
        <v>Female</v>
      </c>
      <c r="I1263" t="str">
        <f>'Source Table'!$G$8</f>
        <v>أنثى</v>
      </c>
      <c r="J1263" t="str">
        <f t="shared" si="38"/>
        <v>2016/2015</v>
      </c>
      <c r="K1263" t="str">
        <f t="shared" si="39"/>
        <v>2016/2015</v>
      </c>
      <c r="L1263" s="37">
        <v>21473</v>
      </c>
      <c r="M1263" s="18">
        <v>2015</v>
      </c>
    </row>
    <row r="1264" ht="21.75" spans="1:13">
      <c r="A1264" s="18" t="s">
        <v>155</v>
      </c>
      <c r="B1264" s="18" t="s">
        <v>156</v>
      </c>
      <c r="C1264" s="18" t="s">
        <v>162</v>
      </c>
      <c r="D1264" s="18" t="s">
        <v>158</v>
      </c>
      <c r="E1264" s="18" t="s">
        <v>159</v>
      </c>
      <c r="F1264" s="19" t="s">
        <v>29</v>
      </c>
      <c r="G1264" s="20" t="s">
        <v>30</v>
      </c>
      <c r="H1264" t="str">
        <f>'Source Table'!$H$9</f>
        <v>Male</v>
      </c>
      <c r="I1264" t="str">
        <f>'Source Table'!$H$8</f>
        <v>ذكر</v>
      </c>
      <c r="J1264" t="str">
        <f t="shared" si="38"/>
        <v>2016/2015</v>
      </c>
      <c r="K1264" t="str">
        <f t="shared" si="39"/>
        <v>2016/2015</v>
      </c>
      <c r="L1264" s="36">
        <v>504</v>
      </c>
      <c r="M1264" s="18">
        <v>2015</v>
      </c>
    </row>
    <row r="1265" ht="21.75" spans="1:13">
      <c r="A1265" s="18" t="s">
        <v>155</v>
      </c>
      <c r="B1265" s="18" t="s">
        <v>156</v>
      </c>
      <c r="C1265" s="18" t="s">
        <v>162</v>
      </c>
      <c r="D1265" s="18" t="s">
        <v>158</v>
      </c>
      <c r="E1265" s="18" t="s">
        <v>159</v>
      </c>
      <c r="F1265" s="19" t="s">
        <v>32</v>
      </c>
      <c r="G1265" s="20" t="s">
        <v>33</v>
      </c>
      <c r="H1265" t="str">
        <f>'Source Table'!$H$9</f>
        <v>Male</v>
      </c>
      <c r="I1265" t="str">
        <f>'Source Table'!$H$8</f>
        <v>ذكر</v>
      </c>
      <c r="J1265" t="str">
        <f t="shared" si="38"/>
        <v>2016/2015</v>
      </c>
      <c r="K1265" t="str">
        <f t="shared" si="39"/>
        <v>2016/2015</v>
      </c>
      <c r="L1265" s="36">
        <v>419</v>
      </c>
      <c r="M1265" s="18">
        <v>2015</v>
      </c>
    </row>
    <row r="1266" ht="21.75" spans="1:13">
      <c r="A1266" s="18" t="s">
        <v>155</v>
      </c>
      <c r="B1266" s="18" t="s">
        <v>156</v>
      </c>
      <c r="C1266" s="18" t="s">
        <v>162</v>
      </c>
      <c r="D1266" s="18" t="s">
        <v>158</v>
      </c>
      <c r="E1266" s="18" t="s">
        <v>159</v>
      </c>
      <c r="F1266" s="19" t="s">
        <v>34</v>
      </c>
      <c r="G1266" s="20" t="s">
        <v>35</v>
      </c>
      <c r="H1266" t="str">
        <f>'Source Table'!$H$9</f>
        <v>Male</v>
      </c>
      <c r="I1266" t="str">
        <f>'Source Table'!$H$8</f>
        <v>ذكر</v>
      </c>
      <c r="J1266" t="str">
        <f t="shared" si="38"/>
        <v>2016/2015</v>
      </c>
      <c r="K1266" t="str">
        <f t="shared" si="39"/>
        <v>2016/2015</v>
      </c>
      <c r="L1266" s="36">
        <v>78</v>
      </c>
      <c r="M1266" s="18">
        <v>2015</v>
      </c>
    </row>
    <row r="1267" ht="21.75" spans="1:13">
      <c r="A1267" s="18" t="s">
        <v>155</v>
      </c>
      <c r="B1267" s="18" t="s">
        <v>156</v>
      </c>
      <c r="C1267" s="18" t="s">
        <v>162</v>
      </c>
      <c r="D1267" s="18" t="s">
        <v>158</v>
      </c>
      <c r="E1267" s="18" t="s">
        <v>159</v>
      </c>
      <c r="F1267" s="19" t="s">
        <v>36</v>
      </c>
      <c r="G1267" s="20" t="s">
        <v>37</v>
      </c>
      <c r="H1267" t="str">
        <f>'Source Table'!$H$9</f>
        <v>Male</v>
      </c>
      <c r="I1267" t="str">
        <f>'Source Table'!$H$8</f>
        <v>ذكر</v>
      </c>
      <c r="J1267" t="str">
        <f t="shared" si="38"/>
        <v>2016/2015</v>
      </c>
      <c r="K1267" t="str">
        <f t="shared" si="39"/>
        <v>2016/2015</v>
      </c>
      <c r="L1267" s="36">
        <v>311</v>
      </c>
      <c r="M1267" s="18">
        <v>2015</v>
      </c>
    </row>
    <row r="1268" ht="21.75" spans="1:13">
      <c r="A1268" s="18" t="s">
        <v>155</v>
      </c>
      <c r="B1268" s="18" t="s">
        <v>156</v>
      </c>
      <c r="C1268" s="18" t="s">
        <v>162</v>
      </c>
      <c r="D1268" s="18" t="s">
        <v>158</v>
      </c>
      <c r="E1268" s="18" t="s">
        <v>159</v>
      </c>
      <c r="F1268" s="19" t="s">
        <v>38</v>
      </c>
      <c r="G1268" s="20" t="s">
        <v>39</v>
      </c>
      <c r="H1268" t="str">
        <f>'Source Table'!$H$9</f>
        <v>Male</v>
      </c>
      <c r="I1268" t="str">
        <f>'Source Table'!$H$8</f>
        <v>ذكر</v>
      </c>
      <c r="J1268" t="str">
        <f t="shared" si="38"/>
        <v>2016/2015</v>
      </c>
      <c r="K1268" t="str">
        <f t="shared" si="39"/>
        <v>2016/2015</v>
      </c>
      <c r="L1268" s="36">
        <v>468</v>
      </c>
      <c r="M1268" s="18">
        <v>2015</v>
      </c>
    </row>
    <row r="1269" ht="21.75" spans="1:13">
      <c r="A1269" s="18" t="s">
        <v>155</v>
      </c>
      <c r="B1269" s="18" t="s">
        <v>156</v>
      </c>
      <c r="C1269" s="18" t="s">
        <v>162</v>
      </c>
      <c r="D1269" s="18" t="s">
        <v>158</v>
      </c>
      <c r="E1269" s="18" t="s">
        <v>159</v>
      </c>
      <c r="F1269" s="19" t="s">
        <v>40</v>
      </c>
      <c r="G1269" s="20" t="s">
        <v>41</v>
      </c>
      <c r="H1269" t="str">
        <f>'Source Table'!$H$9</f>
        <v>Male</v>
      </c>
      <c r="I1269" t="str">
        <f>'Source Table'!$H$8</f>
        <v>ذكر</v>
      </c>
      <c r="J1269" t="str">
        <f t="shared" si="38"/>
        <v>2016/2015</v>
      </c>
      <c r="K1269" t="str">
        <f t="shared" si="39"/>
        <v>2016/2015</v>
      </c>
      <c r="L1269" s="36">
        <v>220</v>
      </c>
      <c r="M1269" s="18">
        <v>2015</v>
      </c>
    </row>
    <row r="1270" ht="21.75" spans="1:13">
      <c r="A1270" s="18" t="s">
        <v>155</v>
      </c>
      <c r="B1270" s="18" t="s">
        <v>156</v>
      </c>
      <c r="C1270" s="18" t="s">
        <v>162</v>
      </c>
      <c r="D1270" s="18" t="s">
        <v>158</v>
      </c>
      <c r="E1270" s="18" t="s">
        <v>159</v>
      </c>
      <c r="F1270" s="19" t="s">
        <v>42</v>
      </c>
      <c r="G1270" s="20" t="s">
        <v>43</v>
      </c>
      <c r="H1270" t="str">
        <f>'Source Table'!$H$9</f>
        <v>Male</v>
      </c>
      <c r="I1270" t="str">
        <f>'Source Table'!$H$8</f>
        <v>ذكر</v>
      </c>
      <c r="J1270" t="str">
        <f t="shared" si="38"/>
        <v>2016/2015</v>
      </c>
      <c r="K1270" t="str">
        <f t="shared" si="39"/>
        <v>2016/2015</v>
      </c>
      <c r="L1270" s="36">
        <v>98</v>
      </c>
      <c r="M1270" s="18">
        <v>2015</v>
      </c>
    </row>
    <row r="1271" ht="21.75" spans="1:13">
      <c r="A1271" s="18" t="s">
        <v>155</v>
      </c>
      <c r="B1271" s="18" t="s">
        <v>156</v>
      </c>
      <c r="C1271" s="18" t="s">
        <v>162</v>
      </c>
      <c r="D1271" s="18" t="s">
        <v>158</v>
      </c>
      <c r="E1271" s="18" t="s">
        <v>159</v>
      </c>
      <c r="F1271" s="19" t="s">
        <v>44</v>
      </c>
      <c r="G1271" s="20" t="s">
        <v>45</v>
      </c>
      <c r="H1271" t="str">
        <f>'Source Table'!$H$9</f>
        <v>Male</v>
      </c>
      <c r="I1271" t="str">
        <f>'Source Table'!$H$8</f>
        <v>ذكر</v>
      </c>
      <c r="J1271" t="str">
        <f t="shared" si="38"/>
        <v>2016/2015</v>
      </c>
      <c r="K1271" t="str">
        <f t="shared" si="39"/>
        <v>2016/2015</v>
      </c>
      <c r="L1271" s="36">
        <v>67</v>
      </c>
      <c r="M1271" s="18">
        <v>2015</v>
      </c>
    </row>
    <row r="1272" ht="21.75" spans="1:13">
      <c r="A1272" s="18" t="s">
        <v>155</v>
      </c>
      <c r="B1272" s="18" t="s">
        <v>156</v>
      </c>
      <c r="C1272" s="18" t="s">
        <v>162</v>
      </c>
      <c r="D1272" s="18" t="s">
        <v>158</v>
      </c>
      <c r="E1272" s="18" t="s">
        <v>159</v>
      </c>
      <c r="F1272" s="19" t="s">
        <v>46</v>
      </c>
      <c r="G1272" s="20" t="s">
        <v>47</v>
      </c>
      <c r="H1272" t="str">
        <f>'Source Table'!$H$9</f>
        <v>Male</v>
      </c>
      <c r="I1272" t="str">
        <f>'Source Table'!$H$8</f>
        <v>ذكر</v>
      </c>
      <c r="J1272" t="str">
        <f t="shared" si="38"/>
        <v>2016/2015</v>
      </c>
      <c r="K1272" t="str">
        <f t="shared" si="39"/>
        <v>2016/2015</v>
      </c>
      <c r="L1272" s="36">
        <v>105</v>
      </c>
      <c r="M1272" s="18">
        <v>2015</v>
      </c>
    </row>
    <row r="1273" ht="21.75" spans="1:13">
      <c r="A1273" s="18" t="s">
        <v>155</v>
      </c>
      <c r="B1273" s="18" t="s">
        <v>156</v>
      </c>
      <c r="C1273" s="18" t="s">
        <v>162</v>
      </c>
      <c r="D1273" s="18" t="s">
        <v>158</v>
      </c>
      <c r="E1273" s="18" t="s">
        <v>159</v>
      </c>
      <c r="F1273" s="19" t="s">
        <v>49</v>
      </c>
      <c r="G1273" s="20" t="s">
        <v>50</v>
      </c>
      <c r="H1273" t="str">
        <f>'Source Table'!$H$9</f>
        <v>Male</v>
      </c>
      <c r="I1273" t="str">
        <f>'Source Table'!$H$8</f>
        <v>ذكر</v>
      </c>
      <c r="J1273" t="str">
        <f t="shared" si="38"/>
        <v>2016/2015</v>
      </c>
      <c r="K1273" t="str">
        <f t="shared" si="39"/>
        <v>2016/2015</v>
      </c>
      <c r="L1273" s="36">
        <v>226</v>
      </c>
      <c r="M1273" s="18">
        <v>2015</v>
      </c>
    </row>
    <row r="1274" ht="21.75" spans="1:13">
      <c r="A1274" s="18" t="s">
        <v>155</v>
      </c>
      <c r="B1274" s="18" t="s">
        <v>156</v>
      </c>
      <c r="C1274" s="18" t="s">
        <v>162</v>
      </c>
      <c r="D1274" s="18" t="s">
        <v>158</v>
      </c>
      <c r="E1274" s="18" t="s">
        <v>159</v>
      </c>
      <c r="F1274" s="19" t="s">
        <v>52</v>
      </c>
      <c r="G1274" s="20" t="s">
        <v>53</v>
      </c>
      <c r="H1274" t="str">
        <f>'Source Table'!$H$9</f>
        <v>Male</v>
      </c>
      <c r="I1274" t="str">
        <f>'Source Table'!$H$8</f>
        <v>ذكر</v>
      </c>
      <c r="J1274" t="str">
        <f t="shared" si="38"/>
        <v>2016/2015</v>
      </c>
      <c r="K1274" t="str">
        <f t="shared" si="39"/>
        <v>2016/2015</v>
      </c>
      <c r="L1274" s="36">
        <v>62</v>
      </c>
      <c r="M1274" s="18">
        <v>2015</v>
      </c>
    </row>
    <row r="1275" ht="21.75" spans="1:13">
      <c r="A1275" s="18" t="s">
        <v>155</v>
      </c>
      <c r="B1275" s="18" t="s">
        <v>156</v>
      </c>
      <c r="C1275" s="18" t="s">
        <v>162</v>
      </c>
      <c r="D1275" s="18" t="s">
        <v>158</v>
      </c>
      <c r="E1275" s="18" t="s">
        <v>159</v>
      </c>
      <c r="F1275" s="19" t="s">
        <v>54</v>
      </c>
      <c r="G1275" s="20" t="s">
        <v>55</v>
      </c>
      <c r="H1275" t="str">
        <f>'Source Table'!$H$9</f>
        <v>Male</v>
      </c>
      <c r="I1275" t="str">
        <f>'Source Table'!$H$8</f>
        <v>ذكر</v>
      </c>
      <c r="J1275" t="str">
        <f t="shared" si="38"/>
        <v>2016/2015</v>
      </c>
      <c r="K1275" t="str">
        <f t="shared" si="39"/>
        <v>2016/2015</v>
      </c>
      <c r="L1275" s="36">
        <v>50</v>
      </c>
      <c r="M1275" s="18">
        <v>2015</v>
      </c>
    </row>
    <row r="1276" ht="21.75" spans="1:13">
      <c r="A1276" s="18" t="s">
        <v>155</v>
      </c>
      <c r="B1276" s="18" t="s">
        <v>156</v>
      </c>
      <c r="C1276" s="18" t="s">
        <v>162</v>
      </c>
      <c r="D1276" s="18" t="s">
        <v>158</v>
      </c>
      <c r="E1276" s="18" t="s">
        <v>159</v>
      </c>
      <c r="F1276" s="19" t="s">
        <v>56</v>
      </c>
      <c r="G1276" s="20" t="s">
        <v>57</v>
      </c>
      <c r="H1276" t="str">
        <f>'Source Table'!$H$9</f>
        <v>Male</v>
      </c>
      <c r="I1276" t="str">
        <f>'Source Table'!$H$8</f>
        <v>ذكر</v>
      </c>
      <c r="J1276" t="str">
        <f t="shared" si="38"/>
        <v>2016/2015</v>
      </c>
      <c r="K1276" t="str">
        <f t="shared" si="39"/>
        <v>2016/2015</v>
      </c>
      <c r="L1276" s="36">
        <v>144</v>
      </c>
      <c r="M1276" s="18">
        <v>2015</v>
      </c>
    </row>
    <row r="1277" ht="21.75" spans="1:13">
      <c r="A1277" s="18" t="s">
        <v>155</v>
      </c>
      <c r="B1277" s="18" t="s">
        <v>156</v>
      </c>
      <c r="C1277" s="18" t="s">
        <v>162</v>
      </c>
      <c r="D1277" s="18" t="s">
        <v>158</v>
      </c>
      <c r="E1277" s="18" t="s">
        <v>159</v>
      </c>
      <c r="F1277" s="19" t="s">
        <v>59</v>
      </c>
      <c r="G1277" s="20" t="s">
        <v>160</v>
      </c>
      <c r="H1277" t="str">
        <f>'Source Table'!$H$9</f>
        <v>Male</v>
      </c>
      <c r="I1277" t="str">
        <f>'Source Table'!$H$8</f>
        <v>ذكر</v>
      </c>
      <c r="J1277" t="str">
        <f t="shared" si="38"/>
        <v>2016/2015</v>
      </c>
      <c r="K1277" t="str">
        <f t="shared" si="39"/>
        <v>2016/2015</v>
      </c>
      <c r="L1277" s="36">
        <v>378</v>
      </c>
      <c r="M1277" s="18">
        <v>2015</v>
      </c>
    </row>
    <row r="1278" ht="21.75" spans="1:13">
      <c r="A1278" s="18" t="s">
        <v>155</v>
      </c>
      <c r="B1278" s="18" t="s">
        <v>156</v>
      </c>
      <c r="C1278" s="18" t="s">
        <v>162</v>
      </c>
      <c r="D1278" s="18" t="s">
        <v>158</v>
      </c>
      <c r="E1278" s="18" t="s">
        <v>159</v>
      </c>
      <c r="F1278" s="19" t="s">
        <v>62</v>
      </c>
      <c r="G1278" s="20" t="s">
        <v>161</v>
      </c>
      <c r="H1278" t="str">
        <f>'Source Table'!$H$9</f>
        <v>Male</v>
      </c>
      <c r="I1278" t="str">
        <f>'Source Table'!$H$8</f>
        <v>ذكر</v>
      </c>
      <c r="J1278" t="str">
        <f t="shared" si="38"/>
        <v>2016/2015</v>
      </c>
      <c r="K1278" t="str">
        <f t="shared" si="39"/>
        <v>2016/2015</v>
      </c>
      <c r="L1278" s="36">
        <v>157</v>
      </c>
      <c r="M1278" s="18">
        <v>2015</v>
      </c>
    </row>
    <row r="1279" ht="21.75" spans="1:13">
      <c r="A1279" s="18" t="s">
        <v>155</v>
      </c>
      <c r="B1279" s="18" t="s">
        <v>156</v>
      </c>
      <c r="C1279" s="18" t="s">
        <v>162</v>
      </c>
      <c r="D1279" s="18" t="s">
        <v>158</v>
      </c>
      <c r="E1279" s="18" t="s">
        <v>159</v>
      </c>
      <c r="F1279" s="19" t="s">
        <v>64</v>
      </c>
      <c r="G1279" s="20" t="s">
        <v>65</v>
      </c>
      <c r="H1279" t="str">
        <f>'Source Table'!$H$9</f>
        <v>Male</v>
      </c>
      <c r="I1279" t="str">
        <f>'Source Table'!$H$8</f>
        <v>ذكر</v>
      </c>
      <c r="J1279" t="str">
        <f t="shared" si="38"/>
        <v>2016/2015</v>
      </c>
      <c r="K1279" t="str">
        <f t="shared" si="39"/>
        <v>2016/2015</v>
      </c>
      <c r="L1279" s="36">
        <v>223</v>
      </c>
      <c r="M1279" s="18">
        <v>2015</v>
      </c>
    </row>
    <row r="1280" ht="21.75" spans="1:13">
      <c r="A1280" s="18" t="s">
        <v>155</v>
      </c>
      <c r="B1280" s="18" t="s">
        <v>156</v>
      </c>
      <c r="C1280" s="18" t="s">
        <v>162</v>
      </c>
      <c r="D1280" s="18" t="s">
        <v>158</v>
      </c>
      <c r="E1280" s="18" t="s">
        <v>159</v>
      </c>
      <c r="F1280" s="19" t="s">
        <v>68</v>
      </c>
      <c r="G1280" s="20" t="s">
        <v>69</v>
      </c>
      <c r="H1280" t="str">
        <f>'Source Table'!$H$9</f>
        <v>Male</v>
      </c>
      <c r="I1280" t="str">
        <f>'Source Table'!$H$8</f>
        <v>ذكر</v>
      </c>
      <c r="J1280" t="str">
        <f t="shared" si="38"/>
        <v>2016/2015</v>
      </c>
      <c r="K1280" t="str">
        <f t="shared" si="39"/>
        <v>2016/2015</v>
      </c>
      <c r="L1280" s="36">
        <v>128</v>
      </c>
      <c r="M1280" s="18">
        <v>2015</v>
      </c>
    </row>
    <row r="1281" ht="21.75" spans="1:13">
      <c r="A1281" s="18" t="s">
        <v>155</v>
      </c>
      <c r="B1281" s="18" t="s">
        <v>156</v>
      </c>
      <c r="C1281" s="18" t="s">
        <v>162</v>
      </c>
      <c r="D1281" s="18" t="s">
        <v>158</v>
      </c>
      <c r="E1281" s="18" t="s">
        <v>159</v>
      </c>
      <c r="F1281" s="19" t="s">
        <v>70</v>
      </c>
      <c r="G1281" s="20" t="s">
        <v>71</v>
      </c>
      <c r="H1281" t="str">
        <f>'Source Table'!$H$9</f>
        <v>Male</v>
      </c>
      <c r="I1281" t="str">
        <f>'Source Table'!$H$8</f>
        <v>ذكر</v>
      </c>
      <c r="J1281" t="str">
        <f t="shared" si="38"/>
        <v>2016/2015</v>
      </c>
      <c r="K1281" t="str">
        <f t="shared" si="39"/>
        <v>2016/2015</v>
      </c>
      <c r="L1281" s="36">
        <v>69</v>
      </c>
      <c r="M1281" s="18">
        <v>2015</v>
      </c>
    </row>
    <row r="1282" ht="21.75" spans="1:13">
      <c r="A1282" s="18" t="s">
        <v>155</v>
      </c>
      <c r="B1282" s="18" t="s">
        <v>156</v>
      </c>
      <c r="C1282" s="18" t="s">
        <v>162</v>
      </c>
      <c r="D1282" s="18" t="s">
        <v>158</v>
      </c>
      <c r="E1282" s="18" t="s">
        <v>159</v>
      </c>
      <c r="F1282" s="19" t="s">
        <v>74</v>
      </c>
      <c r="G1282" s="20" t="s">
        <v>75</v>
      </c>
      <c r="H1282" t="str">
        <f>'Source Table'!$H$9</f>
        <v>Male</v>
      </c>
      <c r="I1282" t="str">
        <f>'Source Table'!$H$8</f>
        <v>ذكر</v>
      </c>
      <c r="J1282" t="str">
        <f t="shared" si="38"/>
        <v>2016/2015</v>
      </c>
      <c r="K1282" t="str">
        <f t="shared" si="39"/>
        <v>2016/2015</v>
      </c>
      <c r="L1282" s="36">
        <v>464</v>
      </c>
      <c r="M1282" s="18">
        <v>2015</v>
      </c>
    </row>
    <row r="1283" ht="21.75" spans="1:13">
      <c r="A1283" s="18" t="s">
        <v>155</v>
      </c>
      <c r="B1283" s="18" t="s">
        <v>156</v>
      </c>
      <c r="C1283" s="18" t="s">
        <v>162</v>
      </c>
      <c r="D1283" s="18" t="s">
        <v>158</v>
      </c>
      <c r="E1283" s="18" t="s">
        <v>159</v>
      </c>
      <c r="F1283" s="19" t="s">
        <v>76</v>
      </c>
      <c r="G1283" s="20" t="s">
        <v>77</v>
      </c>
      <c r="H1283" t="str">
        <f>'Source Table'!$H$9</f>
        <v>Male</v>
      </c>
      <c r="I1283" t="str">
        <f>'Source Table'!$H$8</f>
        <v>ذكر</v>
      </c>
      <c r="J1283" t="str">
        <f t="shared" si="38"/>
        <v>2016/2015</v>
      </c>
      <c r="K1283" t="str">
        <f t="shared" si="39"/>
        <v>2016/2015</v>
      </c>
      <c r="L1283" s="36">
        <v>181</v>
      </c>
      <c r="M1283" s="18">
        <v>2015</v>
      </c>
    </row>
    <row r="1284" ht="21.75" spans="1:13">
      <c r="A1284" s="18" t="s">
        <v>155</v>
      </c>
      <c r="B1284" s="18" t="s">
        <v>156</v>
      </c>
      <c r="C1284" s="18" t="s">
        <v>162</v>
      </c>
      <c r="D1284" s="18" t="s">
        <v>158</v>
      </c>
      <c r="E1284" s="18" t="s">
        <v>159</v>
      </c>
      <c r="F1284" s="19" t="s">
        <v>78</v>
      </c>
      <c r="G1284" s="20" t="s">
        <v>79</v>
      </c>
      <c r="H1284" t="str">
        <f>'Source Table'!$H$9</f>
        <v>Male</v>
      </c>
      <c r="I1284" t="str">
        <f>'Source Table'!$H$8</f>
        <v>ذكر</v>
      </c>
      <c r="J1284" t="str">
        <f t="shared" si="38"/>
        <v>2016/2015</v>
      </c>
      <c r="K1284" t="str">
        <f t="shared" si="39"/>
        <v>2016/2015</v>
      </c>
      <c r="L1284" s="36">
        <v>62</v>
      </c>
      <c r="M1284" s="18">
        <v>2015</v>
      </c>
    </row>
    <row r="1285" ht="21.75" spans="1:13">
      <c r="A1285" s="18" t="s">
        <v>155</v>
      </c>
      <c r="B1285" s="18" t="s">
        <v>156</v>
      </c>
      <c r="C1285" s="18" t="s">
        <v>162</v>
      </c>
      <c r="D1285" s="18" t="s">
        <v>158</v>
      </c>
      <c r="E1285" s="18" t="s">
        <v>159</v>
      </c>
      <c r="F1285" s="19" t="s">
        <v>80</v>
      </c>
      <c r="G1285" s="20" t="s">
        <v>81</v>
      </c>
      <c r="H1285" t="str">
        <f>'Source Table'!$H$9</f>
        <v>Male</v>
      </c>
      <c r="I1285" t="str">
        <f>'Source Table'!$H$8</f>
        <v>ذكر</v>
      </c>
      <c r="J1285" t="str">
        <f t="shared" ref="J1285:J1348" si="40">TEXT(M1285+1,"0")&amp;"/"&amp;TEXT(M1285,"0")</f>
        <v>2016/2015</v>
      </c>
      <c r="K1285" t="str">
        <f t="shared" ref="K1285:K1348" si="41">TEXT(M1285+1,"0")&amp;"/"&amp;TEXT(M1285,"0")</f>
        <v>2016/2015</v>
      </c>
      <c r="L1285" s="36">
        <v>75</v>
      </c>
      <c r="M1285" s="18">
        <v>2015</v>
      </c>
    </row>
    <row r="1286" ht="21.75" spans="1:13">
      <c r="A1286" s="18" t="s">
        <v>155</v>
      </c>
      <c r="B1286" s="18" t="s">
        <v>156</v>
      </c>
      <c r="C1286" s="18" t="s">
        <v>162</v>
      </c>
      <c r="D1286" s="18" t="s">
        <v>158</v>
      </c>
      <c r="E1286" s="18" t="s">
        <v>159</v>
      </c>
      <c r="F1286" s="19" t="s">
        <v>82</v>
      </c>
      <c r="G1286" s="20" t="s">
        <v>83</v>
      </c>
      <c r="H1286" t="str">
        <f>'Source Table'!$H$9</f>
        <v>Male</v>
      </c>
      <c r="I1286" t="str">
        <f>'Source Table'!$H$8</f>
        <v>ذكر</v>
      </c>
      <c r="J1286" t="str">
        <f t="shared" si="40"/>
        <v>2016/2015</v>
      </c>
      <c r="K1286" t="str">
        <f t="shared" si="41"/>
        <v>2016/2015</v>
      </c>
      <c r="L1286" s="36">
        <v>135</v>
      </c>
      <c r="M1286" s="18">
        <v>2015</v>
      </c>
    </row>
    <row r="1287" ht="21.75" spans="1:13">
      <c r="A1287" s="18" t="s">
        <v>155</v>
      </c>
      <c r="B1287" s="18" t="s">
        <v>156</v>
      </c>
      <c r="C1287" s="18" t="s">
        <v>162</v>
      </c>
      <c r="D1287" s="18" t="s">
        <v>158</v>
      </c>
      <c r="E1287" s="18" t="s">
        <v>159</v>
      </c>
      <c r="F1287" s="19" t="s">
        <v>84</v>
      </c>
      <c r="G1287" s="20" t="s">
        <v>85</v>
      </c>
      <c r="H1287" t="str">
        <f>'Source Table'!$H$9</f>
        <v>Male</v>
      </c>
      <c r="I1287" t="str">
        <f>'Source Table'!$H$8</f>
        <v>ذكر</v>
      </c>
      <c r="J1287" t="str">
        <f t="shared" si="40"/>
        <v>2016/2015</v>
      </c>
      <c r="K1287" t="str">
        <f t="shared" si="41"/>
        <v>2016/2015</v>
      </c>
      <c r="L1287" s="36">
        <v>118</v>
      </c>
      <c r="M1287" s="18">
        <v>2015</v>
      </c>
    </row>
    <row r="1288" ht="21.75" spans="1:13">
      <c r="A1288" s="18" t="s">
        <v>155</v>
      </c>
      <c r="B1288" s="18" t="s">
        <v>156</v>
      </c>
      <c r="C1288" s="18" t="s">
        <v>162</v>
      </c>
      <c r="D1288" s="18" t="s">
        <v>158</v>
      </c>
      <c r="E1288" s="18" t="s">
        <v>159</v>
      </c>
      <c r="F1288" s="19" t="s">
        <v>86</v>
      </c>
      <c r="G1288" s="20" t="s">
        <v>87</v>
      </c>
      <c r="H1288" t="str">
        <f>'Source Table'!$H$9</f>
        <v>Male</v>
      </c>
      <c r="I1288" t="str">
        <f>'Source Table'!$H$8</f>
        <v>ذكر</v>
      </c>
      <c r="J1288" t="str">
        <f t="shared" si="40"/>
        <v>2016/2015</v>
      </c>
      <c r="K1288" t="str">
        <f t="shared" si="41"/>
        <v>2016/2015</v>
      </c>
      <c r="L1288" s="36">
        <v>102</v>
      </c>
      <c r="M1288" s="18">
        <v>2015</v>
      </c>
    </row>
    <row r="1289" ht="21.75" spans="1:13">
      <c r="A1289" s="18" t="s">
        <v>155</v>
      </c>
      <c r="B1289" s="18" t="s">
        <v>156</v>
      </c>
      <c r="C1289" s="18" t="s">
        <v>162</v>
      </c>
      <c r="D1289" s="18" t="s">
        <v>158</v>
      </c>
      <c r="E1289" s="18" t="s">
        <v>159</v>
      </c>
      <c r="F1289" s="19" t="s">
        <v>88</v>
      </c>
      <c r="G1289" s="20" t="s">
        <v>89</v>
      </c>
      <c r="H1289" t="str">
        <f>'Source Table'!$H$9</f>
        <v>Male</v>
      </c>
      <c r="I1289" t="str">
        <f>'Source Table'!$H$8</f>
        <v>ذكر</v>
      </c>
      <c r="J1289" t="str">
        <f t="shared" si="40"/>
        <v>2016/2015</v>
      </c>
      <c r="K1289" t="str">
        <f t="shared" si="41"/>
        <v>2016/2015</v>
      </c>
      <c r="L1289" s="36">
        <v>149</v>
      </c>
      <c r="M1289" s="18">
        <v>2015</v>
      </c>
    </row>
    <row r="1290" ht="21.75" spans="1:13">
      <c r="A1290" s="18" t="s">
        <v>155</v>
      </c>
      <c r="B1290" s="18" t="s">
        <v>156</v>
      </c>
      <c r="C1290" s="18" t="s">
        <v>162</v>
      </c>
      <c r="D1290" s="18" t="s">
        <v>158</v>
      </c>
      <c r="E1290" s="18" t="s">
        <v>159</v>
      </c>
      <c r="F1290" s="19" t="s">
        <v>91</v>
      </c>
      <c r="G1290" s="20" t="s">
        <v>92</v>
      </c>
      <c r="H1290" t="str">
        <f>'Source Table'!$H$9</f>
        <v>Male</v>
      </c>
      <c r="I1290" t="str">
        <f>'Source Table'!$H$8</f>
        <v>ذكر</v>
      </c>
      <c r="J1290" t="str">
        <f t="shared" si="40"/>
        <v>2016/2015</v>
      </c>
      <c r="K1290" t="str">
        <f t="shared" si="41"/>
        <v>2016/2015</v>
      </c>
      <c r="L1290" s="36">
        <v>227</v>
      </c>
      <c r="M1290" s="18">
        <v>2015</v>
      </c>
    </row>
    <row r="1291" ht="21.75" spans="1:13">
      <c r="A1291" s="18" t="s">
        <v>155</v>
      </c>
      <c r="B1291" s="18" t="s">
        <v>156</v>
      </c>
      <c r="C1291" s="18" t="s">
        <v>162</v>
      </c>
      <c r="D1291" s="18" t="s">
        <v>158</v>
      </c>
      <c r="E1291" s="18" t="s">
        <v>159</v>
      </c>
      <c r="F1291" s="19" t="s">
        <v>94</v>
      </c>
      <c r="G1291" s="20" t="s">
        <v>95</v>
      </c>
      <c r="H1291" t="str">
        <f>'Source Table'!$H$9</f>
        <v>Male</v>
      </c>
      <c r="I1291" t="str">
        <f>'Source Table'!$H$8</f>
        <v>ذكر</v>
      </c>
      <c r="J1291" t="str">
        <f t="shared" si="40"/>
        <v>2016/2015</v>
      </c>
      <c r="K1291" t="str">
        <f t="shared" si="41"/>
        <v>2016/2015</v>
      </c>
      <c r="L1291" s="36">
        <v>170</v>
      </c>
      <c r="M1291" s="18">
        <v>2015</v>
      </c>
    </row>
    <row r="1292" ht="21.75" spans="1:13">
      <c r="A1292" s="18" t="s">
        <v>155</v>
      </c>
      <c r="B1292" s="18" t="s">
        <v>156</v>
      </c>
      <c r="C1292" s="18" t="s">
        <v>162</v>
      </c>
      <c r="D1292" s="18" t="s">
        <v>158</v>
      </c>
      <c r="E1292" s="18" t="s">
        <v>159</v>
      </c>
      <c r="F1292" s="19" t="s">
        <v>96</v>
      </c>
      <c r="G1292" s="20" t="s">
        <v>97</v>
      </c>
      <c r="H1292" t="str">
        <f>'Source Table'!$H$9</f>
        <v>Male</v>
      </c>
      <c r="I1292" t="str">
        <f>'Source Table'!$H$8</f>
        <v>ذكر</v>
      </c>
      <c r="J1292" t="str">
        <f t="shared" si="40"/>
        <v>2016/2015</v>
      </c>
      <c r="K1292" t="str">
        <f t="shared" si="41"/>
        <v>2016/2015</v>
      </c>
      <c r="L1292" s="36">
        <v>186</v>
      </c>
      <c r="M1292" s="18">
        <v>2015</v>
      </c>
    </row>
    <row r="1293" ht="21.75" spans="1:13">
      <c r="A1293" s="18" t="s">
        <v>155</v>
      </c>
      <c r="B1293" s="18" t="s">
        <v>156</v>
      </c>
      <c r="C1293" s="18" t="s">
        <v>162</v>
      </c>
      <c r="D1293" s="18" t="s">
        <v>158</v>
      </c>
      <c r="E1293" s="18" t="s">
        <v>159</v>
      </c>
      <c r="F1293" s="19" t="s">
        <v>98</v>
      </c>
      <c r="G1293" s="20" t="s">
        <v>99</v>
      </c>
      <c r="H1293" t="str">
        <f>'Source Table'!$H$9</f>
        <v>Male</v>
      </c>
      <c r="I1293" t="str">
        <f>'Source Table'!$H$8</f>
        <v>ذكر</v>
      </c>
      <c r="J1293" t="str">
        <f t="shared" si="40"/>
        <v>2016/2015</v>
      </c>
      <c r="K1293" t="str">
        <f t="shared" si="41"/>
        <v>2016/2015</v>
      </c>
      <c r="L1293" s="37">
        <v>273</v>
      </c>
      <c r="M1293" s="18">
        <v>2015</v>
      </c>
    </row>
    <row r="1294" ht="21.75" spans="1:13">
      <c r="A1294" s="18" t="s">
        <v>155</v>
      </c>
      <c r="B1294" s="18" t="s">
        <v>156</v>
      </c>
      <c r="C1294" s="18" t="s">
        <v>162</v>
      </c>
      <c r="D1294" s="18" t="s">
        <v>158</v>
      </c>
      <c r="E1294" s="18" t="s">
        <v>159</v>
      </c>
      <c r="F1294" s="19" t="s">
        <v>100</v>
      </c>
      <c r="G1294" s="20" t="s">
        <v>101</v>
      </c>
      <c r="H1294" t="str">
        <f>'Source Table'!$H$9</f>
        <v>Male</v>
      </c>
      <c r="I1294" t="str">
        <f>'Source Table'!$H$8</f>
        <v>ذكر</v>
      </c>
      <c r="J1294" t="str">
        <f t="shared" si="40"/>
        <v>2016/2015</v>
      </c>
      <c r="K1294" t="str">
        <f t="shared" si="41"/>
        <v>2016/2015</v>
      </c>
      <c r="L1294" s="37">
        <v>204</v>
      </c>
      <c r="M1294" s="18">
        <v>2015</v>
      </c>
    </row>
    <row r="1295" ht="21.75" spans="1:13">
      <c r="A1295" s="18" t="s">
        <v>155</v>
      </c>
      <c r="B1295" s="18" t="s">
        <v>156</v>
      </c>
      <c r="C1295" s="18" t="s">
        <v>162</v>
      </c>
      <c r="D1295" s="18" t="s">
        <v>158</v>
      </c>
      <c r="E1295" s="18" t="s">
        <v>159</v>
      </c>
      <c r="F1295" s="19" t="s">
        <v>103</v>
      </c>
      <c r="G1295" s="20" t="s">
        <v>104</v>
      </c>
      <c r="H1295" t="str">
        <f>'Source Table'!$H$9</f>
        <v>Male</v>
      </c>
      <c r="I1295" t="str">
        <f>'Source Table'!$H$8</f>
        <v>ذكر</v>
      </c>
      <c r="J1295" t="str">
        <f t="shared" si="40"/>
        <v>2016/2015</v>
      </c>
      <c r="K1295" t="str">
        <f t="shared" si="41"/>
        <v>2016/2015</v>
      </c>
      <c r="L1295" s="36">
        <v>152</v>
      </c>
      <c r="M1295" s="18">
        <v>2015</v>
      </c>
    </row>
    <row r="1296" ht="21.75" spans="1:13">
      <c r="A1296" s="18" t="s">
        <v>155</v>
      </c>
      <c r="B1296" s="18" t="s">
        <v>156</v>
      </c>
      <c r="C1296" s="18" t="s">
        <v>162</v>
      </c>
      <c r="D1296" s="18" t="s">
        <v>158</v>
      </c>
      <c r="E1296" s="18" t="s">
        <v>159</v>
      </c>
      <c r="F1296" s="19" t="s">
        <v>106</v>
      </c>
      <c r="G1296" s="20" t="s">
        <v>107</v>
      </c>
      <c r="H1296" t="str">
        <f>'Source Table'!$H$9</f>
        <v>Male</v>
      </c>
      <c r="I1296" t="str">
        <f>'Source Table'!$H$8</f>
        <v>ذكر</v>
      </c>
      <c r="J1296" t="str">
        <f t="shared" si="40"/>
        <v>2016/2015</v>
      </c>
      <c r="K1296" t="str">
        <f t="shared" si="41"/>
        <v>2016/2015</v>
      </c>
      <c r="L1296" s="36">
        <v>125</v>
      </c>
      <c r="M1296" s="18">
        <v>2015</v>
      </c>
    </row>
    <row r="1297" ht="21.75" spans="1:13">
      <c r="A1297" s="18" t="s">
        <v>155</v>
      </c>
      <c r="B1297" s="18" t="s">
        <v>156</v>
      </c>
      <c r="C1297" s="18" t="s">
        <v>162</v>
      </c>
      <c r="D1297" s="18" t="s">
        <v>158</v>
      </c>
      <c r="E1297" s="18" t="s">
        <v>159</v>
      </c>
      <c r="F1297" s="19" t="s">
        <v>108</v>
      </c>
      <c r="G1297" s="20" t="s">
        <v>109</v>
      </c>
      <c r="H1297" t="str">
        <f>'Source Table'!$H$9</f>
        <v>Male</v>
      </c>
      <c r="I1297" t="str">
        <f>'Source Table'!$H$8</f>
        <v>ذكر</v>
      </c>
      <c r="J1297" t="str">
        <f t="shared" si="40"/>
        <v>2016/2015</v>
      </c>
      <c r="K1297" t="str">
        <f t="shared" si="41"/>
        <v>2016/2015</v>
      </c>
      <c r="L1297" s="36">
        <v>76</v>
      </c>
      <c r="M1297" s="18">
        <v>2015</v>
      </c>
    </row>
    <row r="1298" ht="21.75" spans="1:13">
      <c r="A1298" s="18" t="s">
        <v>155</v>
      </c>
      <c r="B1298" s="18" t="s">
        <v>156</v>
      </c>
      <c r="C1298" s="18" t="s">
        <v>162</v>
      </c>
      <c r="D1298" s="18" t="s">
        <v>158</v>
      </c>
      <c r="E1298" s="18" t="s">
        <v>159</v>
      </c>
      <c r="F1298" s="19" t="s">
        <v>110</v>
      </c>
      <c r="G1298" s="20" t="s">
        <v>111</v>
      </c>
      <c r="H1298" t="str">
        <f>'Source Table'!$H$9</f>
        <v>Male</v>
      </c>
      <c r="I1298" t="str">
        <f>'Source Table'!$H$8</f>
        <v>ذكر</v>
      </c>
      <c r="J1298" t="str">
        <f t="shared" si="40"/>
        <v>2016/2015</v>
      </c>
      <c r="K1298" t="str">
        <f t="shared" si="41"/>
        <v>2016/2015</v>
      </c>
      <c r="L1298" s="36">
        <v>44</v>
      </c>
      <c r="M1298" s="18">
        <v>2015</v>
      </c>
    </row>
    <row r="1299" ht="21.75" spans="1:13">
      <c r="A1299" s="18" t="s">
        <v>155</v>
      </c>
      <c r="B1299" s="18" t="s">
        <v>156</v>
      </c>
      <c r="C1299" s="18" t="s">
        <v>162</v>
      </c>
      <c r="D1299" s="18" t="s">
        <v>158</v>
      </c>
      <c r="E1299" s="18" t="s">
        <v>159</v>
      </c>
      <c r="F1299" s="19" t="s">
        <v>113</v>
      </c>
      <c r="G1299" s="20" t="s">
        <v>114</v>
      </c>
      <c r="H1299" t="str">
        <f>'Source Table'!$H$9</f>
        <v>Male</v>
      </c>
      <c r="I1299" t="str">
        <f>'Source Table'!$H$8</f>
        <v>ذكر</v>
      </c>
      <c r="J1299" t="str">
        <f t="shared" si="40"/>
        <v>2016/2015</v>
      </c>
      <c r="K1299" t="str">
        <f t="shared" si="41"/>
        <v>2016/2015</v>
      </c>
      <c r="L1299" s="36">
        <v>109</v>
      </c>
      <c r="M1299" s="18">
        <v>2015</v>
      </c>
    </row>
    <row r="1300" ht="21.75" spans="1:13">
      <c r="A1300" s="18" t="s">
        <v>155</v>
      </c>
      <c r="B1300" s="18" t="s">
        <v>156</v>
      </c>
      <c r="C1300" s="18" t="s">
        <v>162</v>
      </c>
      <c r="D1300" s="18" t="s">
        <v>158</v>
      </c>
      <c r="E1300" s="18" t="s">
        <v>159</v>
      </c>
      <c r="F1300" s="19" t="s">
        <v>115</v>
      </c>
      <c r="G1300" s="20" t="s">
        <v>116</v>
      </c>
      <c r="H1300" t="str">
        <f>'Source Table'!$H$9</f>
        <v>Male</v>
      </c>
      <c r="I1300" t="str">
        <f>'Source Table'!$H$8</f>
        <v>ذكر</v>
      </c>
      <c r="J1300" t="str">
        <f t="shared" si="40"/>
        <v>2016/2015</v>
      </c>
      <c r="K1300" t="str">
        <f t="shared" si="41"/>
        <v>2016/2015</v>
      </c>
      <c r="L1300" s="36">
        <v>43</v>
      </c>
      <c r="M1300" s="18">
        <v>2015</v>
      </c>
    </row>
    <row r="1301" ht="21.75" spans="1:13">
      <c r="A1301" s="18" t="s">
        <v>155</v>
      </c>
      <c r="B1301" s="18" t="s">
        <v>156</v>
      </c>
      <c r="C1301" s="18" t="s">
        <v>162</v>
      </c>
      <c r="D1301" s="18" t="s">
        <v>158</v>
      </c>
      <c r="E1301" s="18" t="s">
        <v>159</v>
      </c>
      <c r="F1301" s="19" t="s">
        <v>118</v>
      </c>
      <c r="G1301" s="20" t="s">
        <v>119</v>
      </c>
      <c r="H1301" t="str">
        <f>'Source Table'!$H$9</f>
        <v>Male</v>
      </c>
      <c r="I1301" t="str">
        <f>'Source Table'!$H$8</f>
        <v>ذكر</v>
      </c>
      <c r="J1301" t="str">
        <f t="shared" si="40"/>
        <v>2016/2015</v>
      </c>
      <c r="K1301" t="str">
        <f t="shared" si="41"/>
        <v>2016/2015</v>
      </c>
      <c r="L1301" s="36">
        <v>59</v>
      </c>
      <c r="M1301" s="18">
        <v>2015</v>
      </c>
    </row>
    <row r="1302" ht="21.75" spans="1:13">
      <c r="A1302" s="18" t="s">
        <v>155</v>
      </c>
      <c r="B1302" s="18" t="s">
        <v>156</v>
      </c>
      <c r="C1302" s="18" t="s">
        <v>162</v>
      </c>
      <c r="D1302" s="18" t="s">
        <v>158</v>
      </c>
      <c r="E1302" s="18" t="s">
        <v>159</v>
      </c>
      <c r="F1302" s="19" t="s">
        <v>120</v>
      </c>
      <c r="G1302" s="20" t="s">
        <v>121</v>
      </c>
      <c r="H1302" t="str">
        <f>'Source Table'!$H$9</f>
        <v>Male</v>
      </c>
      <c r="I1302" t="str">
        <f>'Source Table'!$H$8</f>
        <v>ذكر</v>
      </c>
      <c r="J1302" t="str">
        <f t="shared" si="40"/>
        <v>2016/2015</v>
      </c>
      <c r="K1302" t="str">
        <f t="shared" si="41"/>
        <v>2016/2015</v>
      </c>
      <c r="L1302" s="36">
        <v>88</v>
      </c>
      <c r="M1302" s="18">
        <v>2015</v>
      </c>
    </row>
    <row r="1303" ht="21.75" spans="1:13">
      <c r="A1303" s="18" t="s">
        <v>155</v>
      </c>
      <c r="B1303" s="18" t="s">
        <v>156</v>
      </c>
      <c r="C1303" s="18" t="s">
        <v>162</v>
      </c>
      <c r="D1303" s="18" t="s">
        <v>158</v>
      </c>
      <c r="E1303" s="18" t="s">
        <v>159</v>
      </c>
      <c r="F1303" s="19" t="s">
        <v>122</v>
      </c>
      <c r="G1303" s="20" t="s">
        <v>123</v>
      </c>
      <c r="H1303" t="str">
        <f>'Source Table'!$H$9</f>
        <v>Male</v>
      </c>
      <c r="I1303" t="str">
        <f>'Source Table'!$H$8</f>
        <v>ذكر</v>
      </c>
      <c r="J1303" t="str">
        <f t="shared" si="40"/>
        <v>2016/2015</v>
      </c>
      <c r="K1303" t="str">
        <f t="shared" si="41"/>
        <v>2016/2015</v>
      </c>
      <c r="L1303" s="36">
        <v>52</v>
      </c>
      <c r="M1303" s="18">
        <v>2015</v>
      </c>
    </row>
    <row r="1304" ht="21.75" spans="1:13">
      <c r="A1304" s="18" t="s">
        <v>155</v>
      </c>
      <c r="B1304" s="18" t="s">
        <v>156</v>
      </c>
      <c r="C1304" s="18" t="s">
        <v>162</v>
      </c>
      <c r="D1304" s="18" t="s">
        <v>158</v>
      </c>
      <c r="E1304" s="18" t="s">
        <v>159</v>
      </c>
      <c r="F1304" s="19" t="s">
        <v>124</v>
      </c>
      <c r="G1304" s="20" t="s">
        <v>125</v>
      </c>
      <c r="H1304" t="str">
        <f>'Source Table'!$H$9</f>
        <v>Male</v>
      </c>
      <c r="I1304" t="str">
        <f>'Source Table'!$H$8</f>
        <v>ذكر</v>
      </c>
      <c r="J1304" t="str">
        <f t="shared" si="40"/>
        <v>2016/2015</v>
      </c>
      <c r="K1304" t="str">
        <f t="shared" si="41"/>
        <v>2016/2015</v>
      </c>
      <c r="L1304" s="36">
        <v>38</v>
      </c>
      <c r="M1304" s="18">
        <v>2015</v>
      </c>
    </row>
    <row r="1305" ht="21.75" spans="1:13">
      <c r="A1305" s="18" t="s">
        <v>155</v>
      </c>
      <c r="B1305" s="18" t="s">
        <v>156</v>
      </c>
      <c r="C1305" s="18" t="s">
        <v>162</v>
      </c>
      <c r="D1305" s="18" t="s">
        <v>158</v>
      </c>
      <c r="E1305" s="18" t="s">
        <v>159</v>
      </c>
      <c r="F1305" s="19" t="s">
        <v>126</v>
      </c>
      <c r="G1305" s="20" t="s">
        <v>127</v>
      </c>
      <c r="H1305" t="str">
        <f>'Source Table'!$H$9</f>
        <v>Male</v>
      </c>
      <c r="I1305" t="str">
        <f>'Source Table'!$H$8</f>
        <v>ذكر</v>
      </c>
      <c r="J1305" t="str">
        <f t="shared" si="40"/>
        <v>2016/2015</v>
      </c>
      <c r="K1305" t="str">
        <f t="shared" si="41"/>
        <v>2016/2015</v>
      </c>
      <c r="L1305" s="37">
        <v>121</v>
      </c>
      <c r="M1305" s="18">
        <v>2015</v>
      </c>
    </row>
    <row r="1306" ht="21.75" spans="1:13">
      <c r="A1306" s="18" t="s">
        <v>155</v>
      </c>
      <c r="B1306" s="18" t="s">
        <v>156</v>
      </c>
      <c r="C1306" s="18" t="s">
        <v>162</v>
      </c>
      <c r="D1306" s="18" t="s">
        <v>158</v>
      </c>
      <c r="E1306" s="18" t="s">
        <v>159</v>
      </c>
      <c r="F1306" s="19" t="s">
        <v>29</v>
      </c>
      <c r="G1306" s="20" t="s">
        <v>30</v>
      </c>
      <c r="H1306" t="str">
        <f>'Source Table'!$G$9</f>
        <v>Female</v>
      </c>
      <c r="I1306" t="str">
        <f>'Source Table'!$G$8</f>
        <v>أنثى</v>
      </c>
      <c r="J1306" t="str">
        <f t="shared" si="40"/>
        <v>2016/2015</v>
      </c>
      <c r="K1306" t="str">
        <f t="shared" si="41"/>
        <v>2016/2015</v>
      </c>
      <c r="L1306" s="36">
        <v>6606</v>
      </c>
      <c r="M1306" s="18">
        <v>2015</v>
      </c>
    </row>
    <row r="1307" ht="21.75" spans="1:13">
      <c r="A1307" s="18" t="s">
        <v>155</v>
      </c>
      <c r="B1307" s="18" t="s">
        <v>156</v>
      </c>
      <c r="C1307" s="18" t="s">
        <v>162</v>
      </c>
      <c r="D1307" s="18" t="s">
        <v>158</v>
      </c>
      <c r="E1307" s="18" t="s">
        <v>159</v>
      </c>
      <c r="F1307" s="19" t="s">
        <v>32</v>
      </c>
      <c r="G1307" s="20" t="s">
        <v>33</v>
      </c>
      <c r="H1307" t="str">
        <f>'Source Table'!$G$9</f>
        <v>Female</v>
      </c>
      <c r="I1307" t="str">
        <f>'Source Table'!$G$8</f>
        <v>أنثى</v>
      </c>
      <c r="J1307" t="str">
        <f t="shared" si="40"/>
        <v>2016/2015</v>
      </c>
      <c r="K1307" t="str">
        <f t="shared" si="41"/>
        <v>2016/2015</v>
      </c>
      <c r="L1307" s="36">
        <v>6828</v>
      </c>
      <c r="M1307" s="18">
        <v>2015</v>
      </c>
    </row>
    <row r="1308" ht="21.75" spans="1:13">
      <c r="A1308" s="18" t="s">
        <v>155</v>
      </c>
      <c r="B1308" s="18" t="s">
        <v>156</v>
      </c>
      <c r="C1308" s="18" t="s">
        <v>162</v>
      </c>
      <c r="D1308" s="18" t="s">
        <v>158</v>
      </c>
      <c r="E1308" s="18" t="s">
        <v>159</v>
      </c>
      <c r="F1308" s="19" t="s">
        <v>34</v>
      </c>
      <c r="G1308" s="20" t="s">
        <v>35</v>
      </c>
      <c r="H1308" t="str">
        <f>'Source Table'!$G$9</f>
        <v>Female</v>
      </c>
      <c r="I1308" t="str">
        <f>'Source Table'!$G$8</f>
        <v>أنثى</v>
      </c>
      <c r="J1308" t="str">
        <f t="shared" si="40"/>
        <v>2016/2015</v>
      </c>
      <c r="K1308" t="str">
        <f t="shared" si="41"/>
        <v>2016/2015</v>
      </c>
      <c r="L1308" s="36">
        <v>1079</v>
      </c>
      <c r="M1308" s="18">
        <v>2015</v>
      </c>
    </row>
    <row r="1309" ht="21.75" spans="1:13">
      <c r="A1309" s="18" t="s">
        <v>155</v>
      </c>
      <c r="B1309" s="18" t="s">
        <v>156</v>
      </c>
      <c r="C1309" s="18" t="s">
        <v>162</v>
      </c>
      <c r="D1309" s="18" t="s">
        <v>158</v>
      </c>
      <c r="E1309" s="18" t="s">
        <v>159</v>
      </c>
      <c r="F1309" s="19" t="s">
        <v>36</v>
      </c>
      <c r="G1309" s="20" t="s">
        <v>37</v>
      </c>
      <c r="H1309" t="str">
        <f>'Source Table'!$G$9</f>
        <v>Female</v>
      </c>
      <c r="I1309" t="str">
        <f>'Source Table'!$G$8</f>
        <v>أنثى</v>
      </c>
      <c r="J1309" t="str">
        <f t="shared" si="40"/>
        <v>2016/2015</v>
      </c>
      <c r="K1309" t="str">
        <f t="shared" si="41"/>
        <v>2016/2015</v>
      </c>
      <c r="L1309" s="36">
        <v>4538</v>
      </c>
      <c r="M1309" s="18">
        <v>2015</v>
      </c>
    </row>
    <row r="1310" ht="21.75" spans="1:13">
      <c r="A1310" s="18" t="s">
        <v>155</v>
      </c>
      <c r="B1310" s="18" t="s">
        <v>156</v>
      </c>
      <c r="C1310" s="18" t="s">
        <v>162</v>
      </c>
      <c r="D1310" s="18" t="s">
        <v>158</v>
      </c>
      <c r="E1310" s="18" t="s">
        <v>159</v>
      </c>
      <c r="F1310" s="19" t="s">
        <v>38</v>
      </c>
      <c r="G1310" s="20" t="s">
        <v>39</v>
      </c>
      <c r="H1310" t="str">
        <f>'Source Table'!$G$9</f>
        <v>Female</v>
      </c>
      <c r="I1310" t="str">
        <f>'Source Table'!$G$8</f>
        <v>أنثى</v>
      </c>
      <c r="J1310" t="str">
        <f t="shared" si="40"/>
        <v>2016/2015</v>
      </c>
      <c r="K1310" t="str">
        <f t="shared" si="41"/>
        <v>2016/2015</v>
      </c>
      <c r="L1310" s="36">
        <v>6501</v>
      </c>
      <c r="M1310" s="18">
        <v>2015</v>
      </c>
    </row>
    <row r="1311" ht="21.75" spans="1:13">
      <c r="A1311" s="18" t="s">
        <v>155</v>
      </c>
      <c r="B1311" s="18" t="s">
        <v>156</v>
      </c>
      <c r="C1311" s="18" t="s">
        <v>162</v>
      </c>
      <c r="D1311" s="18" t="s">
        <v>158</v>
      </c>
      <c r="E1311" s="18" t="s">
        <v>159</v>
      </c>
      <c r="F1311" s="19" t="s">
        <v>40</v>
      </c>
      <c r="G1311" s="20" t="s">
        <v>41</v>
      </c>
      <c r="H1311" t="str">
        <f>'Source Table'!$G$9</f>
        <v>Female</v>
      </c>
      <c r="I1311" t="str">
        <f>'Source Table'!$G$8</f>
        <v>أنثى</v>
      </c>
      <c r="J1311" t="str">
        <f t="shared" si="40"/>
        <v>2016/2015</v>
      </c>
      <c r="K1311" t="str">
        <f t="shared" si="41"/>
        <v>2016/2015</v>
      </c>
      <c r="L1311" s="36">
        <v>2924</v>
      </c>
      <c r="M1311" s="18">
        <v>2015</v>
      </c>
    </row>
    <row r="1312" ht="21.75" spans="1:13">
      <c r="A1312" s="18" t="s">
        <v>155</v>
      </c>
      <c r="B1312" s="18" t="s">
        <v>156</v>
      </c>
      <c r="C1312" s="18" t="s">
        <v>162</v>
      </c>
      <c r="D1312" s="18" t="s">
        <v>158</v>
      </c>
      <c r="E1312" s="18" t="s">
        <v>159</v>
      </c>
      <c r="F1312" s="19" t="s">
        <v>42</v>
      </c>
      <c r="G1312" s="20" t="s">
        <v>43</v>
      </c>
      <c r="H1312" t="str">
        <f>'Source Table'!$G$9</f>
        <v>Female</v>
      </c>
      <c r="I1312" t="str">
        <f>'Source Table'!$G$8</f>
        <v>أنثى</v>
      </c>
      <c r="J1312" t="str">
        <f t="shared" si="40"/>
        <v>2016/2015</v>
      </c>
      <c r="K1312" t="str">
        <f t="shared" si="41"/>
        <v>2016/2015</v>
      </c>
      <c r="L1312" s="36">
        <v>1255</v>
      </c>
      <c r="M1312" s="18">
        <v>2015</v>
      </c>
    </row>
    <row r="1313" ht="21.75" spans="1:13">
      <c r="A1313" s="18" t="s">
        <v>155</v>
      </c>
      <c r="B1313" s="18" t="s">
        <v>156</v>
      </c>
      <c r="C1313" s="18" t="s">
        <v>162</v>
      </c>
      <c r="D1313" s="18" t="s">
        <v>158</v>
      </c>
      <c r="E1313" s="18" t="s">
        <v>159</v>
      </c>
      <c r="F1313" s="19" t="s">
        <v>44</v>
      </c>
      <c r="G1313" s="20" t="s">
        <v>45</v>
      </c>
      <c r="H1313" t="str">
        <f>'Source Table'!$G$9</f>
        <v>Female</v>
      </c>
      <c r="I1313" t="str">
        <f>'Source Table'!$G$8</f>
        <v>أنثى</v>
      </c>
      <c r="J1313" t="str">
        <f t="shared" si="40"/>
        <v>2016/2015</v>
      </c>
      <c r="K1313" t="str">
        <f t="shared" si="41"/>
        <v>2016/2015</v>
      </c>
      <c r="L1313" s="36">
        <v>612</v>
      </c>
      <c r="M1313" s="18">
        <v>2015</v>
      </c>
    </row>
    <row r="1314" ht="21.75" spans="1:13">
      <c r="A1314" s="18" t="s">
        <v>155</v>
      </c>
      <c r="B1314" s="18" t="s">
        <v>156</v>
      </c>
      <c r="C1314" s="18" t="s">
        <v>162</v>
      </c>
      <c r="D1314" s="18" t="s">
        <v>158</v>
      </c>
      <c r="E1314" s="18" t="s">
        <v>159</v>
      </c>
      <c r="F1314" s="19" t="s">
        <v>46</v>
      </c>
      <c r="G1314" s="20" t="s">
        <v>47</v>
      </c>
      <c r="H1314" t="str">
        <f>'Source Table'!$G$9</f>
        <v>Female</v>
      </c>
      <c r="I1314" t="str">
        <f>'Source Table'!$G$8</f>
        <v>أنثى</v>
      </c>
      <c r="J1314" t="str">
        <f t="shared" si="40"/>
        <v>2016/2015</v>
      </c>
      <c r="K1314" t="str">
        <f t="shared" si="41"/>
        <v>2016/2015</v>
      </c>
      <c r="L1314" s="36">
        <v>973</v>
      </c>
      <c r="M1314" s="18">
        <v>2015</v>
      </c>
    </row>
    <row r="1315" ht="21.75" spans="1:13">
      <c r="A1315" s="18" t="s">
        <v>155</v>
      </c>
      <c r="B1315" s="18" t="s">
        <v>156</v>
      </c>
      <c r="C1315" s="18" t="s">
        <v>162</v>
      </c>
      <c r="D1315" s="18" t="s">
        <v>158</v>
      </c>
      <c r="E1315" s="18" t="s">
        <v>159</v>
      </c>
      <c r="F1315" s="19" t="s">
        <v>49</v>
      </c>
      <c r="G1315" s="20" t="s">
        <v>50</v>
      </c>
      <c r="H1315" t="str">
        <f>'Source Table'!$G$9</f>
        <v>Female</v>
      </c>
      <c r="I1315" t="str">
        <f>'Source Table'!$G$8</f>
        <v>أنثى</v>
      </c>
      <c r="J1315" t="str">
        <f t="shared" si="40"/>
        <v>2016/2015</v>
      </c>
      <c r="K1315" t="str">
        <f t="shared" si="41"/>
        <v>2016/2015</v>
      </c>
      <c r="L1315" s="36">
        <v>2496</v>
      </c>
      <c r="M1315" s="18">
        <v>2015</v>
      </c>
    </row>
    <row r="1316" ht="21.75" spans="1:13">
      <c r="A1316" s="18" t="s">
        <v>155</v>
      </c>
      <c r="B1316" s="18" t="s">
        <v>156</v>
      </c>
      <c r="C1316" s="18" t="s">
        <v>162</v>
      </c>
      <c r="D1316" s="18" t="s">
        <v>158</v>
      </c>
      <c r="E1316" s="18" t="s">
        <v>159</v>
      </c>
      <c r="F1316" s="19" t="s">
        <v>52</v>
      </c>
      <c r="G1316" s="20" t="s">
        <v>53</v>
      </c>
      <c r="H1316" t="str">
        <f>'Source Table'!$G$9</f>
        <v>Female</v>
      </c>
      <c r="I1316" t="str">
        <f>'Source Table'!$G$8</f>
        <v>أنثى</v>
      </c>
      <c r="J1316" t="str">
        <f t="shared" si="40"/>
        <v>2016/2015</v>
      </c>
      <c r="K1316" t="str">
        <f t="shared" si="41"/>
        <v>2016/2015</v>
      </c>
      <c r="L1316" s="36">
        <v>686</v>
      </c>
      <c r="M1316" s="18">
        <v>2015</v>
      </c>
    </row>
    <row r="1317" ht="21.75" spans="1:13">
      <c r="A1317" s="18" t="s">
        <v>155</v>
      </c>
      <c r="B1317" s="18" t="s">
        <v>156</v>
      </c>
      <c r="C1317" s="18" t="s">
        <v>162</v>
      </c>
      <c r="D1317" s="18" t="s">
        <v>158</v>
      </c>
      <c r="E1317" s="18" t="s">
        <v>159</v>
      </c>
      <c r="F1317" s="19" t="s">
        <v>54</v>
      </c>
      <c r="G1317" s="20" t="s">
        <v>55</v>
      </c>
      <c r="H1317" t="str">
        <f>'Source Table'!$G$9</f>
        <v>Female</v>
      </c>
      <c r="I1317" t="str">
        <f>'Source Table'!$G$8</f>
        <v>أنثى</v>
      </c>
      <c r="J1317" t="str">
        <f t="shared" si="40"/>
        <v>2016/2015</v>
      </c>
      <c r="K1317" t="str">
        <f t="shared" si="41"/>
        <v>2016/2015</v>
      </c>
      <c r="L1317" s="36">
        <v>582</v>
      </c>
      <c r="M1317" s="18">
        <v>2015</v>
      </c>
    </row>
    <row r="1318" ht="21.75" spans="1:13">
      <c r="A1318" s="18" t="s">
        <v>155</v>
      </c>
      <c r="B1318" s="18" t="s">
        <v>156</v>
      </c>
      <c r="C1318" s="18" t="s">
        <v>162</v>
      </c>
      <c r="D1318" s="18" t="s">
        <v>158</v>
      </c>
      <c r="E1318" s="18" t="s">
        <v>159</v>
      </c>
      <c r="F1318" s="19" t="s">
        <v>56</v>
      </c>
      <c r="G1318" s="20" t="s">
        <v>57</v>
      </c>
      <c r="H1318" t="str">
        <f>'Source Table'!$G$9</f>
        <v>Female</v>
      </c>
      <c r="I1318" t="str">
        <f>'Source Table'!$G$8</f>
        <v>أنثى</v>
      </c>
      <c r="J1318" t="str">
        <f t="shared" si="40"/>
        <v>2016/2015</v>
      </c>
      <c r="K1318" t="str">
        <f t="shared" si="41"/>
        <v>2016/2015</v>
      </c>
      <c r="L1318" s="36">
        <v>1944</v>
      </c>
      <c r="M1318" s="18">
        <v>2015</v>
      </c>
    </row>
    <row r="1319" ht="21.75" spans="1:13">
      <c r="A1319" s="18" t="s">
        <v>155</v>
      </c>
      <c r="B1319" s="18" t="s">
        <v>156</v>
      </c>
      <c r="C1319" s="18" t="s">
        <v>162</v>
      </c>
      <c r="D1319" s="18" t="s">
        <v>158</v>
      </c>
      <c r="E1319" s="18" t="s">
        <v>159</v>
      </c>
      <c r="F1319" s="19" t="s">
        <v>59</v>
      </c>
      <c r="G1319" s="20" t="s">
        <v>160</v>
      </c>
      <c r="H1319" t="str">
        <f>'Source Table'!$G$9</f>
        <v>Female</v>
      </c>
      <c r="I1319" t="str">
        <f>'Source Table'!$G$8</f>
        <v>أنثى</v>
      </c>
      <c r="J1319" t="str">
        <f t="shared" si="40"/>
        <v>2016/2015</v>
      </c>
      <c r="K1319" t="str">
        <f t="shared" si="41"/>
        <v>2016/2015</v>
      </c>
      <c r="L1319" s="36">
        <v>4974</v>
      </c>
      <c r="M1319" s="18">
        <v>2015</v>
      </c>
    </row>
    <row r="1320" ht="21.75" spans="1:13">
      <c r="A1320" s="18" t="s">
        <v>155</v>
      </c>
      <c r="B1320" s="18" t="s">
        <v>156</v>
      </c>
      <c r="C1320" s="18" t="s">
        <v>162</v>
      </c>
      <c r="D1320" s="18" t="s">
        <v>158</v>
      </c>
      <c r="E1320" s="18" t="s">
        <v>159</v>
      </c>
      <c r="F1320" s="19" t="s">
        <v>62</v>
      </c>
      <c r="G1320" s="20" t="s">
        <v>161</v>
      </c>
      <c r="H1320" t="str">
        <f>'Source Table'!$G$9</f>
        <v>Female</v>
      </c>
      <c r="I1320" t="str">
        <f>'Source Table'!$G$8</f>
        <v>أنثى</v>
      </c>
      <c r="J1320" t="str">
        <f t="shared" si="40"/>
        <v>2016/2015</v>
      </c>
      <c r="K1320" t="str">
        <f t="shared" si="41"/>
        <v>2016/2015</v>
      </c>
      <c r="L1320" s="36">
        <v>1458</v>
      </c>
      <c r="M1320" s="18">
        <v>2015</v>
      </c>
    </row>
    <row r="1321" ht="21.75" spans="1:13">
      <c r="A1321" s="18" t="s">
        <v>155</v>
      </c>
      <c r="B1321" s="18" t="s">
        <v>156</v>
      </c>
      <c r="C1321" s="18" t="s">
        <v>162</v>
      </c>
      <c r="D1321" s="18" t="s">
        <v>158</v>
      </c>
      <c r="E1321" s="18" t="s">
        <v>159</v>
      </c>
      <c r="F1321" s="19" t="s">
        <v>64</v>
      </c>
      <c r="G1321" s="20" t="s">
        <v>65</v>
      </c>
      <c r="H1321" t="str">
        <f>'Source Table'!$G$9</f>
        <v>Female</v>
      </c>
      <c r="I1321" t="str">
        <f>'Source Table'!$G$8</f>
        <v>أنثى</v>
      </c>
      <c r="J1321" t="str">
        <f t="shared" si="40"/>
        <v>2016/2015</v>
      </c>
      <c r="K1321" t="str">
        <f t="shared" si="41"/>
        <v>2016/2015</v>
      </c>
      <c r="L1321" s="36">
        <v>3000</v>
      </c>
      <c r="M1321" s="18">
        <v>2015</v>
      </c>
    </row>
    <row r="1322" ht="21.75" spans="1:13">
      <c r="A1322" s="18" t="s">
        <v>155</v>
      </c>
      <c r="B1322" s="18" t="s">
        <v>156</v>
      </c>
      <c r="C1322" s="18" t="s">
        <v>162</v>
      </c>
      <c r="D1322" s="18" t="s">
        <v>158</v>
      </c>
      <c r="E1322" s="18" t="s">
        <v>159</v>
      </c>
      <c r="F1322" s="19" t="s">
        <v>68</v>
      </c>
      <c r="G1322" s="20" t="s">
        <v>69</v>
      </c>
      <c r="H1322" t="str">
        <f>'Source Table'!$G$9</f>
        <v>Female</v>
      </c>
      <c r="I1322" t="str">
        <f>'Source Table'!$G$8</f>
        <v>أنثى</v>
      </c>
      <c r="J1322" t="str">
        <f t="shared" si="40"/>
        <v>2016/2015</v>
      </c>
      <c r="K1322" t="str">
        <f t="shared" si="41"/>
        <v>2016/2015</v>
      </c>
      <c r="L1322" s="36">
        <v>1675</v>
      </c>
      <c r="M1322" s="18">
        <v>2015</v>
      </c>
    </row>
    <row r="1323" ht="21.75" spans="1:13">
      <c r="A1323" s="18" t="s">
        <v>155</v>
      </c>
      <c r="B1323" s="18" t="s">
        <v>156</v>
      </c>
      <c r="C1323" s="18" t="s">
        <v>162</v>
      </c>
      <c r="D1323" s="18" t="s">
        <v>158</v>
      </c>
      <c r="E1323" s="18" t="s">
        <v>159</v>
      </c>
      <c r="F1323" s="19" t="s">
        <v>70</v>
      </c>
      <c r="G1323" s="20" t="s">
        <v>71</v>
      </c>
      <c r="H1323" t="str">
        <f>'Source Table'!$G$9</f>
        <v>Female</v>
      </c>
      <c r="I1323" t="str">
        <f>'Source Table'!$G$8</f>
        <v>أنثى</v>
      </c>
      <c r="J1323" t="str">
        <f t="shared" si="40"/>
        <v>2016/2015</v>
      </c>
      <c r="K1323" t="str">
        <f t="shared" si="41"/>
        <v>2016/2015</v>
      </c>
      <c r="L1323" s="36">
        <v>721</v>
      </c>
      <c r="M1323" s="18">
        <v>2015</v>
      </c>
    </row>
    <row r="1324" ht="21.75" spans="1:13">
      <c r="A1324" s="18" t="s">
        <v>155</v>
      </c>
      <c r="B1324" s="18" t="s">
        <v>156</v>
      </c>
      <c r="C1324" s="18" t="s">
        <v>162</v>
      </c>
      <c r="D1324" s="18" t="s">
        <v>158</v>
      </c>
      <c r="E1324" s="18" t="s">
        <v>159</v>
      </c>
      <c r="F1324" s="19" t="s">
        <v>74</v>
      </c>
      <c r="G1324" s="20" t="s">
        <v>75</v>
      </c>
      <c r="H1324" t="str">
        <f>'Source Table'!$G$9</f>
        <v>Female</v>
      </c>
      <c r="I1324" t="str">
        <f>'Source Table'!$G$8</f>
        <v>أنثى</v>
      </c>
      <c r="J1324" t="str">
        <f t="shared" si="40"/>
        <v>2016/2015</v>
      </c>
      <c r="K1324" t="str">
        <f t="shared" si="41"/>
        <v>2016/2015</v>
      </c>
      <c r="L1324" s="36">
        <v>5186</v>
      </c>
      <c r="M1324" s="18">
        <v>2015</v>
      </c>
    </row>
    <row r="1325" ht="21.75" spans="1:13">
      <c r="A1325" s="18" t="s">
        <v>155</v>
      </c>
      <c r="B1325" s="18" t="s">
        <v>156</v>
      </c>
      <c r="C1325" s="18" t="s">
        <v>162</v>
      </c>
      <c r="D1325" s="18" t="s">
        <v>158</v>
      </c>
      <c r="E1325" s="18" t="s">
        <v>159</v>
      </c>
      <c r="F1325" s="19" t="s">
        <v>76</v>
      </c>
      <c r="G1325" s="20" t="s">
        <v>77</v>
      </c>
      <c r="H1325" t="str">
        <f>'Source Table'!$G$9</f>
        <v>Female</v>
      </c>
      <c r="I1325" t="str">
        <f>'Source Table'!$G$8</f>
        <v>أنثى</v>
      </c>
      <c r="J1325" t="str">
        <f t="shared" si="40"/>
        <v>2016/2015</v>
      </c>
      <c r="K1325" t="str">
        <f t="shared" si="41"/>
        <v>2016/2015</v>
      </c>
      <c r="L1325" s="36">
        <v>1969</v>
      </c>
      <c r="M1325" s="18">
        <v>2015</v>
      </c>
    </row>
    <row r="1326" ht="21.75" spans="1:13">
      <c r="A1326" s="18" t="s">
        <v>155</v>
      </c>
      <c r="B1326" s="18" t="s">
        <v>156</v>
      </c>
      <c r="C1326" s="18" t="s">
        <v>162</v>
      </c>
      <c r="D1326" s="18" t="s">
        <v>158</v>
      </c>
      <c r="E1326" s="18" t="s">
        <v>159</v>
      </c>
      <c r="F1326" s="19" t="s">
        <v>78</v>
      </c>
      <c r="G1326" s="20" t="s">
        <v>79</v>
      </c>
      <c r="H1326" t="str">
        <f>'Source Table'!$G$9</f>
        <v>Female</v>
      </c>
      <c r="I1326" t="str">
        <f>'Source Table'!$G$8</f>
        <v>أنثى</v>
      </c>
      <c r="J1326" t="str">
        <f t="shared" si="40"/>
        <v>2016/2015</v>
      </c>
      <c r="K1326" t="str">
        <f t="shared" si="41"/>
        <v>2016/2015</v>
      </c>
      <c r="L1326" s="36">
        <v>634</v>
      </c>
      <c r="M1326" s="18">
        <v>2015</v>
      </c>
    </row>
    <row r="1327" ht="21.75" spans="1:13">
      <c r="A1327" s="18" t="s">
        <v>155</v>
      </c>
      <c r="B1327" s="18" t="s">
        <v>156</v>
      </c>
      <c r="C1327" s="18" t="s">
        <v>162</v>
      </c>
      <c r="D1327" s="18" t="s">
        <v>158</v>
      </c>
      <c r="E1327" s="18" t="s">
        <v>159</v>
      </c>
      <c r="F1327" s="19" t="s">
        <v>80</v>
      </c>
      <c r="G1327" s="20" t="s">
        <v>81</v>
      </c>
      <c r="H1327" t="str">
        <f>'Source Table'!$G$9</f>
        <v>Female</v>
      </c>
      <c r="I1327" t="str">
        <f>'Source Table'!$G$8</f>
        <v>أنثى</v>
      </c>
      <c r="J1327" t="str">
        <f t="shared" si="40"/>
        <v>2016/2015</v>
      </c>
      <c r="K1327" t="str">
        <f t="shared" si="41"/>
        <v>2016/2015</v>
      </c>
      <c r="L1327" s="36">
        <v>937</v>
      </c>
      <c r="M1327" s="18">
        <v>2015</v>
      </c>
    </row>
    <row r="1328" ht="21.75" spans="1:13">
      <c r="A1328" s="18" t="s">
        <v>155</v>
      </c>
      <c r="B1328" s="18" t="s">
        <v>156</v>
      </c>
      <c r="C1328" s="18" t="s">
        <v>162</v>
      </c>
      <c r="D1328" s="18" t="s">
        <v>158</v>
      </c>
      <c r="E1328" s="18" t="s">
        <v>159</v>
      </c>
      <c r="F1328" s="19" t="s">
        <v>82</v>
      </c>
      <c r="G1328" s="20" t="s">
        <v>83</v>
      </c>
      <c r="H1328" t="str">
        <f>'Source Table'!$G$9</f>
        <v>Female</v>
      </c>
      <c r="I1328" t="str">
        <f>'Source Table'!$G$8</f>
        <v>أنثى</v>
      </c>
      <c r="J1328" t="str">
        <f t="shared" si="40"/>
        <v>2016/2015</v>
      </c>
      <c r="K1328" t="str">
        <f t="shared" si="41"/>
        <v>2016/2015</v>
      </c>
      <c r="L1328" s="36">
        <v>1483</v>
      </c>
      <c r="M1328" s="18">
        <v>2015</v>
      </c>
    </row>
    <row r="1329" ht="21.75" spans="1:13">
      <c r="A1329" s="18" t="s">
        <v>155</v>
      </c>
      <c r="B1329" s="18" t="s">
        <v>156</v>
      </c>
      <c r="C1329" s="18" t="s">
        <v>162</v>
      </c>
      <c r="D1329" s="18" t="s">
        <v>158</v>
      </c>
      <c r="E1329" s="18" t="s">
        <v>159</v>
      </c>
      <c r="F1329" s="19" t="s">
        <v>84</v>
      </c>
      <c r="G1329" s="20" t="s">
        <v>85</v>
      </c>
      <c r="H1329" t="str">
        <f>'Source Table'!$G$9</f>
        <v>Female</v>
      </c>
      <c r="I1329" t="str">
        <f>'Source Table'!$G$8</f>
        <v>أنثى</v>
      </c>
      <c r="J1329" t="str">
        <f t="shared" si="40"/>
        <v>2016/2015</v>
      </c>
      <c r="K1329" t="str">
        <f t="shared" si="41"/>
        <v>2016/2015</v>
      </c>
      <c r="L1329" s="36">
        <v>1198</v>
      </c>
      <c r="M1329" s="18">
        <v>2015</v>
      </c>
    </row>
    <row r="1330" ht="21.75" spans="1:13">
      <c r="A1330" s="18" t="s">
        <v>155</v>
      </c>
      <c r="B1330" s="18" t="s">
        <v>156</v>
      </c>
      <c r="C1330" s="18" t="s">
        <v>162</v>
      </c>
      <c r="D1330" s="18" t="s">
        <v>158</v>
      </c>
      <c r="E1330" s="18" t="s">
        <v>159</v>
      </c>
      <c r="F1330" s="19" t="s">
        <v>86</v>
      </c>
      <c r="G1330" s="20" t="s">
        <v>87</v>
      </c>
      <c r="H1330" t="str">
        <f>'Source Table'!$G$9</f>
        <v>Female</v>
      </c>
      <c r="I1330" t="str">
        <f>'Source Table'!$G$8</f>
        <v>أنثى</v>
      </c>
      <c r="J1330" t="str">
        <f t="shared" si="40"/>
        <v>2016/2015</v>
      </c>
      <c r="K1330" t="str">
        <f t="shared" si="41"/>
        <v>2016/2015</v>
      </c>
      <c r="L1330" s="36">
        <v>1063</v>
      </c>
      <c r="M1330" s="18">
        <v>2015</v>
      </c>
    </row>
    <row r="1331" ht="21.75" spans="1:13">
      <c r="A1331" s="18" t="s">
        <v>155</v>
      </c>
      <c r="B1331" s="18" t="s">
        <v>156</v>
      </c>
      <c r="C1331" s="18" t="s">
        <v>162</v>
      </c>
      <c r="D1331" s="18" t="s">
        <v>158</v>
      </c>
      <c r="E1331" s="18" t="s">
        <v>159</v>
      </c>
      <c r="F1331" s="19" t="s">
        <v>88</v>
      </c>
      <c r="G1331" s="20" t="s">
        <v>89</v>
      </c>
      <c r="H1331" t="str">
        <f>'Source Table'!$G$9</f>
        <v>Female</v>
      </c>
      <c r="I1331" t="str">
        <f>'Source Table'!$G$8</f>
        <v>أنثى</v>
      </c>
      <c r="J1331" t="str">
        <f t="shared" si="40"/>
        <v>2016/2015</v>
      </c>
      <c r="K1331" t="str">
        <f t="shared" si="41"/>
        <v>2016/2015</v>
      </c>
      <c r="L1331" s="36">
        <v>1861</v>
      </c>
      <c r="M1331" s="18">
        <v>2015</v>
      </c>
    </row>
    <row r="1332" ht="21.75" spans="1:13">
      <c r="A1332" s="18" t="s">
        <v>155</v>
      </c>
      <c r="B1332" s="18" t="s">
        <v>156</v>
      </c>
      <c r="C1332" s="18" t="s">
        <v>162</v>
      </c>
      <c r="D1332" s="18" t="s">
        <v>158</v>
      </c>
      <c r="E1332" s="18" t="s">
        <v>159</v>
      </c>
      <c r="F1332" s="19" t="s">
        <v>91</v>
      </c>
      <c r="G1332" s="20" t="s">
        <v>92</v>
      </c>
      <c r="H1332" t="str">
        <f>'Source Table'!$G$9</f>
        <v>Female</v>
      </c>
      <c r="I1332" t="str">
        <f>'Source Table'!$G$8</f>
        <v>أنثى</v>
      </c>
      <c r="J1332" t="str">
        <f t="shared" si="40"/>
        <v>2016/2015</v>
      </c>
      <c r="K1332" t="str">
        <f t="shared" si="41"/>
        <v>2016/2015</v>
      </c>
      <c r="L1332" s="36">
        <v>2097</v>
      </c>
      <c r="M1332" s="18">
        <v>2015</v>
      </c>
    </row>
    <row r="1333" ht="21.75" spans="1:13">
      <c r="A1333" s="18" t="s">
        <v>155</v>
      </c>
      <c r="B1333" s="18" t="s">
        <v>156</v>
      </c>
      <c r="C1333" s="18" t="s">
        <v>162</v>
      </c>
      <c r="D1333" s="18" t="s">
        <v>158</v>
      </c>
      <c r="E1333" s="18" t="s">
        <v>159</v>
      </c>
      <c r="F1333" s="19" t="s">
        <v>94</v>
      </c>
      <c r="G1333" s="20" t="s">
        <v>95</v>
      </c>
      <c r="H1333" t="str">
        <f>'Source Table'!$G$9</f>
        <v>Female</v>
      </c>
      <c r="I1333" t="str">
        <f>'Source Table'!$G$8</f>
        <v>أنثى</v>
      </c>
      <c r="J1333" t="str">
        <f t="shared" si="40"/>
        <v>2016/2015</v>
      </c>
      <c r="K1333" t="str">
        <f t="shared" si="41"/>
        <v>2016/2015</v>
      </c>
      <c r="L1333" s="36">
        <v>1457</v>
      </c>
      <c r="M1333" s="18">
        <v>2015</v>
      </c>
    </row>
    <row r="1334" ht="21.75" spans="1:13">
      <c r="A1334" s="18" t="s">
        <v>155</v>
      </c>
      <c r="B1334" s="18" t="s">
        <v>156</v>
      </c>
      <c r="C1334" s="18" t="s">
        <v>162</v>
      </c>
      <c r="D1334" s="18" t="s">
        <v>158</v>
      </c>
      <c r="E1334" s="18" t="s">
        <v>159</v>
      </c>
      <c r="F1334" s="19" t="s">
        <v>96</v>
      </c>
      <c r="G1334" s="20" t="s">
        <v>97</v>
      </c>
      <c r="H1334" t="str">
        <f>'Source Table'!$G$9</f>
        <v>Female</v>
      </c>
      <c r="I1334" t="str">
        <f>'Source Table'!$G$8</f>
        <v>أنثى</v>
      </c>
      <c r="J1334" t="str">
        <f t="shared" si="40"/>
        <v>2016/2015</v>
      </c>
      <c r="K1334" t="str">
        <f t="shared" si="41"/>
        <v>2016/2015</v>
      </c>
      <c r="L1334" s="36">
        <v>2081</v>
      </c>
      <c r="M1334" s="18">
        <v>2015</v>
      </c>
    </row>
    <row r="1335" ht="21.75" spans="1:13">
      <c r="A1335" s="18" t="s">
        <v>155</v>
      </c>
      <c r="B1335" s="18" t="s">
        <v>156</v>
      </c>
      <c r="C1335" s="18" t="s">
        <v>162</v>
      </c>
      <c r="D1335" s="18" t="s">
        <v>158</v>
      </c>
      <c r="E1335" s="18" t="s">
        <v>159</v>
      </c>
      <c r="F1335" s="19" t="s">
        <v>98</v>
      </c>
      <c r="G1335" s="20" t="s">
        <v>99</v>
      </c>
      <c r="H1335" t="str">
        <f>'Source Table'!$G$9</f>
        <v>Female</v>
      </c>
      <c r="I1335" t="str">
        <f>'Source Table'!$G$8</f>
        <v>أنثى</v>
      </c>
      <c r="J1335" t="str">
        <f t="shared" si="40"/>
        <v>2016/2015</v>
      </c>
      <c r="K1335" t="str">
        <f t="shared" si="41"/>
        <v>2016/2015</v>
      </c>
      <c r="L1335" s="37">
        <v>2370</v>
      </c>
      <c r="M1335" s="18">
        <v>2015</v>
      </c>
    </row>
    <row r="1336" ht="21.75" spans="1:13">
      <c r="A1336" s="18" t="s">
        <v>155</v>
      </c>
      <c r="B1336" s="18" t="s">
        <v>156</v>
      </c>
      <c r="C1336" s="18" t="s">
        <v>162</v>
      </c>
      <c r="D1336" s="18" t="s">
        <v>158</v>
      </c>
      <c r="E1336" s="18" t="s">
        <v>159</v>
      </c>
      <c r="F1336" s="19" t="s">
        <v>100</v>
      </c>
      <c r="G1336" s="20" t="s">
        <v>101</v>
      </c>
      <c r="H1336" t="str">
        <f>'Source Table'!$G$9</f>
        <v>Female</v>
      </c>
      <c r="I1336" t="str">
        <f>'Source Table'!$G$8</f>
        <v>أنثى</v>
      </c>
      <c r="J1336" t="str">
        <f t="shared" si="40"/>
        <v>2016/2015</v>
      </c>
      <c r="K1336" t="str">
        <f t="shared" si="41"/>
        <v>2016/2015</v>
      </c>
      <c r="L1336" s="37">
        <v>2117</v>
      </c>
      <c r="M1336" s="18">
        <v>2015</v>
      </c>
    </row>
    <row r="1337" ht="21.75" spans="1:13">
      <c r="A1337" s="18" t="s">
        <v>155</v>
      </c>
      <c r="B1337" s="18" t="s">
        <v>156</v>
      </c>
      <c r="C1337" s="18" t="s">
        <v>162</v>
      </c>
      <c r="D1337" s="18" t="s">
        <v>158</v>
      </c>
      <c r="E1337" s="18" t="s">
        <v>159</v>
      </c>
      <c r="F1337" s="19" t="s">
        <v>103</v>
      </c>
      <c r="G1337" s="20" t="s">
        <v>104</v>
      </c>
      <c r="H1337" t="str">
        <f>'Source Table'!$G$9</f>
        <v>Female</v>
      </c>
      <c r="I1337" t="str">
        <f>'Source Table'!$G$8</f>
        <v>أنثى</v>
      </c>
      <c r="J1337" t="str">
        <f t="shared" si="40"/>
        <v>2016/2015</v>
      </c>
      <c r="K1337" t="str">
        <f t="shared" si="41"/>
        <v>2016/2015</v>
      </c>
      <c r="L1337" s="36">
        <v>1694</v>
      </c>
      <c r="M1337" s="18">
        <v>2015</v>
      </c>
    </row>
    <row r="1338" ht="21.75" spans="1:13">
      <c r="A1338" s="18" t="s">
        <v>155</v>
      </c>
      <c r="B1338" s="18" t="s">
        <v>156</v>
      </c>
      <c r="C1338" s="18" t="s">
        <v>162</v>
      </c>
      <c r="D1338" s="18" t="s">
        <v>158</v>
      </c>
      <c r="E1338" s="18" t="s">
        <v>159</v>
      </c>
      <c r="F1338" s="19" t="s">
        <v>106</v>
      </c>
      <c r="G1338" s="20" t="s">
        <v>107</v>
      </c>
      <c r="H1338" t="str">
        <f>'Source Table'!$G$9</f>
        <v>Female</v>
      </c>
      <c r="I1338" t="str">
        <f>'Source Table'!$G$8</f>
        <v>أنثى</v>
      </c>
      <c r="J1338" t="str">
        <f t="shared" si="40"/>
        <v>2016/2015</v>
      </c>
      <c r="K1338" t="str">
        <f t="shared" si="41"/>
        <v>2016/2015</v>
      </c>
      <c r="L1338" s="36">
        <v>1356</v>
      </c>
      <c r="M1338" s="18">
        <v>2015</v>
      </c>
    </row>
    <row r="1339" ht="21.75" spans="1:13">
      <c r="A1339" s="18" t="s">
        <v>155</v>
      </c>
      <c r="B1339" s="18" t="s">
        <v>156</v>
      </c>
      <c r="C1339" s="18" t="s">
        <v>162</v>
      </c>
      <c r="D1339" s="18" t="s">
        <v>158</v>
      </c>
      <c r="E1339" s="18" t="s">
        <v>159</v>
      </c>
      <c r="F1339" s="19" t="s">
        <v>108</v>
      </c>
      <c r="G1339" s="20" t="s">
        <v>109</v>
      </c>
      <c r="H1339" t="str">
        <f>'Source Table'!$G$9</f>
        <v>Female</v>
      </c>
      <c r="I1339" t="str">
        <f>'Source Table'!$G$8</f>
        <v>أنثى</v>
      </c>
      <c r="J1339" t="str">
        <f t="shared" si="40"/>
        <v>2016/2015</v>
      </c>
      <c r="K1339" t="str">
        <f t="shared" si="41"/>
        <v>2016/2015</v>
      </c>
      <c r="L1339" s="36">
        <v>841</v>
      </c>
      <c r="M1339" s="18">
        <v>2015</v>
      </c>
    </row>
    <row r="1340" ht="21.75" spans="1:13">
      <c r="A1340" s="18" t="s">
        <v>155</v>
      </c>
      <c r="B1340" s="18" t="s">
        <v>156</v>
      </c>
      <c r="C1340" s="18" t="s">
        <v>162</v>
      </c>
      <c r="D1340" s="18" t="s">
        <v>158</v>
      </c>
      <c r="E1340" s="18" t="s">
        <v>159</v>
      </c>
      <c r="F1340" s="19" t="s">
        <v>110</v>
      </c>
      <c r="G1340" s="20" t="s">
        <v>111</v>
      </c>
      <c r="H1340" t="str">
        <f>'Source Table'!$G$9</f>
        <v>Female</v>
      </c>
      <c r="I1340" t="str">
        <f>'Source Table'!$G$8</f>
        <v>أنثى</v>
      </c>
      <c r="J1340" t="str">
        <f t="shared" si="40"/>
        <v>2016/2015</v>
      </c>
      <c r="K1340" t="str">
        <f t="shared" si="41"/>
        <v>2016/2015</v>
      </c>
      <c r="L1340" s="36">
        <v>571</v>
      </c>
      <c r="M1340" s="18">
        <v>2015</v>
      </c>
    </row>
    <row r="1341" ht="21.75" spans="1:13">
      <c r="A1341" s="18" t="s">
        <v>155</v>
      </c>
      <c r="B1341" s="18" t="s">
        <v>156</v>
      </c>
      <c r="C1341" s="18" t="s">
        <v>162</v>
      </c>
      <c r="D1341" s="18" t="s">
        <v>158</v>
      </c>
      <c r="E1341" s="18" t="s">
        <v>159</v>
      </c>
      <c r="F1341" s="19" t="s">
        <v>113</v>
      </c>
      <c r="G1341" s="20" t="s">
        <v>114</v>
      </c>
      <c r="H1341" t="str">
        <f>'Source Table'!$G$9</f>
        <v>Female</v>
      </c>
      <c r="I1341" t="str">
        <f>'Source Table'!$G$8</f>
        <v>أنثى</v>
      </c>
      <c r="J1341" t="str">
        <f t="shared" si="40"/>
        <v>2016/2015</v>
      </c>
      <c r="K1341" t="str">
        <f t="shared" si="41"/>
        <v>2016/2015</v>
      </c>
      <c r="L1341" s="36">
        <v>1223</v>
      </c>
      <c r="M1341" s="18">
        <v>2015</v>
      </c>
    </row>
    <row r="1342" ht="21.75" spans="1:13">
      <c r="A1342" s="18" t="s">
        <v>155</v>
      </c>
      <c r="B1342" s="18" t="s">
        <v>156</v>
      </c>
      <c r="C1342" s="18" t="s">
        <v>162</v>
      </c>
      <c r="D1342" s="18" t="s">
        <v>158</v>
      </c>
      <c r="E1342" s="18" t="s">
        <v>159</v>
      </c>
      <c r="F1342" s="19" t="s">
        <v>115</v>
      </c>
      <c r="G1342" s="20" t="s">
        <v>116</v>
      </c>
      <c r="H1342" t="str">
        <f>'Source Table'!$G$9</f>
        <v>Female</v>
      </c>
      <c r="I1342" t="str">
        <f>'Source Table'!$G$8</f>
        <v>أنثى</v>
      </c>
      <c r="J1342" t="str">
        <f t="shared" si="40"/>
        <v>2016/2015</v>
      </c>
      <c r="K1342" t="str">
        <f t="shared" si="41"/>
        <v>2016/2015</v>
      </c>
      <c r="L1342" s="36">
        <v>415</v>
      </c>
      <c r="M1342" s="18">
        <v>2015</v>
      </c>
    </row>
    <row r="1343" ht="21.75" spans="1:13">
      <c r="A1343" s="18" t="s">
        <v>155</v>
      </c>
      <c r="B1343" s="18" t="s">
        <v>156</v>
      </c>
      <c r="C1343" s="18" t="s">
        <v>162</v>
      </c>
      <c r="D1343" s="18" t="s">
        <v>158</v>
      </c>
      <c r="E1343" s="18" t="s">
        <v>159</v>
      </c>
      <c r="F1343" s="19" t="s">
        <v>118</v>
      </c>
      <c r="G1343" s="20" t="s">
        <v>119</v>
      </c>
      <c r="H1343" t="str">
        <f>'Source Table'!$G$9</f>
        <v>Female</v>
      </c>
      <c r="I1343" t="str">
        <f>'Source Table'!$G$8</f>
        <v>أنثى</v>
      </c>
      <c r="J1343" t="str">
        <f t="shared" si="40"/>
        <v>2016/2015</v>
      </c>
      <c r="K1343" t="str">
        <f t="shared" si="41"/>
        <v>2016/2015</v>
      </c>
      <c r="L1343" s="36">
        <v>652</v>
      </c>
      <c r="M1343" s="18">
        <v>2015</v>
      </c>
    </row>
    <row r="1344" ht="21.75" spans="1:13">
      <c r="A1344" s="18" t="s">
        <v>155</v>
      </c>
      <c r="B1344" s="18" t="s">
        <v>156</v>
      </c>
      <c r="C1344" s="18" t="s">
        <v>162</v>
      </c>
      <c r="D1344" s="18" t="s">
        <v>158</v>
      </c>
      <c r="E1344" s="18" t="s">
        <v>159</v>
      </c>
      <c r="F1344" s="19" t="s">
        <v>120</v>
      </c>
      <c r="G1344" s="20" t="s">
        <v>121</v>
      </c>
      <c r="H1344" t="str">
        <f>'Source Table'!$G$9</f>
        <v>Female</v>
      </c>
      <c r="I1344" t="str">
        <f>'Source Table'!$G$8</f>
        <v>أنثى</v>
      </c>
      <c r="J1344" t="str">
        <f t="shared" si="40"/>
        <v>2016/2015</v>
      </c>
      <c r="K1344" t="str">
        <f t="shared" si="41"/>
        <v>2016/2015</v>
      </c>
      <c r="L1344" s="36">
        <v>849</v>
      </c>
      <c r="M1344" s="18">
        <v>2015</v>
      </c>
    </row>
    <row r="1345" ht="21.75" spans="1:13">
      <c r="A1345" s="18" t="s">
        <v>155</v>
      </c>
      <c r="B1345" s="18" t="s">
        <v>156</v>
      </c>
      <c r="C1345" s="18" t="s">
        <v>162</v>
      </c>
      <c r="D1345" s="18" t="s">
        <v>158</v>
      </c>
      <c r="E1345" s="18" t="s">
        <v>159</v>
      </c>
      <c r="F1345" s="19" t="s">
        <v>122</v>
      </c>
      <c r="G1345" s="20" t="s">
        <v>123</v>
      </c>
      <c r="H1345" t="str">
        <f>'Source Table'!$G$9</f>
        <v>Female</v>
      </c>
      <c r="I1345" t="str">
        <f>'Source Table'!$G$8</f>
        <v>أنثى</v>
      </c>
      <c r="J1345" t="str">
        <f t="shared" si="40"/>
        <v>2016/2015</v>
      </c>
      <c r="K1345" t="str">
        <f t="shared" si="41"/>
        <v>2016/2015</v>
      </c>
      <c r="L1345" s="36">
        <v>565</v>
      </c>
      <c r="M1345" s="18">
        <v>2015</v>
      </c>
    </row>
    <row r="1346" ht="21.75" spans="1:13">
      <c r="A1346" s="18" t="s">
        <v>155</v>
      </c>
      <c r="B1346" s="18" t="s">
        <v>156</v>
      </c>
      <c r="C1346" s="18" t="s">
        <v>162</v>
      </c>
      <c r="D1346" s="18" t="s">
        <v>158</v>
      </c>
      <c r="E1346" s="18" t="s">
        <v>159</v>
      </c>
      <c r="F1346" s="19" t="s">
        <v>124</v>
      </c>
      <c r="G1346" s="20" t="s">
        <v>125</v>
      </c>
      <c r="H1346" t="str">
        <f>'Source Table'!$G$9</f>
        <v>Female</v>
      </c>
      <c r="I1346" t="str">
        <f>'Source Table'!$G$8</f>
        <v>أنثى</v>
      </c>
      <c r="J1346" t="str">
        <f t="shared" si="40"/>
        <v>2016/2015</v>
      </c>
      <c r="K1346" t="str">
        <f t="shared" si="41"/>
        <v>2016/2015</v>
      </c>
      <c r="L1346" s="36">
        <v>343</v>
      </c>
      <c r="M1346" s="18">
        <v>2015</v>
      </c>
    </row>
    <row r="1347" ht="21.75" spans="1:13">
      <c r="A1347" s="18" t="s">
        <v>155</v>
      </c>
      <c r="B1347" s="18" t="s">
        <v>156</v>
      </c>
      <c r="C1347" s="18" t="s">
        <v>162</v>
      </c>
      <c r="D1347" s="18" t="s">
        <v>158</v>
      </c>
      <c r="E1347" s="18" t="s">
        <v>159</v>
      </c>
      <c r="F1347" s="19" t="s">
        <v>126</v>
      </c>
      <c r="G1347" s="20" t="s">
        <v>127</v>
      </c>
      <c r="H1347" t="str">
        <f>'Source Table'!$G$9</f>
        <v>Female</v>
      </c>
      <c r="I1347" t="str">
        <f>'Source Table'!$G$8</f>
        <v>أنثى</v>
      </c>
      <c r="J1347" t="str">
        <f t="shared" si="40"/>
        <v>2016/2015</v>
      </c>
      <c r="K1347" t="str">
        <f t="shared" si="41"/>
        <v>2016/2015</v>
      </c>
      <c r="L1347" s="37">
        <v>1965</v>
      </c>
      <c r="M1347" s="18">
        <v>2015</v>
      </c>
    </row>
    <row r="1348" ht="21.75" spans="1:13">
      <c r="A1348" s="18" t="s">
        <v>155</v>
      </c>
      <c r="B1348" s="18" t="s">
        <v>156</v>
      </c>
      <c r="C1348" s="18" t="s">
        <v>157</v>
      </c>
      <c r="D1348" s="18" t="s">
        <v>158</v>
      </c>
      <c r="E1348" s="18" t="s">
        <v>159</v>
      </c>
      <c r="F1348" s="19" t="s">
        <v>29</v>
      </c>
      <c r="G1348" s="20" t="s">
        <v>30</v>
      </c>
      <c r="H1348" t="str">
        <f>'Source Table'!$H$9</f>
        <v>Male</v>
      </c>
      <c r="I1348" t="str">
        <f>'Source Table'!$H$8</f>
        <v>ذكر</v>
      </c>
      <c r="J1348" t="str">
        <f t="shared" si="40"/>
        <v>2015/2014</v>
      </c>
      <c r="K1348" t="str">
        <f t="shared" si="41"/>
        <v>2015/2014</v>
      </c>
      <c r="L1348" s="38">
        <v>80079</v>
      </c>
      <c r="M1348" s="18">
        <v>2014</v>
      </c>
    </row>
    <row r="1349" ht="21.75" spans="1:13">
      <c r="A1349" s="18" t="s">
        <v>155</v>
      </c>
      <c r="B1349" s="18" t="s">
        <v>156</v>
      </c>
      <c r="C1349" s="18" t="s">
        <v>157</v>
      </c>
      <c r="D1349" s="18" t="s">
        <v>158</v>
      </c>
      <c r="E1349" s="18" t="s">
        <v>159</v>
      </c>
      <c r="F1349" s="19" t="s">
        <v>32</v>
      </c>
      <c r="G1349" s="20" t="s">
        <v>33</v>
      </c>
      <c r="H1349" t="str">
        <f>'Source Table'!$H$9</f>
        <v>Male</v>
      </c>
      <c r="I1349" t="str">
        <f>'Source Table'!$H$8</f>
        <v>ذكر</v>
      </c>
      <c r="J1349" t="str">
        <f t="shared" ref="J1349:J1412" si="42">TEXT(M1349+1,"0")&amp;"/"&amp;TEXT(M1349,"0")</f>
        <v>2015/2014</v>
      </c>
      <c r="K1349" t="str">
        <f t="shared" ref="K1349:K1412" si="43">TEXT(M1349+1,"0")&amp;"/"&amp;TEXT(M1349,"0")</f>
        <v>2015/2014</v>
      </c>
      <c r="L1349" s="38">
        <v>60517</v>
      </c>
      <c r="M1349" s="18">
        <v>2014</v>
      </c>
    </row>
    <row r="1350" ht="21.75" spans="1:13">
      <c r="A1350" s="18" t="s">
        <v>155</v>
      </c>
      <c r="B1350" s="18" t="s">
        <v>156</v>
      </c>
      <c r="C1350" s="18" t="s">
        <v>157</v>
      </c>
      <c r="D1350" s="18" t="s">
        <v>158</v>
      </c>
      <c r="E1350" s="18" t="s">
        <v>159</v>
      </c>
      <c r="F1350" s="19" t="s">
        <v>34</v>
      </c>
      <c r="G1350" s="20" t="s">
        <v>35</v>
      </c>
      <c r="H1350" t="str">
        <f>'Source Table'!$H$9</f>
        <v>Male</v>
      </c>
      <c r="I1350" t="str">
        <f>'Source Table'!$H$8</f>
        <v>ذكر</v>
      </c>
      <c r="J1350" t="str">
        <f t="shared" si="42"/>
        <v>2015/2014</v>
      </c>
      <c r="K1350" t="str">
        <f t="shared" si="43"/>
        <v>2015/2014</v>
      </c>
      <c r="L1350" s="38">
        <v>12795</v>
      </c>
      <c r="M1350" s="18">
        <v>2014</v>
      </c>
    </row>
    <row r="1351" ht="21.75" spans="1:13">
      <c r="A1351" s="18" t="s">
        <v>155</v>
      </c>
      <c r="B1351" s="18" t="s">
        <v>156</v>
      </c>
      <c r="C1351" s="18" t="s">
        <v>157</v>
      </c>
      <c r="D1351" s="18" t="s">
        <v>158</v>
      </c>
      <c r="E1351" s="18" t="s">
        <v>159</v>
      </c>
      <c r="F1351" s="19" t="s">
        <v>36</v>
      </c>
      <c r="G1351" s="20" t="s">
        <v>37</v>
      </c>
      <c r="H1351" t="str">
        <f>'Source Table'!$H$9</f>
        <v>Male</v>
      </c>
      <c r="I1351" t="str">
        <f>'Source Table'!$H$8</f>
        <v>ذكر</v>
      </c>
      <c r="J1351" t="str">
        <f t="shared" si="42"/>
        <v>2015/2014</v>
      </c>
      <c r="K1351" t="str">
        <f t="shared" si="43"/>
        <v>2015/2014</v>
      </c>
      <c r="L1351" s="38">
        <v>56355</v>
      </c>
      <c r="M1351" s="18">
        <v>2014</v>
      </c>
    </row>
    <row r="1352" ht="21.75" spans="1:13">
      <c r="A1352" s="18" t="s">
        <v>155</v>
      </c>
      <c r="B1352" s="18" t="s">
        <v>156</v>
      </c>
      <c r="C1352" s="18" t="s">
        <v>157</v>
      </c>
      <c r="D1352" s="18" t="s">
        <v>158</v>
      </c>
      <c r="E1352" s="18" t="s">
        <v>159</v>
      </c>
      <c r="F1352" s="19" t="s">
        <v>38</v>
      </c>
      <c r="G1352" s="20" t="s">
        <v>39</v>
      </c>
      <c r="H1352" t="str">
        <f>'Source Table'!$H$9</f>
        <v>Male</v>
      </c>
      <c r="I1352" t="str">
        <f>'Source Table'!$H$8</f>
        <v>ذكر</v>
      </c>
      <c r="J1352" t="str">
        <f t="shared" si="42"/>
        <v>2015/2014</v>
      </c>
      <c r="K1352" t="str">
        <f t="shared" si="43"/>
        <v>2015/2014</v>
      </c>
      <c r="L1352" s="38">
        <v>85637</v>
      </c>
      <c r="M1352" s="18">
        <v>2014</v>
      </c>
    </row>
    <row r="1353" ht="21.75" spans="1:13">
      <c r="A1353" s="18" t="s">
        <v>155</v>
      </c>
      <c r="B1353" s="18" t="s">
        <v>156</v>
      </c>
      <c r="C1353" s="18" t="s">
        <v>157</v>
      </c>
      <c r="D1353" s="18" t="s">
        <v>158</v>
      </c>
      <c r="E1353" s="18" t="s">
        <v>159</v>
      </c>
      <c r="F1353" s="19" t="s">
        <v>40</v>
      </c>
      <c r="G1353" s="20" t="s">
        <v>41</v>
      </c>
      <c r="H1353" t="str">
        <f>'Source Table'!$H$9</f>
        <v>Male</v>
      </c>
      <c r="I1353" t="str">
        <f>'Source Table'!$H$8</f>
        <v>ذكر</v>
      </c>
      <c r="J1353" t="str">
        <f t="shared" si="42"/>
        <v>2015/2014</v>
      </c>
      <c r="K1353" t="str">
        <f t="shared" si="43"/>
        <v>2015/2014</v>
      </c>
      <c r="L1353" s="38">
        <v>27305</v>
      </c>
      <c r="M1353" s="18">
        <v>2014</v>
      </c>
    </row>
    <row r="1354" ht="21.75" spans="1:13">
      <c r="A1354" s="18" t="s">
        <v>155</v>
      </c>
      <c r="B1354" s="18" t="s">
        <v>156</v>
      </c>
      <c r="C1354" s="18" t="s">
        <v>157</v>
      </c>
      <c r="D1354" s="18" t="s">
        <v>158</v>
      </c>
      <c r="E1354" s="18" t="s">
        <v>159</v>
      </c>
      <c r="F1354" s="19" t="s">
        <v>42</v>
      </c>
      <c r="G1354" s="20" t="s">
        <v>43</v>
      </c>
      <c r="H1354" t="str">
        <f>'Source Table'!$H$9</f>
        <v>Male</v>
      </c>
      <c r="I1354" t="str">
        <f>'Source Table'!$H$8</f>
        <v>ذكر</v>
      </c>
      <c r="J1354" t="str">
        <f t="shared" si="42"/>
        <v>2015/2014</v>
      </c>
      <c r="K1354" t="str">
        <f t="shared" si="43"/>
        <v>2015/2014</v>
      </c>
      <c r="L1354" s="38">
        <v>11789</v>
      </c>
      <c r="M1354" s="18">
        <v>2014</v>
      </c>
    </row>
    <row r="1355" ht="21.75" spans="1:13">
      <c r="A1355" s="18" t="s">
        <v>155</v>
      </c>
      <c r="B1355" s="18" t="s">
        <v>156</v>
      </c>
      <c r="C1355" s="18" t="s">
        <v>157</v>
      </c>
      <c r="D1355" s="18" t="s">
        <v>158</v>
      </c>
      <c r="E1355" s="18" t="s">
        <v>159</v>
      </c>
      <c r="F1355" s="19" t="s">
        <v>44</v>
      </c>
      <c r="G1355" s="20" t="s">
        <v>45</v>
      </c>
      <c r="H1355" t="str">
        <f>'Source Table'!$H$9</f>
        <v>Male</v>
      </c>
      <c r="I1355" t="str">
        <f>'Source Table'!$H$8</f>
        <v>ذكر</v>
      </c>
      <c r="J1355" t="str">
        <f t="shared" si="42"/>
        <v>2015/2014</v>
      </c>
      <c r="K1355" t="str">
        <f t="shared" si="43"/>
        <v>2015/2014</v>
      </c>
      <c r="L1355" s="38">
        <v>6548</v>
      </c>
      <c r="M1355" s="18">
        <v>2014</v>
      </c>
    </row>
    <row r="1356" ht="21.75" spans="1:13">
      <c r="A1356" s="18" t="s">
        <v>155</v>
      </c>
      <c r="B1356" s="18" t="s">
        <v>156</v>
      </c>
      <c r="C1356" s="18" t="s">
        <v>157</v>
      </c>
      <c r="D1356" s="18" t="s">
        <v>158</v>
      </c>
      <c r="E1356" s="18" t="s">
        <v>159</v>
      </c>
      <c r="F1356" s="19" t="s">
        <v>46</v>
      </c>
      <c r="G1356" s="20" t="s">
        <v>47</v>
      </c>
      <c r="H1356" t="str">
        <f>'Source Table'!$H$9</f>
        <v>Male</v>
      </c>
      <c r="I1356" t="str">
        <f>'Source Table'!$H$8</f>
        <v>ذكر</v>
      </c>
      <c r="J1356" t="str">
        <f t="shared" si="42"/>
        <v>2015/2014</v>
      </c>
      <c r="K1356" t="str">
        <f t="shared" si="43"/>
        <v>2015/2014</v>
      </c>
      <c r="L1356" s="38">
        <v>7554</v>
      </c>
      <c r="M1356" s="18">
        <v>2014</v>
      </c>
    </row>
    <row r="1357" ht="21.75" spans="1:13">
      <c r="A1357" s="18" t="s">
        <v>155</v>
      </c>
      <c r="B1357" s="18" t="s">
        <v>156</v>
      </c>
      <c r="C1357" s="18" t="s">
        <v>157</v>
      </c>
      <c r="D1357" s="18" t="s">
        <v>158</v>
      </c>
      <c r="E1357" s="18" t="s">
        <v>159</v>
      </c>
      <c r="F1357" s="19" t="s">
        <v>49</v>
      </c>
      <c r="G1357" s="20" t="s">
        <v>50</v>
      </c>
      <c r="H1357" t="str">
        <f>'Source Table'!$H$9</f>
        <v>Male</v>
      </c>
      <c r="I1357" t="str">
        <f>'Source Table'!$H$8</f>
        <v>ذكر</v>
      </c>
      <c r="J1357" t="str">
        <f t="shared" si="42"/>
        <v>2015/2014</v>
      </c>
      <c r="K1357" t="str">
        <f t="shared" si="43"/>
        <v>2015/2014</v>
      </c>
      <c r="L1357" s="38">
        <v>24419</v>
      </c>
      <c r="M1357" s="18">
        <v>2014</v>
      </c>
    </row>
    <row r="1358" ht="21.75" spans="1:13">
      <c r="A1358" s="18" t="s">
        <v>155</v>
      </c>
      <c r="B1358" s="18" t="s">
        <v>156</v>
      </c>
      <c r="C1358" s="18" t="s">
        <v>157</v>
      </c>
      <c r="D1358" s="18" t="s">
        <v>158</v>
      </c>
      <c r="E1358" s="18" t="s">
        <v>159</v>
      </c>
      <c r="F1358" s="19" t="s">
        <v>52</v>
      </c>
      <c r="G1358" s="20" t="s">
        <v>53</v>
      </c>
      <c r="H1358" t="str">
        <f>'Source Table'!$H$9</f>
        <v>Male</v>
      </c>
      <c r="I1358" t="str">
        <f>'Source Table'!$H$8</f>
        <v>ذكر</v>
      </c>
      <c r="J1358" t="str">
        <f t="shared" si="42"/>
        <v>2015/2014</v>
      </c>
      <c r="K1358" t="str">
        <f t="shared" si="43"/>
        <v>2015/2014</v>
      </c>
      <c r="L1358" s="38">
        <v>8035</v>
      </c>
      <c r="M1358" s="18">
        <v>2014</v>
      </c>
    </row>
    <row r="1359" ht="21.75" spans="1:13">
      <c r="A1359" s="18" t="s">
        <v>155</v>
      </c>
      <c r="B1359" s="18" t="s">
        <v>156</v>
      </c>
      <c r="C1359" s="18" t="s">
        <v>157</v>
      </c>
      <c r="D1359" s="18" t="s">
        <v>158</v>
      </c>
      <c r="E1359" s="18" t="s">
        <v>159</v>
      </c>
      <c r="F1359" s="19" t="s">
        <v>54</v>
      </c>
      <c r="G1359" s="20" t="s">
        <v>55</v>
      </c>
      <c r="H1359" t="str">
        <f>'Source Table'!$H$9</f>
        <v>Male</v>
      </c>
      <c r="I1359" t="str">
        <f>'Source Table'!$H$8</f>
        <v>ذكر</v>
      </c>
      <c r="J1359" t="str">
        <f t="shared" si="42"/>
        <v>2015/2014</v>
      </c>
      <c r="K1359" t="str">
        <f t="shared" si="43"/>
        <v>2015/2014</v>
      </c>
      <c r="L1359" s="38">
        <v>7358</v>
      </c>
      <c r="M1359" s="18">
        <v>2014</v>
      </c>
    </row>
    <row r="1360" ht="21.75" spans="1:13">
      <c r="A1360" s="18" t="s">
        <v>155</v>
      </c>
      <c r="B1360" s="18" t="s">
        <v>156</v>
      </c>
      <c r="C1360" s="18" t="s">
        <v>157</v>
      </c>
      <c r="D1360" s="18" t="s">
        <v>158</v>
      </c>
      <c r="E1360" s="18" t="s">
        <v>159</v>
      </c>
      <c r="F1360" s="19" t="s">
        <v>56</v>
      </c>
      <c r="G1360" s="20" t="s">
        <v>57</v>
      </c>
      <c r="H1360" t="str">
        <f>'Source Table'!$H$9</f>
        <v>Male</v>
      </c>
      <c r="I1360" t="str">
        <f>'Source Table'!$H$8</f>
        <v>ذكر</v>
      </c>
      <c r="J1360" t="str">
        <f t="shared" si="42"/>
        <v>2015/2014</v>
      </c>
      <c r="K1360" t="str">
        <f t="shared" si="43"/>
        <v>2015/2014</v>
      </c>
      <c r="L1360" s="38">
        <v>24670</v>
      </c>
      <c r="M1360" s="18">
        <v>2014</v>
      </c>
    </row>
    <row r="1361" ht="21.75" spans="1:13">
      <c r="A1361" s="18" t="s">
        <v>155</v>
      </c>
      <c r="B1361" s="18" t="s">
        <v>156</v>
      </c>
      <c r="C1361" s="18" t="s">
        <v>157</v>
      </c>
      <c r="D1361" s="18" t="s">
        <v>158</v>
      </c>
      <c r="E1361" s="18" t="s">
        <v>159</v>
      </c>
      <c r="F1361" s="19" t="s">
        <v>59</v>
      </c>
      <c r="G1361" s="20" t="s">
        <v>160</v>
      </c>
      <c r="H1361" t="str">
        <f>'Source Table'!$H$9</f>
        <v>Male</v>
      </c>
      <c r="I1361" t="str">
        <f>'Source Table'!$H$8</f>
        <v>ذكر</v>
      </c>
      <c r="J1361" t="str">
        <f t="shared" si="42"/>
        <v>2015/2014</v>
      </c>
      <c r="K1361" t="str">
        <f t="shared" si="43"/>
        <v>2015/2014</v>
      </c>
      <c r="L1361" s="38">
        <v>66477</v>
      </c>
      <c r="M1361" s="18">
        <v>2014</v>
      </c>
    </row>
    <row r="1362" ht="21.75" spans="1:13">
      <c r="A1362" s="18" t="s">
        <v>155</v>
      </c>
      <c r="B1362" s="18" t="s">
        <v>156</v>
      </c>
      <c r="C1362" s="18" t="s">
        <v>157</v>
      </c>
      <c r="D1362" s="18" t="s">
        <v>158</v>
      </c>
      <c r="E1362" s="18" t="s">
        <v>159</v>
      </c>
      <c r="F1362" s="19" t="s">
        <v>62</v>
      </c>
      <c r="G1362" s="20" t="s">
        <v>161</v>
      </c>
      <c r="H1362" t="str">
        <f>'Source Table'!$H$9</f>
        <v>Male</v>
      </c>
      <c r="I1362" t="str">
        <f>'Source Table'!$H$8</f>
        <v>ذكر</v>
      </c>
      <c r="J1362" t="str">
        <f t="shared" si="42"/>
        <v>2015/2014</v>
      </c>
      <c r="K1362" t="str">
        <f t="shared" si="43"/>
        <v>2015/2014</v>
      </c>
      <c r="L1362" s="38">
        <v>20405</v>
      </c>
      <c r="M1362" s="18">
        <v>2014</v>
      </c>
    </row>
    <row r="1363" ht="21.75" spans="1:13">
      <c r="A1363" s="18" t="s">
        <v>155</v>
      </c>
      <c r="B1363" s="18" t="s">
        <v>156</v>
      </c>
      <c r="C1363" s="18" t="s">
        <v>157</v>
      </c>
      <c r="D1363" s="18" t="s">
        <v>158</v>
      </c>
      <c r="E1363" s="18" t="s">
        <v>159</v>
      </c>
      <c r="F1363" s="19" t="s">
        <v>64</v>
      </c>
      <c r="G1363" s="20" t="s">
        <v>65</v>
      </c>
      <c r="H1363" t="str">
        <f>'Source Table'!$H$9</f>
        <v>Male</v>
      </c>
      <c r="I1363" t="str">
        <f>'Source Table'!$H$8</f>
        <v>ذكر</v>
      </c>
      <c r="J1363" t="str">
        <f t="shared" si="42"/>
        <v>2015/2014</v>
      </c>
      <c r="K1363" t="str">
        <f t="shared" si="43"/>
        <v>2015/2014</v>
      </c>
      <c r="L1363" s="38">
        <v>48979</v>
      </c>
      <c r="M1363" s="18">
        <v>2014</v>
      </c>
    </row>
    <row r="1364" ht="21.75" spans="1:13">
      <c r="A1364" s="18" t="s">
        <v>155</v>
      </c>
      <c r="B1364" s="18" t="s">
        <v>156</v>
      </c>
      <c r="C1364" s="18" t="s">
        <v>157</v>
      </c>
      <c r="D1364" s="18" t="s">
        <v>158</v>
      </c>
      <c r="E1364" s="18" t="s">
        <v>159</v>
      </c>
      <c r="F1364" s="19" t="s">
        <v>68</v>
      </c>
      <c r="G1364" s="20" t="s">
        <v>69</v>
      </c>
      <c r="H1364" t="str">
        <f>'Source Table'!$H$9</f>
        <v>Male</v>
      </c>
      <c r="I1364" t="str">
        <f>'Source Table'!$H$8</f>
        <v>ذكر</v>
      </c>
      <c r="J1364" t="str">
        <f t="shared" si="42"/>
        <v>2015/2014</v>
      </c>
      <c r="K1364" t="str">
        <f t="shared" si="43"/>
        <v>2015/2014</v>
      </c>
      <c r="L1364" s="38">
        <v>20189</v>
      </c>
      <c r="M1364" s="18">
        <v>2014</v>
      </c>
    </row>
    <row r="1365" ht="21.75" spans="1:13">
      <c r="A1365" s="18" t="s">
        <v>155</v>
      </c>
      <c r="B1365" s="18" t="s">
        <v>156</v>
      </c>
      <c r="C1365" s="18" t="s">
        <v>157</v>
      </c>
      <c r="D1365" s="18" t="s">
        <v>158</v>
      </c>
      <c r="E1365" s="18" t="s">
        <v>159</v>
      </c>
      <c r="F1365" s="19" t="s">
        <v>70</v>
      </c>
      <c r="G1365" s="20" t="s">
        <v>71</v>
      </c>
      <c r="H1365" t="str">
        <f>'Source Table'!$H$9</f>
        <v>Male</v>
      </c>
      <c r="I1365" t="str">
        <f>'Source Table'!$H$8</f>
        <v>ذكر</v>
      </c>
      <c r="J1365" t="str">
        <f t="shared" si="42"/>
        <v>2015/2014</v>
      </c>
      <c r="K1365" t="str">
        <f t="shared" si="43"/>
        <v>2015/2014</v>
      </c>
      <c r="L1365" s="38">
        <v>4876</v>
      </c>
      <c r="M1365" s="18">
        <v>2014</v>
      </c>
    </row>
    <row r="1366" ht="21.75" spans="1:13">
      <c r="A1366" s="18" t="s">
        <v>155</v>
      </c>
      <c r="B1366" s="18" t="s">
        <v>156</v>
      </c>
      <c r="C1366" s="18" t="s">
        <v>157</v>
      </c>
      <c r="D1366" s="18" t="s">
        <v>158</v>
      </c>
      <c r="E1366" s="18" t="s">
        <v>159</v>
      </c>
      <c r="F1366" s="19" t="s">
        <v>74</v>
      </c>
      <c r="G1366" s="20" t="s">
        <v>75</v>
      </c>
      <c r="H1366" t="str">
        <f>'Source Table'!$H$9</f>
        <v>Male</v>
      </c>
      <c r="I1366" t="str">
        <f>'Source Table'!$H$8</f>
        <v>ذكر</v>
      </c>
      <c r="J1366" t="str">
        <f t="shared" si="42"/>
        <v>2015/2014</v>
      </c>
      <c r="K1366" t="str">
        <f t="shared" si="43"/>
        <v>2015/2014</v>
      </c>
      <c r="L1366" s="38">
        <v>71574</v>
      </c>
      <c r="M1366" s="18">
        <v>2014</v>
      </c>
    </row>
    <row r="1367" ht="21.75" spans="1:13">
      <c r="A1367" s="18" t="s">
        <v>155</v>
      </c>
      <c r="B1367" s="18" t="s">
        <v>156</v>
      </c>
      <c r="C1367" s="18" t="s">
        <v>157</v>
      </c>
      <c r="D1367" s="18" t="s">
        <v>158</v>
      </c>
      <c r="E1367" s="18" t="s">
        <v>159</v>
      </c>
      <c r="F1367" s="19" t="s">
        <v>76</v>
      </c>
      <c r="G1367" s="20" t="s">
        <v>77</v>
      </c>
      <c r="H1367" t="str">
        <f>'Source Table'!$H$9</f>
        <v>Male</v>
      </c>
      <c r="I1367" t="str">
        <f>'Source Table'!$H$8</f>
        <v>ذكر</v>
      </c>
      <c r="J1367" t="str">
        <f t="shared" si="42"/>
        <v>2015/2014</v>
      </c>
      <c r="K1367" t="str">
        <f t="shared" si="43"/>
        <v>2015/2014</v>
      </c>
      <c r="L1367" s="38">
        <v>19616</v>
      </c>
      <c r="M1367" s="18">
        <v>2014</v>
      </c>
    </row>
    <row r="1368" ht="21.75" spans="1:13">
      <c r="A1368" s="18" t="s">
        <v>155</v>
      </c>
      <c r="B1368" s="18" t="s">
        <v>156</v>
      </c>
      <c r="C1368" s="18" t="s">
        <v>157</v>
      </c>
      <c r="D1368" s="18" t="s">
        <v>158</v>
      </c>
      <c r="E1368" s="18" t="s">
        <v>159</v>
      </c>
      <c r="F1368" s="19" t="s">
        <v>78</v>
      </c>
      <c r="G1368" s="20" t="s">
        <v>79</v>
      </c>
      <c r="H1368" t="str">
        <f>'Source Table'!$H$9</f>
        <v>Male</v>
      </c>
      <c r="I1368" t="str">
        <f>'Source Table'!$H$8</f>
        <v>ذكر</v>
      </c>
      <c r="J1368" t="str">
        <f t="shared" si="42"/>
        <v>2015/2014</v>
      </c>
      <c r="K1368" t="str">
        <f t="shared" si="43"/>
        <v>2015/2014</v>
      </c>
      <c r="L1368" s="38">
        <v>7863</v>
      </c>
      <c r="M1368" s="18">
        <v>2014</v>
      </c>
    </row>
    <row r="1369" ht="21.75" spans="1:13">
      <c r="A1369" s="18" t="s">
        <v>155</v>
      </c>
      <c r="B1369" s="18" t="s">
        <v>156</v>
      </c>
      <c r="C1369" s="18" t="s">
        <v>157</v>
      </c>
      <c r="D1369" s="18" t="s">
        <v>158</v>
      </c>
      <c r="E1369" s="18" t="s">
        <v>159</v>
      </c>
      <c r="F1369" s="19" t="s">
        <v>80</v>
      </c>
      <c r="G1369" s="20" t="s">
        <v>81</v>
      </c>
      <c r="H1369" t="str">
        <f>'Source Table'!$H$9</f>
        <v>Male</v>
      </c>
      <c r="I1369" t="str">
        <f>'Source Table'!$H$8</f>
        <v>ذكر</v>
      </c>
      <c r="J1369" t="str">
        <f t="shared" si="42"/>
        <v>2015/2014</v>
      </c>
      <c r="K1369" t="str">
        <f t="shared" si="43"/>
        <v>2015/2014</v>
      </c>
      <c r="L1369" s="38">
        <v>9310</v>
      </c>
      <c r="M1369" s="18">
        <v>2014</v>
      </c>
    </row>
    <row r="1370" ht="21.75" spans="1:13">
      <c r="A1370" s="18" t="s">
        <v>155</v>
      </c>
      <c r="B1370" s="18" t="s">
        <v>156</v>
      </c>
      <c r="C1370" s="18" t="s">
        <v>157</v>
      </c>
      <c r="D1370" s="18" t="s">
        <v>158</v>
      </c>
      <c r="E1370" s="18" t="s">
        <v>159</v>
      </c>
      <c r="F1370" s="19" t="s">
        <v>82</v>
      </c>
      <c r="G1370" s="20" t="s">
        <v>83</v>
      </c>
      <c r="H1370" t="str">
        <f>'Source Table'!$H$9</f>
        <v>Male</v>
      </c>
      <c r="I1370" t="str">
        <f>'Source Table'!$H$8</f>
        <v>ذكر</v>
      </c>
      <c r="J1370" t="str">
        <f t="shared" si="42"/>
        <v>2015/2014</v>
      </c>
      <c r="K1370" t="str">
        <f t="shared" si="43"/>
        <v>2015/2014</v>
      </c>
      <c r="L1370" s="38">
        <v>13782</v>
      </c>
      <c r="M1370" s="18">
        <v>2014</v>
      </c>
    </row>
    <row r="1371" ht="21.75" spans="1:13">
      <c r="A1371" s="18" t="s">
        <v>155</v>
      </c>
      <c r="B1371" s="18" t="s">
        <v>156</v>
      </c>
      <c r="C1371" s="18" t="s">
        <v>157</v>
      </c>
      <c r="D1371" s="18" t="s">
        <v>158</v>
      </c>
      <c r="E1371" s="18" t="s">
        <v>159</v>
      </c>
      <c r="F1371" s="19" t="s">
        <v>84</v>
      </c>
      <c r="G1371" s="20" t="s">
        <v>85</v>
      </c>
      <c r="H1371" t="str">
        <f>'Source Table'!$H$9</f>
        <v>Male</v>
      </c>
      <c r="I1371" t="str">
        <f>'Source Table'!$H$8</f>
        <v>ذكر</v>
      </c>
      <c r="J1371" t="str">
        <f t="shared" si="42"/>
        <v>2015/2014</v>
      </c>
      <c r="K1371" t="str">
        <f t="shared" si="43"/>
        <v>2015/2014</v>
      </c>
      <c r="L1371" s="38">
        <v>16236</v>
      </c>
      <c r="M1371" s="18">
        <v>2014</v>
      </c>
    </row>
    <row r="1372" ht="21.75" spans="1:13">
      <c r="A1372" s="18" t="s">
        <v>155</v>
      </c>
      <c r="B1372" s="18" t="s">
        <v>156</v>
      </c>
      <c r="C1372" s="18" t="s">
        <v>157</v>
      </c>
      <c r="D1372" s="18" t="s">
        <v>158</v>
      </c>
      <c r="E1372" s="18" t="s">
        <v>159</v>
      </c>
      <c r="F1372" s="19" t="s">
        <v>86</v>
      </c>
      <c r="G1372" s="20" t="s">
        <v>87</v>
      </c>
      <c r="H1372" t="str">
        <f>'Source Table'!$H$9</f>
        <v>Male</v>
      </c>
      <c r="I1372" t="str">
        <f>'Source Table'!$H$8</f>
        <v>ذكر</v>
      </c>
      <c r="J1372" t="str">
        <f t="shared" si="42"/>
        <v>2015/2014</v>
      </c>
      <c r="K1372" t="str">
        <f t="shared" si="43"/>
        <v>2015/2014</v>
      </c>
      <c r="L1372" s="38">
        <v>12668</v>
      </c>
      <c r="M1372" s="18">
        <v>2014</v>
      </c>
    </row>
    <row r="1373" ht="21.75" spans="1:13">
      <c r="A1373" s="18" t="s">
        <v>155</v>
      </c>
      <c r="B1373" s="18" t="s">
        <v>156</v>
      </c>
      <c r="C1373" s="18" t="s">
        <v>157</v>
      </c>
      <c r="D1373" s="18" t="s">
        <v>158</v>
      </c>
      <c r="E1373" s="18" t="s">
        <v>159</v>
      </c>
      <c r="F1373" s="19" t="s">
        <v>88</v>
      </c>
      <c r="G1373" s="20" t="s">
        <v>89</v>
      </c>
      <c r="H1373" t="str">
        <f>'Source Table'!$H$9</f>
        <v>Male</v>
      </c>
      <c r="I1373" t="str">
        <f>'Source Table'!$H$8</f>
        <v>ذكر</v>
      </c>
      <c r="J1373" t="str">
        <f t="shared" si="42"/>
        <v>2015/2014</v>
      </c>
      <c r="K1373" t="str">
        <f t="shared" si="43"/>
        <v>2015/2014</v>
      </c>
      <c r="L1373" s="38">
        <v>23013</v>
      </c>
      <c r="M1373" s="18">
        <v>2014</v>
      </c>
    </row>
    <row r="1374" ht="21.75" spans="1:13">
      <c r="A1374" s="18" t="s">
        <v>155</v>
      </c>
      <c r="B1374" s="18" t="s">
        <v>156</v>
      </c>
      <c r="C1374" s="18" t="s">
        <v>157</v>
      </c>
      <c r="D1374" s="18" t="s">
        <v>158</v>
      </c>
      <c r="E1374" s="18" t="s">
        <v>159</v>
      </c>
      <c r="F1374" s="19" t="s">
        <v>91</v>
      </c>
      <c r="G1374" s="20" t="s">
        <v>92</v>
      </c>
      <c r="H1374" t="str">
        <f>'Source Table'!$H$9</f>
        <v>Male</v>
      </c>
      <c r="I1374" t="str">
        <f>'Source Table'!$H$8</f>
        <v>ذكر</v>
      </c>
      <c r="J1374" t="str">
        <f t="shared" si="42"/>
        <v>2015/2014</v>
      </c>
      <c r="K1374" t="str">
        <f t="shared" si="43"/>
        <v>2015/2014</v>
      </c>
      <c r="L1374" s="38">
        <v>22094</v>
      </c>
      <c r="M1374" s="18">
        <v>2014</v>
      </c>
    </row>
    <row r="1375" ht="21.75" spans="1:13">
      <c r="A1375" s="18" t="s">
        <v>155</v>
      </c>
      <c r="B1375" s="18" t="s">
        <v>156</v>
      </c>
      <c r="C1375" s="18" t="s">
        <v>157</v>
      </c>
      <c r="D1375" s="18" t="s">
        <v>158</v>
      </c>
      <c r="E1375" s="18" t="s">
        <v>159</v>
      </c>
      <c r="F1375" s="19" t="s">
        <v>94</v>
      </c>
      <c r="G1375" s="20" t="s">
        <v>95</v>
      </c>
      <c r="H1375" t="str">
        <f>'Source Table'!$H$9</f>
        <v>Male</v>
      </c>
      <c r="I1375" t="str">
        <f>'Source Table'!$H$8</f>
        <v>ذكر</v>
      </c>
      <c r="J1375" t="str">
        <f t="shared" si="42"/>
        <v>2015/2014</v>
      </c>
      <c r="K1375" t="str">
        <f t="shared" si="43"/>
        <v>2015/2014</v>
      </c>
      <c r="L1375" s="38">
        <v>14148</v>
      </c>
      <c r="M1375" s="18">
        <v>2014</v>
      </c>
    </row>
    <row r="1376" ht="21.75" spans="1:13">
      <c r="A1376" s="18" t="s">
        <v>155</v>
      </c>
      <c r="B1376" s="18" t="s">
        <v>156</v>
      </c>
      <c r="C1376" s="18" t="s">
        <v>157</v>
      </c>
      <c r="D1376" s="18" t="s">
        <v>158</v>
      </c>
      <c r="E1376" s="18" t="s">
        <v>159</v>
      </c>
      <c r="F1376" s="19" t="s">
        <v>96</v>
      </c>
      <c r="G1376" s="20" t="s">
        <v>97</v>
      </c>
      <c r="H1376" t="str">
        <f>'Source Table'!$H$9</f>
        <v>Male</v>
      </c>
      <c r="I1376" t="str">
        <f>'Source Table'!$H$8</f>
        <v>ذكر</v>
      </c>
      <c r="J1376" t="str">
        <f t="shared" si="42"/>
        <v>2015/2014</v>
      </c>
      <c r="K1376" t="str">
        <f t="shared" si="43"/>
        <v>2015/2014</v>
      </c>
      <c r="L1376" s="38">
        <v>25076</v>
      </c>
      <c r="M1376" s="18">
        <v>2014</v>
      </c>
    </row>
    <row r="1377" ht="21.75" spans="1:13">
      <c r="A1377" s="18" t="s">
        <v>155</v>
      </c>
      <c r="B1377" s="18" t="s">
        <v>156</v>
      </c>
      <c r="C1377" s="18" t="s">
        <v>157</v>
      </c>
      <c r="D1377" s="18" t="s">
        <v>158</v>
      </c>
      <c r="E1377" s="18" t="s">
        <v>159</v>
      </c>
      <c r="F1377" s="19" t="s">
        <v>98</v>
      </c>
      <c r="G1377" s="20" t="s">
        <v>99</v>
      </c>
      <c r="H1377" t="str">
        <f>'Source Table'!$H$9</f>
        <v>Male</v>
      </c>
      <c r="I1377" t="str">
        <f>'Source Table'!$H$8</f>
        <v>ذكر</v>
      </c>
      <c r="J1377" t="str">
        <f t="shared" si="42"/>
        <v>2015/2014</v>
      </c>
      <c r="K1377" t="str">
        <f t="shared" si="43"/>
        <v>2015/2014</v>
      </c>
      <c r="L1377" s="39">
        <v>27948</v>
      </c>
      <c r="M1377" s="18">
        <v>2014</v>
      </c>
    </row>
    <row r="1378" ht="21.75" spans="1:13">
      <c r="A1378" s="18" t="s">
        <v>155</v>
      </c>
      <c r="B1378" s="18" t="s">
        <v>156</v>
      </c>
      <c r="C1378" s="18" t="s">
        <v>157</v>
      </c>
      <c r="D1378" s="18" t="s">
        <v>158</v>
      </c>
      <c r="E1378" s="18" t="s">
        <v>159</v>
      </c>
      <c r="F1378" s="19" t="s">
        <v>100</v>
      </c>
      <c r="G1378" s="20" t="s">
        <v>101</v>
      </c>
      <c r="H1378" t="str">
        <f>'Source Table'!$H$9</f>
        <v>Male</v>
      </c>
      <c r="I1378" t="str">
        <f>'Source Table'!$H$8</f>
        <v>ذكر</v>
      </c>
      <c r="J1378" t="str">
        <f t="shared" si="42"/>
        <v>2015/2014</v>
      </c>
      <c r="K1378" t="str">
        <f t="shared" si="43"/>
        <v>2015/2014</v>
      </c>
      <c r="L1378" s="39">
        <v>20541</v>
      </c>
      <c r="M1378" s="18">
        <v>2014</v>
      </c>
    </row>
    <row r="1379" ht="21.75" spans="1:13">
      <c r="A1379" s="18" t="s">
        <v>155</v>
      </c>
      <c r="B1379" s="18" t="s">
        <v>156</v>
      </c>
      <c r="C1379" s="18" t="s">
        <v>157</v>
      </c>
      <c r="D1379" s="18" t="s">
        <v>158</v>
      </c>
      <c r="E1379" s="18" t="s">
        <v>159</v>
      </c>
      <c r="F1379" s="19" t="s">
        <v>103</v>
      </c>
      <c r="G1379" s="20" t="s">
        <v>104</v>
      </c>
      <c r="H1379" t="str">
        <f>'Source Table'!$H$9</f>
        <v>Male</v>
      </c>
      <c r="I1379" t="str">
        <f>'Source Table'!$H$8</f>
        <v>ذكر</v>
      </c>
      <c r="J1379" t="str">
        <f t="shared" si="42"/>
        <v>2015/2014</v>
      </c>
      <c r="K1379" t="str">
        <f t="shared" si="43"/>
        <v>2015/2014</v>
      </c>
      <c r="L1379" s="38">
        <v>14262</v>
      </c>
      <c r="M1379" s="18">
        <v>2014</v>
      </c>
    </row>
    <row r="1380" ht="21.75" spans="1:13">
      <c r="A1380" s="18" t="s">
        <v>155</v>
      </c>
      <c r="B1380" s="18" t="s">
        <v>156</v>
      </c>
      <c r="C1380" s="18" t="s">
        <v>157</v>
      </c>
      <c r="D1380" s="18" t="s">
        <v>158</v>
      </c>
      <c r="E1380" s="18" t="s">
        <v>159</v>
      </c>
      <c r="F1380" s="19" t="s">
        <v>106</v>
      </c>
      <c r="G1380" s="20" t="s">
        <v>107</v>
      </c>
      <c r="H1380" t="str">
        <f>'Source Table'!$H$9</f>
        <v>Male</v>
      </c>
      <c r="I1380" t="str">
        <f>'Source Table'!$H$8</f>
        <v>ذكر</v>
      </c>
      <c r="J1380" t="str">
        <f t="shared" si="42"/>
        <v>2015/2014</v>
      </c>
      <c r="K1380" t="str">
        <f t="shared" si="43"/>
        <v>2015/2014</v>
      </c>
      <c r="L1380" s="38">
        <v>9838</v>
      </c>
      <c r="M1380" s="18">
        <v>2014</v>
      </c>
    </row>
    <row r="1381" ht="21.75" spans="1:13">
      <c r="A1381" s="18" t="s">
        <v>155</v>
      </c>
      <c r="B1381" s="18" t="s">
        <v>156</v>
      </c>
      <c r="C1381" s="18" t="s">
        <v>157</v>
      </c>
      <c r="D1381" s="18" t="s">
        <v>158</v>
      </c>
      <c r="E1381" s="18" t="s">
        <v>159</v>
      </c>
      <c r="F1381" s="19" t="s">
        <v>108</v>
      </c>
      <c r="G1381" s="20" t="s">
        <v>109</v>
      </c>
      <c r="H1381" t="str">
        <f>'Source Table'!$H$9</f>
        <v>Male</v>
      </c>
      <c r="I1381" t="str">
        <f>'Source Table'!$H$8</f>
        <v>ذكر</v>
      </c>
      <c r="J1381" t="str">
        <f t="shared" si="42"/>
        <v>2015/2014</v>
      </c>
      <c r="K1381" t="str">
        <f t="shared" si="43"/>
        <v>2015/2014</v>
      </c>
      <c r="L1381" s="38">
        <v>6091</v>
      </c>
      <c r="M1381" s="18">
        <v>2014</v>
      </c>
    </row>
    <row r="1382" ht="21.75" spans="1:13">
      <c r="A1382" s="18" t="s">
        <v>155</v>
      </c>
      <c r="B1382" s="18" t="s">
        <v>156</v>
      </c>
      <c r="C1382" s="18" t="s">
        <v>157</v>
      </c>
      <c r="D1382" s="18" t="s">
        <v>158</v>
      </c>
      <c r="E1382" s="18" t="s">
        <v>159</v>
      </c>
      <c r="F1382" s="19" t="s">
        <v>110</v>
      </c>
      <c r="G1382" s="20" t="s">
        <v>111</v>
      </c>
      <c r="H1382" t="str">
        <f>'Source Table'!$H$9</f>
        <v>Male</v>
      </c>
      <c r="I1382" t="str">
        <f>'Source Table'!$H$8</f>
        <v>ذكر</v>
      </c>
      <c r="J1382" t="str">
        <f t="shared" si="42"/>
        <v>2015/2014</v>
      </c>
      <c r="K1382" t="str">
        <f t="shared" si="43"/>
        <v>2015/2014</v>
      </c>
      <c r="L1382" s="38">
        <v>6970</v>
      </c>
      <c r="M1382" s="18">
        <v>2014</v>
      </c>
    </row>
    <row r="1383" ht="21.75" spans="1:13">
      <c r="A1383" s="18" t="s">
        <v>155</v>
      </c>
      <c r="B1383" s="18" t="s">
        <v>156</v>
      </c>
      <c r="C1383" s="18" t="s">
        <v>157</v>
      </c>
      <c r="D1383" s="18" t="s">
        <v>158</v>
      </c>
      <c r="E1383" s="18" t="s">
        <v>159</v>
      </c>
      <c r="F1383" s="19" t="s">
        <v>113</v>
      </c>
      <c r="G1383" s="20" t="s">
        <v>114</v>
      </c>
      <c r="H1383" t="str">
        <f>'Source Table'!$H$9</f>
        <v>Male</v>
      </c>
      <c r="I1383" t="str">
        <f>'Source Table'!$H$8</f>
        <v>ذكر</v>
      </c>
      <c r="J1383" t="str">
        <f t="shared" si="42"/>
        <v>2015/2014</v>
      </c>
      <c r="K1383" t="str">
        <f t="shared" si="43"/>
        <v>2015/2014</v>
      </c>
      <c r="L1383" s="38">
        <v>9875</v>
      </c>
      <c r="M1383" s="18">
        <v>2014</v>
      </c>
    </row>
    <row r="1384" ht="21.75" spans="1:13">
      <c r="A1384" s="18" t="s">
        <v>155</v>
      </c>
      <c r="B1384" s="18" t="s">
        <v>156</v>
      </c>
      <c r="C1384" s="18" t="s">
        <v>157</v>
      </c>
      <c r="D1384" s="18" t="s">
        <v>158</v>
      </c>
      <c r="E1384" s="18" t="s">
        <v>159</v>
      </c>
      <c r="F1384" s="19" t="s">
        <v>115</v>
      </c>
      <c r="G1384" s="20" t="s">
        <v>116</v>
      </c>
      <c r="H1384" t="str">
        <f>'Source Table'!$H$9</f>
        <v>Male</v>
      </c>
      <c r="I1384" t="str">
        <f>'Source Table'!$H$8</f>
        <v>ذكر</v>
      </c>
      <c r="J1384" t="str">
        <f t="shared" si="42"/>
        <v>2015/2014</v>
      </c>
      <c r="K1384" t="str">
        <f t="shared" si="43"/>
        <v>2015/2014</v>
      </c>
      <c r="L1384" s="38">
        <v>3581</v>
      </c>
      <c r="M1384" s="18">
        <v>2014</v>
      </c>
    </row>
    <row r="1385" ht="21.75" spans="1:13">
      <c r="A1385" s="18" t="s">
        <v>155</v>
      </c>
      <c r="B1385" s="18" t="s">
        <v>156</v>
      </c>
      <c r="C1385" s="18" t="s">
        <v>157</v>
      </c>
      <c r="D1385" s="18" t="s">
        <v>158</v>
      </c>
      <c r="E1385" s="18" t="s">
        <v>159</v>
      </c>
      <c r="F1385" s="19" t="s">
        <v>118</v>
      </c>
      <c r="G1385" s="20" t="s">
        <v>119</v>
      </c>
      <c r="H1385" t="str">
        <f>'Source Table'!$H$9</f>
        <v>Male</v>
      </c>
      <c r="I1385" t="str">
        <f>'Source Table'!$H$8</f>
        <v>ذكر</v>
      </c>
      <c r="J1385" t="str">
        <f t="shared" si="42"/>
        <v>2015/2014</v>
      </c>
      <c r="K1385" t="str">
        <f t="shared" si="43"/>
        <v>2015/2014</v>
      </c>
      <c r="L1385" s="38">
        <v>5276</v>
      </c>
      <c r="M1385" s="18">
        <v>2014</v>
      </c>
    </row>
    <row r="1386" ht="21.75" spans="1:13">
      <c r="A1386" s="18" t="s">
        <v>155</v>
      </c>
      <c r="B1386" s="18" t="s">
        <v>156</v>
      </c>
      <c r="C1386" s="18" t="s">
        <v>157</v>
      </c>
      <c r="D1386" s="18" t="s">
        <v>158</v>
      </c>
      <c r="E1386" s="18" t="s">
        <v>159</v>
      </c>
      <c r="F1386" s="19" t="s">
        <v>120</v>
      </c>
      <c r="G1386" s="20" t="s">
        <v>121</v>
      </c>
      <c r="H1386" t="str">
        <f>'Source Table'!$H$9</f>
        <v>Male</v>
      </c>
      <c r="I1386" t="str">
        <f>'Source Table'!$H$8</f>
        <v>ذكر</v>
      </c>
      <c r="J1386" t="str">
        <f t="shared" si="42"/>
        <v>2015/2014</v>
      </c>
      <c r="K1386" t="str">
        <f t="shared" si="43"/>
        <v>2015/2014</v>
      </c>
      <c r="L1386" s="38">
        <v>7227</v>
      </c>
      <c r="M1386" s="18">
        <v>2014</v>
      </c>
    </row>
    <row r="1387" ht="21.75" spans="1:13">
      <c r="A1387" s="18" t="s">
        <v>155</v>
      </c>
      <c r="B1387" s="18" t="s">
        <v>156</v>
      </c>
      <c r="C1387" s="18" t="s">
        <v>157</v>
      </c>
      <c r="D1387" s="18" t="s">
        <v>158</v>
      </c>
      <c r="E1387" s="18" t="s">
        <v>159</v>
      </c>
      <c r="F1387" s="19" t="s">
        <v>122</v>
      </c>
      <c r="G1387" s="20" t="s">
        <v>123</v>
      </c>
      <c r="H1387" t="str">
        <f>'Source Table'!$H$9</f>
        <v>Male</v>
      </c>
      <c r="I1387" t="str">
        <f>'Source Table'!$H$8</f>
        <v>ذكر</v>
      </c>
      <c r="J1387" t="str">
        <f t="shared" si="42"/>
        <v>2015/2014</v>
      </c>
      <c r="K1387" t="str">
        <f t="shared" si="43"/>
        <v>2015/2014</v>
      </c>
      <c r="L1387" s="38">
        <v>4343</v>
      </c>
      <c r="M1387" s="18">
        <v>2014</v>
      </c>
    </row>
    <row r="1388" ht="21.75" spans="1:13">
      <c r="A1388" s="18" t="s">
        <v>155</v>
      </c>
      <c r="B1388" s="18" t="s">
        <v>156</v>
      </c>
      <c r="C1388" s="18" t="s">
        <v>157</v>
      </c>
      <c r="D1388" s="18" t="s">
        <v>158</v>
      </c>
      <c r="E1388" s="18" t="s">
        <v>159</v>
      </c>
      <c r="F1388" s="19" t="s">
        <v>124</v>
      </c>
      <c r="G1388" s="20" t="s">
        <v>125</v>
      </c>
      <c r="H1388" t="str">
        <f>'Source Table'!$H$9</f>
        <v>Male</v>
      </c>
      <c r="I1388" t="str">
        <f>'Source Table'!$H$8</f>
        <v>ذكر</v>
      </c>
      <c r="J1388" t="str">
        <f t="shared" si="42"/>
        <v>2015/2014</v>
      </c>
      <c r="K1388" t="str">
        <f t="shared" si="43"/>
        <v>2015/2014</v>
      </c>
      <c r="L1388" s="38">
        <v>1705</v>
      </c>
      <c r="M1388" s="18">
        <v>2014</v>
      </c>
    </row>
    <row r="1389" ht="21.75" spans="1:13">
      <c r="A1389" s="18" t="s">
        <v>155</v>
      </c>
      <c r="B1389" s="18" t="s">
        <v>156</v>
      </c>
      <c r="C1389" s="18" t="s">
        <v>157</v>
      </c>
      <c r="D1389" s="18" t="s">
        <v>158</v>
      </c>
      <c r="E1389" s="18" t="s">
        <v>159</v>
      </c>
      <c r="F1389" s="19" t="s">
        <v>126</v>
      </c>
      <c r="G1389" s="20" t="s">
        <v>127</v>
      </c>
      <c r="H1389" t="str">
        <f>'Source Table'!$H$9</f>
        <v>Male</v>
      </c>
      <c r="I1389" t="str">
        <f>'Source Table'!$H$8</f>
        <v>ذكر</v>
      </c>
      <c r="J1389" t="str">
        <f t="shared" si="42"/>
        <v>2015/2014</v>
      </c>
      <c r="K1389" t="str">
        <f t="shared" si="43"/>
        <v>2015/2014</v>
      </c>
      <c r="L1389" s="39">
        <v>21293</v>
      </c>
      <c r="M1389" s="18">
        <v>2014</v>
      </c>
    </row>
    <row r="1390" ht="21.75" spans="1:13">
      <c r="A1390" s="18" t="s">
        <v>155</v>
      </c>
      <c r="B1390" s="18" t="s">
        <v>156</v>
      </c>
      <c r="C1390" s="18" t="s">
        <v>157</v>
      </c>
      <c r="D1390" s="18" t="s">
        <v>158</v>
      </c>
      <c r="E1390" s="18" t="s">
        <v>159</v>
      </c>
      <c r="F1390" s="19" t="s">
        <v>29</v>
      </c>
      <c r="G1390" s="20" t="s">
        <v>30</v>
      </c>
      <c r="H1390" t="str">
        <f>'Source Table'!$G$9</f>
        <v>Female</v>
      </c>
      <c r="I1390" t="str">
        <f>'Source Table'!$G$8</f>
        <v>أنثى</v>
      </c>
      <c r="J1390" t="str">
        <f t="shared" si="42"/>
        <v>2015/2014</v>
      </c>
      <c r="K1390" t="str">
        <f t="shared" si="43"/>
        <v>2015/2014</v>
      </c>
      <c r="L1390" s="38">
        <v>81644</v>
      </c>
      <c r="M1390" s="18">
        <v>2014</v>
      </c>
    </row>
    <row r="1391" ht="21.75" spans="1:13">
      <c r="A1391" s="18" t="s">
        <v>155</v>
      </c>
      <c r="B1391" s="18" t="s">
        <v>156</v>
      </c>
      <c r="C1391" s="18" t="s">
        <v>157</v>
      </c>
      <c r="D1391" s="18" t="s">
        <v>158</v>
      </c>
      <c r="E1391" s="18" t="s">
        <v>159</v>
      </c>
      <c r="F1391" s="19" t="s">
        <v>32</v>
      </c>
      <c r="G1391" s="20" t="s">
        <v>33</v>
      </c>
      <c r="H1391" t="str">
        <f>'Source Table'!$G$9</f>
        <v>Female</v>
      </c>
      <c r="I1391" t="str">
        <f>'Source Table'!$G$8</f>
        <v>أنثى</v>
      </c>
      <c r="J1391" t="str">
        <f t="shared" si="42"/>
        <v>2015/2014</v>
      </c>
      <c r="K1391" t="str">
        <f t="shared" si="43"/>
        <v>2015/2014</v>
      </c>
      <c r="L1391" s="38">
        <v>56617</v>
      </c>
      <c r="M1391" s="18">
        <v>2014</v>
      </c>
    </row>
    <row r="1392" ht="21.75" spans="1:13">
      <c r="A1392" s="18" t="s">
        <v>155</v>
      </c>
      <c r="B1392" s="18" t="s">
        <v>156</v>
      </c>
      <c r="C1392" s="18" t="s">
        <v>157</v>
      </c>
      <c r="D1392" s="18" t="s">
        <v>158</v>
      </c>
      <c r="E1392" s="18" t="s">
        <v>159</v>
      </c>
      <c r="F1392" s="19" t="s">
        <v>34</v>
      </c>
      <c r="G1392" s="20" t="s">
        <v>35</v>
      </c>
      <c r="H1392" t="str">
        <f>'Source Table'!$G$9</f>
        <v>Female</v>
      </c>
      <c r="I1392" t="str">
        <f>'Source Table'!$G$8</f>
        <v>أنثى</v>
      </c>
      <c r="J1392" t="str">
        <f t="shared" si="42"/>
        <v>2015/2014</v>
      </c>
      <c r="K1392" t="str">
        <f t="shared" si="43"/>
        <v>2015/2014</v>
      </c>
      <c r="L1392" s="38">
        <v>12683</v>
      </c>
      <c r="M1392" s="18">
        <v>2014</v>
      </c>
    </row>
    <row r="1393" ht="21.75" spans="1:13">
      <c r="A1393" s="18" t="s">
        <v>155</v>
      </c>
      <c r="B1393" s="18" t="s">
        <v>156</v>
      </c>
      <c r="C1393" s="18" t="s">
        <v>157</v>
      </c>
      <c r="D1393" s="18" t="s">
        <v>158</v>
      </c>
      <c r="E1393" s="18" t="s">
        <v>159</v>
      </c>
      <c r="F1393" s="19" t="s">
        <v>36</v>
      </c>
      <c r="G1393" s="20" t="s">
        <v>37</v>
      </c>
      <c r="H1393" t="str">
        <f>'Source Table'!$G$9</f>
        <v>Female</v>
      </c>
      <c r="I1393" t="str">
        <f>'Source Table'!$G$8</f>
        <v>أنثى</v>
      </c>
      <c r="J1393" t="str">
        <f t="shared" si="42"/>
        <v>2015/2014</v>
      </c>
      <c r="K1393" t="str">
        <f t="shared" si="43"/>
        <v>2015/2014</v>
      </c>
      <c r="L1393" s="38">
        <v>56806</v>
      </c>
      <c r="M1393" s="18">
        <v>2014</v>
      </c>
    </row>
    <row r="1394" ht="21.75" spans="1:13">
      <c r="A1394" s="18" t="s">
        <v>155</v>
      </c>
      <c r="B1394" s="18" t="s">
        <v>156</v>
      </c>
      <c r="C1394" s="18" t="s">
        <v>157</v>
      </c>
      <c r="D1394" s="18" t="s">
        <v>158</v>
      </c>
      <c r="E1394" s="18" t="s">
        <v>159</v>
      </c>
      <c r="F1394" s="19" t="s">
        <v>38</v>
      </c>
      <c r="G1394" s="20" t="s">
        <v>39</v>
      </c>
      <c r="H1394" t="str">
        <f>'Source Table'!$G$9</f>
        <v>Female</v>
      </c>
      <c r="I1394" t="str">
        <f>'Source Table'!$G$8</f>
        <v>أنثى</v>
      </c>
      <c r="J1394" t="str">
        <f t="shared" si="42"/>
        <v>2015/2014</v>
      </c>
      <c r="K1394" t="str">
        <f t="shared" si="43"/>
        <v>2015/2014</v>
      </c>
      <c r="L1394" s="38">
        <v>83294</v>
      </c>
      <c r="M1394" s="18">
        <v>2014</v>
      </c>
    </row>
    <row r="1395" ht="21.75" spans="1:13">
      <c r="A1395" s="18" t="s">
        <v>155</v>
      </c>
      <c r="B1395" s="18" t="s">
        <v>156</v>
      </c>
      <c r="C1395" s="18" t="s">
        <v>157</v>
      </c>
      <c r="D1395" s="18" t="s">
        <v>158</v>
      </c>
      <c r="E1395" s="18" t="s">
        <v>159</v>
      </c>
      <c r="F1395" s="19" t="s">
        <v>40</v>
      </c>
      <c r="G1395" s="20" t="s">
        <v>41</v>
      </c>
      <c r="H1395" t="str">
        <f>'Source Table'!$G$9</f>
        <v>Female</v>
      </c>
      <c r="I1395" t="str">
        <f>'Source Table'!$G$8</f>
        <v>أنثى</v>
      </c>
      <c r="J1395" t="str">
        <f t="shared" si="42"/>
        <v>2015/2014</v>
      </c>
      <c r="K1395" t="str">
        <f t="shared" si="43"/>
        <v>2015/2014</v>
      </c>
      <c r="L1395" s="38">
        <v>26274</v>
      </c>
      <c r="M1395" s="18">
        <v>2014</v>
      </c>
    </row>
    <row r="1396" ht="21.75" spans="1:13">
      <c r="A1396" s="18" t="s">
        <v>155</v>
      </c>
      <c r="B1396" s="18" t="s">
        <v>156</v>
      </c>
      <c r="C1396" s="18" t="s">
        <v>157</v>
      </c>
      <c r="D1396" s="18" t="s">
        <v>158</v>
      </c>
      <c r="E1396" s="18" t="s">
        <v>159</v>
      </c>
      <c r="F1396" s="19" t="s">
        <v>42</v>
      </c>
      <c r="G1396" s="20" t="s">
        <v>43</v>
      </c>
      <c r="H1396" t="str">
        <f>'Source Table'!$G$9</f>
        <v>Female</v>
      </c>
      <c r="I1396" t="str">
        <f>'Source Table'!$G$8</f>
        <v>أنثى</v>
      </c>
      <c r="J1396" t="str">
        <f t="shared" si="42"/>
        <v>2015/2014</v>
      </c>
      <c r="K1396" t="str">
        <f t="shared" si="43"/>
        <v>2015/2014</v>
      </c>
      <c r="L1396" s="38">
        <v>11892</v>
      </c>
      <c r="M1396" s="18">
        <v>2014</v>
      </c>
    </row>
    <row r="1397" ht="21.75" spans="1:13">
      <c r="A1397" s="18" t="s">
        <v>155</v>
      </c>
      <c r="B1397" s="18" t="s">
        <v>156</v>
      </c>
      <c r="C1397" s="18" t="s">
        <v>157</v>
      </c>
      <c r="D1397" s="18" t="s">
        <v>158</v>
      </c>
      <c r="E1397" s="18" t="s">
        <v>159</v>
      </c>
      <c r="F1397" s="19" t="s">
        <v>44</v>
      </c>
      <c r="G1397" s="20" t="s">
        <v>45</v>
      </c>
      <c r="H1397" t="str">
        <f>'Source Table'!$G$9</f>
        <v>Female</v>
      </c>
      <c r="I1397" t="str">
        <f>'Source Table'!$G$8</f>
        <v>أنثى</v>
      </c>
      <c r="J1397" t="str">
        <f t="shared" si="42"/>
        <v>2015/2014</v>
      </c>
      <c r="K1397" t="str">
        <f t="shared" si="43"/>
        <v>2015/2014</v>
      </c>
      <c r="L1397" s="38">
        <v>6468</v>
      </c>
      <c r="M1397" s="18">
        <v>2014</v>
      </c>
    </row>
    <row r="1398" ht="21.75" spans="1:13">
      <c r="A1398" s="18" t="s">
        <v>155</v>
      </c>
      <c r="B1398" s="18" t="s">
        <v>156</v>
      </c>
      <c r="C1398" s="18" t="s">
        <v>157</v>
      </c>
      <c r="D1398" s="18" t="s">
        <v>158</v>
      </c>
      <c r="E1398" s="18" t="s">
        <v>159</v>
      </c>
      <c r="F1398" s="19" t="s">
        <v>46</v>
      </c>
      <c r="G1398" s="20" t="s">
        <v>47</v>
      </c>
      <c r="H1398" t="str">
        <f>'Source Table'!$G$9</f>
        <v>Female</v>
      </c>
      <c r="I1398" t="str">
        <f>'Source Table'!$G$8</f>
        <v>أنثى</v>
      </c>
      <c r="J1398" t="str">
        <f t="shared" si="42"/>
        <v>2015/2014</v>
      </c>
      <c r="K1398" t="str">
        <f t="shared" si="43"/>
        <v>2015/2014</v>
      </c>
      <c r="L1398" s="38">
        <v>7790</v>
      </c>
      <c r="M1398" s="18">
        <v>2014</v>
      </c>
    </row>
    <row r="1399" ht="21.75" spans="1:13">
      <c r="A1399" s="18" t="s">
        <v>155</v>
      </c>
      <c r="B1399" s="18" t="s">
        <v>156</v>
      </c>
      <c r="C1399" s="18" t="s">
        <v>157</v>
      </c>
      <c r="D1399" s="18" t="s">
        <v>158</v>
      </c>
      <c r="E1399" s="18" t="s">
        <v>159</v>
      </c>
      <c r="F1399" s="19" t="s">
        <v>49</v>
      </c>
      <c r="G1399" s="20" t="s">
        <v>50</v>
      </c>
      <c r="H1399" t="str">
        <f>'Source Table'!$G$9</f>
        <v>Female</v>
      </c>
      <c r="I1399" t="str">
        <f>'Source Table'!$G$8</f>
        <v>أنثى</v>
      </c>
      <c r="J1399" t="str">
        <f t="shared" si="42"/>
        <v>2015/2014</v>
      </c>
      <c r="K1399" t="str">
        <f t="shared" si="43"/>
        <v>2015/2014</v>
      </c>
      <c r="L1399" s="38">
        <v>23212</v>
      </c>
      <c r="M1399" s="18">
        <v>2014</v>
      </c>
    </row>
    <row r="1400" ht="21.75" spans="1:13">
      <c r="A1400" s="18" t="s">
        <v>155</v>
      </c>
      <c r="B1400" s="18" t="s">
        <v>156</v>
      </c>
      <c r="C1400" s="18" t="s">
        <v>157</v>
      </c>
      <c r="D1400" s="18" t="s">
        <v>158</v>
      </c>
      <c r="E1400" s="18" t="s">
        <v>159</v>
      </c>
      <c r="F1400" s="19" t="s">
        <v>52</v>
      </c>
      <c r="G1400" s="20" t="s">
        <v>53</v>
      </c>
      <c r="H1400" t="str">
        <f>'Source Table'!$G$9</f>
        <v>Female</v>
      </c>
      <c r="I1400" t="str">
        <f>'Source Table'!$G$8</f>
        <v>أنثى</v>
      </c>
      <c r="J1400" t="str">
        <f t="shared" si="42"/>
        <v>2015/2014</v>
      </c>
      <c r="K1400" t="str">
        <f t="shared" si="43"/>
        <v>2015/2014</v>
      </c>
      <c r="L1400" s="38">
        <v>7647</v>
      </c>
      <c r="M1400" s="18">
        <v>2014</v>
      </c>
    </row>
    <row r="1401" ht="21.75" spans="1:13">
      <c r="A1401" s="18" t="s">
        <v>155</v>
      </c>
      <c r="B1401" s="18" t="s">
        <v>156</v>
      </c>
      <c r="C1401" s="18" t="s">
        <v>157</v>
      </c>
      <c r="D1401" s="18" t="s">
        <v>158</v>
      </c>
      <c r="E1401" s="18" t="s">
        <v>159</v>
      </c>
      <c r="F1401" s="19" t="s">
        <v>54</v>
      </c>
      <c r="G1401" s="20" t="s">
        <v>55</v>
      </c>
      <c r="H1401" t="str">
        <f>'Source Table'!$G$9</f>
        <v>Female</v>
      </c>
      <c r="I1401" t="str">
        <f>'Source Table'!$G$8</f>
        <v>أنثى</v>
      </c>
      <c r="J1401" t="str">
        <f t="shared" si="42"/>
        <v>2015/2014</v>
      </c>
      <c r="K1401" t="str">
        <f t="shared" si="43"/>
        <v>2015/2014</v>
      </c>
      <c r="L1401" s="38">
        <v>6786</v>
      </c>
      <c r="M1401" s="18">
        <v>2014</v>
      </c>
    </row>
    <row r="1402" ht="21.75" spans="1:13">
      <c r="A1402" s="18" t="s">
        <v>155</v>
      </c>
      <c r="B1402" s="18" t="s">
        <v>156</v>
      </c>
      <c r="C1402" s="18" t="s">
        <v>157</v>
      </c>
      <c r="D1402" s="18" t="s">
        <v>158</v>
      </c>
      <c r="E1402" s="18" t="s">
        <v>159</v>
      </c>
      <c r="F1402" s="19" t="s">
        <v>56</v>
      </c>
      <c r="G1402" s="20" t="s">
        <v>57</v>
      </c>
      <c r="H1402" t="str">
        <f>'Source Table'!$G$9</f>
        <v>Female</v>
      </c>
      <c r="I1402" t="str">
        <f>'Source Table'!$G$8</f>
        <v>أنثى</v>
      </c>
      <c r="J1402" t="str">
        <f t="shared" si="42"/>
        <v>2015/2014</v>
      </c>
      <c r="K1402" t="str">
        <f t="shared" si="43"/>
        <v>2015/2014</v>
      </c>
      <c r="L1402" s="38">
        <v>24688</v>
      </c>
      <c r="M1402" s="18">
        <v>2014</v>
      </c>
    </row>
    <row r="1403" ht="21.75" spans="1:13">
      <c r="A1403" s="18" t="s">
        <v>155</v>
      </c>
      <c r="B1403" s="18" t="s">
        <v>156</v>
      </c>
      <c r="C1403" s="18" t="s">
        <v>157</v>
      </c>
      <c r="D1403" s="18" t="s">
        <v>158</v>
      </c>
      <c r="E1403" s="18" t="s">
        <v>159</v>
      </c>
      <c r="F1403" s="19" t="s">
        <v>59</v>
      </c>
      <c r="G1403" s="20" t="s">
        <v>160</v>
      </c>
      <c r="H1403" t="str">
        <f>'Source Table'!$G$9</f>
        <v>Female</v>
      </c>
      <c r="I1403" t="str">
        <f>'Source Table'!$G$8</f>
        <v>أنثى</v>
      </c>
      <c r="J1403" t="str">
        <f t="shared" si="42"/>
        <v>2015/2014</v>
      </c>
      <c r="K1403" t="str">
        <f t="shared" si="43"/>
        <v>2015/2014</v>
      </c>
      <c r="L1403" s="38">
        <v>65732</v>
      </c>
      <c r="M1403" s="18">
        <v>2014</v>
      </c>
    </row>
    <row r="1404" ht="21.75" spans="1:13">
      <c r="A1404" s="18" t="s">
        <v>155</v>
      </c>
      <c r="B1404" s="18" t="s">
        <v>156</v>
      </c>
      <c r="C1404" s="18" t="s">
        <v>157</v>
      </c>
      <c r="D1404" s="18" t="s">
        <v>158</v>
      </c>
      <c r="E1404" s="18" t="s">
        <v>159</v>
      </c>
      <c r="F1404" s="19" t="s">
        <v>62</v>
      </c>
      <c r="G1404" s="20" t="s">
        <v>161</v>
      </c>
      <c r="H1404" t="str">
        <f>'Source Table'!$G$9</f>
        <v>Female</v>
      </c>
      <c r="I1404" t="str">
        <f>'Source Table'!$G$8</f>
        <v>أنثى</v>
      </c>
      <c r="J1404" t="str">
        <f t="shared" si="42"/>
        <v>2015/2014</v>
      </c>
      <c r="K1404" t="str">
        <f t="shared" si="43"/>
        <v>2015/2014</v>
      </c>
      <c r="L1404" s="38">
        <v>20229</v>
      </c>
      <c r="M1404" s="18">
        <v>2014</v>
      </c>
    </row>
    <row r="1405" ht="21.75" spans="1:13">
      <c r="A1405" s="18" t="s">
        <v>155</v>
      </c>
      <c r="B1405" s="18" t="s">
        <v>156</v>
      </c>
      <c r="C1405" s="18" t="s">
        <v>157</v>
      </c>
      <c r="D1405" s="18" t="s">
        <v>158</v>
      </c>
      <c r="E1405" s="18" t="s">
        <v>159</v>
      </c>
      <c r="F1405" s="19" t="s">
        <v>64</v>
      </c>
      <c r="G1405" s="20" t="s">
        <v>65</v>
      </c>
      <c r="H1405" t="str">
        <f>'Source Table'!$G$9</f>
        <v>Female</v>
      </c>
      <c r="I1405" t="str">
        <f>'Source Table'!$G$8</f>
        <v>أنثى</v>
      </c>
      <c r="J1405" t="str">
        <f t="shared" si="42"/>
        <v>2015/2014</v>
      </c>
      <c r="K1405" t="str">
        <f t="shared" si="43"/>
        <v>2015/2014</v>
      </c>
      <c r="L1405" s="38">
        <v>48431</v>
      </c>
      <c r="M1405" s="18">
        <v>2014</v>
      </c>
    </row>
    <row r="1406" ht="21.75" spans="1:13">
      <c r="A1406" s="18" t="s">
        <v>155</v>
      </c>
      <c r="B1406" s="18" t="s">
        <v>156</v>
      </c>
      <c r="C1406" s="18" t="s">
        <v>157</v>
      </c>
      <c r="D1406" s="18" t="s">
        <v>158</v>
      </c>
      <c r="E1406" s="18" t="s">
        <v>159</v>
      </c>
      <c r="F1406" s="19" t="s">
        <v>68</v>
      </c>
      <c r="G1406" s="20" t="s">
        <v>69</v>
      </c>
      <c r="H1406" t="str">
        <f>'Source Table'!$G$9</f>
        <v>Female</v>
      </c>
      <c r="I1406" t="str">
        <f>'Source Table'!$G$8</f>
        <v>أنثى</v>
      </c>
      <c r="J1406" t="str">
        <f t="shared" si="42"/>
        <v>2015/2014</v>
      </c>
      <c r="K1406" t="str">
        <f t="shared" si="43"/>
        <v>2015/2014</v>
      </c>
      <c r="L1406" s="38">
        <v>19076</v>
      </c>
      <c r="M1406" s="18">
        <v>2014</v>
      </c>
    </row>
    <row r="1407" ht="21.75" spans="1:13">
      <c r="A1407" s="18" t="s">
        <v>155</v>
      </c>
      <c r="B1407" s="18" t="s">
        <v>156</v>
      </c>
      <c r="C1407" s="18" t="s">
        <v>157</v>
      </c>
      <c r="D1407" s="18" t="s">
        <v>158</v>
      </c>
      <c r="E1407" s="18" t="s">
        <v>159</v>
      </c>
      <c r="F1407" s="19" t="s">
        <v>70</v>
      </c>
      <c r="G1407" s="20" t="s">
        <v>71</v>
      </c>
      <c r="H1407" t="str">
        <f>'Source Table'!$G$9</f>
        <v>Female</v>
      </c>
      <c r="I1407" t="str">
        <f>'Source Table'!$G$8</f>
        <v>أنثى</v>
      </c>
      <c r="J1407" t="str">
        <f t="shared" si="42"/>
        <v>2015/2014</v>
      </c>
      <c r="K1407" t="str">
        <f t="shared" si="43"/>
        <v>2015/2014</v>
      </c>
      <c r="L1407" s="38">
        <v>4726</v>
      </c>
      <c r="M1407" s="18">
        <v>2014</v>
      </c>
    </row>
    <row r="1408" ht="21.75" spans="1:13">
      <c r="A1408" s="18" t="s">
        <v>155</v>
      </c>
      <c r="B1408" s="18" t="s">
        <v>156</v>
      </c>
      <c r="C1408" s="18" t="s">
        <v>157</v>
      </c>
      <c r="D1408" s="18" t="s">
        <v>158</v>
      </c>
      <c r="E1408" s="18" t="s">
        <v>159</v>
      </c>
      <c r="F1408" s="19" t="s">
        <v>74</v>
      </c>
      <c r="G1408" s="20" t="s">
        <v>75</v>
      </c>
      <c r="H1408" t="str">
        <f>'Source Table'!$G$9</f>
        <v>Female</v>
      </c>
      <c r="I1408" t="str">
        <f>'Source Table'!$G$8</f>
        <v>أنثى</v>
      </c>
      <c r="J1408" t="str">
        <f t="shared" si="42"/>
        <v>2015/2014</v>
      </c>
      <c r="K1408" t="str">
        <f t="shared" si="43"/>
        <v>2015/2014</v>
      </c>
      <c r="L1408" s="38">
        <v>67711</v>
      </c>
      <c r="M1408" s="18">
        <v>2014</v>
      </c>
    </row>
    <row r="1409" ht="21.75" spans="1:13">
      <c r="A1409" s="18" t="s">
        <v>155</v>
      </c>
      <c r="B1409" s="18" t="s">
        <v>156</v>
      </c>
      <c r="C1409" s="18" t="s">
        <v>157</v>
      </c>
      <c r="D1409" s="18" t="s">
        <v>158</v>
      </c>
      <c r="E1409" s="18" t="s">
        <v>159</v>
      </c>
      <c r="F1409" s="19" t="s">
        <v>76</v>
      </c>
      <c r="G1409" s="20" t="s">
        <v>77</v>
      </c>
      <c r="H1409" t="str">
        <f>'Source Table'!$G$9</f>
        <v>Female</v>
      </c>
      <c r="I1409" t="str">
        <f>'Source Table'!$G$8</f>
        <v>أنثى</v>
      </c>
      <c r="J1409" t="str">
        <f t="shared" si="42"/>
        <v>2015/2014</v>
      </c>
      <c r="K1409" t="str">
        <f t="shared" si="43"/>
        <v>2015/2014</v>
      </c>
      <c r="L1409" s="38">
        <v>20213</v>
      </c>
      <c r="M1409" s="18">
        <v>2014</v>
      </c>
    </row>
    <row r="1410" ht="21.75" spans="1:13">
      <c r="A1410" s="18" t="s">
        <v>155</v>
      </c>
      <c r="B1410" s="18" t="s">
        <v>156</v>
      </c>
      <c r="C1410" s="18" t="s">
        <v>157</v>
      </c>
      <c r="D1410" s="18" t="s">
        <v>158</v>
      </c>
      <c r="E1410" s="18" t="s">
        <v>159</v>
      </c>
      <c r="F1410" s="19" t="s">
        <v>78</v>
      </c>
      <c r="G1410" s="20" t="s">
        <v>79</v>
      </c>
      <c r="H1410" t="str">
        <f>'Source Table'!$G$9</f>
        <v>Female</v>
      </c>
      <c r="I1410" t="str">
        <f>'Source Table'!$G$8</f>
        <v>أنثى</v>
      </c>
      <c r="J1410" t="str">
        <f t="shared" si="42"/>
        <v>2015/2014</v>
      </c>
      <c r="K1410" t="str">
        <f t="shared" si="43"/>
        <v>2015/2014</v>
      </c>
      <c r="L1410" s="38">
        <v>7626</v>
      </c>
      <c r="M1410" s="18">
        <v>2014</v>
      </c>
    </row>
    <row r="1411" ht="21.75" spans="1:13">
      <c r="A1411" s="18" t="s">
        <v>155</v>
      </c>
      <c r="B1411" s="18" t="s">
        <v>156</v>
      </c>
      <c r="C1411" s="18" t="s">
        <v>157</v>
      </c>
      <c r="D1411" s="18" t="s">
        <v>158</v>
      </c>
      <c r="E1411" s="18" t="s">
        <v>159</v>
      </c>
      <c r="F1411" s="19" t="s">
        <v>80</v>
      </c>
      <c r="G1411" s="20" t="s">
        <v>81</v>
      </c>
      <c r="H1411" t="str">
        <f>'Source Table'!$G$9</f>
        <v>Female</v>
      </c>
      <c r="I1411" t="str">
        <f>'Source Table'!$G$8</f>
        <v>أنثى</v>
      </c>
      <c r="J1411" t="str">
        <f t="shared" si="42"/>
        <v>2015/2014</v>
      </c>
      <c r="K1411" t="str">
        <f t="shared" si="43"/>
        <v>2015/2014</v>
      </c>
      <c r="L1411" s="38">
        <v>9261</v>
      </c>
      <c r="M1411" s="18">
        <v>2014</v>
      </c>
    </row>
    <row r="1412" ht="21.75" spans="1:13">
      <c r="A1412" s="18" t="s">
        <v>155</v>
      </c>
      <c r="B1412" s="18" t="s">
        <v>156</v>
      </c>
      <c r="C1412" s="18" t="s">
        <v>157</v>
      </c>
      <c r="D1412" s="18" t="s">
        <v>158</v>
      </c>
      <c r="E1412" s="18" t="s">
        <v>159</v>
      </c>
      <c r="F1412" s="19" t="s">
        <v>82</v>
      </c>
      <c r="G1412" s="20" t="s">
        <v>83</v>
      </c>
      <c r="H1412" t="str">
        <f>'Source Table'!$G$9</f>
        <v>Female</v>
      </c>
      <c r="I1412" t="str">
        <f>'Source Table'!$G$8</f>
        <v>أنثى</v>
      </c>
      <c r="J1412" t="str">
        <f t="shared" si="42"/>
        <v>2015/2014</v>
      </c>
      <c r="K1412" t="str">
        <f t="shared" si="43"/>
        <v>2015/2014</v>
      </c>
      <c r="L1412" s="38">
        <v>12966</v>
      </c>
      <c r="M1412" s="18">
        <v>2014</v>
      </c>
    </row>
    <row r="1413" ht="21.75" spans="1:13">
      <c r="A1413" s="18" t="s">
        <v>155</v>
      </c>
      <c r="B1413" s="18" t="s">
        <v>156</v>
      </c>
      <c r="C1413" s="18" t="s">
        <v>157</v>
      </c>
      <c r="D1413" s="18" t="s">
        <v>158</v>
      </c>
      <c r="E1413" s="18" t="s">
        <v>159</v>
      </c>
      <c r="F1413" s="19" t="s">
        <v>84</v>
      </c>
      <c r="G1413" s="20" t="s">
        <v>85</v>
      </c>
      <c r="H1413" t="str">
        <f>'Source Table'!$G$9</f>
        <v>Female</v>
      </c>
      <c r="I1413" t="str">
        <f>'Source Table'!$G$8</f>
        <v>أنثى</v>
      </c>
      <c r="J1413" t="str">
        <f t="shared" ref="J1413:J1476" si="44">TEXT(M1413+1,"0")&amp;"/"&amp;TEXT(M1413,"0")</f>
        <v>2015/2014</v>
      </c>
      <c r="K1413" t="str">
        <f t="shared" ref="K1413:K1476" si="45">TEXT(M1413+1,"0")&amp;"/"&amp;TEXT(M1413,"0")</f>
        <v>2015/2014</v>
      </c>
      <c r="L1413" s="38">
        <v>15942</v>
      </c>
      <c r="M1413" s="18">
        <v>2014</v>
      </c>
    </row>
    <row r="1414" ht="21.75" spans="1:13">
      <c r="A1414" s="18" t="s">
        <v>155</v>
      </c>
      <c r="B1414" s="18" t="s">
        <v>156</v>
      </c>
      <c r="C1414" s="18" t="s">
        <v>157</v>
      </c>
      <c r="D1414" s="18" t="s">
        <v>158</v>
      </c>
      <c r="E1414" s="18" t="s">
        <v>159</v>
      </c>
      <c r="F1414" s="19" t="s">
        <v>86</v>
      </c>
      <c r="G1414" s="20" t="s">
        <v>87</v>
      </c>
      <c r="H1414" t="str">
        <f>'Source Table'!$G$9</f>
        <v>Female</v>
      </c>
      <c r="I1414" t="str">
        <f>'Source Table'!$G$8</f>
        <v>أنثى</v>
      </c>
      <c r="J1414" t="str">
        <f t="shared" si="44"/>
        <v>2015/2014</v>
      </c>
      <c r="K1414" t="str">
        <f t="shared" si="45"/>
        <v>2015/2014</v>
      </c>
      <c r="L1414" s="38">
        <v>12431</v>
      </c>
      <c r="M1414" s="18">
        <v>2014</v>
      </c>
    </row>
    <row r="1415" ht="21.75" spans="1:13">
      <c r="A1415" s="18" t="s">
        <v>155</v>
      </c>
      <c r="B1415" s="18" t="s">
        <v>156</v>
      </c>
      <c r="C1415" s="18" t="s">
        <v>157</v>
      </c>
      <c r="D1415" s="18" t="s">
        <v>158</v>
      </c>
      <c r="E1415" s="18" t="s">
        <v>159</v>
      </c>
      <c r="F1415" s="19" t="s">
        <v>88</v>
      </c>
      <c r="G1415" s="20" t="s">
        <v>89</v>
      </c>
      <c r="H1415" t="str">
        <f>'Source Table'!$G$9</f>
        <v>Female</v>
      </c>
      <c r="I1415" t="str">
        <f>'Source Table'!$G$8</f>
        <v>أنثى</v>
      </c>
      <c r="J1415" t="str">
        <f t="shared" si="44"/>
        <v>2015/2014</v>
      </c>
      <c r="K1415" t="str">
        <f t="shared" si="45"/>
        <v>2015/2014</v>
      </c>
      <c r="L1415" s="38">
        <v>22121</v>
      </c>
      <c r="M1415" s="18">
        <v>2014</v>
      </c>
    </row>
    <row r="1416" ht="21.75" spans="1:13">
      <c r="A1416" s="18" t="s">
        <v>155</v>
      </c>
      <c r="B1416" s="18" t="s">
        <v>156</v>
      </c>
      <c r="C1416" s="18" t="s">
        <v>157</v>
      </c>
      <c r="D1416" s="18" t="s">
        <v>158</v>
      </c>
      <c r="E1416" s="18" t="s">
        <v>159</v>
      </c>
      <c r="F1416" s="19" t="s">
        <v>91</v>
      </c>
      <c r="G1416" s="20" t="s">
        <v>92</v>
      </c>
      <c r="H1416" t="str">
        <f>'Source Table'!$G$9</f>
        <v>Female</v>
      </c>
      <c r="I1416" t="str">
        <f>'Source Table'!$G$8</f>
        <v>أنثى</v>
      </c>
      <c r="J1416" t="str">
        <f t="shared" si="44"/>
        <v>2015/2014</v>
      </c>
      <c r="K1416" t="str">
        <f t="shared" si="45"/>
        <v>2015/2014</v>
      </c>
      <c r="L1416" s="38">
        <v>21070</v>
      </c>
      <c r="M1416" s="18">
        <v>2014</v>
      </c>
    </row>
    <row r="1417" ht="21.75" spans="1:13">
      <c r="A1417" s="18" t="s">
        <v>155</v>
      </c>
      <c r="B1417" s="18" t="s">
        <v>156</v>
      </c>
      <c r="C1417" s="18" t="s">
        <v>157</v>
      </c>
      <c r="D1417" s="18" t="s">
        <v>158</v>
      </c>
      <c r="E1417" s="18" t="s">
        <v>159</v>
      </c>
      <c r="F1417" s="19" t="s">
        <v>94</v>
      </c>
      <c r="G1417" s="20" t="s">
        <v>95</v>
      </c>
      <c r="H1417" t="str">
        <f>'Source Table'!$G$9</f>
        <v>Female</v>
      </c>
      <c r="I1417" t="str">
        <f>'Source Table'!$G$8</f>
        <v>أنثى</v>
      </c>
      <c r="J1417" t="str">
        <f t="shared" si="44"/>
        <v>2015/2014</v>
      </c>
      <c r="K1417" t="str">
        <f t="shared" si="45"/>
        <v>2015/2014</v>
      </c>
      <c r="L1417" s="38">
        <v>12815</v>
      </c>
      <c r="M1417" s="18">
        <v>2014</v>
      </c>
    </row>
    <row r="1418" ht="21.75" spans="1:13">
      <c r="A1418" s="18" t="s">
        <v>155</v>
      </c>
      <c r="B1418" s="18" t="s">
        <v>156</v>
      </c>
      <c r="C1418" s="18" t="s">
        <v>157</v>
      </c>
      <c r="D1418" s="18" t="s">
        <v>158</v>
      </c>
      <c r="E1418" s="18" t="s">
        <v>159</v>
      </c>
      <c r="F1418" s="19" t="s">
        <v>96</v>
      </c>
      <c r="G1418" s="20" t="s">
        <v>97</v>
      </c>
      <c r="H1418" t="str">
        <f>'Source Table'!$G$9</f>
        <v>Female</v>
      </c>
      <c r="I1418" t="str">
        <f>'Source Table'!$G$8</f>
        <v>أنثى</v>
      </c>
      <c r="J1418" t="str">
        <f t="shared" si="44"/>
        <v>2015/2014</v>
      </c>
      <c r="K1418" t="str">
        <f t="shared" si="45"/>
        <v>2015/2014</v>
      </c>
      <c r="L1418" s="38">
        <v>25144</v>
      </c>
      <c r="M1418" s="18">
        <v>2014</v>
      </c>
    </row>
    <row r="1419" ht="21.75" spans="1:13">
      <c r="A1419" s="18" t="s">
        <v>155</v>
      </c>
      <c r="B1419" s="18" t="s">
        <v>156</v>
      </c>
      <c r="C1419" s="18" t="s">
        <v>157</v>
      </c>
      <c r="D1419" s="18" t="s">
        <v>158</v>
      </c>
      <c r="E1419" s="18" t="s">
        <v>159</v>
      </c>
      <c r="F1419" s="19" t="s">
        <v>98</v>
      </c>
      <c r="G1419" s="20" t="s">
        <v>99</v>
      </c>
      <c r="H1419" t="str">
        <f>'Source Table'!$G$9</f>
        <v>Female</v>
      </c>
      <c r="I1419" t="str">
        <f>'Source Table'!$G$8</f>
        <v>أنثى</v>
      </c>
      <c r="J1419" t="str">
        <f t="shared" si="44"/>
        <v>2015/2014</v>
      </c>
      <c r="K1419" t="str">
        <f t="shared" si="45"/>
        <v>2015/2014</v>
      </c>
      <c r="L1419" s="39">
        <v>28263</v>
      </c>
      <c r="M1419" s="18">
        <v>2014</v>
      </c>
    </row>
    <row r="1420" ht="21.75" spans="1:13">
      <c r="A1420" s="18" t="s">
        <v>155</v>
      </c>
      <c r="B1420" s="18" t="s">
        <v>156</v>
      </c>
      <c r="C1420" s="18" t="s">
        <v>157</v>
      </c>
      <c r="D1420" s="18" t="s">
        <v>158</v>
      </c>
      <c r="E1420" s="18" t="s">
        <v>159</v>
      </c>
      <c r="F1420" s="19" t="s">
        <v>100</v>
      </c>
      <c r="G1420" s="20" t="s">
        <v>101</v>
      </c>
      <c r="H1420" t="str">
        <f>'Source Table'!$G$9</f>
        <v>Female</v>
      </c>
      <c r="I1420" t="str">
        <f>'Source Table'!$G$8</f>
        <v>أنثى</v>
      </c>
      <c r="J1420" t="str">
        <f t="shared" si="44"/>
        <v>2015/2014</v>
      </c>
      <c r="K1420" t="str">
        <f t="shared" si="45"/>
        <v>2015/2014</v>
      </c>
      <c r="L1420" s="39">
        <v>20365</v>
      </c>
      <c r="M1420" s="18">
        <v>2014</v>
      </c>
    </row>
    <row r="1421" ht="21.75" spans="1:13">
      <c r="A1421" s="18" t="s">
        <v>155</v>
      </c>
      <c r="B1421" s="18" t="s">
        <v>156</v>
      </c>
      <c r="C1421" s="18" t="s">
        <v>157</v>
      </c>
      <c r="D1421" s="18" t="s">
        <v>158</v>
      </c>
      <c r="E1421" s="18" t="s">
        <v>159</v>
      </c>
      <c r="F1421" s="19" t="s">
        <v>103</v>
      </c>
      <c r="G1421" s="20" t="s">
        <v>104</v>
      </c>
      <c r="H1421" t="str">
        <f>'Source Table'!$G$9</f>
        <v>Female</v>
      </c>
      <c r="I1421" t="str">
        <f>'Source Table'!$G$8</f>
        <v>أنثى</v>
      </c>
      <c r="J1421" t="str">
        <f t="shared" si="44"/>
        <v>2015/2014</v>
      </c>
      <c r="K1421" t="str">
        <f t="shared" si="45"/>
        <v>2015/2014</v>
      </c>
      <c r="L1421" s="38">
        <v>13300</v>
      </c>
      <c r="M1421" s="18">
        <v>2014</v>
      </c>
    </row>
    <row r="1422" ht="21.75" spans="1:13">
      <c r="A1422" s="18" t="s">
        <v>155</v>
      </c>
      <c r="B1422" s="18" t="s">
        <v>156</v>
      </c>
      <c r="C1422" s="18" t="s">
        <v>157</v>
      </c>
      <c r="D1422" s="18" t="s">
        <v>158</v>
      </c>
      <c r="E1422" s="18" t="s">
        <v>159</v>
      </c>
      <c r="F1422" s="19" t="s">
        <v>106</v>
      </c>
      <c r="G1422" s="20" t="s">
        <v>107</v>
      </c>
      <c r="H1422" t="str">
        <f>'Source Table'!$G$9</f>
        <v>Female</v>
      </c>
      <c r="I1422" t="str">
        <f>'Source Table'!$G$8</f>
        <v>أنثى</v>
      </c>
      <c r="J1422" t="str">
        <f t="shared" si="44"/>
        <v>2015/2014</v>
      </c>
      <c r="K1422" t="str">
        <f t="shared" si="45"/>
        <v>2015/2014</v>
      </c>
      <c r="L1422" s="38">
        <v>9779</v>
      </c>
      <c r="M1422" s="18">
        <v>2014</v>
      </c>
    </row>
    <row r="1423" ht="21.75" spans="1:13">
      <c r="A1423" s="18" t="s">
        <v>155</v>
      </c>
      <c r="B1423" s="18" t="s">
        <v>156</v>
      </c>
      <c r="C1423" s="18" t="s">
        <v>157</v>
      </c>
      <c r="D1423" s="18" t="s">
        <v>158</v>
      </c>
      <c r="E1423" s="18" t="s">
        <v>159</v>
      </c>
      <c r="F1423" s="19" t="s">
        <v>108</v>
      </c>
      <c r="G1423" s="20" t="s">
        <v>109</v>
      </c>
      <c r="H1423" t="str">
        <f>'Source Table'!$G$9</f>
        <v>Female</v>
      </c>
      <c r="I1423" t="str">
        <f>'Source Table'!$G$8</f>
        <v>أنثى</v>
      </c>
      <c r="J1423" t="str">
        <f t="shared" si="44"/>
        <v>2015/2014</v>
      </c>
      <c r="K1423" t="str">
        <f t="shared" si="45"/>
        <v>2015/2014</v>
      </c>
      <c r="L1423" s="38">
        <v>5720</v>
      </c>
      <c r="M1423" s="18">
        <v>2014</v>
      </c>
    </row>
    <row r="1424" ht="21.75" spans="1:13">
      <c r="A1424" s="18" t="s">
        <v>155</v>
      </c>
      <c r="B1424" s="18" t="s">
        <v>156</v>
      </c>
      <c r="C1424" s="18" t="s">
        <v>157</v>
      </c>
      <c r="D1424" s="18" t="s">
        <v>158</v>
      </c>
      <c r="E1424" s="18" t="s">
        <v>159</v>
      </c>
      <c r="F1424" s="19" t="s">
        <v>110</v>
      </c>
      <c r="G1424" s="20" t="s">
        <v>111</v>
      </c>
      <c r="H1424" t="str">
        <f>'Source Table'!$G$9</f>
        <v>Female</v>
      </c>
      <c r="I1424" t="str">
        <f>'Source Table'!$G$8</f>
        <v>أنثى</v>
      </c>
      <c r="J1424" t="str">
        <f t="shared" si="44"/>
        <v>2015/2014</v>
      </c>
      <c r="K1424" t="str">
        <f t="shared" si="45"/>
        <v>2015/2014</v>
      </c>
      <c r="L1424" s="38">
        <v>7005</v>
      </c>
      <c r="M1424" s="18">
        <v>2014</v>
      </c>
    </row>
    <row r="1425" ht="21.75" spans="1:13">
      <c r="A1425" s="18" t="s">
        <v>155</v>
      </c>
      <c r="B1425" s="18" t="s">
        <v>156</v>
      </c>
      <c r="C1425" s="18" t="s">
        <v>157</v>
      </c>
      <c r="D1425" s="18" t="s">
        <v>158</v>
      </c>
      <c r="E1425" s="18" t="s">
        <v>159</v>
      </c>
      <c r="F1425" s="19" t="s">
        <v>113</v>
      </c>
      <c r="G1425" s="20" t="s">
        <v>114</v>
      </c>
      <c r="H1425" t="str">
        <f>'Source Table'!$G$9</f>
        <v>Female</v>
      </c>
      <c r="I1425" t="str">
        <f>'Source Table'!$G$8</f>
        <v>أنثى</v>
      </c>
      <c r="J1425" t="str">
        <f t="shared" si="44"/>
        <v>2015/2014</v>
      </c>
      <c r="K1425" t="str">
        <f t="shared" si="45"/>
        <v>2015/2014</v>
      </c>
      <c r="L1425" s="38">
        <v>9937</v>
      </c>
      <c r="M1425" s="18">
        <v>2014</v>
      </c>
    </row>
    <row r="1426" ht="21.75" spans="1:13">
      <c r="A1426" s="18" t="s">
        <v>155</v>
      </c>
      <c r="B1426" s="18" t="s">
        <v>156</v>
      </c>
      <c r="C1426" s="18" t="s">
        <v>157</v>
      </c>
      <c r="D1426" s="18" t="s">
        <v>158</v>
      </c>
      <c r="E1426" s="18" t="s">
        <v>159</v>
      </c>
      <c r="F1426" s="19" t="s">
        <v>115</v>
      </c>
      <c r="G1426" s="20" t="s">
        <v>116</v>
      </c>
      <c r="H1426" t="str">
        <f>'Source Table'!$G$9</f>
        <v>Female</v>
      </c>
      <c r="I1426" t="str">
        <f>'Source Table'!$G$8</f>
        <v>أنثى</v>
      </c>
      <c r="J1426" t="str">
        <f t="shared" si="44"/>
        <v>2015/2014</v>
      </c>
      <c r="K1426" t="str">
        <f t="shared" si="45"/>
        <v>2015/2014</v>
      </c>
      <c r="L1426" s="38">
        <v>3540</v>
      </c>
      <c r="M1426" s="18">
        <v>2014</v>
      </c>
    </row>
    <row r="1427" ht="21.75" spans="1:13">
      <c r="A1427" s="18" t="s">
        <v>155</v>
      </c>
      <c r="B1427" s="18" t="s">
        <v>156</v>
      </c>
      <c r="C1427" s="18" t="s">
        <v>157</v>
      </c>
      <c r="D1427" s="18" t="s">
        <v>158</v>
      </c>
      <c r="E1427" s="18" t="s">
        <v>159</v>
      </c>
      <c r="F1427" s="19" t="s">
        <v>118</v>
      </c>
      <c r="G1427" s="20" t="s">
        <v>119</v>
      </c>
      <c r="H1427" t="str">
        <f>'Source Table'!$G$9</f>
        <v>Female</v>
      </c>
      <c r="I1427" t="str">
        <f>'Source Table'!$G$8</f>
        <v>أنثى</v>
      </c>
      <c r="J1427" t="str">
        <f t="shared" si="44"/>
        <v>2015/2014</v>
      </c>
      <c r="K1427" t="str">
        <f t="shared" si="45"/>
        <v>2015/2014</v>
      </c>
      <c r="L1427" s="38">
        <v>5106</v>
      </c>
      <c r="M1427" s="18">
        <v>2014</v>
      </c>
    </row>
    <row r="1428" ht="21.75" spans="1:13">
      <c r="A1428" s="18" t="s">
        <v>155</v>
      </c>
      <c r="B1428" s="18" t="s">
        <v>156</v>
      </c>
      <c r="C1428" s="18" t="s">
        <v>157</v>
      </c>
      <c r="D1428" s="18" t="s">
        <v>158</v>
      </c>
      <c r="E1428" s="18" t="s">
        <v>159</v>
      </c>
      <c r="F1428" s="19" t="s">
        <v>120</v>
      </c>
      <c r="G1428" s="20" t="s">
        <v>121</v>
      </c>
      <c r="H1428" t="str">
        <f>'Source Table'!$G$9</f>
        <v>Female</v>
      </c>
      <c r="I1428" t="str">
        <f>'Source Table'!$G$8</f>
        <v>أنثى</v>
      </c>
      <c r="J1428" t="str">
        <f t="shared" si="44"/>
        <v>2015/2014</v>
      </c>
      <c r="K1428" t="str">
        <f t="shared" si="45"/>
        <v>2015/2014</v>
      </c>
      <c r="L1428" s="38">
        <v>6726</v>
      </c>
      <c r="M1428" s="18">
        <v>2014</v>
      </c>
    </row>
    <row r="1429" ht="21.75" spans="1:13">
      <c r="A1429" s="18" t="s">
        <v>155</v>
      </c>
      <c r="B1429" s="18" t="s">
        <v>156</v>
      </c>
      <c r="C1429" s="18" t="s">
        <v>157</v>
      </c>
      <c r="D1429" s="18" t="s">
        <v>158</v>
      </c>
      <c r="E1429" s="18" t="s">
        <v>159</v>
      </c>
      <c r="F1429" s="19" t="s">
        <v>122</v>
      </c>
      <c r="G1429" s="20" t="s">
        <v>123</v>
      </c>
      <c r="H1429" t="str">
        <f>'Source Table'!$G$9</f>
        <v>Female</v>
      </c>
      <c r="I1429" t="str">
        <f>'Source Table'!$G$8</f>
        <v>أنثى</v>
      </c>
      <c r="J1429" t="str">
        <f t="shared" si="44"/>
        <v>2015/2014</v>
      </c>
      <c r="K1429" t="str">
        <f t="shared" si="45"/>
        <v>2015/2014</v>
      </c>
      <c r="L1429" s="38">
        <v>4504</v>
      </c>
      <c r="M1429" s="18">
        <v>2014</v>
      </c>
    </row>
    <row r="1430" ht="21.75" spans="1:13">
      <c r="A1430" s="18" t="s">
        <v>155</v>
      </c>
      <c r="B1430" s="18" t="s">
        <v>156</v>
      </c>
      <c r="C1430" s="18" t="s">
        <v>157</v>
      </c>
      <c r="D1430" s="18" t="s">
        <v>158</v>
      </c>
      <c r="E1430" s="18" t="s">
        <v>159</v>
      </c>
      <c r="F1430" s="19" t="s">
        <v>124</v>
      </c>
      <c r="G1430" s="20" t="s">
        <v>125</v>
      </c>
      <c r="H1430" t="str">
        <f>'Source Table'!$G$9</f>
        <v>Female</v>
      </c>
      <c r="I1430" t="str">
        <f>'Source Table'!$G$8</f>
        <v>أنثى</v>
      </c>
      <c r="J1430" t="str">
        <f t="shared" si="44"/>
        <v>2015/2014</v>
      </c>
      <c r="K1430" t="str">
        <f t="shared" si="45"/>
        <v>2015/2014</v>
      </c>
      <c r="L1430" s="38">
        <v>1722</v>
      </c>
      <c r="M1430" s="18">
        <v>2014</v>
      </c>
    </row>
    <row r="1431" ht="21.75" spans="1:13">
      <c r="A1431" s="18" t="s">
        <v>155</v>
      </c>
      <c r="B1431" s="18" t="s">
        <v>156</v>
      </c>
      <c r="C1431" s="18" t="s">
        <v>157</v>
      </c>
      <c r="D1431" s="18" t="s">
        <v>158</v>
      </c>
      <c r="E1431" s="18" t="s">
        <v>159</v>
      </c>
      <c r="F1431" s="19" t="s">
        <v>126</v>
      </c>
      <c r="G1431" s="20" t="s">
        <v>127</v>
      </c>
      <c r="H1431" t="str">
        <f>'Source Table'!$G$9</f>
        <v>Female</v>
      </c>
      <c r="I1431" t="str">
        <f>'Source Table'!$G$8</f>
        <v>أنثى</v>
      </c>
      <c r="J1431" t="str">
        <f t="shared" si="44"/>
        <v>2015/2014</v>
      </c>
      <c r="K1431" t="str">
        <f t="shared" si="45"/>
        <v>2015/2014</v>
      </c>
      <c r="L1431" s="39">
        <v>21237</v>
      </c>
      <c r="M1431" s="18">
        <v>2014</v>
      </c>
    </row>
    <row r="1432" ht="21.75" spans="1:13">
      <c r="A1432" s="18" t="s">
        <v>155</v>
      </c>
      <c r="B1432" s="18" t="s">
        <v>156</v>
      </c>
      <c r="C1432" s="18" t="s">
        <v>162</v>
      </c>
      <c r="D1432" s="18" t="s">
        <v>158</v>
      </c>
      <c r="E1432" s="18" t="s">
        <v>159</v>
      </c>
      <c r="F1432" s="19" t="s">
        <v>29</v>
      </c>
      <c r="G1432" s="20" t="s">
        <v>30</v>
      </c>
      <c r="H1432" t="str">
        <f>'Source Table'!$H$9</f>
        <v>Male</v>
      </c>
      <c r="I1432" t="str">
        <f>'Source Table'!$H$8</f>
        <v>ذكر</v>
      </c>
      <c r="J1432" t="str">
        <f t="shared" si="44"/>
        <v>2015/2014</v>
      </c>
      <c r="K1432" t="str">
        <f t="shared" si="45"/>
        <v>2015/2014</v>
      </c>
      <c r="L1432" s="38">
        <v>2601</v>
      </c>
      <c r="M1432" s="18">
        <v>2014</v>
      </c>
    </row>
    <row r="1433" ht="21.75" spans="1:13">
      <c r="A1433" s="18" t="s">
        <v>155</v>
      </c>
      <c r="B1433" s="18" t="s">
        <v>156</v>
      </c>
      <c r="C1433" s="18" t="s">
        <v>162</v>
      </c>
      <c r="D1433" s="18" t="s">
        <v>158</v>
      </c>
      <c r="E1433" s="18" t="s">
        <v>159</v>
      </c>
      <c r="F1433" s="19" t="s">
        <v>32</v>
      </c>
      <c r="G1433" s="20" t="s">
        <v>33</v>
      </c>
      <c r="H1433" t="str">
        <f>'Source Table'!$H$9</f>
        <v>Male</v>
      </c>
      <c r="I1433" t="str">
        <f>'Source Table'!$H$8</f>
        <v>ذكر</v>
      </c>
      <c r="J1433" t="str">
        <f t="shared" si="44"/>
        <v>2015/2014</v>
      </c>
      <c r="K1433" t="str">
        <f t="shared" si="45"/>
        <v>2015/2014</v>
      </c>
      <c r="L1433" s="38">
        <v>1855</v>
      </c>
      <c r="M1433" s="18">
        <v>2014</v>
      </c>
    </row>
    <row r="1434" ht="21.75" spans="1:13">
      <c r="A1434" s="18" t="s">
        <v>155</v>
      </c>
      <c r="B1434" s="18" t="s">
        <v>156</v>
      </c>
      <c r="C1434" s="18" t="s">
        <v>162</v>
      </c>
      <c r="D1434" s="18" t="s">
        <v>158</v>
      </c>
      <c r="E1434" s="18" t="s">
        <v>159</v>
      </c>
      <c r="F1434" s="19" t="s">
        <v>34</v>
      </c>
      <c r="G1434" s="20" t="s">
        <v>35</v>
      </c>
      <c r="H1434" t="str">
        <f>'Source Table'!$H$9</f>
        <v>Male</v>
      </c>
      <c r="I1434" t="str">
        <f>'Source Table'!$H$8</f>
        <v>ذكر</v>
      </c>
      <c r="J1434" t="str">
        <f t="shared" si="44"/>
        <v>2015/2014</v>
      </c>
      <c r="K1434" t="str">
        <f t="shared" si="45"/>
        <v>2015/2014</v>
      </c>
      <c r="L1434" s="38">
        <v>360</v>
      </c>
      <c r="M1434" s="18">
        <v>2014</v>
      </c>
    </row>
    <row r="1435" ht="21.75" spans="1:13">
      <c r="A1435" s="18" t="s">
        <v>155</v>
      </c>
      <c r="B1435" s="18" t="s">
        <v>156</v>
      </c>
      <c r="C1435" s="18" t="s">
        <v>162</v>
      </c>
      <c r="D1435" s="18" t="s">
        <v>158</v>
      </c>
      <c r="E1435" s="18" t="s">
        <v>159</v>
      </c>
      <c r="F1435" s="19" t="s">
        <v>36</v>
      </c>
      <c r="G1435" s="20" t="s">
        <v>37</v>
      </c>
      <c r="H1435" t="str">
        <f>'Source Table'!$H$9</f>
        <v>Male</v>
      </c>
      <c r="I1435" t="str">
        <f>'Source Table'!$H$8</f>
        <v>ذكر</v>
      </c>
      <c r="J1435" t="str">
        <f t="shared" si="44"/>
        <v>2015/2014</v>
      </c>
      <c r="K1435" t="str">
        <f t="shared" si="45"/>
        <v>2015/2014</v>
      </c>
      <c r="L1435" s="38">
        <v>1244</v>
      </c>
      <c r="M1435" s="18">
        <v>2014</v>
      </c>
    </row>
    <row r="1436" ht="21.75" spans="1:13">
      <c r="A1436" s="18" t="s">
        <v>155</v>
      </c>
      <c r="B1436" s="18" t="s">
        <v>156</v>
      </c>
      <c r="C1436" s="18" t="s">
        <v>162</v>
      </c>
      <c r="D1436" s="18" t="s">
        <v>158</v>
      </c>
      <c r="E1436" s="18" t="s">
        <v>159</v>
      </c>
      <c r="F1436" s="19" t="s">
        <v>38</v>
      </c>
      <c r="G1436" s="20" t="s">
        <v>39</v>
      </c>
      <c r="H1436" t="str">
        <f>'Source Table'!$H$9</f>
        <v>Male</v>
      </c>
      <c r="I1436" t="str">
        <f>'Source Table'!$H$8</f>
        <v>ذكر</v>
      </c>
      <c r="J1436" t="str">
        <f t="shared" si="44"/>
        <v>2015/2014</v>
      </c>
      <c r="K1436" t="str">
        <f t="shared" si="45"/>
        <v>2015/2014</v>
      </c>
      <c r="L1436" s="38">
        <v>2436</v>
      </c>
      <c r="M1436" s="18">
        <v>2014</v>
      </c>
    </row>
    <row r="1437" ht="21.75" spans="1:13">
      <c r="A1437" s="18" t="s">
        <v>155</v>
      </c>
      <c r="B1437" s="18" t="s">
        <v>156</v>
      </c>
      <c r="C1437" s="18" t="s">
        <v>162</v>
      </c>
      <c r="D1437" s="18" t="s">
        <v>158</v>
      </c>
      <c r="E1437" s="18" t="s">
        <v>159</v>
      </c>
      <c r="F1437" s="19" t="s">
        <v>40</v>
      </c>
      <c r="G1437" s="20" t="s">
        <v>41</v>
      </c>
      <c r="H1437" t="str">
        <f>'Source Table'!$H$9</f>
        <v>Male</v>
      </c>
      <c r="I1437" t="str">
        <f>'Source Table'!$H$8</f>
        <v>ذكر</v>
      </c>
      <c r="J1437" t="str">
        <f t="shared" si="44"/>
        <v>2015/2014</v>
      </c>
      <c r="K1437" t="str">
        <f t="shared" si="45"/>
        <v>2015/2014</v>
      </c>
      <c r="L1437" s="38">
        <v>853</v>
      </c>
      <c r="M1437" s="18">
        <v>2014</v>
      </c>
    </row>
    <row r="1438" ht="21.75" spans="1:13">
      <c r="A1438" s="18" t="s">
        <v>155</v>
      </c>
      <c r="B1438" s="18" t="s">
        <v>156</v>
      </c>
      <c r="C1438" s="18" t="s">
        <v>162</v>
      </c>
      <c r="D1438" s="18" t="s">
        <v>158</v>
      </c>
      <c r="E1438" s="18" t="s">
        <v>159</v>
      </c>
      <c r="F1438" s="19" t="s">
        <v>42</v>
      </c>
      <c r="G1438" s="20" t="s">
        <v>43</v>
      </c>
      <c r="H1438" t="str">
        <f>'Source Table'!$H$9</f>
        <v>Male</v>
      </c>
      <c r="I1438" t="str">
        <f>'Source Table'!$H$8</f>
        <v>ذكر</v>
      </c>
      <c r="J1438" t="str">
        <f t="shared" si="44"/>
        <v>2015/2014</v>
      </c>
      <c r="K1438" t="str">
        <f t="shared" si="45"/>
        <v>2015/2014</v>
      </c>
      <c r="L1438" s="38">
        <v>462</v>
      </c>
      <c r="M1438" s="18">
        <v>2014</v>
      </c>
    </row>
    <row r="1439" ht="21.75" spans="1:13">
      <c r="A1439" s="18" t="s">
        <v>155</v>
      </c>
      <c r="B1439" s="18" t="s">
        <v>156</v>
      </c>
      <c r="C1439" s="18" t="s">
        <v>162</v>
      </c>
      <c r="D1439" s="18" t="s">
        <v>158</v>
      </c>
      <c r="E1439" s="18" t="s">
        <v>159</v>
      </c>
      <c r="F1439" s="19" t="s">
        <v>44</v>
      </c>
      <c r="G1439" s="20" t="s">
        <v>45</v>
      </c>
      <c r="H1439" t="str">
        <f>'Source Table'!$H$9</f>
        <v>Male</v>
      </c>
      <c r="I1439" t="str">
        <f>'Source Table'!$H$8</f>
        <v>ذكر</v>
      </c>
      <c r="J1439" t="str">
        <f t="shared" si="44"/>
        <v>2015/2014</v>
      </c>
      <c r="K1439" t="str">
        <f t="shared" si="45"/>
        <v>2015/2014</v>
      </c>
      <c r="L1439" s="38">
        <v>411</v>
      </c>
      <c r="M1439" s="18">
        <v>2014</v>
      </c>
    </row>
    <row r="1440" ht="21.75" spans="1:13">
      <c r="A1440" s="18" t="s">
        <v>155</v>
      </c>
      <c r="B1440" s="18" t="s">
        <v>156</v>
      </c>
      <c r="C1440" s="18" t="s">
        <v>162</v>
      </c>
      <c r="D1440" s="18" t="s">
        <v>158</v>
      </c>
      <c r="E1440" s="18" t="s">
        <v>159</v>
      </c>
      <c r="F1440" s="19" t="s">
        <v>46</v>
      </c>
      <c r="G1440" s="20" t="s">
        <v>47</v>
      </c>
      <c r="H1440" t="str">
        <f>'Source Table'!$H$9</f>
        <v>Male</v>
      </c>
      <c r="I1440" t="str">
        <f>'Source Table'!$H$8</f>
        <v>ذكر</v>
      </c>
      <c r="J1440" t="str">
        <f t="shared" si="44"/>
        <v>2015/2014</v>
      </c>
      <c r="K1440" t="str">
        <f t="shared" si="45"/>
        <v>2015/2014</v>
      </c>
      <c r="L1440" s="38">
        <v>644</v>
      </c>
      <c r="M1440" s="18">
        <v>2014</v>
      </c>
    </row>
    <row r="1441" ht="21.75" spans="1:13">
      <c r="A1441" s="18" t="s">
        <v>155</v>
      </c>
      <c r="B1441" s="18" t="s">
        <v>156</v>
      </c>
      <c r="C1441" s="18" t="s">
        <v>162</v>
      </c>
      <c r="D1441" s="18" t="s">
        <v>158</v>
      </c>
      <c r="E1441" s="18" t="s">
        <v>159</v>
      </c>
      <c r="F1441" s="19" t="s">
        <v>49</v>
      </c>
      <c r="G1441" s="20" t="s">
        <v>50</v>
      </c>
      <c r="H1441" t="str">
        <f>'Source Table'!$H$9</f>
        <v>Male</v>
      </c>
      <c r="I1441" t="str">
        <f>'Source Table'!$H$8</f>
        <v>ذكر</v>
      </c>
      <c r="J1441" t="str">
        <f t="shared" si="44"/>
        <v>2015/2014</v>
      </c>
      <c r="K1441" t="str">
        <f t="shared" si="45"/>
        <v>2015/2014</v>
      </c>
      <c r="L1441" s="38">
        <v>799</v>
      </c>
      <c r="M1441" s="18">
        <v>2014</v>
      </c>
    </row>
    <row r="1442" ht="21.75" spans="1:13">
      <c r="A1442" s="18" t="s">
        <v>155</v>
      </c>
      <c r="B1442" s="18" t="s">
        <v>156</v>
      </c>
      <c r="C1442" s="18" t="s">
        <v>162</v>
      </c>
      <c r="D1442" s="18" t="s">
        <v>158</v>
      </c>
      <c r="E1442" s="18" t="s">
        <v>159</v>
      </c>
      <c r="F1442" s="19" t="s">
        <v>52</v>
      </c>
      <c r="G1442" s="20" t="s">
        <v>53</v>
      </c>
      <c r="H1442" t="str">
        <f>'Source Table'!$H$9</f>
        <v>Male</v>
      </c>
      <c r="I1442" t="str">
        <f>'Source Table'!$H$8</f>
        <v>ذكر</v>
      </c>
      <c r="J1442" t="str">
        <f t="shared" si="44"/>
        <v>2015/2014</v>
      </c>
      <c r="K1442" t="str">
        <f t="shared" si="45"/>
        <v>2015/2014</v>
      </c>
      <c r="L1442" s="38">
        <v>417</v>
      </c>
      <c r="M1442" s="18">
        <v>2014</v>
      </c>
    </row>
    <row r="1443" ht="21.75" spans="1:13">
      <c r="A1443" s="18" t="s">
        <v>155</v>
      </c>
      <c r="B1443" s="18" t="s">
        <v>156</v>
      </c>
      <c r="C1443" s="18" t="s">
        <v>162</v>
      </c>
      <c r="D1443" s="18" t="s">
        <v>158</v>
      </c>
      <c r="E1443" s="18" t="s">
        <v>159</v>
      </c>
      <c r="F1443" s="19" t="s">
        <v>54</v>
      </c>
      <c r="G1443" s="20" t="s">
        <v>55</v>
      </c>
      <c r="H1443" t="str">
        <f>'Source Table'!$H$9</f>
        <v>Male</v>
      </c>
      <c r="I1443" t="str">
        <f>'Source Table'!$H$8</f>
        <v>ذكر</v>
      </c>
      <c r="J1443" t="str">
        <f t="shared" si="44"/>
        <v>2015/2014</v>
      </c>
      <c r="K1443" t="str">
        <f t="shared" si="45"/>
        <v>2015/2014</v>
      </c>
      <c r="L1443" s="38">
        <v>340</v>
      </c>
      <c r="M1443" s="18">
        <v>2014</v>
      </c>
    </row>
    <row r="1444" ht="21.75" spans="1:13">
      <c r="A1444" s="18" t="s">
        <v>155</v>
      </c>
      <c r="B1444" s="18" t="s">
        <v>156</v>
      </c>
      <c r="C1444" s="18" t="s">
        <v>162</v>
      </c>
      <c r="D1444" s="18" t="s">
        <v>158</v>
      </c>
      <c r="E1444" s="18" t="s">
        <v>159</v>
      </c>
      <c r="F1444" s="19" t="s">
        <v>56</v>
      </c>
      <c r="G1444" s="20" t="s">
        <v>57</v>
      </c>
      <c r="H1444" t="str">
        <f>'Source Table'!$H$9</f>
        <v>Male</v>
      </c>
      <c r="I1444" t="str">
        <f>'Source Table'!$H$8</f>
        <v>ذكر</v>
      </c>
      <c r="J1444" t="str">
        <f t="shared" si="44"/>
        <v>2015/2014</v>
      </c>
      <c r="K1444" t="str">
        <f t="shared" si="45"/>
        <v>2015/2014</v>
      </c>
      <c r="L1444" s="38">
        <v>751</v>
      </c>
      <c r="M1444" s="18">
        <v>2014</v>
      </c>
    </row>
    <row r="1445" ht="21.75" spans="1:13">
      <c r="A1445" s="18" t="s">
        <v>155</v>
      </c>
      <c r="B1445" s="18" t="s">
        <v>156</v>
      </c>
      <c r="C1445" s="18" t="s">
        <v>162</v>
      </c>
      <c r="D1445" s="18" t="s">
        <v>158</v>
      </c>
      <c r="E1445" s="18" t="s">
        <v>159</v>
      </c>
      <c r="F1445" s="19" t="s">
        <v>59</v>
      </c>
      <c r="G1445" s="20" t="s">
        <v>160</v>
      </c>
      <c r="H1445" t="str">
        <f>'Source Table'!$H$9</f>
        <v>Male</v>
      </c>
      <c r="I1445" t="str">
        <f>'Source Table'!$H$8</f>
        <v>ذكر</v>
      </c>
      <c r="J1445" t="str">
        <f t="shared" si="44"/>
        <v>2015/2014</v>
      </c>
      <c r="K1445" t="str">
        <f t="shared" si="45"/>
        <v>2015/2014</v>
      </c>
      <c r="L1445" s="38">
        <v>2054</v>
      </c>
      <c r="M1445" s="18">
        <v>2014</v>
      </c>
    </row>
    <row r="1446" ht="21.75" spans="1:13">
      <c r="A1446" s="18" t="s">
        <v>155</v>
      </c>
      <c r="B1446" s="18" t="s">
        <v>156</v>
      </c>
      <c r="C1446" s="18" t="s">
        <v>162</v>
      </c>
      <c r="D1446" s="18" t="s">
        <v>158</v>
      </c>
      <c r="E1446" s="18" t="s">
        <v>159</v>
      </c>
      <c r="F1446" s="19" t="s">
        <v>62</v>
      </c>
      <c r="G1446" s="20" t="s">
        <v>161</v>
      </c>
      <c r="H1446" t="str">
        <f>'Source Table'!$H$9</f>
        <v>Male</v>
      </c>
      <c r="I1446" t="str">
        <f>'Source Table'!$H$8</f>
        <v>ذكر</v>
      </c>
      <c r="J1446" t="str">
        <f t="shared" si="44"/>
        <v>2015/2014</v>
      </c>
      <c r="K1446" t="str">
        <f t="shared" si="45"/>
        <v>2015/2014</v>
      </c>
      <c r="L1446" s="38">
        <v>963</v>
      </c>
      <c r="M1446" s="18">
        <v>2014</v>
      </c>
    </row>
    <row r="1447" ht="21.75" spans="1:13">
      <c r="A1447" s="18" t="s">
        <v>155</v>
      </c>
      <c r="B1447" s="18" t="s">
        <v>156</v>
      </c>
      <c r="C1447" s="18" t="s">
        <v>162</v>
      </c>
      <c r="D1447" s="18" t="s">
        <v>158</v>
      </c>
      <c r="E1447" s="18" t="s">
        <v>159</v>
      </c>
      <c r="F1447" s="19" t="s">
        <v>64</v>
      </c>
      <c r="G1447" s="20" t="s">
        <v>65</v>
      </c>
      <c r="H1447" t="str">
        <f>'Source Table'!$H$9</f>
        <v>Male</v>
      </c>
      <c r="I1447" t="str">
        <f>'Source Table'!$H$8</f>
        <v>ذكر</v>
      </c>
      <c r="J1447" t="str">
        <f t="shared" si="44"/>
        <v>2015/2014</v>
      </c>
      <c r="K1447" t="str">
        <f t="shared" si="45"/>
        <v>2015/2014</v>
      </c>
      <c r="L1447" s="38">
        <v>1334</v>
      </c>
      <c r="M1447" s="18">
        <v>2014</v>
      </c>
    </row>
    <row r="1448" ht="21.75" spans="1:13">
      <c r="A1448" s="18" t="s">
        <v>155</v>
      </c>
      <c r="B1448" s="18" t="s">
        <v>156</v>
      </c>
      <c r="C1448" s="18" t="s">
        <v>162</v>
      </c>
      <c r="D1448" s="18" t="s">
        <v>158</v>
      </c>
      <c r="E1448" s="18" t="s">
        <v>159</v>
      </c>
      <c r="F1448" s="19" t="s">
        <v>68</v>
      </c>
      <c r="G1448" s="20" t="s">
        <v>69</v>
      </c>
      <c r="H1448" t="str">
        <f>'Source Table'!$H$9</f>
        <v>Male</v>
      </c>
      <c r="I1448" t="str">
        <f>'Source Table'!$H$8</f>
        <v>ذكر</v>
      </c>
      <c r="J1448" t="str">
        <f t="shared" si="44"/>
        <v>2015/2014</v>
      </c>
      <c r="K1448" t="str">
        <f t="shared" si="45"/>
        <v>2015/2014</v>
      </c>
      <c r="L1448" s="38">
        <v>747</v>
      </c>
      <c r="M1448" s="18">
        <v>2014</v>
      </c>
    </row>
    <row r="1449" ht="21.75" spans="1:13">
      <c r="A1449" s="18" t="s">
        <v>155</v>
      </c>
      <c r="B1449" s="18" t="s">
        <v>156</v>
      </c>
      <c r="C1449" s="18" t="s">
        <v>162</v>
      </c>
      <c r="D1449" s="18" t="s">
        <v>158</v>
      </c>
      <c r="E1449" s="18" t="s">
        <v>159</v>
      </c>
      <c r="F1449" s="19" t="s">
        <v>70</v>
      </c>
      <c r="G1449" s="20" t="s">
        <v>71</v>
      </c>
      <c r="H1449" t="str">
        <f>'Source Table'!$H$9</f>
        <v>Male</v>
      </c>
      <c r="I1449" t="str">
        <f>'Source Table'!$H$8</f>
        <v>ذكر</v>
      </c>
      <c r="J1449" t="str">
        <f t="shared" si="44"/>
        <v>2015/2014</v>
      </c>
      <c r="K1449" t="str">
        <f t="shared" si="45"/>
        <v>2015/2014</v>
      </c>
      <c r="L1449" s="38">
        <v>402</v>
      </c>
      <c r="M1449" s="18">
        <v>2014</v>
      </c>
    </row>
    <row r="1450" ht="21.75" spans="1:13">
      <c r="A1450" s="18" t="s">
        <v>155</v>
      </c>
      <c r="B1450" s="18" t="s">
        <v>156</v>
      </c>
      <c r="C1450" s="18" t="s">
        <v>162</v>
      </c>
      <c r="D1450" s="18" t="s">
        <v>158</v>
      </c>
      <c r="E1450" s="18" t="s">
        <v>159</v>
      </c>
      <c r="F1450" s="19" t="s">
        <v>74</v>
      </c>
      <c r="G1450" s="20" t="s">
        <v>75</v>
      </c>
      <c r="H1450" t="str">
        <f>'Source Table'!$H$9</f>
        <v>Male</v>
      </c>
      <c r="I1450" t="str">
        <f>'Source Table'!$H$8</f>
        <v>ذكر</v>
      </c>
      <c r="J1450" t="str">
        <f t="shared" si="44"/>
        <v>2015/2014</v>
      </c>
      <c r="K1450" t="str">
        <f t="shared" si="45"/>
        <v>2015/2014</v>
      </c>
      <c r="L1450" s="38">
        <v>2579</v>
      </c>
      <c r="M1450" s="18">
        <v>2014</v>
      </c>
    </row>
    <row r="1451" ht="21.75" spans="1:13">
      <c r="A1451" s="18" t="s">
        <v>155</v>
      </c>
      <c r="B1451" s="18" t="s">
        <v>156</v>
      </c>
      <c r="C1451" s="18" t="s">
        <v>162</v>
      </c>
      <c r="D1451" s="18" t="s">
        <v>158</v>
      </c>
      <c r="E1451" s="18" t="s">
        <v>159</v>
      </c>
      <c r="F1451" s="19" t="s">
        <v>76</v>
      </c>
      <c r="G1451" s="20" t="s">
        <v>77</v>
      </c>
      <c r="H1451" t="str">
        <f>'Source Table'!$H$9</f>
        <v>Male</v>
      </c>
      <c r="I1451" t="str">
        <f>'Source Table'!$H$8</f>
        <v>ذكر</v>
      </c>
      <c r="J1451" t="str">
        <f t="shared" si="44"/>
        <v>2015/2014</v>
      </c>
      <c r="K1451" t="str">
        <f t="shared" si="45"/>
        <v>2015/2014</v>
      </c>
      <c r="L1451" s="38">
        <v>604</v>
      </c>
      <c r="M1451" s="18">
        <v>2014</v>
      </c>
    </row>
    <row r="1452" ht="21.75" spans="1:13">
      <c r="A1452" s="18" t="s">
        <v>155</v>
      </c>
      <c r="B1452" s="18" t="s">
        <v>156</v>
      </c>
      <c r="C1452" s="18" t="s">
        <v>162</v>
      </c>
      <c r="D1452" s="18" t="s">
        <v>158</v>
      </c>
      <c r="E1452" s="18" t="s">
        <v>159</v>
      </c>
      <c r="F1452" s="19" t="s">
        <v>78</v>
      </c>
      <c r="G1452" s="20" t="s">
        <v>79</v>
      </c>
      <c r="H1452" t="str">
        <f>'Source Table'!$H$9</f>
        <v>Male</v>
      </c>
      <c r="I1452" t="str">
        <f>'Source Table'!$H$8</f>
        <v>ذكر</v>
      </c>
      <c r="J1452" t="str">
        <f t="shared" si="44"/>
        <v>2015/2014</v>
      </c>
      <c r="K1452" t="str">
        <f t="shared" si="45"/>
        <v>2015/2014</v>
      </c>
      <c r="L1452" s="38">
        <v>415</v>
      </c>
      <c r="M1452" s="18">
        <v>2014</v>
      </c>
    </row>
    <row r="1453" ht="21.75" spans="1:13">
      <c r="A1453" s="18" t="s">
        <v>155</v>
      </c>
      <c r="B1453" s="18" t="s">
        <v>156</v>
      </c>
      <c r="C1453" s="18" t="s">
        <v>162</v>
      </c>
      <c r="D1453" s="18" t="s">
        <v>158</v>
      </c>
      <c r="E1453" s="18" t="s">
        <v>159</v>
      </c>
      <c r="F1453" s="19" t="s">
        <v>80</v>
      </c>
      <c r="G1453" s="20" t="s">
        <v>81</v>
      </c>
      <c r="H1453" t="str">
        <f>'Source Table'!$H$9</f>
        <v>Male</v>
      </c>
      <c r="I1453" t="str">
        <f>'Source Table'!$H$8</f>
        <v>ذكر</v>
      </c>
      <c r="J1453" t="str">
        <f t="shared" si="44"/>
        <v>2015/2014</v>
      </c>
      <c r="K1453" t="str">
        <f t="shared" si="45"/>
        <v>2015/2014</v>
      </c>
      <c r="L1453" s="38">
        <v>427</v>
      </c>
      <c r="M1453" s="18">
        <v>2014</v>
      </c>
    </row>
    <row r="1454" ht="21.75" spans="1:13">
      <c r="A1454" s="18" t="s">
        <v>155</v>
      </c>
      <c r="B1454" s="18" t="s">
        <v>156</v>
      </c>
      <c r="C1454" s="18" t="s">
        <v>162</v>
      </c>
      <c r="D1454" s="18" t="s">
        <v>158</v>
      </c>
      <c r="E1454" s="18" t="s">
        <v>159</v>
      </c>
      <c r="F1454" s="19" t="s">
        <v>82</v>
      </c>
      <c r="G1454" s="20" t="s">
        <v>83</v>
      </c>
      <c r="H1454" t="str">
        <f>'Source Table'!$H$9</f>
        <v>Male</v>
      </c>
      <c r="I1454" t="str">
        <f>'Source Table'!$H$8</f>
        <v>ذكر</v>
      </c>
      <c r="J1454" t="str">
        <f t="shared" si="44"/>
        <v>2015/2014</v>
      </c>
      <c r="K1454" t="str">
        <f t="shared" si="45"/>
        <v>2015/2014</v>
      </c>
      <c r="L1454" s="38">
        <v>695</v>
      </c>
      <c r="M1454" s="18">
        <v>2014</v>
      </c>
    </row>
    <row r="1455" ht="21.75" spans="1:13">
      <c r="A1455" s="18" t="s">
        <v>155</v>
      </c>
      <c r="B1455" s="18" t="s">
        <v>156</v>
      </c>
      <c r="C1455" s="18" t="s">
        <v>162</v>
      </c>
      <c r="D1455" s="18" t="s">
        <v>158</v>
      </c>
      <c r="E1455" s="18" t="s">
        <v>159</v>
      </c>
      <c r="F1455" s="19" t="s">
        <v>84</v>
      </c>
      <c r="G1455" s="20" t="s">
        <v>85</v>
      </c>
      <c r="H1455" t="str">
        <f>'Source Table'!$H$9</f>
        <v>Male</v>
      </c>
      <c r="I1455" t="str">
        <f>'Source Table'!$H$8</f>
        <v>ذكر</v>
      </c>
      <c r="J1455" t="str">
        <f t="shared" si="44"/>
        <v>2015/2014</v>
      </c>
      <c r="K1455" t="str">
        <f t="shared" si="45"/>
        <v>2015/2014</v>
      </c>
      <c r="L1455" s="38">
        <v>760</v>
      </c>
      <c r="M1455" s="18">
        <v>2014</v>
      </c>
    </row>
    <row r="1456" ht="21.75" spans="1:13">
      <c r="A1456" s="18" t="s">
        <v>155</v>
      </c>
      <c r="B1456" s="18" t="s">
        <v>156</v>
      </c>
      <c r="C1456" s="18" t="s">
        <v>162</v>
      </c>
      <c r="D1456" s="18" t="s">
        <v>158</v>
      </c>
      <c r="E1456" s="18" t="s">
        <v>159</v>
      </c>
      <c r="F1456" s="19" t="s">
        <v>86</v>
      </c>
      <c r="G1456" s="20" t="s">
        <v>87</v>
      </c>
      <c r="H1456" t="str">
        <f>'Source Table'!$H$9</f>
        <v>Male</v>
      </c>
      <c r="I1456" t="str">
        <f>'Source Table'!$H$8</f>
        <v>ذكر</v>
      </c>
      <c r="J1456" t="str">
        <f t="shared" si="44"/>
        <v>2015/2014</v>
      </c>
      <c r="K1456" t="str">
        <f t="shared" si="45"/>
        <v>2015/2014</v>
      </c>
      <c r="L1456" s="38">
        <v>811</v>
      </c>
      <c r="M1456" s="18">
        <v>2014</v>
      </c>
    </row>
    <row r="1457" ht="21.75" spans="1:13">
      <c r="A1457" s="18" t="s">
        <v>155</v>
      </c>
      <c r="B1457" s="18" t="s">
        <v>156</v>
      </c>
      <c r="C1457" s="18" t="s">
        <v>162</v>
      </c>
      <c r="D1457" s="18" t="s">
        <v>158</v>
      </c>
      <c r="E1457" s="18" t="s">
        <v>159</v>
      </c>
      <c r="F1457" s="19" t="s">
        <v>88</v>
      </c>
      <c r="G1457" s="20" t="s">
        <v>89</v>
      </c>
      <c r="H1457" t="str">
        <f>'Source Table'!$H$9</f>
        <v>Male</v>
      </c>
      <c r="I1457" t="str">
        <f>'Source Table'!$H$8</f>
        <v>ذكر</v>
      </c>
      <c r="J1457" t="str">
        <f t="shared" si="44"/>
        <v>2015/2014</v>
      </c>
      <c r="K1457" t="str">
        <f t="shared" si="45"/>
        <v>2015/2014</v>
      </c>
      <c r="L1457" s="38">
        <v>914</v>
      </c>
      <c r="M1457" s="18">
        <v>2014</v>
      </c>
    </row>
    <row r="1458" ht="21.75" spans="1:13">
      <c r="A1458" s="18" t="s">
        <v>155</v>
      </c>
      <c r="B1458" s="18" t="s">
        <v>156</v>
      </c>
      <c r="C1458" s="18" t="s">
        <v>162</v>
      </c>
      <c r="D1458" s="18" t="s">
        <v>158</v>
      </c>
      <c r="E1458" s="18" t="s">
        <v>159</v>
      </c>
      <c r="F1458" s="19" t="s">
        <v>91</v>
      </c>
      <c r="G1458" s="20" t="s">
        <v>92</v>
      </c>
      <c r="H1458" t="str">
        <f>'Source Table'!$H$9</f>
        <v>Male</v>
      </c>
      <c r="I1458" t="str">
        <f>'Source Table'!$H$8</f>
        <v>ذكر</v>
      </c>
      <c r="J1458" t="str">
        <f t="shared" si="44"/>
        <v>2015/2014</v>
      </c>
      <c r="K1458" t="str">
        <f t="shared" si="45"/>
        <v>2015/2014</v>
      </c>
      <c r="L1458" s="38">
        <v>1230</v>
      </c>
      <c r="M1458" s="18">
        <v>2014</v>
      </c>
    </row>
    <row r="1459" ht="21.75" spans="1:13">
      <c r="A1459" s="18" t="s">
        <v>155</v>
      </c>
      <c r="B1459" s="18" t="s">
        <v>156</v>
      </c>
      <c r="C1459" s="18" t="s">
        <v>162</v>
      </c>
      <c r="D1459" s="18" t="s">
        <v>158</v>
      </c>
      <c r="E1459" s="18" t="s">
        <v>159</v>
      </c>
      <c r="F1459" s="19" t="s">
        <v>94</v>
      </c>
      <c r="G1459" s="20" t="s">
        <v>95</v>
      </c>
      <c r="H1459" t="str">
        <f>'Source Table'!$H$9</f>
        <v>Male</v>
      </c>
      <c r="I1459" t="str">
        <f>'Source Table'!$H$8</f>
        <v>ذكر</v>
      </c>
      <c r="J1459" t="str">
        <f t="shared" si="44"/>
        <v>2015/2014</v>
      </c>
      <c r="K1459" t="str">
        <f t="shared" si="45"/>
        <v>2015/2014</v>
      </c>
      <c r="L1459" s="38">
        <v>1159</v>
      </c>
      <c r="M1459" s="18">
        <v>2014</v>
      </c>
    </row>
    <row r="1460" ht="21.75" spans="1:13">
      <c r="A1460" s="18" t="s">
        <v>155</v>
      </c>
      <c r="B1460" s="18" t="s">
        <v>156</v>
      </c>
      <c r="C1460" s="18" t="s">
        <v>162</v>
      </c>
      <c r="D1460" s="18" t="s">
        <v>158</v>
      </c>
      <c r="E1460" s="18" t="s">
        <v>159</v>
      </c>
      <c r="F1460" s="19" t="s">
        <v>96</v>
      </c>
      <c r="G1460" s="20" t="s">
        <v>97</v>
      </c>
      <c r="H1460" t="str">
        <f>'Source Table'!$H$9</f>
        <v>Male</v>
      </c>
      <c r="I1460" t="str">
        <f>'Source Table'!$H$8</f>
        <v>ذكر</v>
      </c>
      <c r="J1460" t="str">
        <f t="shared" si="44"/>
        <v>2015/2014</v>
      </c>
      <c r="K1460" t="str">
        <f t="shared" si="45"/>
        <v>2015/2014</v>
      </c>
      <c r="L1460" s="38">
        <v>1116</v>
      </c>
      <c r="M1460" s="18">
        <v>2014</v>
      </c>
    </row>
    <row r="1461" ht="21.75" spans="1:13">
      <c r="A1461" s="18" t="s">
        <v>155</v>
      </c>
      <c r="B1461" s="18" t="s">
        <v>156</v>
      </c>
      <c r="C1461" s="18" t="s">
        <v>162</v>
      </c>
      <c r="D1461" s="18" t="s">
        <v>158</v>
      </c>
      <c r="E1461" s="18" t="s">
        <v>159</v>
      </c>
      <c r="F1461" s="19" t="s">
        <v>98</v>
      </c>
      <c r="G1461" s="20" t="s">
        <v>99</v>
      </c>
      <c r="H1461" t="str">
        <f>'Source Table'!$H$9</f>
        <v>Male</v>
      </c>
      <c r="I1461" t="str">
        <f>'Source Table'!$H$8</f>
        <v>ذكر</v>
      </c>
      <c r="J1461" t="str">
        <f t="shared" si="44"/>
        <v>2015/2014</v>
      </c>
      <c r="K1461" t="str">
        <f t="shared" si="45"/>
        <v>2015/2014</v>
      </c>
      <c r="L1461" s="39">
        <v>1526</v>
      </c>
      <c r="M1461" s="18">
        <v>2014</v>
      </c>
    </row>
    <row r="1462" ht="21.75" spans="1:13">
      <c r="A1462" s="18" t="s">
        <v>155</v>
      </c>
      <c r="B1462" s="18" t="s">
        <v>156</v>
      </c>
      <c r="C1462" s="18" t="s">
        <v>162</v>
      </c>
      <c r="D1462" s="18" t="s">
        <v>158</v>
      </c>
      <c r="E1462" s="18" t="s">
        <v>159</v>
      </c>
      <c r="F1462" s="19" t="s">
        <v>100</v>
      </c>
      <c r="G1462" s="20" t="s">
        <v>101</v>
      </c>
      <c r="H1462" t="str">
        <f>'Source Table'!$H$9</f>
        <v>Male</v>
      </c>
      <c r="I1462" t="str">
        <f>'Source Table'!$H$8</f>
        <v>ذكر</v>
      </c>
      <c r="J1462" t="str">
        <f t="shared" si="44"/>
        <v>2015/2014</v>
      </c>
      <c r="K1462" t="str">
        <f t="shared" si="45"/>
        <v>2015/2014</v>
      </c>
      <c r="L1462" s="39">
        <v>1006</v>
      </c>
      <c r="M1462" s="18">
        <v>2014</v>
      </c>
    </row>
    <row r="1463" ht="21.75" spans="1:13">
      <c r="A1463" s="18" t="s">
        <v>155</v>
      </c>
      <c r="B1463" s="18" t="s">
        <v>156</v>
      </c>
      <c r="C1463" s="18" t="s">
        <v>162</v>
      </c>
      <c r="D1463" s="18" t="s">
        <v>158</v>
      </c>
      <c r="E1463" s="18" t="s">
        <v>159</v>
      </c>
      <c r="F1463" s="19" t="s">
        <v>103</v>
      </c>
      <c r="G1463" s="20" t="s">
        <v>104</v>
      </c>
      <c r="H1463" t="str">
        <f>'Source Table'!$H$9</f>
        <v>Male</v>
      </c>
      <c r="I1463" t="str">
        <f>'Source Table'!$H$8</f>
        <v>ذكر</v>
      </c>
      <c r="J1463" t="str">
        <f t="shared" si="44"/>
        <v>2015/2014</v>
      </c>
      <c r="K1463" t="str">
        <f t="shared" si="45"/>
        <v>2015/2014</v>
      </c>
      <c r="L1463" s="38">
        <v>768</v>
      </c>
      <c r="M1463" s="18">
        <v>2014</v>
      </c>
    </row>
    <row r="1464" ht="21.75" spans="1:13">
      <c r="A1464" s="18" t="s">
        <v>155</v>
      </c>
      <c r="B1464" s="18" t="s">
        <v>156</v>
      </c>
      <c r="C1464" s="18" t="s">
        <v>162</v>
      </c>
      <c r="D1464" s="18" t="s">
        <v>158</v>
      </c>
      <c r="E1464" s="18" t="s">
        <v>159</v>
      </c>
      <c r="F1464" s="19" t="s">
        <v>106</v>
      </c>
      <c r="G1464" s="20" t="s">
        <v>107</v>
      </c>
      <c r="H1464" t="str">
        <f>'Source Table'!$H$9</f>
        <v>Male</v>
      </c>
      <c r="I1464" t="str">
        <f>'Source Table'!$H$8</f>
        <v>ذكر</v>
      </c>
      <c r="J1464" t="str">
        <f t="shared" si="44"/>
        <v>2015/2014</v>
      </c>
      <c r="K1464" t="str">
        <f t="shared" si="45"/>
        <v>2015/2014</v>
      </c>
      <c r="L1464" s="38">
        <v>532</v>
      </c>
      <c r="M1464" s="18">
        <v>2014</v>
      </c>
    </row>
    <row r="1465" ht="21.75" spans="1:13">
      <c r="A1465" s="18" t="s">
        <v>155</v>
      </c>
      <c r="B1465" s="18" t="s">
        <v>156</v>
      </c>
      <c r="C1465" s="18" t="s">
        <v>162</v>
      </c>
      <c r="D1465" s="18" t="s">
        <v>158</v>
      </c>
      <c r="E1465" s="18" t="s">
        <v>159</v>
      </c>
      <c r="F1465" s="19" t="s">
        <v>108</v>
      </c>
      <c r="G1465" s="20" t="s">
        <v>109</v>
      </c>
      <c r="H1465" t="str">
        <f>'Source Table'!$H$9</f>
        <v>Male</v>
      </c>
      <c r="I1465" t="str">
        <f>'Source Table'!$H$8</f>
        <v>ذكر</v>
      </c>
      <c r="J1465" t="str">
        <f t="shared" si="44"/>
        <v>2015/2014</v>
      </c>
      <c r="K1465" t="str">
        <f t="shared" si="45"/>
        <v>2015/2014</v>
      </c>
      <c r="L1465" s="38">
        <v>419</v>
      </c>
      <c r="M1465" s="18">
        <v>2014</v>
      </c>
    </row>
    <row r="1466" ht="21.75" spans="1:13">
      <c r="A1466" s="18" t="s">
        <v>155</v>
      </c>
      <c r="B1466" s="18" t="s">
        <v>156</v>
      </c>
      <c r="C1466" s="18" t="s">
        <v>162</v>
      </c>
      <c r="D1466" s="18" t="s">
        <v>158</v>
      </c>
      <c r="E1466" s="18" t="s">
        <v>159</v>
      </c>
      <c r="F1466" s="19" t="s">
        <v>110</v>
      </c>
      <c r="G1466" s="20" t="s">
        <v>111</v>
      </c>
      <c r="H1466" t="str">
        <f>'Source Table'!$H$9</f>
        <v>Male</v>
      </c>
      <c r="I1466" t="str">
        <f>'Source Table'!$H$8</f>
        <v>ذكر</v>
      </c>
      <c r="J1466" t="str">
        <f t="shared" si="44"/>
        <v>2015/2014</v>
      </c>
      <c r="K1466" t="str">
        <f t="shared" si="45"/>
        <v>2015/2014</v>
      </c>
      <c r="L1466" s="38">
        <v>321</v>
      </c>
      <c r="M1466" s="18">
        <v>2014</v>
      </c>
    </row>
    <row r="1467" ht="21.75" spans="1:13">
      <c r="A1467" s="18" t="s">
        <v>155</v>
      </c>
      <c r="B1467" s="18" t="s">
        <v>156</v>
      </c>
      <c r="C1467" s="18" t="s">
        <v>162</v>
      </c>
      <c r="D1467" s="18" t="s">
        <v>158</v>
      </c>
      <c r="E1467" s="18" t="s">
        <v>159</v>
      </c>
      <c r="F1467" s="19" t="s">
        <v>113</v>
      </c>
      <c r="G1467" s="20" t="s">
        <v>114</v>
      </c>
      <c r="H1467" t="str">
        <f>'Source Table'!$H$9</f>
        <v>Male</v>
      </c>
      <c r="I1467" t="str">
        <f>'Source Table'!$H$8</f>
        <v>ذكر</v>
      </c>
      <c r="J1467" t="str">
        <f t="shared" si="44"/>
        <v>2015/2014</v>
      </c>
      <c r="K1467" t="str">
        <f t="shared" si="45"/>
        <v>2015/2014</v>
      </c>
      <c r="L1467" s="38">
        <v>648</v>
      </c>
      <c r="M1467" s="18">
        <v>2014</v>
      </c>
    </row>
    <row r="1468" ht="21.75" spans="1:13">
      <c r="A1468" s="18" t="s">
        <v>155</v>
      </c>
      <c r="B1468" s="18" t="s">
        <v>156</v>
      </c>
      <c r="C1468" s="18" t="s">
        <v>162</v>
      </c>
      <c r="D1468" s="18" t="s">
        <v>158</v>
      </c>
      <c r="E1468" s="18" t="s">
        <v>159</v>
      </c>
      <c r="F1468" s="19" t="s">
        <v>115</v>
      </c>
      <c r="G1468" s="20" t="s">
        <v>116</v>
      </c>
      <c r="H1468" t="str">
        <f>'Source Table'!$H$9</f>
        <v>Male</v>
      </c>
      <c r="I1468" t="str">
        <f>'Source Table'!$H$8</f>
        <v>ذكر</v>
      </c>
      <c r="J1468" t="str">
        <f t="shared" si="44"/>
        <v>2015/2014</v>
      </c>
      <c r="K1468" t="str">
        <f t="shared" si="45"/>
        <v>2015/2014</v>
      </c>
      <c r="L1468" s="38">
        <v>240</v>
      </c>
      <c r="M1468" s="18">
        <v>2014</v>
      </c>
    </row>
    <row r="1469" ht="21.75" spans="1:13">
      <c r="A1469" s="18" t="s">
        <v>155</v>
      </c>
      <c r="B1469" s="18" t="s">
        <v>156</v>
      </c>
      <c r="C1469" s="18" t="s">
        <v>162</v>
      </c>
      <c r="D1469" s="18" t="s">
        <v>158</v>
      </c>
      <c r="E1469" s="18" t="s">
        <v>159</v>
      </c>
      <c r="F1469" s="19" t="s">
        <v>118</v>
      </c>
      <c r="G1469" s="20" t="s">
        <v>119</v>
      </c>
      <c r="H1469" t="str">
        <f>'Source Table'!$H$9</f>
        <v>Male</v>
      </c>
      <c r="I1469" t="str">
        <f>'Source Table'!$H$8</f>
        <v>ذكر</v>
      </c>
      <c r="J1469" t="str">
        <f t="shared" si="44"/>
        <v>2015/2014</v>
      </c>
      <c r="K1469" t="str">
        <f t="shared" si="45"/>
        <v>2015/2014</v>
      </c>
      <c r="L1469" s="38">
        <v>265</v>
      </c>
      <c r="M1469" s="18">
        <v>2014</v>
      </c>
    </row>
    <row r="1470" ht="21.75" spans="1:13">
      <c r="A1470" s="18" t="s">
        <v>155</v>
      </c>
      <c r="B1470" s="18" t="s">
        <v>156</v>
      </c>
      <c r="C1470" s="18" t="s">
        <v>162</v>
      </c>
      <c r="D1470" s="18" t="s">
        <v>158</v>
      </c>
      <c r="E1470" s="18" t="s">
        <v>159</v>
      </c>
      <c r="F1470" s="19" t="s">
        <v>120</v>
      </c>
      <c r="G1470" s="20" t="s">
        <v>121</v>
      </c>
      <c r="H1470" t="str">
        <f>'Source Table'!$H$9</f>
        <v>Male</v>
      </c>
      <c r="I1470" t="str">
        <f>'Source Table'!$H$8</f>
        <v>ذكر</v>
      </c>
      <c r="J1470" t="str">
        <f t="shared" si="44"/>
        <v>2015/2014</v>
      </c>
      <c r="K1470" t="str">
        <f t="shared" si="45"/>
        <v>2015/2014</v>
      </c>
      <c r="L1470" s="38">
        <v>549</v>
      </c>
      <c r="M1470" s="18">
        <v>2014</v>
      </c>
    </row>
    <row r="1471" ht="21.75" spans="1:13">
      <c r="A1471" s="18" t="s">
        <v>155</v>
      </c>
      <c r="B1471" s="18" t="s">
        <v>156</v>
      </c>
      <c r="C1471" s="18" t="s">
        <v>162</v>
      </c>
      <c r="D1471" s="18" t="s">
        <v>158</v>
      </c>
      <c r="E1471" s="18" t="s">
        <v>159</v>
      </c>
      <c r="F1471" s="19" t="s">
        <v>122</v>
      </c>
      <c r="G1471" s="20" t="s">
        <v>123</v>
      </c>
      <c r="H1471" t="str">
        <f>'Source Table'!$H$9</f>
        <v>Male</v>
      </c>
      <c r="I1471" t="str">
        <f>'Source Table'!$H$8</f>
        <v>ذكر</v>
      </c>
      <c r="J1471" t="str">
        <f t="shared" si="44"/>
        <v>2015/2014</v>
      </c>
      <c r="K1471" t="str">
        <f t="shared" si="45"/>
        <v>2015/2014</v>
      </c>
      <c r="L1471" s="38">
        <v>224</v>
      </c>
      <c r="M1471" s="18">
        <v>2014</v>
      </c>
    </row>
    <row r="1472" ht="21.75" spans="1:13">
      <c r="A1472" s="18" t="s">
        <v>155</v>
      </c>
      <c r="B1472" s="18" t="s">
        <v>156</v>
      </c>
      <c r="C1472" s="18" t="s">
        <v>162</v>
      </c>
      <c r="D1472" s="18" t="s">
        <v>158</v>
      </c>
      <c r="E1472" s="18" t="s">
        <v>159</v>
      </c>
      <c r="F1472" s="19" t="s">
        <v>124</v>
      </c>
      <c r="G1472" s="20" t="s">
        <v>125</v>
      </c>
      <c r="H1472" t="str">
        <f>'Source Table'!$H$9</f>
        <v>Male</v>
      </c>
      <c r="I1472" t="str">
        <f>'Source Table'!$H$8</f>
        <v>ذكر</v>
      </c>
      <c r="J1472" t="str">
        <f t="shared" si="44"/>
        <v>2015/2014</v>
      </c>
      <c r="K1472" t="str">
        <f t="shared" si="45"/>
        <v>2015/2014</v>
      </c>
      <c r="L1472" s="38">
        <v>183</v>
      </c>
      <c r="M1472" s="18">
        <v>2014</v>
      </c>
    </row>
    <row r="1473" ht="21.75" spans="1:13">
      <c r="A1473" s="18" t="s">
        <v>155</v>
      </c>
      <c r="B1473" s="18" t="s">
        <v>156</v>
      </c>
      <c r="C1473" s="18" t="s">
        <v>162</v>
      </c>
      <c r="D1473" s="18" t="s">
        <v>158</v>
      </c>
      <c r="E1473" s="18" t="s">
        <v>159</v>
      </c>
      <c r="F1473" s="19" t="s">
        <v>126</v>
      </c>
      <c r="G1473" s="20" t="s">
        <v>127</v>
      </c>
      <c r="H1473" t="str">
        <f>'Source Table'!$H$9</f>
        <v>Male</v>
      </c>
      <c r="I1473" t="str">
        <f>'Source Table'!$H$8</f>
        <v>ذكر</v>
      </c>
      <c r="J1473" t="str">
        <f t="shared" si="44"/>
        <v>2015/2014</v>
      </c>
      <c r="K1473" t="str">
        <f t="shared" si="45"/>
        <v>2015/2014</v>
      </c>
      <c r="L1473" s="40">
        <v>942</v>
      </c>
      <c r="M1473" s="18">
        <v>2014</v>
      </c>
    </row>
    <row r="1474" ht="21.75" spans="1:13">
      <c r="A1474" s="18" t="s">
        <v>155</v>
      </c>
      <c r="B1474" s="18" t="s">
        <v>156</v>
      </c>
      <c r="C1474" s="18" t="s">
        <v>162</v>
      </c>
      <c r="D1474" s="18" t="s">
        <v>158</v>
      </c>
      <c r="E1474" s="18" t="s">
        <v>159</v>
      </c>
      <c r="F1474" s="19" t="s">
        <v>29</v>
      </c>
      <c r="G1474" s="20" t="s">
        <v>30</v>
      </c>
      <c r="H1474" t="str">
        <f>'Source Table'!$G$9</f>
        <v>Female</v>
      </c>
      <c r="I1474" t="str">
        <f>'Source Table'!$G$8</f>
        <v>أنثى</v>
      </c>
      <c r="J1474" t="str">
        <f t="shared" si="44"/>
        <v>2015/2014</v>
      </c>
      <c r="K1474" t="str">
        <f t="shared" si="45"/>
        <v>2015/2014</v>
      </c>
      <c r="L1474" s="38">
        <v>6521</v>
      </c>
      <c r="M1474" s="18">
        <v>2014</v>
      </c>
    </row>
    <row r="1475" ht="21.75" spans="1:13">
      <c r="A1475" s="18" t="s">
        <v>155</v>
      </c>
      <c r="B1475" s="18" t="s">
        <v>156</v>
      </c>
      <c r="C1475" s="18" t="s">
        <v>162</v>
      </c>
      <c r="D1475" s="18" t="s">
        <v>158</v>
      </c>
      <c r="E1475" s="18" t="s">
        <v>159</v>
      </c>
      <c r="F1475" s="19" t="s">
        <v>32</v>
      </c>
      <c r="G1475" s="20" t="s">
        <v>33</v>
      </c>
      <c r="H1475" t="str">
        <f>'Source Table'!$G$9</f>
        <v>Female</v>
      </c>
      <c r="I1475" t="str">
        <f>'Source Table'!$G$8</f>
        <v>أنثى</v>
      </c>
      <c r="J1475" t="str">
        <f t="shared" si="44"/>
        <v>2015/2014</v>
      </c>
      <c r="K1475" t="str">
        <f t="shared" si="45"/>
        <v>2015/2014</v>
      </c>
      <c r="L1475" s="38">
        <v>6481</v>
      </c>
      <c r="M1475" s="18">
        <v>2014</v>
      </c>
    </row>
    <row r="1476" ht="21.75" spans="1:13">
      <c r="A1476" s="18" t="s">
        <v>155</v>
      </c>
      <c r="B1476" s="18" t="s">
        <v>156</v>
      </c>
      <c r="C1476" s="18" t="s">
        <v>162</v>
      </c>
      <c r="D1476" s="18" t="s">
        <v>158</v>
      </c>
      <c r="E1476" s="18" t="s">
        <v>159</v>
      </c>
      <c r="F1476" s="19" t="s">
        <v>34</v>
      </c>
      <c r="G1476" s="20" t="s">
        <v>35</v>
      </c>
      <c r="H1476" t="str">
        <f>'Source Table'!$G$9</f>
        <v>Female</v>
      </c>
      <c r="I1476" t="str">
        <f>'Source Table'!$G$8</f>
        <v>أنثى</v>
      </c>
      <c r="J1476" t="str">
        <f t="shared" si="44"/>
        <v>2015/2014</v>
      </c>
      <c r="K1476" t="str">
        <f t="shared" si="45"/>
        <v>2015/2014</v>
      </c>
      <c r="L1476" s="38">
        <v>966</v>
      </c>
      <c r="M1476" s="18">
        <v>2014</v>
      </c>
    </row>
    <row r="1477" ht="21.75" spans="1:13">
      <c r="A1477" s="18" t="s">
        <v>155</v>
      </c>
      <c r="B1477" s="18" t="s">
        <v>156</v>
      </c>
      <c r="C1477" s="18" t="s">
        <v>162</v>
      </c>
      <c r="D1477" s="18" t="s">
        <v>158</v>
      </c>
      <c r="E1477" s="18" t="s">
        <v>159</v>
      </c>
      <c r="F1477" s="19" t="s">
        <v>36</v>
      </c>
      <c r="G1477" s="20" t="s">
        <v>37</v>
      </c>
      <c r="H1477" t="str">
        <f>'Source Table'!$G$9</f>
        <v>Female</v>
      </c>
      <c r="I1477" t="str">
        <f>'Source Table'!$G$8</f>
        <v>أنثى</v>
      </c>
      <c r="J1477" t="str">
        <f t="shared" ref="J1477:J1515" si="46">TEXT(M1477+1,"0")&amp;"/"&amp;TEXT(M1477,"0")</f>
        <v>2015/2014</v>
      </c>
      <c r="K1477" t="str">
        <f t="shared" ref="K1477:K1515" si="47">TEXT(M1477+1,"0")&amp;"/"&amp;TEXT(M1477,"0")</f>
        <v>2015/2014</v>
      </c>
      <c r="L1477" s="38">
        <v>4159</v>
      </c>
      <c r="M1477" s="18">
        <v>2014</v>
      </c>
    </row>
    <row r="1478" ht="21.75" spans="1:13">
      <c r="A1478" s="18" t="s">
        <v>155</v>
      </c>
      <c r="B1478" s="18" t="s">
        <v>156</v>
      </c>
      <c r="C1478" s="18" t="s">
        <v>162</v>
      </c>
      <c r="D1478" s="18" t="s">
        <v>158</v>
      </c>
      <c r="E1478" s="18" t="s">
        <v>159</v>
      </c>
      <c r="F1478" s="19" t="s">
        <v>38</v>
      </c>
      <c r="G1478" s="20" t="s">
        <v>39</v>
      </c>
      <c r="H1478" t="str">
        <f>'Source Table'!$G$9</f>
        <v>Female</v>
      </c>
      <c r="I1478" t="str">
        <f>'Source Table'!$G$8</f>
        <v>أنثى</v>
      </c>
      <c r="J1478" t="str">
        <f t="shared" si="46"/>
        <v>2015/2014</v>
      </c>
      <c r="K1478" t="str">
        <f t="shared" si="47"/>
        <v>2015/2014</v>
      </c>
      <c r="L1478" s="38">
        <v>6246</v>
      </c>
      <c r="M1478" s="18">
        <v>2014</v>
      </c>
    </row>
    <row r="1479" ht="21.75" spans="1:13">
      <c r="A1479" s="18" t="s">
        <v>155</v>
      </c>
      <c r="B1479" s="18" t="s">
        <v>156</v>
      </c>
      <c r="C1479" s="18" t="s">
        <v>162</v>
      </c>
      <c r="D1479" s="18" t="s">
        <v>158</v>
      </c>
      <c r="E1479" s="18" t="s">
        <v>159</v>
      </c>
      <c r="F1479" s="19" t="s">
        <v>40</v>
      </c>
      <c r="G1479" s="20" t="s">
        <v>41</v>
      </c>
      <c r="H1479" t="str">
        <f>'Source Table'!$G$9</f>
        <v>Female</v>
      </c>
      <c r="I1479" t="str">
        <f>'Source Table'!$G$8</f>
        <v>أنثى</v>
      </c>
      <c r="J1479" t="str">
        <f t="shared" si="46"/>
        <v>2015/2014</v>
      </c>
      <c r="K1479" t="str">
        <f t="shared" si="47"/>
        <v>2015/2014</v>
      </c>
      <c r="L1479" s="38">
        <v>2734</v>
      </c>
      <c r="M1479" s="18">
        <v>2014</v>
      </c>
    </row>
    <row r="1480" ht="21.75" spans="1:13">
      <c r="A1480" s="18" t="s">
        <v>155</v>
      </c>
      <c r="B1480" s="18" t="s">
        <v>156</v>
      </c>
      <c r="C1480" s="18" t="s">
        <v>162</v>
      </c>
      <c r="D1480" s="18" t="s">
        <v>158</v>
      </c>
      <c r="E1480" s="18" t="s">
        <v>159</v>
      </c>
      <c r="F1480" s="19" t="s">
        <v>42</v>
      </c>
      <c r="G1480" s="20" t="s">
        <v>43</v>
      </c>
      <c r="H1480" t="str">
        <f>'Source Table'!$G$9</f>
        <v>Female</v>
      </c>
      <c r="I1480" t="str">
        <f>'Source Table'!$G$8</f>
        <v>أنثى</v>
      </c>
      <c r="J1480" t="str">
        <f t="shared" si="46"/>
        <v>2015/2014</v>
      </c>
      <c r="K1480" t="str">
        <f t="shared" si="47"/>
        <v>2015/2014</v>
      </c>
      <c r="L1480" s="38">
        <v>1170</v>
      </c>
      <c r="M1480" s="18">
        <v>2014</v>
      </c>
    </row>
    <row r="1481" ht="21.75" spans="1:13">
      <c r="A1481" s="18" t="s">
        <v>155</v>
      </c>
      <c r="B1481" s="18" t="s">
        <v>156</v>
      </c>
      <c r="C1481" s="18" t="s">
        <v>162</v>
      </c>
      <c r="D1481" s="18" t="s">
        <v>158</v>
      </c>
      <c r="E1481" s="18" t="s">
        <v>159</v>
      </c>
      <c r="F1481" s="19" t="s">
        <v>44</v>
      </c>
      <c r="G1481" s="20" t="s">
        <v>45</v>
      </c>
      <c r="H1481" t="str">
        <f>'Source Table'!$G$9</f>
        <v>Female</v>
      </c>
      <c r="I1481" t="str">
        <f>'Source Table'!$G$8</f>
        <v>أنثى</v>
      </c>
      <c r="J1481" t="str">
        <f t="shared" si="46"/>
        <v>2015/2014</v>
      </c>
      <c r="K1481" t="str">
        <f t="shared" si="47"/>
        <v>2015/2014</v>
      </c>
      <c r="L1481" s="38">
        <v>574</v>
      </c>
      <c r="M1481" s="18">
        <v>2014</v>
      </c>
    </row>
    <row r="1482" ht="21.75" spans="1:13">
      <c r="A1482" s="18" t="s">
        <v>155</v>
      </c>
      <c r="B1482" s="18" t="s">
        <v>156</v>
      </c>
      <c r="C1482" s="18" t="s">
        <v>162</v>
      </c>
      <c r="D1482" s="18" t="s">
        <v>158</v>
      </c>
      <c r="E1482" s="18" t="s">
        <v>159</v>
      </c>
      <c r="F1482" s="19" t="s">
        <v>46</v>
      </c>
      <c r="G1482" s="20" t="s">
        <v>47</v>
      </c>
      <c r="H1482" t="str">
        <f>'Source Table'!$G$9</f>
        <v>Female</v>
      </c>
      <c r="I1482" t="str">
        <f>'Source Table'!$G$8</f>
        <v>أنثى</v>
      </c>
      <c r="J1482" t="str">
        <f t="shared" si="46"/>
        <v>2015/2014</v>
      </c>
      <c r="K1482" t="str">
        <f t="shared" si="47"/>
        <v>2015/2014</v>
      </c>
      <c r="L1482" s="38">
        <v>931</v>
      </c>
      <c r="M1482" s="18">
        <v>2014</v>
      </c>
    </row>
    <row r="1483" ht="21.75" spans="1:13">
      <c r="A1483" s="18" t="s">
        <v>155</v>
      </c>
      <c r="B1483" s="18" t="s">
        <v>156</v>
      </c>
      <c r="C1483" s="18" t="s">
        <v>162</v>
      </c>
      <c r="D1483" s="18" t="s">
        <v>158</v>
      </c>
      <c r="E1483" s="18" t="s">
        <v>159</v>
      </c>
      <c r="F1483" s="19" t="s">
        <v>49</v>
      </c>
      <c r="G1483" s="20" t="s">
        <v>50</v>
      </c>
      <c r="H1483" t="str">
        <f>'Source Table'!$G$9</f>
        <v>Female</v>
      </c>
      <c r="I1483" t="str">
        <f>'Source Table'!$G$8</f>
        <v>أنثى</v>
      </c>
      <c r="J1483" t="str">
        <f t="shared" si="46"/>
        <v>2015/2014</v>
      </c>
      <c r="K1483" t="str">
        <f t="shared" si="47"/>
        <v>2015/2014</v>
      </c>
      <c r="L1483" s="38">
        <v>2420</v>
      </c>
      <c r="M1483" s="18">
        <v>2014</v>
      </c>
    </row>
    <row r="1484" ht="21.75" spans="1:13">
      <c r="A1484" s="18" t="s">
        <v>155</v>
      </c>
      <c r="B1484" s="18" t="s">
        <v>156</v>
      </c>
      <c r="C1484" s="18" t="s">
        <v>162</v>
      </c>
      <c r="D1484" s="18" t="s">
        <v>158</v>
      </c>
      <c r="E1484" s="18" t="s">
        <v>159</v>
      </c>
      <c r="F1484" s="19" t="s">
        <v>52</v>
      </c>
      <c r="G1484" s="20" t="s">
        <v>53</v>
      </c>
      <c r="H1484" t="str">
        <f>'Source Table'!$G$9</f>
        <v>Female</v>
      </c>
      <c r="I1484" t="str">
        <f>'Source Table'!$G$8</f>
        <v>أنثى</v>
      </c>
      <c r="J1484" t="str">
        <f t="shared" si="46"/>
        <v>2015/2014</v>
      </c>
      <c r="K1484" t="str">
        <f t="shared" si="47"/>
        <v>2015/2014</v>
      </c>
      <c r="L1484" s="38">
        <v>667</v>
      </c>
      <c r="M1484" s="18">
        <v>2014</v>
      </c>
    </row>
    <row r="1485" ht="21.75" spans="1:13">
      <c r="A1485" s="18" t="s">
        <v>155</v>
      </c>
      <c r="B1485" s="18" t="s">
        <v>156</v>
      </c>
      <c r="C1485" s="18" t="s">
        <v>162</v>
      </c>
      <c r="D1485" s="18" t="s">
        <v>158</v>
      </c>
      <c r="E1485" s="18" t="s">
        <v>159</v>
      </c>
      <c r="F1485" s="19" t="s">
        <v>54</v>
      </c>
      <c r="G1485" s="20" t="s">
        <v>55</v>
      </c>
      <c r="H1485" t="str">
        <f>'Source Table'!$G$9</f>
        <v>Female</v>
      </c>
      <c r="I1485" t="str">
        <f>'Source Table'!$G$8</f>
        <v>أنثى</v>
      </c>
      <c r="J1485" t="str">
        <f t="shared" si="46"/>
        <v>2015/2014</v>
      </c>
      <c r="K1485" t="str">
        <f t="shared" si="47"/>
        <v>2015/2014</v>
      </c>
      <c r="L1485" s="38">
        <v>528</v>
      </c>
      <c r="M1485" s="18">
        <v>2014</v>
      </c>
    </row>
    <row r="1486" ht="21.75" spans="1:13">
      <c r="A1486" s="18" t="s">
        <v>155</v>
      </c>
      <c r="B1486" s="18" t="s">
        <v>156</v>
      </c>
      <c r="C1486" s="18" t="s">
        <v>162</v>
      </c>
      <c r="D1486" s="18" t="s">
        <v>158</v>
      </c>
      <c r="E1486" s="18" t="s">
        <v>159</v>
      </c>
      <c r="F1486" s="19" t="s">
        <v>56</v>
      </c>
      <c r="G1486" s="20" t="s">
        <v>57</v>
      </c>
      <c r="H1486" t="str">
        <f>'Source Table'!$G$9</f>
        <v>Female</v>
      </c>
      <c r="I1486" t="str">
        <f>'Source Table'!$G$8</f>
        <v>أنثى</v>
      </c>
      <c r="J1486" t="str">
        <f t="shared" si="46"/>
        <v>2015/2014</v>
      </c>
      <c r="K1486" t="str">
        <f t="shared" si="47"/>
        <v>2015/2014</v>
      </c>
      <c r="L1486" s="38">
        <v>1781</v>
      </c>
      <c r="M1486" s="18">
        <v>2014</v>
      </c>
    </row>
    <row r="1487" ht="21.75" spans="1:13">
      <c r="A1487" s="18" t="s">
        <v>155</v>
      </c>
      <c r="B1487" s="18" t="s">
        <v>156</v>
      </c>
      <c r="C1487" s="18" t="s">
        <v>162</v>
      </c>
      <c r="D1487" s="18" t="s">
        <v>158</v>
      </c>
      <c r="E1487" s="18" t="s">
        <v>159</v>
      </c>
      <c r="F1487" s="19" t="s">
        <v>59</v>
      </c>
      <c r="G1487" s="20" t="s">
        <v>160</v>
      </c>
      <c r="H1487" t="str">
        <f>'Source Table'!$G$9</f>
        <v>Female</v>
      </c>
      <c r="I1487" t="str">
        <f>'Source Table'!$G$8</f>
        <v>أنثى</v>
      </c>
      <c r="J1487" t="str">
        <f t="shared" si="46"/>
        <v>2015/2014</v>
      </c>
      <c r="K1487" t="str">
        <f t="shared" si="47"/>
        <v>2015/2014</v>
      </c>
      <c r="L1487" s="38">
        <v>4623</v>
      </c>
      <c r="M1487" s="18">
        <v>2014</v>
      </c>
    </row>
    <row r="1488" ht="21.75" spans="1:13">
      <c r="A1488" s="18" t="s">
        <v>155</v>
      </c>
      <c r="B1488" s="18" t="s">
        <v>156</v>
      </c>
      <c r="C1488" s="18" t="s">
        <v>162</v>
      </c>
      <c r="D1488" s="18" t="s">
        <v>158</v>
      </c>
      <c r="E1488" s="18" t="s">
        <v>159</v>
      </c>
      <c r="F1488" s="19" t="s">
        <v>62</v>
      </c>
      <c r="G1488" s="20" t="s">
        <v>161</v>
      </c>
      <c r="H1488" t="str">
        <f>'Source Table'!$G$9</f>
        <v>Female</v>
      </c>
      <c r="I1488" t="str">
        <f>'Source Table'!$G$8</f>
        <v>أنثى</v>
      </c>
      <c r="J1488" t="str">
        <f t="shared" si="46"/>
        <v>2015/2014</v>
      </c>
      <c r="K1488" t="str">
        <f t="shared" si="47"/>
        <v>2015/2014</v>
      </c>
      <c r="L1488" s="38">
        <v>1414</v>
      </c>
      <c r="M1488" s="18">
        <v>2014</v>
      </c>
    </row>
    <row r="1489" ht="21.75" spans="1:13">
      <c r="A1489" s="18" t="s">
        <v>155</v>
      </c>
      <c r="B1489" s="18" t="s">
        <v>156</v>
      </c>
      <c r="C1489" s="18" t="s">
        <v>162</v>
      </c>
      <c r="D1489" s="18" t="s">
        <v>158</v>
      </c>
      <c r="E1489" s="18" t="s">
        <v>159</v>
      </c>
      <c r="F1489" s="19" t="s">
        <v>64</v>
      </c>
      <c r="G1489" s="20" t="s">
        <v>65</v>
      </c>
      <c r="H1489" t="str">
        <f>'Source Table'!$G$9</f>
        <v>Female</v>
      </c>
      <c r="I1489" t="str">
        <f>'Source Table'!$G$8</f>
        <v>أنثى</v>
      </c>
      <c r="J1489" t="str">
        <f t="shared" si="46"/>
        <v>2015/2014</v>
      </c>
      <c r="K1489" t="str">
        <f t="shared" si="47"/>
        <v>2015/2014</v>
      </c>
      <c r="L1489" s="38">
        <v>2869</v>
      </c>
      <c r="M1489" s="18">
        <v>2014</v>
      </c>
    </row>
    <row r="1490" ht="21.75" spans="1:13">
      <c r="A1490" s="18" t="s">
        <v>155</v>
      </c>
      <c r="B1490" s="18" t="s">
        <v>156</v>
      </c>
      <c r="C1490" s="18" t="s">
        <v>162</v>
      </c>
      <c r="D1490" s="18" t="s">
        <v>158</v>
      </c>
      <c r="E1490" s="18" t="s">
        <v>159</v>
      </c>
      <c r="F1490" s="19" t="s">
        <v>68</v>
      </c>
      <c r="G1490" s="20" t="s">
        <v>69</v>
      </c>
      <c r="H1490" t="str">
        <f>'Source Table'!$G$9</f>
        <v>Female</v>
      </c>
      <c r="I1490" t="str">
        <f>'Source Table'!$G$8</f>
        <v>أنثى</v>
      </c>
      <c r="J1490" t="str">
        <f t="shared" si="46"/>
        <v>2015/2014</v>
      </c>
      <c r="K1490" t="str">
        <f t="shared" si="47"/>
        <v>2015/2014</v>
      </c>
      <c r="L1490" s="38">
        <v>1607</v>
      </c>
      <c r="M1490" s="18">
        <v>2014</v>
      </c>
    </row>
    <row r="1491" ht="21.75" spans="1:13">
      <c r="A1491" s="18" t="s">
        <v>155</v>
      </c>
      <c r="B1491" s="18" t="s">
        <v>156</v>
      </c>
      <c r="C1491" s="18" t="s">
        <v>162</v>
      </c>
      <c r="D1491" s="18" t="s">
        <v>158</v>
      </c>
      <c r="E1491" s="18" t="s">
        <v>159</v>
      </c>
      <c r="F1491" s="19" t="s">
        <v>70</v>
      </c>
      <c r="G1491" s="20" t="s">
        <v>71</v>
      </c>
      <c r="H1491" t="str">
        <f>'Source Table'!$G$9</f>
        <v>Female</v>
      </c>
      <c r="I1491" t="str">
        <f>'Source Table'!$G$8</f>
        <v>أنثى</v>
      </c>
      <c r="J1491" t="str">
        <f t="shared" si="46"/>
        <v>2015/2014</v>
      </c>
      <c r="K1491" t="str">
        <f t="shared" si="47"/>
        <v>2015/2014</v>
      </c>
      <c r="L1491" s="38">
        <v>692</v>
      </c>
      <c r="M1491" s="18">
        <v>2014</v>
      </c>
    </row>
    <row r="1492" ht="21.75" spans="1:13">
      <c r="A1492" s="18" t="s">
        <v>155</v>
      </c>
      <c r="B1492" s="18" t="s">
        <v>156</v>
      </c>
      <c r="C1492" s="18" t="s">
        <v>162</v>
      </c>
      <c r="D1492" s="18" t="s">
        <v>158</v>
      </c>
      <c r="E1492" s="18" t="s">
        <v>159</v>
      </c>
      <c r="F1492" s="19" t="s">
        <v>74</v>
      </c>
      <c r="G1492" s="20" t="s">
        <v>75</v>
      </c>
      <c r="H1492" t="str">
        <f>'Source Table'!$G$9</f>
        <v>Female</v>
      </c>
      <c r="I1492" t="str">
        <f>'Source Table'!$G$8</f>
        <v>أنثى</v>
      </c>
      <c r="J1492" t="str">
        <f t="shared" si="46"/>
        <v>2015/2014</v>
      </c>
      <c r="K1492" t="str">
        <f t="shared" si="47"/>
        <v>2015/2014</v>
      </c>
      <c r="L1492" s="38">
        <v>5065</v>
      </c>
      <c r="M1492" s="18">
        <v>2014</v>
      </c>
    </row>
    <row r="1493" ht="21.75" spans="1:13">
      <c r="A1493" s="18" t="s">
        <v>155</v>
      </c>
      <c r="B1493" s="18" t="s">
        <v>156</v>
      </c>
      <c r="C1493" s="18" t="s">
        <v>162</v>
      </c>
      <c r="D1493" s="18" t="s">
        <v>158</v>
      </c>
      <c r="E1493" s="18" t="s">
        <v>159</v>
      </c>
      <c r="F1493" s="19" t="s">
        <v>76</v>
      </c>
      <c r="G1493" s="20" t="s">
        <v>77</v>
      </c>
      <c r="H1493" t="str">
        <f>'Source Table'!$G$9</f>
        <v>Female</v>
      </c>
      <c r="I1493" t="str">
        <f>'Source Table'!$G$8</f>
        <v>أنثى</v>
      </c>
      <c r="J1493" t="str">
        <f t="shared" si="46"/>
        <v>2015/2014</v>
      </c>
      <c r="K1493" t="str">
        <f t="shared" si="47"/>
        <v>2015/2014</v>
      </c>
      <c r="L1493" s="38">
        <v>1741</v>
      </c>
      <c r="M1493" s="18">
        <v>2014</v>
      </c>
    </row>
    <row r="1494" ht="21.75" spans="1:13">
      <c r="A1494" s="18" t="s">
        <v>155</v>
      </c>
      <c r="B1494" s="18" t="s">
        <v>156</v>
      </c>
      <c r="C1494" s="18" t="s">
        <v>162</v>
      </c>
      <c r="D1494" s="18" t="s">
        <v>158</v>
      </c>
      <c r="E1494" s="18" t="s">
        <v>159</v>
      </c>
      <c r="F1494" s="19" t="s">
        <v>78</v>
      </c>
      <c r="G1494" s="20" t="s">
        <v>79</v>
      </c>
      <c r="H1494" t="str">
        <f>'Source Table'!$G$9</f>
        <v>Female</v>
      </c>
      <c r="I1494" t="str">
        <f>'Source Table'!$G$8</f>
        <v>أنثى</v>
      </c>
      <c r="J1494" t="str">
        <f t="shared" si="46"/>
        <v>2015/2014</v>
      </c>
      <c r="K1494" t="str">
        <f t="shared" si="47"/>
        <v>2015/2014</v>
      </c>
      <c r="L1494" s="38">
        <v>618</v>
      </c>
      <c r="M1494" s="18">
        <v>2014</v>
      </c>
    </row>
    <row r="1495" ht="21.75" spans="1:13">
      <c r="A1495" s="18" t="s">
        <v>155</v>
      </c>
      <c r="B1495" s="18" t="s">
        <v>156</v>
      </c>
      <c r="C1495" s="18" t="s">
        <v>162</v>
      </c>
      <c r="D1495" s="18" t="s">
        <v>158</v>
      </c>
      <c r="E1495" s="18" t="s">
        <v>159</v>
      </c>
      <c r="F1495" s="19" t="s">
        <v>80</v>
      </c>
      <c r="G1495" s="20" t="s">
        <v>81</v>
      </c>
      <c r="H1495" t="str">
        <f>'Source Table'!$G$9</f>
        <v>Female</v>
      </c>
      <c r="I1495" t="str">
        <f>'Source Table'!$G$8</f>
        <v>أنثى</v>
      </c>
      <c r="J1495" t="str">
        <f t="shared" si="46"/>
        <v>2015/2014</v>
      </c>
      <c r="K1495" t="str">
        <f t="shared" si="47"/>
        <v>2015/2014</v>
      </c>
      <c r="L1495" s="38">
        <v>876</v>
      </c>
      <c r="M1495" s="18">
        <v>2014</v>
      </c>
    </row>
    <row r="1496" ht="21.75" spans="1:13">
      <c r="A1496" s="18" t="s">
        <v>155</v>
      </c>
      <c r="B1496" s="18" t="s">
        <v>156</v>
      </c>
      <c r="C1496" s="18" t="s">
        <v>162</v>
      </c>
      <c r="D1496" s="18" t="s">
        <v>158</v>
      </c>
      <c r="E1496" s="18" t="s">
        <v>159</v>
      </c>
      <c r="F1496" s="19" t="s">
        <v>82</v>
      </c>
      <c r="G1496" s="20" t="s">
        <v>83</v>
      </c>
      <c r="H1496" t="str">
        <f>'Source Table'!$G$9</f>
        <v>Female</v>
      </c>
      <c r="I1496" t="str">
        <f>'Source Table'!$G$8</f>
        <v>أنثى</v>
      </c>
      <c r="J1496" t="str">
        <f t="shared" si="46"/>
        <v>2015/2014</v>
      </c>
      <c r="K1496" t="str">
        <f t="shared" si="47"/>
        <v>2015/2014</v>
      </c>
      <c r="L1496" s="38">
        <v>1018</v>
      </c>
      <c r="M1496" s="18">
        <v>2014</v>
      </c>
    </row>
    <row r="1497" ht="21.75" spans="1:13">
      <c r="A1497" s="18" t="s">
        <v>155</v>
      </c>
      <c r="B1497" s="18" t="s">
        <v>156</v>
      </c>
      <c r="C1497" s="18" t="s">
        <v>162</v>
      </c>
      <c r="D1497" s="18" t="s">
        <v>158</v>
      </c>
      <c r="E1497" s="18" t="s">
        <v>159</v>
      </c>
      <c r="F1497" s="19" t="s">
        <v>84</v>
      </c>
      <c r="G1497" s="20" t="s">
        <v>85</v>
      </c>
      <c r="H1497" t="str">
        <f>'Source Table'!$G$9</f>
        <v>Female</v>
      </c>
      <c r="I1497" t="str">
        <f>'Source Table'!$G$8</f>
        <v>أنثى</v>
      </c>
      <c r="J1497" t="str">
        <f t="shared" si="46"/>
        <v>2015/2014</v>
      </c>
      <c r="K1497" t="str">
        <f t="shared" si="47"/>
        <v>2015/2014</v>
      </c>
      <c r="L1497" s="38">
        <v>1467</v>
      </c>
      <c r="M1497" s="18">
        <v>2014</v>
      </c>
    </row>
    <row r="1498" ht="21.75" spans="1:13">
      <c r="A1498" s="18" t="s">
        <v>155</v>
      </c>
      <c r="B1498" s="18" t="s">
        <v>156</v>
      </c>
      <c r="C1498" s="18" t="s">
        <v>162</v>
      </c>
      <c r="D1498" s="18" t="s">
        <v>158</v>
      </c>
      <c r="E1498" s="18" t="s">
        <v>159</v>
      </c>
      <c r="F1498" s="19" t="s">
        <v>86</v>
      </c>
      <c r="G1498" s="20" t="s">
        <v>87</v>
      </c>
      <c r="H1498" t="str">
        <f>'Source Table'!$G$9</f>
        <v>Female</v>
      </c>
      <c r="I1498" t="str">
        <f>'Source Table'!$G$8</f>
        <v>أنثى</v>
      </c>
      <c r="J1498" t="str">
        <f t="shared" si="46"/>
        <v>2015/2014</v>
      </c>
      <c r="K1498" t="str">
        <f t="shared" si="47"/>
        <v>2015/2014</v>
      </c>
      <c r="L1498" s="38">
        <v>1212</v>
      </c>
      <c r="M1498" s="18">
        <v>2014</v>
      </c>
    </row>
    <row r="1499" ht="21.75" spans="1:13">
      <c r="A1499" s="18" t="s">
        <v>155</v>
      </c>
      <c r="B1499" s="18" t="s">
        <v>156</v>
      </c>
      <c r="C1499" s="18" t="s">
        <v>162</v>
      </c>
      <c r="D1499" s="18" t="s">
        <v>158</v>
      </c>
      <c r="E1499" s="18" t="s">
        <v>159</v>
      </c>
      <c r="F1499" s="19" t="s">
        <v>88</v>
      </c>
      <c r="G1499" s="20" t="s">
        <v>89</v>
      </c>
      <c r="H1499" t="str">
        <f>'Source Table'!$G$9</f>
        <v>Female</v>
      </c>
      <c r="I1499" t="str">
        <f>'Source Table'!$G$8</f>
        <v>أنثى</v>
      </c>
      <c r="J1499" t="str">
        <f t="shared" si="46"/>
        <v>2015/2014</v>
      </c>
      <c r="K1499" t="str">
        <f t="shared" si="47"/>
        <v>2015/2014</v>
      </c>
      <c r="L1499" s="38">
        <v>1713</v>
      </c>
      <c r="M1499" s="18">
        <v>2014</v>
      </c>
    </row>
    <row r="1500" ht="21.75" spans="1:13">
      <c r="A1500" s="18" t="s">
        <v>155</v>
      </c>
      <c r="B1500" s="18" t="s">
        <v>156</v>
      </c>
      <c r="C1500" s="18" t="s">
        <v>162</v>
      </c>
      <c r="D1500" s="18" t="s">
        <v>158</v>
      </c>
      <c r="E1500" s="18" t="s">
        <v>159</v>
      </c>
      <c r="F1500" s="19" t="s">
        <v>91</v>
      </c>
      <c r="G1500" s="20" t="s">
        <v>92</v>
      </c>
      <c r="H1500" t="str">
        <f>'Source Table'!$G$9</f>
        <v>Female</v>
      </c>
      <c r="I1500" t="str">
        <f>'Source Table'!$G$8</f>
        <v>أنثى</v>
      </c>
      <c r="J1500" t="str">
        <f t="shared" si="46"/>
        <v>2015/2014</v>
      </c>
      <c r="K1500" t="str">
        <f t="shared" si="47"/>
        <v>2015/2014</v>
      </c>
      <c r="L1500" s="38">
        <v>2012</v>
      </c>
      <c r="M1500" s="18">
        <v>2014</v>
      </c>
    </row>
    <row r="1501" ht="21.75" spans="1:13">
      <c r="A1501" s="18" t="s">
        <v>155</v>
      </c>
      <c r="B1501" s="18" t="s">
        <v>156</v>
      </c>
      <c r="C1501" s="18" t="s">
        <v>162</v>
      </c>
      <c r="D1501" s="18" t="s">
        <v>158</v>
      </c>
      <c r="E1501" s="18" t="s">
        <v>159</v>
      </c>
      <c r="F1501" s="19" t="s">
        <v>94</v>
      </c>
      <c r="G1501" s="20" t="s">
        <v>95</v>
      </c>
      <c r="H1501" t="str">
        <f>'Source Table'!$G$9</f>
        <v>Female</v>
      </c>
      <c r="I1501" t="str">
        <f>'Source Table'!$G$8</f>
        <v>أنثى</v>
      </c>
      <c r="J1501" t="str">
        <f t="shared" si="46"/>
        <v>2015/2014</v>
      </c>
      <c r="K1501" t="str">
        <f t="shared" si="47"/>
        <v>2015/2014</v>
      </c>
      <c r="L1501" s="38">
        <v>1409</v>
      </c>
      <c r="M1501" s="18">
        <v>2014</v>
      </c>
    </row>
    <row r="1502" ht="21.75" spans="1:13">
      <c r="A1502" s="18" t="s">
        <v>155</v>
      </c>
      <c r="B1502" s="18" t="s">
        <v>156</v>
      </c>
      <c r="C1502" s="18" t="s">
        <v>162</v>
      </c>
      <c r="D1502" s="18" t="s">
        <v>158</v>
      </c>
      <c r="E1502" s="18" t="s">
        <v>159</v>
      </c>
      <c r="F1502" s="19" t="s">
        <v>96</v>
      </c>
      <c r="G1502" s="20" t="s">
        <v>97</v>
      </c>
      <c r="H1502" t="str">
        <f>'Source Table'!$G$9</f>
        <v>Female</v>
      </c>
      <c r="I1502" t="str">
        <f>'Source Table'!$G$8</f>
        <v>أنثى</v>
      </c>
      <c r="J1502" t="str">
        <f t="shared" si="46"/>
        <v>2015/2014</v>
      </c>
      <c r="K1502" t="str">
        <f t="shared" si="47"/>
        <v>2015/2014</v>
      </c>
      <c r="L1502" s="38">
        <v>1713</v>
      </c>
      <c r="M1502" s="18">
        <v>2014</v>
      </c>
    </row>
    <row r="1503" ht="21.75" spans="1:13">
      <c r="A1503" s="18" t="s">
        <v>155</v>
      </c>
      <c r="B1503" s="18" t="s">
        <v>156</v>
      </c>
      <c r="C1503" s="18" t="s">
        <v>162</v>
      </c>
      <c r="D1503" s="18" t="s">
        <v>158</v>
      </c>
      <c r="E1503" s="18" t="s">
        <v>159</v>
      </c>
      <c r="F1503" s="19" t="s">
        <v>98</v>
      </c>
      <c r="G1503" s="20" t="s">
        <v>99</v>
      </c>
      <c r="H1503" t="str">
        <f>'Source Table'!$G$9</f>
        <v>Female</v>
      </c>
      <c r="I1503" t="str">
        <f>'Source Table'!$G$8</f>
        <v>أنثى</v>
      </c>
      <c r="J1503" t="str">
        <f t="shared" si="46"/>
        <v>2015/2014</v>
      </c>
      <c r="K1503" t="str">
        <f t="shared" si="47"/>
        <v>2015/2014</v>
      </c>
      <c r="L1503" s="39">
        <v>2276</v>
      </c>
      <c r="M1503" s="18">
        <v>2014</v>
      </c>
    </row>
    <row r="1504" ht="21.75" spans="1:13">
      <c r="A1504" s="18" t="s">
        <v>155</v>
      </c>
      <c r="B1504" s="18" t="s">
        <v>156</v>
      </c>
      <c r="C1504" s="18" t="s">
        <v>162</v>
      </c>
      <c r="D1504" s="18" t="s">
        <v>158</v>
      </c>
      <c r="E1504" s="18" t="s">
        <v>159</v>
      </c>
      <c r="F1504" s="19" t="s">
        <v>100</v>
      </c>
      <c r="G1504" s="20" t="s">
        <v>101</v>
      </c>
      <c r="H1504" t="str">
        <f>'Source Table'!$G$9</f>
        <v>Female</v>
      </c>
      <c r="I1504" t="str">
        <f>'Source Table'!$G$8</f>
        <v>أنثى</v>
      </c>
      <c r="J1504" t="str">
        <f t="shared" si="46"/>
        <v>2015/2014</v>
      </c>
      <c r="K1504" t="str">
        <f t="shared" si="47"/>
        <v>2015/2014</v>
      </c>
      <c r="L1504" s="39">
        <v>2034</v>
      </c>
      <c r="M1504" s="18">
        <v>2014</v>
      </c>
    </row>
    <row r="1505" ht="21.75" spans="1:13">
      <c r="A1505" s="18" t="s">
        <v>155</v>
      </c>
      <c r="B1505" s="18" t="s">
        <v>156</v>
      </c>
      <c r="C1505" s="18" t="s">
        <v>162</v>
      </c>
      <c r="D1505" s="18" t="s">
        <v>158</v>
      </c>
      <c r="E1505" s="18" t="s">
        <v>159</v>
      </c>
      <c r="F1505" s="19" t="s">
        <v>103</v>
      </c>
      <c r="G1505" s="20" t="s">
        <v>104</v>
      </c>
      <c r="H1505" t="str">
        <f>'Source Table'!$G$9</f>
        <v>Female</v>
      </c>
      <c r="I1505" t="str">
        <f>'Source Table'!$G$8</f>
        <v>أنثى</v>
      </c>
      <c r="J1505" t="str">
        <f t="shared" si="46"/>
        <v>2015/2014</v>
      </c>
      <c r="K1505" t="str">
        <f t="shared" si="47"/>
        <v>2015/2014</v>
      </c>
      <c r="L1505" s="38">
        <v>1654</v>
      </c>
      <c r="M1505" s="18">
        <v>2014</v>
      </c>
    </row>
    <row r="1506" ht="21.75" spans="1:13">
      <c r="A1506" s="18" t="s">
        <v>155</v>
      </c>
      <c r="B1506" s="18" t="s">
        <v>156</v>
      </c>
      <c r="C1506" s="18" t="s">
        <v>162</v>
      </c>
      <c r="D1506" s="18" t="s">
        <v>158</v>
      </c>
      <c r="E1506" s="18" t="s">
        <v>159</v>
      </c>
      <c r="F1506" s="19" t="s">
        <v>106</v>
      </c>
      <c r="G1506" s="20" t="s">
        <v>107</v>
      </c>
      <c r="H1506" t="str">
        <f>'Source Table'!$G$9</f>
        <v>Female</v>
      </c>
      <c r="I1506" t="str">
        <f>'Source Table'!$G$8</f>
        <v>أنثى</v>
      </c>
      <c r="J1506" t="str">
        <f t="shared" si="46"/>
        <v>2015/2014</v>
      </c>
      <c r="K1506" t="str">
        <f t="shared" si="47"/>
        <v>2015/2014</v>
      </c>
      <c r="L1506" s="38">
        <v>1280</v>
      </c>
      <c r="M1506" s="18">
        <v>2014</v>
      </c>
    </row>
    <row r="1507" ht="21.75" spans="1:13">
      <c r="A1507" s="18" t="s">
        <v>155</v>
      </c>
      <c r="B1507" s="18" t="s">
        <v>156</v>
      </c>
      <c r="C1507" s="18" t="s">
        <v>162</v>
      </c>
      <c r="D1507" s="18" t="s">
        <v>158</v>
      </c>
      <c r="E1507" s="18" t="s">
        <v>159</v>
      </c>
      <c r="F1507" s="19" t="s">
        <v>108</v>
      </c>
      <c r="G1507" s="20" t="s">
        <v>109</v>
      </c>
      <c r="H1507" t="str">
        <f>'Source Table'!$G$9</f>
        <v>Female</v>
      </c>
      <c r="I1507" t="str">
        <f>'Source Table'!$G$8</f>
        <v>أنثى</v>
      </c>
      <c r="J1507" t="str">
        <f t="shared" si="46"/>
        <v>2015/2014</v>
      </c>
      <c r="K1507" t="str">
        <f t="shared" si="47"/>
        <v>2015/2014</v>
      </c>
      <c r="L1507" s="38">
        <v>825</v>
      </c>
      <c r="M1507" s="18">
        <v>2014</v>
      </c>
    </row>
    <row r="1508" ht="21.75" spans="1:13">
      <c r="A1508" s="18" t="s">
        <v>155</v>
      </c>
      <c r="B1508" s="18" t="s">
        <v>156</v>
      </c>
      <c r="C1508" s="18" t="s">
        <v>162</v>
      </c>
      <c r="D1508" s="18" t="s">
        <v>158</v>
      </c>
      <c r="E1508" s="18" t="s">
        <v>159</v>
      </c>
      <c r="F1508" s="19" t="s">
        <v>110</v>
      </c>
      <c r="G1508" s="20" t="s">
        <v>111</v>
      </c>
      <c r="H1508" t="str">
        <f>'Source Table'!$G$9</f>
        <v>Female</v>
      </c>
      <c r="I1508" t="str">
        <f>'Source Table'!$G$8</f>
        <v>أنثى</v>
      </c>
      <c r="J1508" t="str">
        <f t="shared" si="46"/>
        <v>2015/2014</v>
      </c>
      <c r="K1508" t="str">
        <f t="shared" si="47"/>
        <v>2015/2014</v>
      </c>
      <c r="L1508" s="38">
        <v>579</v>
      </c>
      <c r="M1508" s="18">
        <v>2014</v>
      </c>
    </row>
    <row r="1509" ht="21.75" spans="1:13">
      <c r="A1509" s="18" t="s">
        <v>155</v>
      </c>
      <c r="B1509" s="18" t="s">
        <v>156</v>
      </c>
      <c r="C1509" s="18" t="s">
        <v>162</v>
      </c>
      <c r="D1509" s="18" t="s">
        <v>158</v>
      </c>
      <c r="E1509" s="18" t="s">
        <v>159</v>
      </c>
      <c r="F1509" s="19" t="s">
        <v>113</v>
      </c>
      <c r="G1509" s="20" t="s">
        <v>114</v>
      </c>
      <c r="H1509" t="str">
        <f>'Source Table'!$G$9</f>
        <v>Female</v>
      </c>
      <c r="I1509" t="str">
        <f>'Source Table'!$G$8</f>
        <v>أنثى</v>
      </c>
      <c r="J1509" t="str">
        <f t="shared" si="46"/>
        <v>2015/2014</v>
      </c>
      <c r="K1509" t="str">
        <f t="shared" si="47"/>
        <v>2015/2014</v>
      </c>
      <c r="L1509" s="38">
        <v>1193</v>
      </c>
      <c r="M1509" s="18">
        <v>2014</v>
      </c>
    </row>
    <row r="1510" ht="21.75" spans="1:13">
      <c r="A1510" s="18" t="s">
        <v>155</v>
      </c>
      <c r="B1510" s="18" t="s">
        <v>156</v>
      </c>
      <c r="C1510" s="18" t="s">
        <v>162</v>
      </c>
      <c r="D1510" s="18" t="s">
        <v>158</v>
      </c>
      <c r="E1510" s="18" t="s">
        <v>159</v>
      </c>
      <c r="F1510" s="19" t="s">
        <v>115</v>
      </c>
      <c r="G1510" s="20" t="s">
        <v>116</v>
      </c>
      <c r="H1510" t="str">
        <f>'Source Table'!$G$9</f>
        <v>Female</v>
      </c>
      <c r="I1510" t="str">
        <f>'Source Table'!$G$8</f>
        <v>أنثى</v>
      </c>
      <c r="J1510" t="str">
        <f t="shared" si="46"/>
        <v>2015/2014</v>
      </c>
      <c r="K1510" t="str">
        <f t="shared" si="47"/>
        <v>2015/2014</v>
      </c>
      <c r="L1510" s="38">
        <v>405</v>
      </c>
      <c r="M1510" s="18">
        <v>2014</v>
      </c>
    </row>
    <row r="1511" ht="21.75" spans="1:13">
      <c r="A1511" s="18" t="s">
        <v>155</v>
      </c>
      <c r="B1511" s="18" t="s">
        <v>156</v>
      </c>
      <c r="C1511" s="18" t="s">
        <v>162</v>
      </c>
      <c r="D1511" s="18" t="s">
        <v>158</v>
      </c>
      <c r="E1511" s="18" t="s">
        <v>159</v>
      </c>
      <c r="F1511" s="19" t="s">
        <v>118</v>
      </c>
      <c r="G1511" s="20" t="s">
        <v>119</v>
      </c>
      <c r="H1511" t="str">
        <f>'Source Table'!$G$9</f>
        <v>Female</v>
      </c>
      <c r="I1511" t="str">
        <f>'Source Table'!$G$8</f>
        <v>أنثى</v>
      </c>
      <c r="J1511" t="str">
        <f t="shared" si="46"/>
        <v>2015/2014</v>
      </c>
      <c r="K1511" t="str">
        <f t="shared" si="47"/>
        <v>2015/2014</v>
      </c>
      <c r="L1511" s="38">
        <v>595</v>
      </c>
      <c r="M1511" s="18">
        <v>2014</v>
      </c>
    </row>
    <row r="1512" ht="21.75" spans="1:13">
      <c r="A1512" s="18" t="s">
        <v>155</v>
      </c>
      <c r="B1512" s="18" t="s">
        <v>156</v>
      </c>
      <c r="C1512" s="18" t="s">
        <v>162</v>
      </c>
      <c r="D1512" s="18" t="s">
        <v>158</v>
      </c>
      <c r="E1512" s="18" t="s">
        <v>159</v>
      </c>
      <c r="F1512" s="19" t="s">
        <v>120</v>
      </c>
      <c r="G1512" s="20" t="s">
        <v>121</v>
      </c>
      <c r="H1512" t="str">
        <f>'Source Table'!$G$9</f>
        <v>Female</v>
      </c>
      <c r="I1512" t="str">
        <f>'Source Table'!$G$8</f>
        <v>أنثى</v>
      </c>
      <c r="J1512" t="str">
        <f t="shared" si="46"/>
        <v>2015/2014</v>
      </c>
      <c r="K1512" t="str">
        <f t="shared" si="47"/>
        <v>2015/2014</v>
      </c>
      <c r="L1512" s="38">
        <v>826</v>
      </c>
      <c r="M1512" s="18">
        <v>2014</v>
      </c>
    </row>
    <row r="1513" ht="21.75" spans="1:13">
      <c r="A1513" s="18" t="s">
        <v>155</v>
      </c>
      <c r="B1513" s="18" t="s">
        <v>156</v>
      </c>
      <c r="C1513" s="18" t="s">
        <v>162</v>
      </c>
      <c r="D1513" s="18" t="s">
        <v>158</v>
      </c>
      <c r="E1513" s="18" t="s">
        <v>159</v>
      </c>
      <c r="F1513" s="19" t="s">
        <v>122</v>
      </c>
      <c r="G1513" s="20" t="s">
        <v>123</v>
      </c>
      <c r="H1513" t="str">
        <f>'Source Table'!$G$9</f>
        <v>Female</v>
      </c>
      <c r="I1513" t="str">
        <f>'Source Table'!$G$8</f>
        <v>أنثى</v>
      </c>
      <c r="J1513" t="str">
        <f t="shared" si="46"/>
        <v>2015/2014</v>
      </c>
      <c r="K1513" t="str">
        <f t="shared" si="47"/>
        <v>2015/2014</v>
      </c>
      <c r="L1513" s="38">
        <v>563</v>
      </c>
      <c r="M1513" s="18">
        <v>2014</v>
      </c>
    </row>
    <row r="1514" ht="21.75" spans="1:13">
      <c r="A1514" s="18" t="s">
        <v>155</v>
      </c>
      <c r="B1514" s="18" t="s">
        <v>156</v>
      </c>
      <c r="C1514" s="18" t="s">
        <v>162</v>
      </c>
      <c r="D1514" s="18" t="s">
        <v>158</v>
      </c>
      <c r="E1514" s="18" t="s">
        <v>159</v>
      </c>
      <c r="F1514" s="19" t="s">
        <v>124</v>
      </c>
      <c r="G1514" s="20" t="s">
        <v>125</v>
      </c>
      <c r="H1514" t="str">
        <f>'Source Table'!$G$9</f>
        <v>Female</v>
      </c>
      <c r="I1514" t="str">
        <f>'Source Table'!$G$8</f>
        <v>أنثى</v>
      </c>
      <c r="J1514" t="str">
        <f t="shared" si="46"/>
        <v>2015/2014</v>
      </c>
      <c r="K1514" t="str">
        <f t="shared" si="47"/>
        <v>2015/2014</v>
      </c>
      <c r="L1514" s="38">
        <v>353</v>
      </c>
      <c r="M1514" s="18">
        <v>2014</v>
      </c>
    </row>
    <row r="1515" ht="21.75" spans="1:13">
      <c r="A1515" s="18" t="s">
        <v>155</v>
      </c>
      <c r="B1515" s="18" t="s">
        <v>156</v>
      </c>
      <c r="C1515" s="18" t="s">
        <v>162</v>
      </c>
      <c r="D1515" s="18" t="s">
        <v>158</v>
      </c>
      <c r="E1515" s="18" t="s">
        <v>159</v>
      </c>
      <c r="F1515" s="19" t="s">
        <v>126</v>
      </c>
      <c r="G1515" s="20" t="s">
        <v>127</v>
      </c>
      <c r="H1515" t="str">
        <f>'Source Table'!$G$9</f>
        <v>Female</v>
      </c>
      <c r="I1515" t="str">
        <f>'Source Table'!$G$8</f>
        <v>أنثى</v>
      </c>
      <c r="J1515" t="str">
        <f t="shared" si="46"/>
        <v>2015/2014</v>
      </c>
      <c r="K1515" t="str">
        <f t="shared" si="47"/>
        <v>2015/2014</v>
      </c>
      <c r="L1515" s="39">
        <v>1926</v>
      </c>
      <c r="M1515" s="18">
        <v>2014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zoomScale="70" zoomScaleNormal="70" workbookViewId="0">
      <selection activeCell="A5" sqref="A5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163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164</v>
      </c>
      <c r="B3">
        <v>1</v>
      </c>
    </row>
    <row r="4" s="10" customFormat="1" ht="18" customHeight="1" spans="1:14">
      <c r="A4" s="13" t="s">
        <v>129</v>
      </c>
      <c r="B4" s="13" t="s">
        <v>130</v>
      </c>
      <c r="C4" s="13" t="s">
        <v>131</v>
      </c>
      <c r="D4" s="13" t="s">
        <v>132</v>
      </c>
      <c r="E4" s="13" t="s">
        <v>133</v>
      </c>
      <c r="F4" s="14" t="s">
        <v>134</v>
      </c>
      <c r="G4" s="14" t="s">
        <v>135</v>
      </c>
      <c r="H4" s="14" t="s">
        <v>136</v>
      </c>
      <c r="I4" s="14" t="s">
        <v>137</v>
      </c>
      <c r="J4" s="15" t="s">
        <v>138</v>
      </c>
      <c r="K4" s="15" t="s">
        <v>139</v>
      </c>
      <c r="L4" s="13" t="s">
        <v>140</v>
      </c>
      <c r="M4" s="13" t="s">
        <v>141</v>
      </c>
      <c r="N4" s="13" t="s">
        <v>142</v>
      </c>
    </row>
    <row r="5" s="10" customFormat="1" ht="18" customHeight="1" spans="1:14">
      <c r="A5" s="13" t="s">
        <v>143</v>
      </c>
      <c r="B5" s="13" t="s">
        <v>144</v>
      </c>
      <c r="C5" s="13" t="s">
        <v>145</v>
      </c>
      <c r="D5" s="13" t="s">
        <v>146</v>
      </c>
      <c r="E5" s="13" t="s">
        <v>147</v>
      </c>
      <c r="F5" s="14" t="s">
        <v>18</v>
      </c>
      <c r="G5" s="14" t="s">
        <v>19</v>
      </c>
      <c r="H5" s="14" t="s">
        <v>148</v>
      </c>
      <c r="I5" s="14" t="s">
        <v>149</v>
      </c>
      <c r="J5" s="16" t="s">
        <v>150</v>
      </c>
      <c r="K5" s="15" t="s">
        <v>151</v>
      </c>
      <c r="L5" s="13" t="s">
        <v>152</v>
      </c>
      <c r="M5" s="13" t="s">
        <v>153</v>
      </c>
      <c r="N5" s="13" t="s">
        <v>154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abSelected="1" workbookViewId="0">
      <selection activeCell="A20" sqref="A19: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165</v>
      </c>
      <c r="C2" s="6" t="s">
        <v>166</v>
      </c>
    </row>
    <row r="3" spans="1:1">
      <c r="A3" s="7"/>
    </row>
    <row r="4" ht="28.5" spans="1:3">
      <c r="A4" s="7" t="s">
        <v>167</v>
      </c>
      <c r="C4" s="3" t="s">
        <v>168</v>
      </c>
    </row>
    <row r="6" ht="17.25" spans="1:3">
      <c r="A6" s="5" t="s">
        <v>169</v>
      </c>
      <c r="C6" s="6" t="s">
        <v>170</v>
      </c>
    </row>
    <row r="7" spans="1:1">
      <c r="A7" s="7"/>
    </row>
    <row r="8" ht="30" spans="1:3">
      <c r="A8" s="8" t="s">
        <v>171</v>
      </c>
      <c r="C8" s="3" t="s">
        <v>172</v>
      </c>
    </row>
    <row r="10" ht="17.25" spans="1:3">
      <c r="A10" s="5" t="s">
        <v>173</v>
      </c>
      <c r="C10" s="6" t="s">
        <v>174</v>
      </c>
    </row>
    <row r="11" spans="1:1">
      <c r="A11" s="7"/>
    </row>
    <row r="12" spans="1:3">
      <c r="A12" s="7" t="s">
        <v>175</v>
      </c>
      <c r="C12" s="3" t="s">
        <v>176</v>
      </c>
    </row>
    <row r="13" ht="15" spans="1:3">
      <c r="A13" s="8" t="s">
        <v>177</v>
      </c>
      <c r="C13" s="9" t="s">
        <v>178</v>
      </c>
    </row>
    <row r="14" ht="29.25" spans="1:3">
      <c r="A14" s="8" t="s">
        <v>179</v>
      </c>
      <c r="C14" s="9" t="s">
        <v>180</v>
      </c>
    </row>
    <row r="15" ht="15" spans="1:3">
      <c r="A15" s="8" t="s">
        <v>181</v>
      </c>
      <c r="C15" s="9" t="s">
        <v>182</v>
      </c>
    </row>
    <row r="16" ht="15" spans="1:3">
      <c r="A16" s="8" t="s">
        <v>183</v>
      </c>
      <c r="C16" s="9" t="s">
        <v>184</v>
      </c>
    </row>
    <row r="17" ht="15" spans="1:3">
      <c r="A17" s="8" t="s">
        <v>185</v>
      </c>
      <c r="C17" s="9" t="s">
        <v>186</v>
      </c>
    </row>
    <row r="18" spans="1:3">
      <c r="A18" s="7" t="s">
        <v>187</v>
      </c>
      <c r="C18" s="3" t="s">
        <v>188</v>
      </c>
    </row>
    <row r="19" spans="1:3">
      <c r="A19" s="7" t="s">
        <v>189</v>
      </c>
      <c r="C19" s="3" t="s">
        <v>190</v>
      </c>
    </row>
    <row r="20" ht="29.25" spans="1:3">
      <c r="A20" s="8" t="s">
        <v>191</v>
      </c>
      <c r="C20" s="9" t="s">
        <v>192</v>
      </c>
    </row>
    <row r="22" ht="17.25" spans="1:3">
      <c r="A22" s="5" t="s">
        <v>193</v>
      </c>
      <c r="C22" s="6" t="s">
        <v>194</v>
      </c>
    </row>
    <row r="23" spans="1:1">
      <c r="A23" s="7"/>
    </row>
    <row r="24" ht="29.25" spans="1:3">
      <c r="A24" s="7" t="s">
        <v>195</v>
      </c>
      <c r="C24" s="3" t="s">
        <v>196</v>
      </c>
    </row>
    <row r="25" ht="30" spans="1:3">
      <c r="A25" s="7" t="s">
        <v>197</v>
      </c>
      <c r="C25" s="3" t="s">
        <v>198</v>
      </c>
    </row>
    <row r="27" ht="17.25" spans="1:3">
      <c r="A27" s="5" t="s">
        <v>199</v>
      </c>
      <c r="C27" s="6" t="s">
        <v>200</v>
      </c>
    </row>
    <row r="28" spans="1:1">
      <c r="A28" s="7"/>
    </row>
    <row r="29" ht="15" spans="1:3">
      <c r="A29" s="7" t="s">
        <v>201</v>
      </c>
      <c r="C29" s="3" t="s">
        <v>202</v>
      </c>
    </row>
    <row r="30" spans="1:3">
      <c r="A30" s="7" t="s">
        <v>203</v>
      </c>
      <c r="C30" s="3" t="s">
        <v>204</v>
      </c>
    </row>
    <row r="32" ht="17.25" spans="1:3">
      <c r="A32" s="5" t="s">
        <v>205</v>
      </c>
      <c r="C32" s="6" t="s">
        <v>206</v>
      </c>
    </row>
    <row r="33" spans="1:1">
      <c r="A33" s="7"/>
    </row>
    <row r="34" ht="15" spans="1:3">
      <c r="A34" s="8" t="s">
        <v>207</v>
      </c>
      <c r="C34" s="3" t="s">
        <v>208</v>
      </c>
    </row>
    <row r="36" ht="17.25" spans="1:3">
      <c r="A36" s="5" t="s">
        <v>209</v>
      </c>
      <c r="C36" s="6" t="s">
        <v>210</v>
      </c>
    </row>
    <row r="37" spans="1:1">
      <c r="A37" s="7"/>
    </row>
    <row r="38" spans="1:3">
      <c r="A38" s="7" t="s">
        <v>211</v>
      </c>
      <c r="C38" s="3" t="s">
        <v>212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EFB3727-0098-41DB-9DEB-08A099D40A76}">
  <ds:schemaRefs/>
</ds:datastoreItem>
</file>

<file path=customXml/itemProps2.xml><?xml version="1.0" encoding="utf-8"?>
<ds:datastoreItem xmlns:ds="http://schemas.openxmlformats.org/officeDocument/2006/customXml" ds:itemID="{376B0781-3F54-40BC-A068-7F5A2310ECAB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2025-02-26T08:17:36Z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C7EF88237FDD468F8A36321C10041CC7_13</vt:lpwstr>
  </property>
  <property fmtid="{D5CDD505-2E9C-101B-9397-08002B2CF9AE}" pid="5" name="KSOProductBuildVer">
    <vt:lpwstr>1033-12.2.0.19805</vt:lpwstr>
  </property>
</Properties>
</file>