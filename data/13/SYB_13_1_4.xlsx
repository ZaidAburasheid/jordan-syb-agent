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4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xlnm.Print_Area" localSheetId="1">'Source Table'!$C$2:$J$17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<sst xmlns="http://schemas.openxmlformats.org/spreadsheetml/2006/main" count="3338" uniqueCount="127">
  <si>
    <t>Code</t>
  </si>
  <si>
    <t>SYB_13_1_4</t>
  </si>
  <si>
    <t>Version</t>
  </si>
  <si>
    <t>V1</t>
  </si>
  <si>
    <t>اسم القالب</t>
  </si>
  <si>
    <t>عدد الطلاب حسب السلطة المشرفة والمرحلة التعليمية والجنس في السنة الدراسية</t>
  </si>
  <si>
    <t>Template Name</t>
  </si>
  <si>
    <t>Number of Students by Authority of Supervision, Educational Stage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</si>
  <si>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</si>
  <si>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</si>
  <si>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</si>
  <si>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</si>
  <si>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</si>
  <si>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</si>
  <si>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</si>
  <si>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</si>
  <si>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</si>
  <si>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</si>
  <si>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 xml:space="preserve">Authority of Supervision
and Sex
</t>
  </si>
  <si>
    <t xml:space="preserve">السلطة المشرفة
والجنس
</t>
  </si>
  <si>
    <t xml:space="preserve">المرحلة التعليمية </t>
  </si>
  <si>
    <t xml:space="preserve">Educational Stage </t>
  </si>
  <si>
    <t>الثانوي المهني</t>
  </si>
  <si>
    <t>الثانوي الأكاديمي</t>
  </si>
  <si>
    <t>الأساسي</t>
  </si>
  <si>
    <t>الروضة</t>
  </si>
  <si>
    <t>Vocational Secondary</t>
  </si>
  <si>
    <t>Academic Secondary</t>
  </si>
  <si>
    <t>Basic</t>
  </si>
  <si>
    <t>Kinder-garten</t>
  </si>
  <si>
    <t>Male</t>
  </si>
  <si>
    <t>ذكر</t>
  </si>
  <si>
    <t>وزارة التربية والتعليم</t>
  </si>
  <si>
    <t>Female</t>
  </si>
  <si>
    <t>أنثى</t>
  </si>
  <si>
    <t>Other Government</t>
  </si>
  <si>
    <t>حكومية  اخرى</t>
  </si>
  <si>
    <t>UNRWA</t>
  </si>
  <si>
    <t xml:space="preserve">  وكالة الغوث</t>
  </si>
  <si>
    <t>Private Education</t>
  </si>
  <si>
    <t>التعليم الخاص</t>
  </si>
  <si>
    <t>Relational Sheet</t>
  </si>
  <si>
    <t>Measure_Name_Ar</t>
  </si>
  <si>
    <t>Measure_Name_En</t>
  </si>
  <si>
    <t>Measure_ID</t>
  </si>
  <si>
    <t>Unit_EN</t>
  </si>
  <si>
    <t>Unit_AR</t>
  </si>
  <si>
    <t>CL_AUTHORITY_OF_SUPERVISION_EN_V1</t>
  </si>
  <si>
    <t>CL_AUTHORITY_OF_SUPERVISION_AR_V1</t>
  </si>
  <si>
    <t>CL_EDU_SEX_EN_V1</t>
  </si>
  <si>
    <t>CL_EDU_SEX_AR_V1</t>
  </si>
  <si>
    <t>CL_EDU_STAGE_EN_V1</t>
  </si>
  <si>
    <t>CL_EDU_STAGE_AR_V1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</si>
  <si>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</si>
  <si>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</si>
  <si>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</si>
  <si>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</si>
  <si>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</si>
  <si>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</si>
  <si>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</si>
  <si>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</si>
  <si>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</si>
  <si>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</si>
  <si>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Authority of Supervision</t>
  </si>
  <si>
    <t>السلطة المشرفة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</si>
  <si>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</si>
  <si>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</si>
  <si>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</si>
  <si>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</si>
  <si>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</si>
  <si>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</si>
  <si>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</si>
  <si>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>عدد الطلبة</t>
  </si>
  <si>
    <t>Number of Students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</si>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</sst>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auto="1"/>
      </right>
      <top style="thin">
        <color theme="7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/>
      <right style="thin">
        <color auto="1"/>
      </right>
      <top/>
      <bottom style="thin">
        <color theme="7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auto="1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27" applyNumberFormat="0" applyAlignment="0" applyProtection="0">
      <alignment vertical="center"/>
    </xf>
    <xf numFmtId="0" fontId="27" fillId="12" borderId="28" applyNumberFormat="0" applyAlignment="0" applyProtection="0">
      <alignment vertical="center"/>
    </xf>
    <xf numFmtId="0" fontId="28" fillId="12" borderId="27" applyNumberFormat="0" applyAlignment="0" applyProtection="0">
      <alignment vertical="center"/>
    </xf>
    <xf numFmtId="0" fontId="29" fillId="13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1" borderId="32">
      <alignment horizontal="center" vertical="center"/>
    </xf>
    <xf numFmtId="1" fontId="41" fillId="41" borderId="32">
      <alignment horizontal="center" vertical="center"/>
    </xf>
    <xf numFmtId="0" fontId="42" fillId="41" borderId="32">
      <alignment horizontal="center" vertical="center" wrapText="1"/>
    </xf>
    <xf numFmtId="0" fontId="43" fillId="41" borderId="32">
      <alignment horizontal="center" vertical="center" wrapText="1"/>
    </xf>
    <xf numFmtId="0" fontId="44" fillId="41" borderId="32">
      <alignment horizontal="center" vertical="center" wrapText="1"/>
    </xf>
    <xf numFmtId="0" fontId="44" fillId="41" borderId="32">
      <alignment horizontal="center" vertical="center" wrapText="1"/>
    </xf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41" fillId="0" borderId="0">
      <alignment horizontal="righ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</cellStyleXfs>
  <cellXfs count="5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Alignment="1" applyProtection="1">
      <alignment horizontal="center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indent="1" readingOrder="2"/>
    </xf>
    <xf numFmtId="0" fontId="10" fillId="0" borderId="0" xfId="0" applyFont="1" applyAlignment="1">
      <alignment horizontal="center" indent="1"/>
    </xf>
    <xf numFmtId="0" fontId="11" fillId="7" borderId="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 readingOrder="2"/>
    </xf>
    <xf numFmtId="0" fontId="12" fillId="8" borderId="7" xfId="0" applyFont="1" applyFill="1" applyBorder="1" applyAlignment="1">
      <alignment horizontal="center" vertical="center" wrapText="1" readingOrder="2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 wrapText="1" readingOrder="2"/>
    </xf>
    <xf numFmtId="0" fontId="12" fillId="8" borderId="12" xfId="0" applyFont="1" applyFill="1" applyBorder="1" applyAlignment="1">
      <alignment horizontal="center" vertical="center" wrapText="1" readingOrder="2"/>
    </xf>
    <xf numFmtId="0" fontId="12" fillId="8" borderId="13" xfId="0" applyFont="1" applyFill="1" applyBorder="1" applyAlignment="1">
      <alignment horizontal="center" vertical="center" readingOrder="2"/>
    </xf>
    <xf numFmtId="0" fontId="12" fillId="8" borderId="14" xfId="0" applyFont="1" applyFill="1" applyBorder="1" applyAlignment="1">
      <alignment horizontal="center" vertical="center" readingOrder="2"/>
    </xf>
    <xf numFmtId="0" fontId="12" fillId="8" borderId="15" xfId="0" applyFont="1" applyFill="1" applyBorder="1" applyAlignment="1">
      <alignment horizontal="center" vertical="center" readingOrder="2"/>
    </xf>
    <xf numFmtId="0" fontId="12" fillId="8" borderId="16" xfId="0" applyFont="1" applyFill="1" applyBorder="1" applyAlignment="1">
      <alignment horizontal="center" vertical="center" readingOrder="2"/>
    </xf>
    <xf numFmtId="0" fontId="12" fillId="8" borderId="17" xfId="0" applyFont="1" applyFill="1" applyBorder="1" applyAlignment="1">
      <alignment horizontal="center" vertical="center" wrapText="1" readingOrder="2"/>
    </xf>
    <xf numFmtId="0" fontId="12" fillId="8" borderId="18" xfId="0" applyFont="1" applyFill="1" applyBorder="1" applyAlignment="1">
      <alignment horizontal="center" vertical="center" wrapText="1" readingOrder="2"/>
    </xf>
    <xf numFmtId="0" fontId="13" fillId="8" borderId="19" xfId="0" applyFont="1" applyFill="1" applyBorder="1" applyAlignment="1">
      <alignment horizontal="center" vertical="center" readingOrder="2"/>
    </xf>
    <xf numFmtId="0" fontId="14" fillId="8" borderId="20" xfId="0" applyFont="1" applyFill="1" applyBorder="1" applyAlignment="1">
      <alignment horizontal="left" vertical="center" indent="2" readingOrder="2"/>
    </xf>
    <xf numFmtId="0" fontId="15" fillId="0" borderId="21" xfId="0" applyFont="1" applyBorder="1" applyAlignment="1" applyProtection="1">
      <alignment horizontal="center" vertical="center"/>
      <protection locked="0"/>
    </xf>
    <xf numFmtId="0" fontId="13" fillId="8" borderId="22" xfId="0" applyFont="1" applyFill="1" applyBorder="1" applyAlignment="1">
      <alignment horizontal="center" vertical="center" readingOrder="2"/>
    </xf>
    <xf numFmtId="0" fontId="14" fillId="8" borderId="16" xfId="0" applyFont="1" applyFill="1" applyBorder="1" applyAlignment="1">
      <alignment horizontal="left" vertical="center" indent="2" readingOrder="2"/>
    </xf>
    <xf numFmtId="0" fontId="13" fillId="8" borderId="23" xfId="0" applyFont="1" applyFill="1" applyBorder="1" applyAlignment="1">
      <alignment horizontal="center" vertical="center" readingOrder="2"/>
    </xf>
    <xf numFmtId="0" fontId="16" fillId="9" borderId="1" xfId="0" applyFont="1" applyFill="1" applyBorder="1" applyAlignment="1">
      <alignment horizontal="center" vertical="center" readingOrder="2"/>
    </xf>
    <xf numFmtId="0" fontId="16" fillId="9" borderId="2" xfId="0" applyFont="1" applyFill="1" applyBorder="1" applyAlignment="1">
      <alignment horizontal="center" vertical="center" readingOrder="2"/>
    </xf>
    <xf numFmtId="0" fontId="1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readingOrder="2"/>
    </xf>
    <xf numFmtId="0" fontId="7" fillId="9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5" sqref="B5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4" t="s">
        <v>0</v>
      </c>
      <c r="B1" s="17" t="s">
        <v>1</v>
      </c>
    </row>
    <row r="2" ht="21" customHeight="1" spans="1:2">
      <c r="A2" s="54" t="s">
        <v>2</v>
      </c>
      <c r="B2" s="17" t="s">
        <v>3</v>
      </c>
    </row>
    <row r="3" ht="21" customHeight="1" spans="1:2">
      <c r="A3" s="54" t="s">
        <v>4</v>
      </c>
      <c r="B3" s="55" t="s">
        <v>5</v>
      </c>
    </row>
    <row r="4" ht="21" customHeight="1" spans="1:2">
      <c r="A4" s="54" t="s">
        <v>6</v>
      </c>
      <c r="B4" s="56" t="s">
        <v>7</v>
      </c>
    </row>
    <row r="5" ht="21" customHeight="1" spans="1:2">
      <c r="A5" s="54" t="s">
        <v>8</v>
      </c>
      <c r="B5" s="57" t="s">
        <v>9</v>
      </c>
    </row>
    <row r="6" ht="21" customHeight="1" spans="1:2">
      <c r="A6" s="54" t="s">
        <v>10</v>
      </c>
      <c r="B6" s="57" t="s">
        <v>11</v>
      </c>
    </row>
    <row r="7" ht="21" customHeight="1" spans="1:2">
      <c r="A7" s="54" t="s">
        <v>12</v>
      </c>
      <c r="B7" s="58" t="s">
        <v>13</v>
      </c>
    </row>
    <row r="8" ht="21" customHeight="1" spans="1:2">
      <c r="A8" s="54" t="s">
        <v>14</v>
      </c>
      <c r="B8" s="5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17"/>
  <sheetViews>
    <sheetView view="pageBreakPreview" zoomScale="50" zoomScaleNormal="100" topLeftCell="B1" workbookViewId="0">
      <selection activeCell="G12" sqref="G12:G13"/>
    </sheetView>
  </sheetViews>
  <sheetFormatPr defaultColWidth="16.75" defaultRowHeight="14.25"/>
  <cols>
    <col min="2" max="2" width="16.75" customWidth="1"/>
    <col min="3" max="3" width="26.75" customWidth="1"/>
    <col min="4" max="8" width="36.75" customWidth="1"/>
    <col min="9" max="10" width="25.75" customWidth="1"/>
  </cols>
  <sheetData>
    <row r="2" ht="28.15" customHeight="1" spans="3:10">
      <c r="C2" s="27" t="str">
        <f>'Cover Page'!B4</f>
        <v>Number of Students by Authority of Supervision, Educational Stage and Sex schooling year</v>
      </c>
      <c r="D2" s="27"/>
      <c r="E2" s="27"/>
      <c r="F2" s="27"/>
      <c r="G2" s="27"/>
      <c r="H2" s="27"/>
      <c r="I2" s="27"/>
      <c r="J2" s="27"/>
    </row>
    <row r="3" ht="28.15" customHeight="1" spans="3:10">
      <c r="C3" s="27" t="str">
        <f>'Cover Page'!B3</f>
        <v>عدد الطلاب حسب السلطة المشرفة والمرحلة التعليمية والجنس في السنة الدراسية</v>
      </c>
      <c r="D3" s="27"/>
      <c r="E3" s="27"/>
      <c r="F3" s="27"/>
      <c r="G3" s="27"/>
      <c r="H3" s="27"/>
      <c r="I3" s="27"/>
      <c r="J3" s="27"/>
    </row>
    <row r="4" ht="28.15" customHeight="1" spans="3:10">
      <c r="C4" s="28" t="s">
        <v>16</v>
      </c>
      <c r="D4" s="29"/>
      <c r="E4" s="30">
        <f>YEAR('Template Data'!B1)</f>
        <v>2024</v>
      </c>
      <c r="F4" s="31"/>
      <c r="G4" s="31"/>
      <c r="H4" s="32"/>
      <c r="I4" s="52" t="s">
        <v>17</v>
      </c>
      <c r="J4" s="53"/>
    </row>
    <row r="5" ht="28.15" customHeight="1" spans="3:10">
      <c r="C5" s="33" t="s">
        <v>18</v>
      </c>
      <c r="D5" s="34"/>
      <c r="E5" s="35"/>
      <c r="F5" s="36"/>
      <c r="G5" s="36"/>
      <c r="H5" s="37"/>
      <c r="I5" s="33" t="s">
        <v>19</v>
      </c>
      <c r="J5" s="34"/>
    </row>
    <row r="6" customFormat="1" ht="28.15" customHeight="1" spans="3:10">
      <c r="C6" s="38"/>
      <c r="D6" s="39"/>
      <c r="E6" s="40" t="s">
        <v>20</v>
      </c>
      <c r="F6" s="41"/>
      <c r="G6" s="41"/>
      <c r="H6" s="42"/>
      <c r="I6" s="38"/>
      <c r="J6" s="39"/>
    </row>
    <row r="7" customFormat="1" ht="28.15" customHeight="1" spans="3:10">
      <c r="C7" s="38"/>
      <c r="D7" s="39"/>
      <c r="E7" s="40" t="s">
        <v>21</v>
      </c>
      <c r="F7" s="41"/>
      <c r="G7" s="41"/>
      <c r="H7" s="42"/>
      <c r="I7" s="38"/>
      <c r="J7" s="39"/>
    </row>
    <row r="8" ht="19.9" customHeight="1" spans="3:10">
      <c r="C8" s="38"/>
      <c r="D8" s="39"/>
      <c r="E8" s="43" t="s">
        <v>22</v>
      </c>
      <c r="F8" s="43" t="s">
        <v>23</v>
      </c>
      <c r="G8" s="43" t="s">
        <v>24</v>
      </c>
      <c r="H8" s="43" t="s">
        <v>25</v>
      </c>
      <c r="I8" s="38"/>
      <c r="J8" s="39"/>
    </row>
    <row r="9" ht="19.9" customHeight="1" spans="3:10">
      <c r="C9" s="44"/>
      <c r="D9" s="45"/>
      <c r="E9" s="43" t="s">
        <v>26</v>
      </c>
      <c r="F9" s="43" t="s">
        <v>27</v>
      </c>
      <c r="G9" s="43" t="s">
        <v>28</v>
      </c>
      <c r="H9" s="43" t="s">
        <v>29</v>
      </c>
      <c r="I9" s="44"/>
      <c r="J9" s="45"/>
    </row>
    <row r="10" ht="22.15" customHeight="1" spans="3:10">
      <c r="C10" s="46" t="s">
        <v>15</v>
      </c>
      <c r="D10" s="47" t="s">
        <v>30</v>
      </c>
      <c r="E10" s="48"/>
      <c r="F10" s="48"/>
      <c r="G10" s="48"/>
      <c r="H10" s="48"/>
      <c r="I10" s="47" t="s">
        <v>31</v>
      </c>
      <c r="J10" s="46" t="s">
        <v>32</v>
      </c>
    </row>
    <row r="11" ht="22.15" customHeight="1" spans="3:10">
      <c r="C11" s="49"/>
      <c r="D11" s="50" t="s">
        <v>33</v>
      </c>
      <c r="E11" s="48"/>
      <c r="F11" s="48"/>
      <c r="G11" s="48"/>
      <c r="H11" s="48"/>
      <c r="I11" s="50" t="s">
        <v>34</v>
      </c>
      <c r="J11" s="49"/>
    </row>
    <row r="12" ht="22.15" customHeight="1" spans="3:10">
      <c r="C12" s="51" t="s">
        <v>35</v>
      </c>
      <c r="D12" s="50" t="s">
        <v>30</v>
      </c>
      <c r="E12" s="48"/>
      <c r="F12" s="48"/>
      <c r="G12" s="48"/>
      <c r="H12" s="48"/>
      <c r="I12" s="50" t="s">
        <v>31</v>
      </c>
      <c r="J12" s="51" t="s">
        <v>36</v>
      </c>
    </row>
    <row r="13" ht="22.15" customHeight="1" spans="3:10">
      <c r="C13" s="49"/>
      <c r="D13" s="50" t="s">
        <v>33</v>
      </c>
      <c r="E13" s="48"/>
      <c r="F13" s="48"/>
      <c r="G13" s="48"/>
      <c r="H13" s="48"/>
      <c r="I13" s="50" t="s">
        <v>34</v>
      </c>
      <c r="J13" s="49"/>
    </row>
    <row r="14" ht="22.15" customHeight="1" spans="3:10">
      <c r="C14" s="51" t="s">
        <v>37</v>
      </c>
      <c r="D14" s="50" t="s">
        <v>30</v>
      </c>
      <c r="E14" s="48"/>
      <c r="F14" s="48"/>
      <c r="G14" s="48"/>
      <c r="H14" s="48"/>
      <c r="I14" s="50" t="s">
        <v>31</v>
      </c>
      <c r="J14" s="51" t="s">
        <v>38</v>
      </c>
    </row>
    <row r="15" ht="22.15" customHeight="1" spans="3:10">
      <c r="C15" s="49"/>
      <c r="D15" s="50" t="s">
        <v>33</v>
      </c>
      <c r="E15" s="48"/>
      <c r="F15" s="48"/>
      <c r="G15" s="48"/>
      <c r="H15" s="48"/>
      <c r="I15" s="50" t="s">
        <v>34</v>
      </c>
      <c r="J15" s="49"/>
    </row>
    <row r="16" ht="18" spans="3:10">
      <c r="C16" s="51" t="s">
        <v>39</v>
      </c>
      <c r="D16" s="50" t="s">
        <v>30</v>
      </c>
      <c r="E16" s="48"/>
      <c r="F16" s="48"/>
      <c r="G16" s="48"/>
      <c r="H16" s="48"/>
      <c r="I16" s="50" t="s">
        <v>31</v>
      </c>
      <c r="J16" s="51" t="s">
        <v>40</v>
      </c>
    </row>
    <row r="17" ht="18" spans="3:10">
      <c r="C17" s="49"/>
      <c r="D17" s="50" t="s">
        <v>33</v>
      </c>
      <c r="E17" s="48"/>
      <c r="F17" s="48"/>
      <c r="G17" s="48"/>
      <c r="H17" s="48"/>
      <c r="I17" s="50" t="s">
        <v>34</v>
      </c>
      <c r="J17" s="49"/>
    </row>
  </sheetData>
  <sheetProtection algorithmName="SHA-512" hashValue="9DeOOvYoV0kCuijTiTMhU6DpeDDSat0mBnNTysdGBh/UKo3Y+jPEzGj5NPuqqiUEIJLdsE1cvZLNqynCFg/x9g==" saltValue="lG2v/FUyH5DCv8j4VfgL8Q==" spinCount="100000" sheet="1" objects="1"/>
  <mergeCells count="17">
    <mergeCell ref="C2:J2"/>
    <mergeCell ref="C3:J3"/>
    <mergeCell ref="C4:D4"/>
    <mergeCell ref="I4:J4"/>
    <mergeCell ref="E6:H6"/>
    <mergeCell ref="E7:H7"/>
    <mergeCell ref="C10:C11"/>
    <mergeCell ref="C12:C13"/>
    <mergeCell ref="C14:C15"/>
    <mergeCell ref="C16:C17"/>
    <mergeCell ref="J10:J11"/>
    <mergeCell ref="J12:J13"/>
    <mergeCell ref="J14:J15"/>
    <mergeCell ref="J16:J17"/>
    <mergeCell ref="C5:D9"/>
    <mergeCell ref="I5:J9"/>
    <mergeCell ref="E4:H5"/>
  </mergeCells>
  <pageMargins left="0.7" right="0.7" top="0.75" bottom="0.75" header="0.3" footer="0.3"/>
  <pageSetup paperSize="1" scale="2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1"/>
  <sheetViews>
    <sheetView zoomScale="60" zoomScaleNormal="60" topLeftCell="F1" workbookViewId="0">
      <selection activeCell="A19" sqref="A19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3" width="24.75" customWidth="1"/>
    <col min="14" max="14" width="23.375" customWidth="1"/>
    <col min="15" max="15" width="36.5" customWidth="1"/>
    <col min="16" max="18" width="15.5" customWidth="1"/>
  </cols>
  <sheetData>
    <row r="1" ht="20.25" spans="1:1">
      <c r="A1" s="17" t="s">
        <v>41</v>
      </c>
    </row>
    <row r="2" s="10" customFormat="1" ht="18" customHeight="1" spans="1:16">
      <c r="A2" s="13" t="s">
        <v>42</v>
      </c>
      <c r="B2" s="13" t="s">
        <v>43</v>
      </c>
      <c r="C2" s="13" t="s">
        <v>44</v>
      </c>
      <c r="D2" s="13" t="s">
        <v>45</v>
      </c>
      <c r="E2" s="13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  <c r="K2" s="14" t="s">
        <v>52</v>
      </c>
      <c r="L2" s="15" t="s">
        <v>53</v>
      </c>
      <c r="M2" s="15" t="s">
        <v>54</v>
      </c>
      <c r="N2" s="13" t="s">
        <v>55</v>
      </c>
      <c r="O2" s="13" t="s">
        <v>56</v>
      </c>
      <c r="P2" s="13" t="s">
        <v>57</v>
      </c>
    </row>
    <row r="3" s="10" customFormat="1" ht="18" customHeight="1" spans="1:16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4" t="s">
        <v>63</v>
      </c>
      <c r="G3" s="14" t="s">
        <v>64</v>
      </c>
      <c r="H3" s="14" t="s">
        <v>65</v>
      </c>
      <c r="I3" s="14" t="s">
        <v>66</v>
      </c>
      <c r="J3" s="14" t="s">
        <v>21</v>
      </c>
      <c r="K3" s="14" t="s">
        <v>20</v>
      </c>
      <c r="L3" s="16" t="s">
        <v>67</v>
      </c>
      <c r="M3" s="15" t="s">
        <v>68</v>
      </c>
      <c r="N3" s="13" t="s">
        <v>69</v>
      </c>
      <c r="O3" s="13" t="s">
        <v>70</v>
      </c>
      <c r="P3" s="13" t="s">
        <v>71</v>
      </c>
    </row>
    <row r="4" ht="13.5" customHeight="1" spans="1:15">
      <c r="A4" s="18" t="s">
        <v>72</v>
      </c>
      <c r="B4" s="18" t="s">
        <v>73</v>
      </c>
      <c r="C4" s="18" t="s">
        <v>74</v>
      </c>
      <c r="D4" s="18" t="s">
        <v>75</v>
      </c>
      <c r="E4" s="18" t="s">
        <v>76</v>
      </c>
      <c r="F4" t="s">
        <v>15</v>
      </c>
      <c r="G4" t="s">
        <v>32</v>
      </c>
      <c r="H4" t="s">
        <v>30</v>
      </c>
      <c r="I4" s="18" t="s">
        <v>31</v>
      </c>
      <c r="J4" s="18" t="s">
        <v>29</v>
      </c>
      <c r="K4" s="18" t="s">
        <v>25</v>
      </c>
      <c r="L4" t="str">
        <f>TEXT(O4+1,"0")&amp;"/"&amp;TEXT(O4,"0")</f>
        <v>2023/2022</v>
      </c>
      <c r="M4" s="19" t="str">
        <f>TEXT(O4+1,"0")&amp;"/"&amp;TEXT(O4,"0")</f>
        <v>2023/2022</v>
      </c>
      <c r="N4" s="20">
        <v>32165</v>
      </c>
      <c r="O4" s="18">
        <v>2022</v>
      </c>
    </row>
    <row r="5" ht="13.5" customHeight="1" spans="1:15">
      <c r="A5" s="18" t="s">
        <v>72</v>
      </c>
      <c r="B5" s="18" t="s">
        <v>73</v>
      </c>
      <c r="C5" s="18" t="s">
        <v>74</v>
      </c>
      <c r="D5" s="18" t="s">
        <v>75</v>
      </c>
      <c r="E5" s="18" t="s">
        <v>76</v>
      </c>
      <c r="F5" t="s">
        <v>15</v>
      </c>
      <c r="G5" t="s">
        <v>32</v>
      </c>
      <c r="H5" t="s">
        <v>33</v>
      </c>
      <c r="I5" s="18" t="s">
        <v>34</v>
      </c>
      <c r="J5" s="18" t="s">
        <v>29</v>
      </c>
      <c r="K5" s="18" t="s">
        <v>25</v>
      </c>
      <c r="L5" t="str">
        <f t="shared" ref="L5:L68" si="0">TEXT(O5+1,"0")&amp;"/"&amp;TEXT(O5,"0")</f>
        <v>2023/2022</v>
      </c>
      <c r="M5" s="19" t="str">
        <f t="shared" ref="M5:M68" si="1">TEXT(O5+1,"0")&amp;"/"&amp;TEXT(O5,"0")</f>
        <v>2023/2022</v>
      </c>
      <c r="N5" s="20">
        <v>33528</v>
      </c>
      <c r="O5" s="18">
        <v>2022</v>
      </c>
    </row>
    <row r="6" ht="13.5" customHeight="1" spans="1:15">
      <c r="A6" s="18" t="s">
        <v>72</v>
      </c>
      <c r="B6" s="18" t="s">
        <v>73</v>
      </c>
      <c r="C6" s="18" t="s">
        <v>74</v>
      </c>
      <c r="D6" s="18" t="s">
        <v>75</v>
      </c>
      <c r="E6" s="18" t="s">
        <v>76</v>
      </c>
      <c r="F6" t="s">
        <v>35</v>
      </c>
      <c r="G6" t="s">
        <v>36</v>
      </c>
      <c r="H6" t="s">
        <v>33</v>
      </c>
      <c r="I6" s="18" t="s">
        <v>34</v>
      </c>
      <c r="J6" s="18" t="s">
        <v>29</v>
      </c>
      <c r="K6" s="18" t="s">
        <v>25</v>
      </c>
      <c r="L6" t="str">
        <f t="shared" si="0"/>
        <v>2023/2022</v>
      </c>
      <c r="M6" s="19" t="str">
        <f t="shared" si="1"/>
        <v>2023/2022</v>
      </c>
      <c r="N6" s="21">
        <v>82</v>
      </c>
      <c r="O6" s="18">
        <v>2022</v>
      </c>
    </row>
    <row r="7" ht="13.5" customHeight="1" spans="1:15">
      <c r="A7" s="18" t="s">
        <v>72</v>
      </c>
      <c r="B7" s="18" t="s">
        <v>73</v>
      </c>
      <c r="C7" s="18" t="s">
        <v>74</v>
      </c>
      <c r="D7" s="18" t="s">
        <v>75</v>
      </c>
      <c r="E7" s="18" t="s">
        <v>76</v>
      </c>
      <c r="F7" t="s">
        <v>35</v>
      </c>
      <c r="G7" t="s">
        <v>36</v>
      </c>
      <c r="H7" t="s">
        <v>30</v>
      </c>
      <c r="I7" s="18" t="s">
        <v>31</v>
      </c>
      <c r="J7" s="18" t="s">
        <v>29</v>
      </c>
      <c r="K7" s="18" t="s">
        <v>25</v>
      </c>
      <c r="L7" t="str">
        <f t="shared" si="0"/>
        <v>2023/2022</v>
      </c>
      <c r="M7" s="19" t="str">
        <f t="shared" si="1"/>
        <v>2023/2022</v>
      </c>
      <c r="N7" s="21">
        <v>94</v>
      </c>
      <c r="O7" s="18">
        <v>2022</v>
      </c>
    </row>
    <row r="8" ht="13.5" customHeight="1" spans="1:15">
      <c r="A8" s="18" t="s">
        <v>72</v>
      </c>
      <c r="B8" s="18" t="s">
        <v>73</v>
      </c>
      <c r="C8" s="18" t="s">
        <v>74</v>
      </c>
      <c r="D8" s="18" t="s">
        <v>75</v>
      </c>
      <c r="E8" s="18" t="s">
        <v>76</v>
      </c>
      <c r="F8" t="s">
        <v>37</v>
      </c>
      <c r="G8" t="s">
        <v>38</v>
      </c>
      <c r="H8" t="s">
        <v>30</v>
      </c>
      <c r="I8" s="18" t="s">
        <v>31</v>
      </c>
      <c r="J8" s="18" t="s">
        <v>29</v>
      </c>
      <c r="K8" s="18" t="s">
        <v>25</v>
      </c>
      <c r="L8" t="str">
        <f t="shared" si="0"/>
        <v>2023/2022</v>
      </c>
      <c r="M8" s="19" t="str">
        <f t="shared" si="1"/>
        <v>2023/2022</v>
      </c>
      <c r="N8" s="21">
        <v>0</v>
      </c>
      <c r="O8" s="18">
        <v>2022</v>
      </c>
    </row>
    <row r="9" ht="13.5" customHeight="1" spans="1:15">
      <c r="A9" s="18" t="s">
        <v>72</v>
      </c>
      <c r="B9" s="18" t="s">
        <v>73</v>
      </c>
      <c r="C9" s="18" t="s">
        <v>74</v>
      </c>
      <c r="D9" s="18" t="s">
        <v>75</v>
      </c>
      <c r="E9" s="18" t="s">
        <v>76</v>
      </c>
      <c r="F9" t="s">
        <v>37</v>
      </c>
      <c r="G9" t="s">
        <v>38</v>
      </c>
      <c r="H9" t="s">
        <v>33</v>
      </c>
      <c r="I9" s="18" t="s">
        <v>34</v>
      </c>
      <c r="J9" s="18" t="s">
        <v>29</v>
      </c>
      <c r="K9" s="18" t="s">
        <v>25</v>
      </c>
      <c r="L9" t="str">
        <f t="shared" si="0"/>
        <v>2023/2022</v>
      </c>
      <c r="M9" s="19" t="str">
        <f t="shared" si="1"/>
        <v>2023/2022</v>
      </c>
      <c r="N9" s="21">
        <v>0</v>
      </c>
      <c r="O9" s="18">
        <v>2022</v>
      </c>
    </row>
    <row r="10" ht="13.5" customHeight="1" spans="1:15">
      <c r="A10" s="18" t="s">
        <v>72</v>
      </c>
      <c r="B10" s="18" t="s">
        <v>73</v>
      </c>
      <c r="C10" s="18" t="s">
        <v>74</v>
      </c>
      <c r="D10" s="18" t="s">
        <v>75</v>
      </c>
      <c r="E10" s="18" t="s">
        <v>76</v>
      </c>
      <c r="F10" t="s">
        <v>39</v>
      </c>
      <c r="G10" t="s">
        <v>40</v>
      </c>
      <c r="H10" t="s">
        <v>33</v>
      </c>
      <c r="I10" s="18" t="s">
        <v>34</v>
      </c>
      <c r="J10" s="18" t="s">
        <v>29</v>
      </c>
      <c r="K10" s="18" t="s">
        <v>25</v>
      </c>
      <c r="L10" t="str">
        <f t="shared" si="0"/>
        <v>2023/2022</v>
      </c>
      <c r="M10" s="19" t="str">
        <f t="shared" si="1"/>
        <v>2023/2022</v>
      </c>
      <c r="N10" s="20">
        <v>50231</v>
      </c>
      <c r="O10" s="18">
        <v>2022</v>
      </c>
    </row>
    <row r="11" ht="13.5" customHeight="1" spans="1:15">
      <c r="A11" s="18" t="s">
        <v>72</v>
      </c>
      <c r="B11" s="18" t="s">
        <v>73</v>
      </c>
      <c r="C11" s="18" t="s">
        <v>74</v>
      </c>
      <c r="D11" s="18" t="s">
        <v>75</v>
      </c>
      <c r="E11" s="18" t="s">
        <v>76</v>
      </c>
      <c r="F11" t="s">
        <v>39</v>
      </c>
      <c r="G11" t="s">
        <v>40</v>
      </c>
      <c r="H11" t="s">
        <v>30</v>
      </c>
      <c r="I11" s="18" t="s">
        <v>31</v>
      </c>
      <c r="J11" s="18" t="s">
        <v>29</v>
      </c>
      <c r="K11" s="18" t="s">
        <v>25</v>
      </c>
      <c r="L11" t="str">
        <f t="shared" si="0"/>
        <v>2023/2022</v>
      </c>
      <c r="M11" s="19" t="str">
        <f t="shared" si="1"/>
        <v>2023/2022</v>
      </c>
      <c r="N11" s="20">
        <v>45971</v>
      </c>
      <c r="O11" s="18">
        <v>2022</v>
      </c>
    </row>
    <row r="12" spans="1:15">
      <c r="A12" s="18" t="s">
        <v>72</v>
      </c>
      <c r="B12" s="18" t="s">
        <v>73</v>
      </c>
      <c r="C12" s="18" t="s">
        <v>74</v>
      </c>
      <c r="D12" s="18" t="s">
        <v>75</v>
      </c>
      <c r="E12" s="18" t="s">
        <v>76</v>
      </c>
      <c r="F12" t="s">
        <v>15</v>
      </c>
      <c r="G12" t="s">
        <v>32</v>
      </c>
      <c r="H12" t="s">
        <v>30</v>
      </c>
      <c r="I12" s="18" t="s">
        <v>31</v>
      </c>
      <c r="J12" s="18" t="s">
        <v>28</v>
      </c>
      <c r="K12" s="18" t="s">
        <v>24</v>
      </c>
      <c r="L12" t="str">
        <f t="shared" si="0"/>
        <v>2023/2022</v>
      </c>
      <c r="M12" s="19" t="str">
        <f t="shared" si="1"/>
        <v>2023/2022</v>
      </c>
      <c r="N12" s="20">
        <v>614353</v>
      </c>
      <c r="O12" s="18">
        <v>2022</v>
      </c>
    </row>
    <row r="13" spans="1:15">
      <c r="A13" s="18" t="s">
        <v>72</v>
      </c>
      <c r="B13" s="18" t="s">
        <v>73</v>
      </c>
      <c r="C13" s="18" t="s">
        <v>74</v>
      </c>
      <c r="D13" s="18" t="s">
        <v>75</v>
      </c>
      <c r="E13" s="18" t="s">
        <v>76</v>
      </c>
      <c r="F13" t="s">
        <v>15</v>
      </c>
      <c r="G13" t="s">
        <v>32</v>
      </c>
      <c r="H13" t="s">
        <v>33</v>
      </c>
      <c r="I13" s="18" t="s">
        <v>34</v>
      </c>
      <c r="J13" s="18" t="s">
        <v>28</v>
      </c>
      <c r="K13" s="18" t="s">
        <v>24</v>
      </c>
      <c r="L13" t="str">
        <f t="shared" si="0"/>
        <v>2023/2022</v>
      </c>
      <c r="M13" s="19" t="str">
        <f t="shared" si="1"/>
        <v>2023/2022</v>
      </c>
      <c r="N13" s="20">
        <v>669728</v>
      </c>
      <c r="O13" s="18">
        <v>2022</v>
      </c>
    </row>
    <row r="14" spans="1:15">
      <c r="A14" s="18" t="s">
        <v>72</v>
      </c>
      <c r="B14" s="18" t="s">
        <v>73</v>
      </c>
      <c r="C14" s="18" t="s">
        <v>74</v>
      </c>
      <c r="D14" s="18" t="s">
        <v>75</v>
      </c>
      <c r="E14" s="18" t="s">
        <v>76</v>
      </c>
      <c r="F14" t="s">
        <v>35</v>
      </c>
      <c r="G14" t="s">
        <v>36</v>
      </c>
      <c r="H14" t="s">
        <v>33</v>
      </c>
      <c r="I14" s="18" t="s">
        <v>34</v>
      </c>
      <c r="J14" s="18" t="s">
        <v>28</v>
      </c>
      <c r="K14" s="18" t="s">
        <v>24</v>
      </c>
      <c r="L14" t="str">
        <f t="shared" si="0"/>
        <v>2023/2022</v>
      </c>
      <c r="M14" s="19" t="str">
        <f t="shared" si="1"/>
        <v>2023/2022</v>
      </c>
      <c r="N14" s="20">
        <v>13911</v>
      </c>
      <c r="O14" s="18">
        <v>2022</v>
      </c>
    </row>
    <row r="15" spans="1:15">
      <c r="A15" s="18" t="s">
        <v>72</v>
      </c>
      <c r="B15" s="18" t="s">
        <v>73</v>
      </c>
      <c r="C15" s="18" t="s">
        <v>74</v>
      </c>
      <c r="D15" s="18" t="s">
        <v>75</v>
      </c>
      <c r="E15" s="18" t="s">
        <v>76</v>
      </c>
      <c r="F15" t="s">
        <v>35</v>
      </c>
      <c r="G15" t="s">
        <v>36</v>
      </c>
      <c r="H15" t="s">
        <v>30</v>
      </c>
      <c r="I15" s="18" t="s">
        <v>31</v>
      </c>
      <c r="J15" s="18" t="s">
        <v>28</v>
      </c>
      <c r="K15" s="18" t="s">
        <v>24</v>
      </c>
      <c r="L15" t="str">
        <f t="shared" si="0"/>
        <v>2023/2022</v>
      </c>
      <c r="M15" s="19" t="str">
        <f t="shared" si="1"/>
        <v>2023/2022</v>
      </c>
      <c r="N15" s="20">
        <v>2230</v>
      </c>
      <c r="O15" s="18">
        <v>2022</v>
      </c>
    </row>
    <row r="16" spans="1:15">
      <c r="A16" s="18" t="s">
        <v>72</v>
      </c>
      <c r="B16" s="18" t="s">
        <v>73</v>
      </c>
      <c r="C16" s="18" t="s">
        <v>74</v>
      </c>
      <c r="D16" s="18" t="s">
        <v>75</v>
      </c>
      <c r="E16" s="18" t="s">
        <v>76</v>
      </c>
      <c r="F16" t="s">
        <v>37</v>
      </c>
      <c r="G16" t="s">
        <v>38</v>
      </c>
      <c r="H16" t="s">
        <v>30</v>
      </c>
      <c r="I16" s="18" t="s">
        <v>31</v>
      </c>
      <c r="J16" s="18" t="s">
        <v>28</v>
      </c>
      <c r="K16" s="18" t="s">
        <v>24</v>
      </c>
      <c r="L16" t="str">
        <f t="shared" si="0"/>
        <v>2023/2022</v>
      </c>
      <c r="M16" s="19" t="str">
        <f t="shared" si="1"/>
        <v>2023/2022</v>
      </c>
      <c r="N16" s="20">
        <v>58642</v>
      </c>
      <c r="O16" s="18">
        <v>2022</v>
      </c>
    </row>
    <row r="17" spans="1:15">
      <c r="A17" s="18" t="s">
        <v>72</v>
      </c>
      <c r="B17" s="18" t="s">
        <v>73</v>
      </c>
      <c r="C17" s="18" t="s">
        <v>74</v>
      </c>
      <c r="D17" s="18" t="s">
        <v>75</v>
      </c>
      <c r="E17" s="18" t="s">
        <v>76</v>
      </c>
      <c r="F17" t="s">
        <v>37</v>
      </c>
      <c r="G17" t="s">
        <v>38</v>
      </c>
      <c r="H17" t="s">
        <v>33</v>
      </c>
      <c r="I17" s="18" t="s">
        <v>34</v>
      </c>
      <c r="J17" s="18" t="s">
        <v>28</v>
      </c>
      <c r="K17" s="18" t="s">
        <v>24</v>
      </c>
      <c r="L17" t="str">
        <f t="shared" si="0"/>
        <v>2023/2022</v>
      </c>
      <c r="M17" s="19" t="str">
        <f t="shared" si="1"/>
        <v>2023/2022</v>
      </c>
      <c r="N17" s="20">
        <v>55698</v>
      </c>
      <c r="O17" s="18">
        <v>2022</v>
      </c>
    </row>
    <row r="18" spans="1:15">
      <c r="A18" s="18" t="s">
        <v>72</v>
      </c>
      <c r="B18" s="18" t="s">
        <v>73</v>
      </c>
      <c r="C18" s="18" t="s">
        <v>74</v>
      </c>
      <c r="D18" s="18" t="s">
        <v>75</v>
      </c>
      <c r="E18" s="18" t="s">
        <v>76</v>
      </c>
      <c r="F18" t="s">
        <v>39</v>
      </c>
      <c r="G18" t="s">
        <v>40</v>
      </c>
      <c r="H18" t="s">
        <v>33</v>
      </c>
      <c r="I18" s="18" t="s">
        <v>34</v>
      </c>
      <c r="J18" s="18" t="s">
        <v>28</v>
      </c>
      <c r="K18" s="18" t="s">
        <v>24</v>
      </c>
      <c r="L18" t="str">
        <f t="shared" si="0"/>
        <v>2023/2022</v>
      </c>
      <c r="M18" s="19" t="str">
        <f t="shared" si="1"/>
        <v>2023/2022</v>
      </c>
      <c r="N18" s="20">
        <v>248342</v>
      </c>
      <c r="O18" s="18">
        <v>2022</v>
      </c>
    </row>
    <row r="19" spans="1:15">
      <c r="A19" s="18" t="s">
        <v>72</v>
      </c>
      <c r="B19" s="18" t="s">
        <v>73</v>
      </c>
      <c r="C19" s="18" t="s">
        <v>74</v>
      </c>
      <c r="D19" s="18" t="s">
        <v>75</v>
      </c>
      <c r="E19" s="18" t="s">
        <v>76</v>
      </c>
      <c r="F19" t="s">
        <v>39</v>
      </c>
      <c r="G19" t="s">
        <v>40</v>
      </c>
      <c r="H19" t="s">
        <v>30</v>
      </c>
      <c r="I19" s="18" t="s">
        <v>31</v>
      </c>
      <c r="J19" s="18" t="s">
        <v>28</v>
      </c>
      <c r="K19" s="18" t="s">
        <v>24</v>
      </c>
      <c r="L19" t="str">
        <f t="shared" si="0"/>
        <v>2023/2022</v>
      </c>
      <c r="M19" s="19" t="str">
        <f t="shared" si="1"/>
        <v>2023/2022</v>
      </c>
      <c r="N19" s="20">
        <v>170779</v>
      </c>
      <c r="O19" s="18">
        <v>2022</v>
      </c>
    </row>
    <row r="20" spans="1:15">
      <c r="A20" s="18" t="s">
        <v>72</v>
      </c>
      <c r="B20" s="18" t="s">
        <v>73</v>
      </c>
      <c r="C20" s="18" t="s">
        <v>74</v>
      </c>
      <c r="D20" s="18" t="s">
        <v>75</v>
      </c>
      <c r="E20" s="18" t="s">
        <v>76</v>
      </c>
      <c r="F20" t="s">
        <v>15</v>
      </c>
      <c r="G20" t="s">
        <v>32</v>
      </c>
      <c r="H20" t="s">
        <v>30</v>
      </c>
      <c r="I20" s="18" t="s">
        <v>31</v>
      </c>
      <c r="J20" s="18" t="s">
        <v>27</v>
      </c>
      <c r="K20" s="18" t="s">
        <v>23</v>
      </c>
      <c r="L20" t="str">
        <f t="shared" si="0"/>
        <v>2023/2022</v>
      </c>
      <c r="M20" s="19" t="str">
        <f t="shared" si="1"/>
        <v>2023/2022</v>
      </c>
      <c r="N20" s="20">
        <v>95311</v>
      </c>
      <c r="O20" s="18">
        <v>2022</v>
      </c>
    </row>
    <row r="21" spans="1:15">
      <c r="A21" s="18" t="s">
        <v>72</v>
      </c>
      <c r="B21" s="18" t="s">
        <v>73</v>
      </c>
      <c r="C21" s="18" t="s">
        <v>74</v>
      </c>
      <c r="D21" s="18" t="s">
        <v>75</v>
      </c>
      <c r="E21" s="18" t="s">
        <v>76</v>
      </c>
      <c r="F21" t="s">
        <v>15</v>
      </c>
      <c r="G21" t="s">
        <v>32</v>
      </c>
      <c r="H21" t="s">
        <v>33</v>
      </c>
      <c r="I21" s="18" t="s">
        <v>34</v>
      </c>
      <c r="J21" s="18" t="s">
        <v>27</v>
      </c>
      <c r="K21" s="18" t="s">
        <v>23</v>
      </c>
      <c r="L21" t="str">
        <f t="shared" si="0"/>
        <v>2023/2022</v>
      </c>
      <c r="M21" s="19" t="str">
        <f t="shared" si="1"/>
        <v>2023/2022</v>
      </c>
      <c r="N21" s="20">
        <v>110721</v>
      </c>
      <c r="O21" s="18">
        <v>2022</v>
      </c>
    </row>
    <row r="22" spans="1:15">
      <c r="A22" s="18" t="s">
        <v>72</v>
      </c>
      <c r="B22" s="18" t="s">
        <v>73</v>
      </c>
      <c r="C22" s="18" t="s">
        <v>74</v>
      </c>
      <c r="D22" s="18" t="s">
        <v>75</v>
      </c>
      <c r="E22" s="18" t="s">
        <v>76</v>
      </c>
      <c r="F22" t="s">
        <v>35</v>
      </c>
      <c r="G22" t="s">
        <v>36</v>
      </c>
      <c r="H22" t="s">
        <v>30</v>
      </c>
      <c r="I22" s="18" t="s">
        <v>31</v>
      </c>
      <c r="J22" s="18" t="s">
        <v>27</v>
      </c>
      <c r="K22" s="18" t="s">
        <v>23</v>
      </c>
      <c r="L22" t="str">
        <f t="shared" si="0"/>
        <v>2023/2022</v>
      </c>
      <c r="M22" s="19" t="str">
        <f t="shared" si="1"/>
        <v>2023/2022</v>
      </c>
      <c r="N22" s="20">
        <v>3068</v>
      </c>
      <c r="O22" s="18">
        <v>2022</v>
      </c>
    </row>
    <row r="23" spans="1:15">
      <c r="A23" s="18" t="s">
        <v>72</v>
      </c>
      <c r="B23" s="18" t="s">
        <v>73</v>
      </c>
      <c r="C23" s="18" t="s">
        <v>74</v>
      </c>
      <c r="D23" s="18" t="s">
        <v>75</v>
      </c>
      <c r="E23" s="18" t="s">
        <v>76</v>
      </c>
      <c r="F23" t="s">
        <v>35</v>
      </c>
      <c r="G23" t="s">
        <v>36</v>
      </c>
      <c r="H23" t="s">
        <v>33</v>
      </c>
      <c r="I23" s="18" t="s">
        <v>34</v>
      </c>
      <c r="J23" s="18" t="s">
        <v>27</v>
      </c>
      <c r="K23" s="18" t="s">
        <v>23</v>
      </c>
      <c r="L23" t="str">
        <f t="shared" si="0"/>
        <v>2023/2022</v>
      </c>
      <c r="M23" s="19" t="str">
        <f t="shared" si="1"/>
        <v>2023/2022</v>
      </c>
      <c r="N23" s="21">
        <v>544</v>
      </c>
      <c r="O23" s="18">
        <v>2022</v>
      </c>
    </row>
    <row r="24" spans="1:15">
      <c r="A24" s="18" t="s">
        <v>72</v>
      </c>
      <c r="B24" s="18" t="s">
        <v>73</v>
      </c>
      <c r="C24" s="18" t="s">
        <v>74</v>
      </c>
      <c r="D24" s="18" t="s">
        <v>75</v>
      </c>
      <c r="E24" s="18" t="s">
        <v>76</v>
      </c>
      <c r="F24" t="s">
        <v>37</v>
      </c>
      <c r="G24" t="s">
        <v>38</v>
      </c>
      <c r="H24" t="s">
        <v>30</v>
      </c>
      <c r="I24" s="18" t="s">
        <v>31</v>
      </c>
      <c r="J24" s="18" t="s">
        <v>27</v>
      </c>
      <c r="K24" s="18" t="s">
        <v>23</v>
      </c>
      <c r="L24" t="str">
        <f t="shared" si="0"/>
        <v>2023/2022</v>
      </c>
      <c r="M24" s="19" t="str">
        <f t="shared" si="1"/>
        <v>2023/2022</v>
      </c>
      <c r="N24" s="21">
        <v>0</v>
      </c>
      <c r="O24" s="18">
        <v>2022</v>
      </c>
    </row>
    <row r="25" spans="1:15">
      <c r="A25" s="18" t="s">
        <v>72</v>
      </c>
      <c r="B25" s="18" t="s">
        <v>73</v>
      </c>
      <c r="C25" s="18" t="s">
        <v>74</v>
      </c>
      <c r="D25" s="18" t="s">
        <v>75</v>
      </c>
      <c r="E25" s="18" t="s">
        <v>76</v>
      </c>
      <c r="F25" t="s">
        <v>37</v>
      </c>
      <c r="G25" t="s">
        <v>38</v>
      </c>
      <c r="H25" t="s">
        <v>33</v>
      </c>
      <c r="I25" s="18" t="s">
        <v>34</v>
      </c>
      <c r="J25" s="18" t="s">
        <v>27</v>
      </c>
      <c r="K25" s="18" t="s">
        <v>23</v>
      </c>
      <c r="L25" t="str">
        <f t="shared" si="0"/>
        <v>2023/2022</v>
      </c>
      <c r="M25" s="19" t="str">
        <f t="shared" si="1"/>
        <v>2023/2022</v>
      </c>
      <c r="N25" s="21">
        <v>0</v>
      </c>
      <c r="O25" s="18">
        <v>2022</v>
      </c>
    </row>
    <row r="26" spans="1:15">
      <c r="A26" s="18" t="s">
        <v>72</v>
      </c>
      <c r="B26" s="18" t="s">
        <v>73</v>
      </c>
      <c r="C26" s="18" t="s">
        <v>74</v>
      </c>
      <c r="D26" s="18" t="s">
        <v>75</v>
      </c>
      <c r="E26" s="18" t="s">
        <v>76</v>
      </c>
      <c r="F26" t="s">
        <v>39</v>
      </c>
      <c r="G26" t="s">
        <v>40</v>
      </c>
      <c r="H26" t="s">
        <v>30</v>
      </c>
      <c r="I26" s="18" t="s">
        <v>31</v>
      </c>
      <c r="J26" s="18" t="s">
        <v>27</v>
      </c>
      <c r="K26" s="18" t="s">
        <v>23</v>
      </c>
      <c r="L26" t="str">
        <f t="shared" si="0"/>
        <v>2023/2022</v>
      </c>
      <c r="M26" s="19" t="str">
        <f t="shared" si="1"/>
        <v>2023/2022</v>
      </c>
      <c r="N26" s="20">
        <v>21100</v>
      </c>
      <c r="O26" s="18">
        <v>2022</v>
      </c>
    </row>
    <row r="27" spans="1:15">
      <c r="A27" s="18" t="s">
        <v>72</v>
      </c>
      <c r="B27" s="18" t="s">
        <v>73</v>
      </c>
      <c r="C27" s="18" t="s">
        <v>74</v>
      </c>
      <c r="D27" s="18" t="s">
        <v>75</v>
      </c>
      <c r="E27" s="18" t="s">
        <v>76</v>
      </c>
      <c r="F27" t="s">
        <v>39</v>
      </c>
      <c r="G27" t="s">
        <v>40</v>
      </c>
      <c r="H27" t="s">
        <v>33</v>
      </c>
      <c r="I27" s="18" t="s">
        <v>34</v>
      </c>
      <c r="J27" s="18" t="s">
        <v>27</v>
      </c>
      <c r="K27" s="18" t="s">
        <v>23</v>
      </c>
      <c r="L27" t="str">
        <f t="shared" si="0"/>
        <v>2023/2022</v>
      </c>
      <c r="M27" s="19" t="str">
        <f t="shared" si="1"/>
        <v>2023/2022</v>
      </c>
      <c r="N27" s="20">
        <v>18041</v>
      </c>
      <c r="O27" s="18">
        <v>2022</v>
      </c>
    </row>
    <row r="28" spans="1:15">
      <c r="A28" s="18" t="s">
        <v>72</v>
      </c>
      <c r="B28" s="18" t="s">
        <v>73</v>
      </c>
      <c r="C28" s="18" t="s">
        <v>74</v>
      </c>
      <c r="D28" s="18" t="s">
        <v>75</v>
      </c>
      <c r="E28" s="18" t="s">
        <v>76</v>
      </c>
      <c r="F28" t="s">
        <v>15</v>
      </c>
      <c r="G28" t="s">
        <v>32</v>
      </c>
      <c r="H28" t="s">
        <v>30</v>
      </c>
      <c r="I28" s="18" t="s">
        <v>31</v>
      </c>
      <c r="J28" s="18" t="s">
        <v>26</v>
      </c>
      <c r="K28" s="18" t="s">
        <v>22</v>
      </c>
      <c r="L28" t="str">
        <f t="shared" si="0"/>
        <v>2023/2022</v>
      </c>
      <c r="M28" s="19" t="str">
        <f t="shared" si="1"/>
        <v>2023/2022</v>
      </c>
      <c r="N28" s="20">
        <v>15125</v>
      </c>
      <c r="O28" s="18">
        <v>2022</v>
      </c>
    </row>
    <row r="29" spans="1:15">
      <c r="A29" s="18" t="s">
        <v>72</v>
      </c>
      <c r="B29" s="18" t="s">
        <v>73</v>
      </c>
      <c r="C29" s="18" t="s">
        <v>74</v>
      </c>
      <c r="D29" s="18" t="s">
        <v>75</v>
      </c>
      <c r="E29" s="18" t="s">
        <v>76</v>
      </c>
      <c r="F29" t="s">
        <v>15</v>
      </c>
      <c r="G29" t="s">
        <v>32</v>
      </c>
      <c r="H29" t="s">
        <v>33</v>
      </c>
      <c r="I29" s="18" t="s">
        <v>34</v>
      </c>
      <c r="J29" s="18" t="s">
        <v>26</v>
      </c>
      <c r="K29" s="18" t="s">
        <v>22</v>
      </c>
      <c r="L29" t="str">
        <f t="shared" si="0"/>
        <v>2023/2022</v>
      </c>
      <c r="M29" s="19" t="str">
        <f t="shared" si="1"/>
        <v>2023/2022</v>
      </c>
      <c r="N29" s="20">
        <v>13753</v>
      </c>
      <c r="O29" s="18">
        <v>2022</v>
      </c>
    </row>
    <row r="30" spans="1:15">
      <c r="A30" s="18" t="s">
        <v>72</v>
      </c>
      <c r="B30" s="18" t="s">
        <v>73</v>
      </c>
      <c r="C30" s="18" t="s">
        <v>74</v>
      </c>
      <c r="D30" s="18" t="s">
        <v>75</v>
      </c>
      <c r="E30" s="18" t="s">
        <v>76</v>
      </c>
      <c r="F30" t="s">
        <v>35</v>
      </c>
      <c r="G30" t="s">
        <v>36</v>
      </c>
      <c r="H30" t="s">
        <v>30</v>
      </c>
      <c r="I30" s="18" t="s">
        <v>31</v>
      </c>
      <c r="J30" s="18" t="s">
        <v>26</v>
      </c>
      <c r="K30" s="18" t="s">
        <v>22</v>
      </c>
      <c r="L30" t="str">
        <f t="shared" si="0"/>
        <v>2023/2022</v>
      </c>
      <c r="M30" s="19" t="str">
        <f t="shared" si="1"/>
        <v>2023/2022</v>
      </c>
      <c r="N30" s="21">
        <v>246</v>
      </c>
      <c r="O30" s="18">
        <v>2022</v>
      </c>
    </row>
    <row r="31" spans="1:15">
      <c r="A31" s="18" t="s">
        <v>72</v>
      </c>
      <c r="B31" s="18" t="s">
        <v>73</v>
      </c>
      <c r="C31" s="18" t="s">
        <v>74</v>
      </c>
      <c r="D31" s="18" t="s">
        <v>75</v>
      </c>
      <c r="E31" s="18" t="s">
        <v>76</v>
      </c>
      <c r="F31" t="s">
        <v>35</v>
      </c>
      <c r="G31" t="s">
        <v>36</v>
      </c>
      <c r="H31" t="s">
        <v>33</v>
      </c>
      <c r="I31" s="18" t="s">
        <v>34</v>
      </c>
      <c r="J31" s="18" t="s">
        <v>26</v>
      </c>
      <c r="K31" s="18" t="s">
        <v>22</v>
      </c>
      <c r="L31" t="str">
        <f t="shared" si="0"/>
        <v>2023/2022</v>
      </c>
      <c r="M31" s="19" t="str">
        <f t="shared" si="1"/>
        <v>2023/2022</v>
      </c>
      <c r="N31" s="21">
        <v>0</v>
      </c>
      <c r="O31" s="18">
        <v>2022</v>
      </c>
    </row>
    <row r="32" spans="1:15">
      <c r="A32" s="18" t="s">
        <v>72</v>
      </c>
      <c r="B32" s="18" t="s">
        <v>73</v>
      </c>
      <c r="C32" s="18" t="s">
        <v>74</v>
      </c>
      <c r="D32" s="18" t="s">
        <v>75</v>
      </c>
      <c r="E32" s="18" t="s">
        <v>76</v>
      </c>
      <c r="F32" t="s">
        <v>37</v>
      </c>
      <c r="G32" t="s">
        <v>38</v>
      </c>
      <c r="H32" t="s">
        <v>30</v>
      </c>
      <c r="I32" s="18" t="s">
        <v>31</v>
      </c>
      <c r="J32" s="18" t="s">
        <v>26</v>
      </c>
      <c r="K32" s="18" t="s">
        <v>22</v>
      </c>
      <c r="L32" t="str">
        <f t="shared" si="0"/>
        <v>2023/2022</v>
      </c>
      <c r="M32" s="19" t="str">
        <f t="shared" si="1"/>
        <v>2023/2022</v>
      </c>
      <c r="N32" s="21">
        <v>0</v>
      </c>
      <c r="O32" s="18">
        <v>2022</v>
      </c>
    </row>
    <row r="33" spans="1:15">
      <c r="A33" s="18" t="s">
        <v>72</v>
      </c>
      <c r="B33" s="18" t="s">
        <v>73</v>
      </c>
      <c r="C33" s="18" t="s">
        <v>74</v>
      </c>
      <c r="D33" s="18" t="s">
        <v>75</v>
      </c>
      <c r="E33" s="18" t="s">
        <v>76</v>
      </c>
      <c r="F33" t="s">
        <v>37</v>
      </c>
      <c r="G33" t="s">
        <v>38</v>
      </c>
      <c r="H33" t="s">
        <v>33</v>
      </c>
      <c r="I33" s="18" t="s">
        <v>34</v>
      </c>
      <c r="J33" s="18" t="s">
        <v>26</v>
      </c>
      <c r="K33" s="18" t="s">
        <v>22</v>
      </c>
      <c r="L33" t="str">
        <f t="shared" si="0"/>
        <v>2023/2022</v>
      </c>
      <c r="M33" s="19" t="str">
        <f t="shared" si="1"/>
        <v>2023/2022</v>
      </c>
      <c r="N33" s="21">
        <v>0</v>
      </c>
      <c r="O33" s="18">
        <v>2022</v>
      </c>
    </row>
    <row r="34" spans="1:15">
      <c r="A34" s="18" t="s">
        <v>72</v>
      </c>
      <c r="B34" s="18" t="s">
        <v>73</v>
      </c>
      <c r="C34" s="18" t="s">
        <v>74</v>
      </c>
      <c r="D34" s="18" t="s">
        <v>75</v>
      </c>
      <c r="E34" s="18" t="s">
        <v>76</v>
      </c>
      <c r="F34" t="s">
        <v>39</v>
      </c>
      <c r="G34" t="s">
        <v>40</v>
      </c>
      <c r="H34" t="s">
        <v>30</v>
      </c>
      <c r="I34" s="18" t="s">
        <v>31</v>
      </c>
      <c r="J34" s="18" t="s">
        <v>26</v>
      </c>
      <c r="K34" s="18" t="s">
        <v>22</v>
      </c>
      <c r="L34" t="str">
        <f t="shared" si="0"/>
        <v>2023/2022</v>
      </c>
      <c r="M34" s="19" t="str">
        <f t="shared" si="1"/>
        <v>2023/2022</v>
      </c>
      <c r="N34" s="21">
        <v>568</v>
      </c>
      <c r="O34" s="18">
        <v>2022</v>
      </c>
    </row>
    <row r="35" spans="1:15">
      <c r="A35" s="18" t="s">
        <v>72</v>
      </c>
      <c r="B35" s="18" t="s">
        <v>73</v>
      </c>
      <c r="C35" s="18" t="s">
        <v>74</v>
      </c>
      <c r="D35" s="18" t="s">
        <v>75</v>
      </c>
      <c r="E35" s="18" t="s">
        <v>76</v>
      </c>
      <c r="F35" t="s">
        <v>39</v>
      </c>
      <c r="G35" t="s">
        <v>40</v>
      </c>
      <c r="H35" t="s">
        <v>33</v>
      </c>
      <c r="I35" s="18" t="s">
        <v>34</v>
      </c>
      <c r="J35" s="18" t="s">
        <v>26</v>
      </c>
      <c r="K35" s="18" t="s">
        <v>22</v>
      </c>
      <c r="L35" t="str">
        <f t="shared" si="0"/>
        <v>2023/2022</v>
      </c>
      <c r="M35" s="19" t="str">
        <f t="shared" si="1"/>
        <v>2023/2022</v>
      </c>
      <c r="N35" s="21">
        <v>109</v>
      </c>
      <c r="O35" s="18">
        <v>2022</v>
      </c>
    </row>
    <row r="36" spans="1:16">
      <c r="A36" s="18" t="s">
        <v>72</v>
      </c>
      <c r="B36" s="18" t="s">
        <v>73</v>
      </c>
      <c r="C36" s="18" t="s">
        <v>74</v>
      </c>
      <c r="D36" s="18" t="s">
        <v>75</v>
      </c>
      <c r="E36" s="18" t="s">
        <v>76</v>
      </c>
      <c r="F36" t="s">
        <v>15</v>
      </c>
      <c r="G36" t="s">
        <v>32</v>
      </c>
      <c r="H36" t="s">
        <v>30</v>
      </c>
      <c r="I36" s="18" t="s">
        <v>31</v>
      </c>
      <c r="J36" s="18" t="s">
        <v>29</v>
      </c>
      <c r="K36" s="18" t="s">
        <v>25</v>
      </c>
      <c r="L36" t="str">
        <f t="shared" si="0"/>
        <v>2022/2021</v>
      </c>
      <c r="M36" s="19" t="str">
        <f t="shared" si="1"/>
        <v>2022/2021</v>
      </c>
      <c r="N36" s="22">
        <v>33228</v>
      </c>
      <c r="O36" s="18">
        <v>2021</v>
      </c>
      <c r="P36" s="18"/>
    </row>
    <row r="37" spans="1:16">
      <c r="A37" s="18" t="s">
        <v>72</v>
      </c>
      <c r="B37" s="18" t="s">
        <v>73</v>
      </c>
      <c r="C37" s="18" t="s">
        <v>74</v>
      </c>
      <c r="D37" s="18" t="s">
        <v>75</v>
      </c>
      <c r="E37" s="18" t="s">
        <v>76</v>
      </c>
      <c r="F37" t="s">
        <v>15</v>
      </c>
      <c r="G37" t="s">
        <v>32</v>
      </c>
      <c r="H37" t="s">
        <v>33</v>
      </c>
      <c r="I37" s="18" t="s">
        <v>34</v>
      </c>
      <c r="J37" s="18" t="s">
        <v>29</v>
      </c>
      <c r="K37" s="18" t="s">
        <v>25</v>
      </c>
      <c r="L37" t="str">
        <f t="shared" si="0"/>
        <v>2022/2021</v>
      </c>
      <c r="M37" s="19" t="str">
        <f t="shared" si="1"/>
        <v>2022/2021</v>
      </c>
      <c r="N37" s="22">
        <v>34491</v>
      </c>
      <c r="O37" s="18">
        <v>2021</v>
      </c>
      <c r="P37" s="18"/>
    </row>
    <row r="38" spans="1:16">
      <c r="A38" s="18" t="s">
        <v>72</v>
      </c>
      <c r="B38" s="18" t="s">
        <v>73</v>
      </c>
      <c r="C38" s="18" t="s">
        <v>74</v>
      </c>
      <c r="D38" s="18" t="s">
        <v>75</v>
      </c>
      <c r="E38" s="18" t="s">
        <v>76</v>
      </c>
      <c r="F38" t="s">
        <v>35</v>
      </c>
      <c r="G38" t="s">
        <v>36</v>
      </c>
      <c r="H38" t="s">
        <v>33</v>
      </c>
      <c r="I38" s="18" t="s">
        <v>34</v>
      </c>
      <c r="J38" s="18" t="s">
        <v>29</v>
      </c>
      <c r="K38" s="18" t="s">
        <v>25</v>
      </c>
      <c r="L38" t="str">
        <f t="shared" si="0"/>
        <v>2022/2021</v>
      </c>
      <c r="M38" s="19" t="str">
        <f t="shared" si="1"/>
        <v>2022/2021</v>
      </c>
      <c r="N38" s="23">
        <v>94</v>
      </c>
      <c r="O38" s="18">
        <v>2021</v>
      </c>
      <c r="P38" s="18"/>
    </row>
    <row r="39" spans="1:16">
      <c r="A39" s="18" t="s">
        <v>72</v>
      </c>
      <c r="B39" s="18" t="s">
        <v>73</v>
      </c>
      <c r="C39" s="18" t="s">
        <v>74</v>
      </c>
      <c r="D39" s="18" t="s">
        <v>75</v>
      </c>
      <c r="E39" s="18" t="s">
        <v>76</v>
      </c>
      <c r="F39" t="s">
        <v>35</v>
      </c>
      <c r="G39" t="s">
        <v>36</v>
      </c>
      <c r="H39" t="s">
        <v>30</v>
      </c>
      <c r="I39" s="18" t="s">
        <v>31</v>
      </c>
      <c r="J39" s="18" t="s">
        <v>29</v>
      </c>
      <c r="K39" s="18" t="s">
        <v>25</v>
      </c>
      <c r="L39" t="str">
        <f t="shared" si="0"/>
        <v>2022/2021</v>
      </c>
      <c r="M39" s="19" t="str">
        <f t="shared" si="1"/>
        <v>2022/2021</v>
      </c>
      <c r="N39" s="23">
        <v>94</v>
      </c>
      <c r="O39" s="18">
        <v>2021</v>
      </c>
      <c r="P39" s="18"/>
    </row>
    <row r="40" spans="1:16">
      <c r="A40" s="18" t="s">
        <v>72</v>
      </c>
      <c r="B40" s="18" t="s">
        <v>73</v>
      </c>
      <c r="C40" s="18" t="s">
        <v>74</v>
      </c>
      <c r="D40" s="18" t="s">
        <v>75</v>
      </c>
      <c r="E40" s="18" t="s">
        <v>76</v>
      </c>
      <c r="F40" t="s">
        <v>37</v>
      </c>
      <c r="G40" t="s">
        <v>38</v>
      </c>
      <c r="H40" t="s">
        <v>30</v>
      </c>
      <c r="I40" s="18" t="s">
        <v>31</v>
      </c>
      <c r="J40" s="18" t="s">
        <v>29</v>
      </c>
      <c r="K40" s="18" t="s">
        <v>25</v>
      </c>
      <c r="L40" t="str">
        <f t="shared" si="0"/>
        <v>2022/2021</v>
      </c>
      <c r="M40" s="19" t="str">
        <f t="shared" si="1"/>
        <v>2022/2021</v>
      </c>
      <c r="N40" s="23">
        <v>0</v>
      </c>
      <c r="O40" s="18">
        <v>2021</v>
      </c>
      <c r="P40" s="18"/>
    </row>
    <row r="41" spans="1:16">
      <c r="A41" s="18" t="s">
        <v>72</v>
      </c>
      <c r="B41" s="18" t="s">
        <v>73</v>
      </c>
      <c r="C41" s="18" t="s">
        <v>74</v>
      </c>
      <c r="D41" s="18" t="s">
        <v>75</v>
      </c>
      <c r="E41" s="18" t="s">
        <v>76</v>
      </c>
      <c r="F41" t="s">
        <v>37</v>
      </c>
      <c r="G41" t="s">
        <v>38</v>
      </c>
      <c r="H41" t="s">
        <v>33</v>
      </c>
      <c r="I41" s="18" t="s">
        <v>34</v>
      </c>
      <c r="J41" s="18" t="s">
        <v>29</v>
      </c>
      <c r="K41" s="18" t="s">
        <v>25</v>
      </c>
      <c r="L41" t="str">
        <f t="shared" si="0"/>
        <v>2022/2021</v>
      </c>
      <c r="M41" s="19" t="str">
        <f t="shared" si="1"/>
        <v>2022/2021</v>
      </c>
      <c r="N41" s="23">
        <v>0</v>
      </c>
      <c r="O41" s="18">
        <v>2021</v>
      </c>
      <c r="P41" s="18"/>
    </row>
    <row r="42" spans="1:16">
      <c r="A42" s="18" t="s">
        <v>72</v>
      </c>
      <c r="B42" s="18" t="s">
        <v>73</v>
      </c>
      <c r="C42" s="18" t="s">
        <v>74</v>
      </c>
      <c r="D42" s="18" t="s">
        <v>75</v>
      </c>
      <c r="E42" s="18" t="s">
        <v>76</v>
      </c>
      <c r="F42" t="s">
        <v>39</v>
      </c>
      <c r="G42" t="s">
        <v>40</v>
      </c>
      <c r="H42" t="s">
        <v>33</v>
      </c>
      <c r="I42" s="18" t="s">
        <v>34</v>
      </c>
      <c r="J42" s="18" t="s">
        <v>29</v>
      </c>
      <c r="K42" s="18" t="s">
        <v>25</v>
      </c>
      <c r="L42" t="str">
        <f t="shared" si="0"/>
        <v>2022/2021</v>
      </c>
      <c r="M42" s="19" t="str">
        <f t="shared" si="1"/>
        <v>2022/2021</v>
      </c>
      <c r="N42" s="22">
        <v>38123</v>
      </c>
      <c r="O42" s="18">
        <v>2021</v>
      </c>
      <c r="P42" s="18"/>
    </row>
    <row r="43" spans="1:16">
      <c r="A43" s="18" t="s">
        <v>72</v>
      </c>
      <c r="B43" s="18" t="s">
        <v>73</v>
      </c>
      <c r="C43" s="18" t="s">
        <v>74</v>
      </c>
      <c r="D43" s="18" t="s">
        <v>75</v>
      </c>
      <c r="E43" s="18" t="s">
        <v>76</v>
      </c>
      <c r="F43" t="s">
        <v>39</v>
      </c>
      <c r="G43" t="s">
        <v>40</v>
      </c>
      <c r="H43" t="s">
        <v>30</v>
      </c>
      <c r="I43" s="18" t="s">
        <v>31</v>
      </c>
      <c r="J43" s="18" t="s">
        <v>29</v>
      </c>
      <c r="K43" s="18" t="s">
        <v>25</v>
      </c>
      <c r="L43" t="str">
        <f t="shared" si="0"/>
        <v>2022/2021</v>
      </c>
      <c r="M43" s="19" t="str">
        <f t="shared" si="1"/>
        <v>2022/2021</v>
      </c>
      <c r="N43" s="22">
        <v>34898</v>
      </c>
      <c r="O43" s="18">
        <v>2021</v>
      </c>
      <c r="P43" s="18"/>
    </row>
    <row r="44" spans="1:16">
      <c r="A44" s="18" t="s">
        <v>72</v>
      </c>
      <c r="B44" s="18" t="s">
        <v>73</v>
      </c>
      <c r="C44" s="18" t="s">
        <v>74</v>
      </c>
      <c r="D44" s="18" t="s">
        <v>75</v>
      </c>
      <c r="E44" s="18" t="s">
        <v>76</v>
      </c>
      <c r="F44" t="s">
        <v>15</v>
      </c>
      <c r="G44" t="s">
        <v>32</v>
      </c>
      <c r="H44" t="s">
        <v>30</v>
      </c>
      <c r="I44" s="18" t="s">
        <v>31</v>
      </c>
      <c r="J44" s="18" t="s">
        <v>28</v>
      </c>
      <c r="K44" s="18" t="s">
        <v>24</v>
      </c>
      <c r="L44" t="str">
        <f t="shared" si="0"/>
        <v>2022/2021</v>
      </c>
      <c r="M44" s="19" t="str">
        <f t="shared" si="1"/>
        <v>2022/2021</v>
      </c>
      <c r="N44" s="22">
        <v>645225</v>
      </c>
      <c r="O44" s="18">
        <v>2021</v>
      </c>
      <c r="P44" s="18"/>
    </row>
    <row r="45" spans="1:16">
      <c r="A45" s="18" t="s">
        <v>72</v>
      </c>
      <c r="B45" s="18" t="s">
        <v>73</v>
      </c>
      <c r="C45" s="18" t="s">
        <v>74</v>
      </c>
      <c r="D45" s="18" t="s">
        <v>75</v>
      </c>
      <c r="E45" s="18" t="s">
        <v>76</v>
      </c>
      <c r="F45" t="s">
        <v>15</v>
      </c>
      <c r="G45" t="s">
        <v>32</v>
      </c>
      <c r="H45" t="s">
        <v>33</v>
      </c>
      <c r="I45" s="18" t="s">
        <v>34</v>
      </c>
      <c r="J45" s="18" t="s">
        <v>28</v>
      </c>
      <c r="K45" s="18" t="s">
        <v>24</v>
      </c>
      <c r="L45" t="str">
        <f t="shared" si="0"/>
        <v>2022/2021</v>
      </c>
      <c r="M45" s="19" t="str">
        <f t="shared" si="1"/>
        <v>2022/2021</v>
      </c>
      <c r="N45" s="22">
        <v>684012</v>
      </c>
      <c r="O45" s="18">
        <v>2021</v>
      </c>
      <c r="P45" s="18"/>
    </row>
    <row r="46" spans="1:16">
      <c r="A46" s="18" t="s">
        <v>72</v>
      </c>
      <c r="B46" s="18" t="s">
        <v>73</v>
      </c>
      <c r="C46" s="18" t="s">
        <v>74</v>
      </c>
      <c r="D46" s="18" t="s">
        <v>75</v>
      </c>
      <c r="E46" s="18" t="s">
        <v>76</v>
      </c>
      <c r="F46" t="s">
        <v>35</v>
      </c>
      <c r="G46" t="s">
        <v>36</v>
      </c>
      <c r="H46" t="s">
        <v>33</v>
      </c>
      <c r="I46" s="18" t="s">
        <v>34</v>
      </c>
      <c r="J46" s="18" t="s">
        <v>28</v>
      </c>
      <c r="K46" s="18" t="s">
        <v>24</v>
      </c>
      <c r="L46" t="str">
        <f t="shared" si="0"/>
        <v>2022/2021</v>
      </c>
      <c r="M46" s="19" t="str">
        <f t="shared" si="1"/>
        <v>2022/2021</v>
      </c>
      <c r="N46" s="22">
        <v>13835</v>
      </c>
      <c r="O46" s="18">
        <v>2021</v>
      </c>
      <c r="P46" s="18"/>
    </row>
    <row r="47" spans="1:16">
      <c r="A47" s="18" t="s">
        <v>72</v>
      </c>
      <c r="B47" s="18" t="s">
        <v>73</v>
      </c>
      <c r="C47" s="18" t="s">
        <v>74</v>
      </c>
      <c r="D47" s="18" t="s">
        <v>75</v>
      </c>
      <c r="E47" s="18" t="s">
        <v>76</v>
      </c>
      <c r="F47" t="s">
        <v>35</v>
      </c>
      <c r="G47" t="s">
        <v>36</v>
      </c>
      <c r="H47" t="s">
        <v>30</v>
      </c>
      <c r="I47" s="18" t="s">
        <v>31</v>
      </c>
      <c r="J47" s="18" t="s">
        <v>28</v>
      </c>
      <c r="K47" s="18" t="s">
        <v>24</v>
      </c>
      <c r="L47" t="str">
        <f t="shared" si="0"/>
        <v>2022/2021</v>
      </c>
      <c r="M47" s="19" t="str">
        <f t="shared" si="1"/>
        <v>2022/2021</v>
      </c>
      <c r="N47" s="22">
        <v>2395</v>
      </c>
      <c r="O47" s="18">
        <v>2021</v>
      </c>
      <c r="P47" s="18"/>
    </row>
    <row r="48" spans="1:16">
      <c r="A48" s="18" t="s">
        <v>72</v>
      </c>
      <c r="B48" s="18" t="s">
        <v>73</v>
      </c>
      <c r="C48" s="18" t="s">
        <v>74</v>
      </c>
      <c r="D48" s="18" t="s">
        <v>75</v>
      </c>
      <c r="E48" s="18" t="s">
        <v>76</v>
      </c>
      <c r="F48" t="s">
        <v>37</v>
      </c>
      <c r="G48" t="s">
        <v>38</v>
      </c>
      <c r="H48" t="s">
        <v>30</v>
      </c>
      <c r="I48" s="18" t="s">
        <v>31</v>
      </c>
      <c r="J48" s="18" t="s">
        <v>28</v>
      </c>
      <c r="K48" s="18" t="s">
        <v>24</v>
      </c>
      <c r="L48" t="str">
        <f t="shared" si="0"/>
        <v>2022/2021</v>
      </c>
      <c r="M48" s="19" t="str">
        <f t="shared" si="1"/>
        <v>2022/2021</v>
      </c>
      <c r="N48" s="22">
        <v>63123</v>
      </c>
      <c r="O48" s="18">
        <v>2021</v>
      </c>
      <c r="P48" s="18"/>
    </row>
    <row r="49" spans="1:16">
      <c r="A49" s="18" t="s">
        <v>72</v>
      </c>
      <c r="B49" s="18" t="s">
        <v>73</v>
      </c>
      <c r="C49" s="18" t="s">
        <v>74</v>
      </c>
      <c r="D49" s="18" t="s">
        <v>75</v>
      </c>
      <c r="E49" s="18" t="s">
        <v>76</v>
      </c>
      <c r="F49" t="s">
        <v>37</v>
      </c>
      <c r="G49" t="s">
        <v>38</v>
      </c>
      <c r="H49" t="s">
        <v>33</v>
      </c>
      <c r="I49" s="18" t="s">
        <v>34</v>
      </c>
      <c r="J49" s="18" t="s">
        <v>28</v>
      </c>
      <c r="K49" s="18" t="s">
        <v>24</v>
      </c>
      <c r="L49" t="str">
        <f t="shared" si="0"/>
        <v>2022/2021</v>
      </c>
      <c r="M49" s="19" t="str">
        <f t="shared" si="1"/>
        <v>2022/2021</v>
      </c>
      <c r="N49" s="22">
        <v>60317</v>
      </c>
      <c r="O49" s="18">
        <v>2021</v>
      </c>
      <c r="P49" s="18"/>
    </row>
    <row r="50" spans="1:16">
      <c r="A50" s="18" t="s">
        <v>72</v>
      </c>
      <c r="B50" s="18" t="s">
        <v>73</v>
      </c>
      <c r="C50" s="18" t="s">
        <v>74</v>
      </c>
      <c r="D50" s="18" t="s">
        <v>75</v>
      </c>
      <c r="E50" s="18" t="s">
        <v>76</v>
      </c>
      <c r="F50" t="s">
        <v>39</v>
      </c>
      <c r="G50" t="s">
        <v>40</v>
      </c>
      <c r="H50" t="s">
        <v>33</v>
      </c>
      <c r="I50" s="18" t="s">
        <v>34</v>
      </c>
      <c r="J50" s="18" t="s">
        <v>28</v>
      </c>
      <c r="K50" s="18" t="s">
        <v>24</v>
      </c>
      <c r="L50" t="str">
        <f t="shared" si="0"/>
        <v>2022/2021</v>
      </c>
      <c r="M50" s="19" t="str">
        <f t="shared" si="1"/>
        <v>2022/2021</v>
      </c>
      <c r="N50" s="22">
        <v>209735</v>
      </c>
      <c r="O50" s="18">
        <v>2021</v>
      </c>
      <c r="P50" s="18"/>
    </row>
    <row r="51" spans="1:16">
      <c r="A51" s="18" t="s">
        <v>72</v>
      </c>
      <c r="B51" s="18" t="s">
        <v>73</v>
      </c>
      <c r="C51" s="18" t="s">
        <v>74</v>
      </c>
      <c r="D51" s="18" t="s">
        <v>75</v>
      </c>
      <c r="E51" s="18" t="s">
        <v>76</v>
      </c>
      <c r="F51" t="s">
        <v>39</v>
      </c>
      <c r="G51" t="s">
        <v>40</v>
      </c>
      <c r="H51" t="s">
        <v>30</v>
      </c>
      <c r="I51" s="18" t="s">
        <v>31</v>
      </c>
      <c r="J51" s="18" t="s">
        <v>28</v>
      </c>
      <c r="K51" s="18" t="s">
        <v>24</v>
      </c>
      <c r="L51" t="str">
        <f t="shared" si="0"/>
        <v>2022/2021</v>
      </c>
      <c r="M51" s="19" t="str">
        <f t="shared" si="1"/>
        <v>2022/2021</v>
      </c>
      <c r="N51" s="22">
        <v>148512</v>
      </c>
      <c r="O51" s="18">
        <v>2021</v>
      </c>
      <c r="P51" s="18"/>
    </row>
    <row r="52" spans="1:16">
      <c r="A52" s="18" t="s">
        <v>72</v>
      </c>
      <c r="B52" s="18" t="s">
        <v>73</v>
      </c>
      <c r="C52" s="18" t="s">
        <v>74</v>
      </c>
      <c r="D52" s="18" t="s">
        <v>75</v>
      </c>
      <c r="E52" s="18" t="s">
        <v>76</v>
      </c>
      <c r="F52" t="s">
        <v>15</v>
      </c>
      <c r="G52" t="s">
        <v>32</v>
      </c>
      <c r="H52" t="s">
        <v>30</v>
      </c>
      <c r="I52" s="18" t="s">
        <v>31</v>
      </c>
      <c r="J52" s="18" t="s">
        <v>27</v>
      </c>
      <c r="K52" s="18" t="s">
        <v>23</v>
      </c>
      <c r="L52" t="str">
        <f t="shared" si="0"/>
        <v>2022/2021</v>
      </c>
      <c r="M52" s="19" t="str">
        <f t="shared" si="1"/>
        <v>2022/2021</v>
      </c>
      <c r="N52" s="22">
        <v>99770</v>
      </c>
      <c r="O52" s="18">
        <v>2021</v>
      </c>
      <c r="P52" s="18"/>
    </row>
    <row r="53" spans="1:16">
      <c r="A53" s="18" t="s">
        <v>72</v>
      </c>
      <c r="B53" s="18" t="s">
        <v>73</v>
      </c>
      <c r="C53" s="18" t="s">
        <v>74</v>
      </c>
      <c r="D53" s="18" t="s">
        <v>75</v>
      </c>
      <c r="E53" s="18" t="s">
        <v>76</v>
      </c>
      <c r="F53" t="s">
        <v>15</v>
      </c>
      <c r="G53" t="s">
        <v>32</v>
      </c>
      <c r="H53" t="s">
        <v>33</v>
      </c>
      <c r="I53" s="18" t="s">
        <v>34</v>
      </c>
      <c r="J53" s="18" t="s">
        <v>27</v>
      </c>
      <c r="K53" s="18" t="s">
        <v>23</v>
      </c>
      <c r="L53" t="str">
        <f t="shared" si="0"/>
        <v>2022/2021</v>
      </c>
      <c r="M53" s="19" t="str">
        <f t="shared" si="1"/>
        <v>2022/2021</v>
      </c>
      <c r="N53" s="22">
        <v>110643</v>
      </c>
      <c r="O53" s="18">
        <v>2021</v>
      </c>
      <c r="P53" s="18"/>
    </row>
    <row r="54" spans="1:16">
      <c r="A54" s="18" t="s">
        <v>72</v>
      </c>
      <c r="B54" s="18" t="s">
        <v>73</v>
      </c>
      <c r="C54" s="18" t="s">
        <v>74</v>
      </c>
      <c r="D54" s="18" t="s">
        <v>75</v>
      </c>
      <c r="E54" s="18" t="s">
        <v>76</v>
      </c>
      <c r="F54" t="s">
        <v>35</v>
      </c>
      <c r="G54" t="s">
        <v>36</v>
      </c>
      <c r="H54" t="s">
        <v>30</v>
      </c>
      <c r="I54" s="18" t="s">
        <v>31</v>
      </c>
      <c r="J54" s="18" t="s">
        <v>27</v>
      </c>
      <c r="K54" s="18" t="s">
        <v>23</v>
      </c>
      <c r="L54" t="str">
        <f t="shared" si="0"/>
        <v>2022/2021</v>
      </c>
      <c r="M54" s="19" t="str">
        <f t="shared" si="1"/>
        <v>2022/2021</v>
      </c>
      <c r="N54" s="22">
        <v>3134</v>
      </c>
      <c r="O54" s="18">
        <v>2021</v>
      </c>
      <c r="P54" s="18"/>
    </row>
    <row r="55" spans="1:16">
      <c r="A55" s="18" t="s">
        <v>72</v>
      </c>
      <c r="B55" s="18" t="s">
        <v>73</v>
      </c>
      <c r="C55" s="18" t="s">
        <v>74</v>
      </c>
      <c r="D55" s="18" t="s">
        <v>75</v>
      </c>
      <c r="E55" s="18" t="s">
        <v>76</v>
      </c>
      <c r="F55" t="s">
        <v>35</v>
      </c>
      <c r="G55" t="s">
        <v>36</v>
      </c>
      <c r="H55" t="s">
        <v>33</v>
      </c>
      <c r="I55" s="18" t="s">
        <v>34</v>
      </c>
      <c r="J55" s="18" t="s">
        <v>27</v>
      </c>
      <c r="K55" s="18" t="s">
        <v>23</v>
      </c>
      <c r="L55" t="str">
        <f t="shared" si="0"/>
        <v>2022/2021</v>
      </c>
      <c r="M55" s="19" t="str">
        <f t="shared" si="1"/>
        <v>2022/2021</v>
      </c>
      <c r="N55" s="23">
        <v>597</v>
      </c>
      <c r="O55" s="18">
        <v>2021</v>
      </c>
      <c r="P55" s="18"/>
    </row>
    <row r="56" spans="1:16">
      <c r="A56" s="18" t="s">
        <v>72</v>
      </c>
      <c r="B56" s="18" t="s">
        <v>73</v>
      </c>
      <c r="C56" s="18" t="s">
        <v>74</v>
      </c>
      <c r="D56" s="18" t="s">
        <v>75</v>
      </c>
      <c r="E56" s="18" t="s">
        <v>76</v>
      </c>
      <c r="F56" t="s">
        <v>37</v>
      </c>
      <c r="G56" t="s">
        <v>38</v>
      </c>
      <c r="H56" t="s">
        <v>30</v>
      </c>
      <c r="I56" s="18" t="s">
        <v>31</v>
      </c>
      <c r="J56" s="18" t="s">
        <v>27</v>
      </c>
      <c r="K56" s="18" t="s">
        <v>23</v>
      </c>
      <c r="L56" t="str">
        <f t="shared" si="0"/>
        <v>2022/2021</v>
      </c>
      <c r="M56" s="19" t="str">
        <f t="shared" si="1"/>
        <v>2022/2021</v>
      </c>
      <c r="N56" s="23">
        <v>0</v>
      </c>
      <c r="O56" s="18">
        <v>2021</v>
      </c>
      <c r="P56" s="18"/>
    </row>
    <row r="57" spans="1:16">
      <c r="A57" s="18" t="s">
        <v>72</v>
      </c>
      <c r="B57" s="18" t="s">
        <v>73</v>
      </c>
      <c r="C57" s="18" t="s">
        <v>74</v>
      </c>
      <c r="D57" s="18" t="s">
        <v>75</v>
      </c>
      <c r="E57" s="18" t="s">
        <v>76</v>
      </c>
      <c r="F57" t="s">
        <v>37</v>
      </c>
      <c r="G57" t="s">
        <v>38</v>
      </c>
      <c r="H57" t="s">
        <v>33</v>
      </c>
      <c r="I57" s="18" t="s">
        <v>34</v>
      </c>
      <c r="J57" s="18" t="s">
        <v>27</v>
      </c>
      <c r="K57" s="18" t="s">
        <v>23</v>
      </c>
      <c r="L57" t="str">
        <f t="shared" si="0"/>
        <v>2022/2021</v>
      </c>
      <c r="M57" s="19" t="str">
        <f t="shared" si="1"/>
        <v>2022/2021</v>
      </c>
      <c r="N57" s="23">
        <v>0</v>
      </c>
      <c r="O57" s="18">
        <v>2021</v>
      </c>
      <c r="P57" s="18"/>
    </row>
    <row r="58" spans="1:16">
      <c r="A58" s="18" t="s">
        <v>72</v>
      </c>
      <c r="B58" s="18" t="s">
        <v>73</v>
      </c>
      <c r="C58" s="18" t="s">
        <v>74</v>
      </c>
      <c r="D58" s="18" t="s">
        <v>75</v>
      </c>
      <c r="E58" s="18" t="s">
        <v>76</v>
      </c>
      <c r="F58" t="s">
        <v>39</v>
      </c>
      <c r="G58" t="s">
        <v>40</v>
      </c>
      <c r="H58" t="s">
        <v>30</v>
      </c>
      <c r="I58" s="18" t="s">
        <v>31</v>
      </c>
      <c r="J58" s="18" t="s">
        <v>27</v>
      </c>
      <c r="K58" s="18" t="s">
        <v>23</v>
      </c>
      <c r="L58" t="str">
        <f t="shared" si="0"/>
        <v>2022/2021</v>
      </c>
      <c r="M58" s="19" t="str">
        <f t="shared" si="1"/>
        <v>2022/2021</v>
      </c>
      <c r="N58" s="22">
        <v>18394</v>
      </c>
      <c r="O58" s="18">
        <v>2021</v>
      </c>
      <c r="P58" s="18"/>
    </row>
    <row r="59" spans="1:16">
      <c r="A59" s="18" t="s">
        <v>72</v>
      </c>
      <c r="B59" s="18" t="s">
        <v>73</v>
      </c>
      <c r="C59" s="18" t="s">
        <v>74</v>
      </c>
      <c r="D59" s="18" t="s">
        <v>75</v>
      </c>
      <c r="E59" s="18" t="s">
        <v>76</v>
      </c>
      <c r="F59" t="s">
        <v>39</v>
      </c>
      <c r="G59" t="s">
        <v>40</v>
      </c>
      <c r="H59" t="s">
        <v>33</v>
      </c>
      <c r="I59" s="18" t="s">
        <v>34</v>
      </c>
      <c r="J59" s="18" t="s">
        <v>27</v>
      </c>
      <c r="K59" s="18" t="s">
        <v>23</v>
      </c>
      <c r="L59" t="str">
        <f t="shared" si="0"/>
        <v>2022/2021</v>
      </c>
      <c r="M59" s="19" t="str">
        <f t="shared" si="1"/>
        <v>2022/2021</v>
      </c>
      <c r="N59" s="22">
        <v>16001</v>
      </c>
      <c r="O59" s="18">
        <v>2021</v>
      </c>
      <c r="P59" s="18"/>
    </row>
    <row r="60" spans="1:16">
      <c r="A60" s="18" t="s">
        <v>72</v>
      </c>
      <c r="B60" s="18" t="s">
        <v>73</v>
      </c>
      <c r="C60" s="18" t="s">
        <v>74</v>
      </c>
      <c r="D60" s="18" t="s">
        <v>75</v>
      </c>
      <c r="E60" s="18" t="s">
        <v>76</v>
      </c>
      <c r="F60" t="s">
        <v>15</v>
      </c>
      <c r="G60" t="s">
        <v>32</v>
      </c>
      <c r="H60" t="s">
        <v>30</v>
      </c>
      <c r="I60" s="18" t="s">
        <v>31</v>
      </c>
      <c r="J60" s="18" t="s">
        <v>26</v>
      </c>
      <c r="K60" s="18" t="s">
        <v>22</v>
      </c>
      <c r="L60" t="str">
        <f t="shared" si="0"/>
        <v>2022/2021</v>
      </c>
      <c r="M60" s="19" t="str">
        <f t="shared" si="1"/>
        <v>2022/2021</v>
      </c>
      <c r="N60" s="22">
        <v>14701</v>
      </c>
      <c r="O60" s="18">
        <v>2021</v>
      </c>
      <c r="P60" s="18"/>
    </row>
    <row r="61" spans="1:16">
      <c r="A61" s="18" t="s">
        <v>72</v>
      </c>
      <c r="B61" s="18" t="s">
        <v>73</v>
      </c>
      <c r="C61" s="18" t="s">
        <v>74</v>
      </c>
      <c r="D61" s="18" t="s">
        <v>75</v>
      </c>
      <c r="E61" s="18" t="s">
        <v>76</v>
      </c>
      <c r="F61" t="s">
        <v>15</v>
      </c>
      <c r="G61" t="s">
        <v>32</v>
      </c>
      <c r="H61" t="s">
        <v>33</v>
      </c>
      <c r="I61" s="18" t="s">
        <v>34</v>
      </c>
      <c r="J61" s="18" t="s">
        <v>26</v>
      </c>
      <c r="K61" s="18" t="s">
        <v>22</v>
      </c>
      <c r="L61" t="str">
        <f t="shared" si="0"/>
        <v>2022/2021</v>
      </c>
      <c r="M61" s="19" t="str">
        <f t="shared" si="1"/>
        <v>2022/2021</v>
      </c>
      <c r="N61" s="22">
        <v>12603</v>
      </c>
      <c r="O61" s="18">
        <v>2021</v>
      </c>
      <c r="P61" s="18"/>
    </row>
    <row r="62" spans="1:16">
      <c r="A62" s="18" t="s">
        <v>72</v>
      </c>
      <c r="B62" s="18" t="s">
        <v>73</v>
      </c>
      <c r="C62" s="18" t="s">
        <v>74</v>
      </c>
      <c r="D62" s="18" t="s">
        <v>75</v>
      </c>
      <c r="E62" s="18" t="s">
        <v>76</v>
      </c>
      <c r="F62" t="s">
        <v>35</v>
      </c>
      <c r="G62" t="s">
        <v>36</v>
      </c>
      <c r="H62" t="s">
        <v>30</v>
      </c>
      <c r="I62" s="18" t="s">
        <v>31</v>
      </c>
      <c r="J62" s="18" t="s">
        <v>26</v>
      </c>
      <c r="K62" s="18" t="s">
        <v>22</v>
      </c>
      <c r="L62" t="str">
        <f t="shared" si="0"/>
        <v>2022/2021</v>
      </c>
      <c r="M62" s="19" t="str">
        <f t="shared" si="1"/>
        <v>2022/2021</v>
      </c>
      <c r="N62" s="23">
        <v>265</v>
      </c>
      <c r="O62" s="18">
        <v>2021</v>
      </c>
      <c r="P62" s="18"/>
    </row>
    <row r="63" spans="1:16">
      <c r="A63" s="18" t="s">
        <v>72</v>
      </c>
      <c r="B63" s="18" t="s">
        <v>73</v>
      </c>
      <c r="C63" s="18" t="s">
        <v>74</v>
      </c>
      <c r="D63" s="18" t="s">
        <v>75</v>
      </c>
      <c r="E63" s="18" t="s">
        <v>76</v>
      </c>
      <c r="F63" t="s">
        <v>35</v>
      </c>
      <c r="G63" t="s">
        <v>36</v>
      </c>
      <c r="H63" t="s">
        <v>33</v>
      </c>
      <c r="I63" s="18" t="s">
        <v>34</v>
      </c>
      <c r="J63" s="18" t="s">
        <v>26</v>
      </c>
      <c r="K63" s="18" t="s">
        <v>22</v>
      </c>
      <c r="L63" t="str">
        <f t="shared" si="0"/>
        <v>2022/2021</v>
      </c>
      <c r="M63" s="19" t="str">
        <f t="shared" si="1"/>
        <v>2022/2021</v>
      </c>
      <c r="N63" s="23">
        <v>0</v>
      </c>
      <c r="O63" s="18">
        <v>2021</v>
      </c>
      <c r="P63" s="18"/>
    </row>
    <row r="64" spans="1:16">
      <c r="A64" s="18" t="s">
        <v>72</v>
      </c>
      <c r="B64" s="18" t="s">
        <v>73</v>
      </c>
      <c r="C64" s="18" t="s">
        <v>74</v>
      </c>
      <c r="D64" s="18" t="s">
        <v>75</v>
      </c>
      <c r="E64" s="18" t="s">
        <v>76</v>
      </c>
      <c r="F64" t="s">
        <v>37</v>
      </c>
      <c r="G64" t="s">
        <v>38</v>
      </c>
      <c r="H64" t="s">
        <v>30</v>
      </c>
      <c r="I64" s="18" t="s">
        <v>31</v>
      </c>
      <c r="J64" s="18" t="s">
        <v>26</v>
      </c>
      <c r="K64" s="18" t="s">
        <v>22</v>
      </c>
      <c r="L64" t="str">
        <f t="shared" si="0"/>
        <v>2022/2021</v>
      </c>
      <c r="M64" s="19" t="str">
        <f t="shared" si="1"/>
        <v>2022/2021</v>
      </c>
      <c r="N64" s="23">
        <v>0</v>
      </c>
      <c r="O64" s="18">
        <v>2021</v>
      </c>
      <c r="P64" s="18"/>
    </row>
    <row r="65" spans="1:16">
      <c r="A65" s="18" t="s">
        <v>72</v>
      </c>
      <c r="B65" s="18" t="s">
        <v>73</v>
      </c>
      <c r="C65" s="18" t="s">
        <v>74</v>
      </c>
      <c r="D65" s="18" t="s">
        <v>75</v>
      </c>
      <c r="E65" s="18" t="s">
        <v>76</v>
      </c>
      <c r="F65" t="s">
        <v>37</v>
      </c>
      <c r="G65" t="s">
        <v>38</v>
      </c>
      <c r="H65" t="s">
        <v>33</v>
      </c>
      <c r="I65" s="18" t="s">
        <v>34</v>
      </c>
      <c r="J65" s="18" t="s">
        <v>26</v>
      </c>
      <c r="K65" s="18" t="s">
        <v>22</v>
      </c>
      <c r="L65" t="str">
        <f t="shared" si="0"/>
        <v>2022/2021</v>
      </c>
      <c r="M65" s="19" t="str">
        <f t="shared" si="1"/>
        <v>2022/2021</v>
      </c>
      <c r="N65" s="23">
        <v>0</v>
      </c>
      <c r="O65" s="18">
        <v>2021</v>
      </c>
      <c r="P65" s="18"/>
    </row>
    <row r="66" spans="1:16">
      <c r="A66" s="18" t="s">
        <v>72</v>
      </c>
      <c r="B66" s="18" t="s">
        <v>73</v>
      </c>
      <c r="C66" s="18" t="s">
        <v>74</v>
      </c>
      <c r="D66" s="18" t="s">
        <v>75</v>
      </c>
      <c r="E66" s="18" t="s">
        <v>76</v>
      </c>
      <c r="F66" t="s">
        <v>39</v>
      </c>
      <c r="G66" t="s">
        <v>40</v>
      </c>
      <c r="H66" t="s">
        <v>30</v>
      </c>
      <c r="I66" s="18" t="s">
        <v>31</v>
      </c>
      <c r="J66" s="18" t="s">
        <v>26</v>
      </c>
      <c r="K66" s="18" t="s">
        <v>22</v>
      </c>
      <c r="L66" t="str">
        <f t="shared" si="0"/>
        <v>2022/2021</v>
      </c>
      <c r="M66" s="19" t="str">
        <f t="shared" si="1"/>
        <v>2022/2021</v>
      </c>
      <c r="N66" s="23">
        <v>485</v>
      </c>
      <c r="O66" s="18">
        <v>2021</v>
      </c>
      <c r="P66" s="18"/>
    </row>
    <row r="67" spans="1:16">
      <c r="A67" s="18" t="s">
        <v>72</v>
      </c>
      <c r="B67" s="18" t="s">
        <v>73</v>
      </c>
      <c r="C67" s="18" t="s">
        <v>74</v>
      </c>
      <c r="D67" s="18" t="s">
        <v>75</v>
      </c>
      <c r="E67" s="18" t="s">
        <v>76</v>
      </c>
      <c r="F67" t="s">
        <v>39</v>
      </c>
      <c r="G67" t="s">
        <v>40</v>
      </c>
      <c r="H67" t="s">
        <v>33</v>
      </c>
      <c r="I67" s="18" t="s">
        <v>34</v>
      </c>
      <c r="J67" s="18" t="s">
        <v>26</v>
      </c>
      <c r="K67" s="18" t="s">
        <v>22</v>
      </c>
      <c r="L67" t="str">
        <f t="shared" si="0"/>
        <v>2022/2021</v>
      </c>
      <c r="M67" s="19" t="str">
        <f t="shared" si="1"/>
        <v>2022/2021</v>
      </c>
      <c r="N67" s="23">
        <v>76</v>
      </c>
      <c r="O67" s="18">
        <v>2021</v>
      </c>
      <c r="P67" s="18"/>
    </row>
    <row r="68" spans="1:15">
      <c r="A68" s="18" t="s">
        <v>72</v>
      </c>
      <c r="B68" s="18" t="s">
        <v>73</v>
      </c>
      <c r="C68" s="18" t="s">
        <v>74</v>
      </c>
      <c r="D68" s="18" t="s">
        <v>75</v>
      </c>
      <c r="E68" s="18" t="s">
        <v>76</v>
      </c>
      <c r="F68" t="s">
        <v>15</v>
      </c>
      <c r="G68" t="s">
        <v>32</v>
      </c>
      <c r="H68" t="s">
        <v>30</v>
      </c>
      <c r="I68" s="18" t="s">
        <v>31</v>
      </c>
      <c r="J68" s="18" t="s">
        <v>29</v>
      </c>
      <c r="K68" s="18" t="s">
        <v>25</v>
      </c>
      <c r="L68" t="str">
        <f t="shared" si="0"/>
        <v>2021/2020</v>
      </c>
      <c r="M68" s="19" t="str">
        <f t="shared" si="1"/>
        <v>2021/2020</v>
      </c>
      <c r="N68" s="24">
        <v>33423</v>
      </c>
      <c r="O68" s="18">
        <v>2020</v>
      </c>
    </row>
    <row r="69" spans="1:15">
      <c r="A69" s="18" t="s">
        <v>72</v>
      </c>
      <c r="B69" s="18" t="s">
        <v>73</v>
      </c>
      <c r="C69" s="18" t="s">
        <v>74</v>
      </c>
      <c r="D69" s="18" t="s">
        <v>75</v>
      </c>
      <c r="E69" s="18" t="s">
        <v>76</v>
      </c>
      <c r="F69" t="s">
        <v>15</v>
      </c>
      <c r="G69" t="s">
        <v>32</v>
      </c>
      <c r="H69" t="s">
        <v>33</v>
      </c>
      <c r="I69" s="18" t="s">
        <v>34</v>
      </c>
      <c r="J69" s="18" t="s">
        <v>29</v>
      </c>
      <c r="K69" s="18" t="s">
        <v>25</v>
      </c>
      <c r="L69" t="str">
        <f t="shared" ref="L69:L132" si="2">TEXT(O69+1,"0")&amp;"/"&amp;TEXT(O69,"0")</f>
        <v>2021/2020</v>
      </c>
      <c r="M69" s="19" t="str">
        <f t="shared" ref="M69:M132" si="3">TEXT(O69+1,"0")&amp;"/"&amp;TEXT(O69,"0")</f>
        <v>2021/2020</v>
      </c>
      <c r="N69" s="24">
        <v>33790</v>
      </c>
      <c r="O69" s="18">
        <v>2020</v>
      </c>
    </row>
    <row r="70" spans="1:15">
      <c r="A70" s="18" t="s">
        <v>72</v>
      </c>
      <c r="B70" s="18" t="s">
        <v>73</v>
      </c>
      <c r="C70" s="18" t="s">
        <v>74</v>
      </c>
      <c r="D70" s="18" t="s">
        <v>75</v>
      </c>
      <c r="E70" s="18" t="s">
        <v>76</v>
      </c>
      <c r="F70" t="s">
        <v>35</v>
      </c>
      <c r="G70" t="s">
        <v>36</v>
      </c>
      <c r="H70" t="s">
        <v>33</v>
      </c>
      <c r="I70" s="18" t="s">
        <v>34</v>
      </c>
      <c r="J70" s="18" t="s">
        <v>29</v>
      </c>
      <c r="K70" s="18" t="s">
        <v>25</v>
      </c>
      <c r="L70" t="str">
        <f t="shared" si="2"/>
        <v>2021/2020</v>
      </c>
      <c r="M70" s="19" t="str">
        <f t="shared" si="3"/>
        <v>2021/2020</v>
      </c>
      <c r="N70" s="24">
        <v>140</v>
      </c>
      <c r="O70" s="18">
        <v>2020</v>
      </c>
    </row>
    <row r="71" spans="1:15">
      <c r="A71" s="18" t="s">
        <v>72</v>
      </c>
      <c r="B71" s="18" t="s">
        <v>73</v>
      </c>
      <c r="C71" s="18" t="s">
        <v>74</v>
      </c>
      <c r="D71" s="18" t="s">
        <v>75</v>
      </c>
      <c r="E71" s="18" t="s">
        <v>76</v>
      </c>
      <c r="F71" t="s">
        <v>35</v>
      </c>
      <c r="G71" t="s">
        <v>36</v>
      </c>
      <c r="H71" t="s">
        <v>30</v>
      </c>
      <c r="I71" s="18" t="s">
        <v>31</v>
      </c>
      <c r="J71" s="18" t="s">
        <v>29</v>
      </c>
      <c r="K71" s="18" t="s">
        <v>25</v>
      </c>
      <c r="L71" t="str">
        <f t="shared" si="2"/>
        <v>2021/2020</v>
      </c>
      <c r="M71" s="19" t="str">
        <f t="shared" si="3"/>
        <v>2021/2020</v>
      </c>
      <c r="N71" s="24">
        <v>108</v>
      </c>
      <c r="O71" s="18">
        <v>2020</v>
      </c>
    </row>
    <row r="72" spans="1:15">
      <c r="A72" s="18" t="s">
        <v>72</v>
      </c>
      <c r="B72" s="18" t="s">
        <v>73</v>
      </c>
      <c r="C72" s="18" t="s">
        <v>74</v>
      </c>
      <c r="D72" s="18" t="s">
        <v>75</v>
      </c>
      <c r="E72" s="18" t="s">
        <v>76</v>
      </c>
      <c r="F72" t="s">
        <v>37</v>
      </c>
      <c r="G72" t="s">
        <v>38</v>
      </c>
      <c r="H72" t="s">
        <v>30</v>
      </c>
      <c r="I72" s="18" t="s">
        <v>31</v>
      </c>
      <c r="J72" s="18" t="s">
        <v>29</v>
      </c>
      <c r="K72" s="18" t="s">
        <v>25</v>
      </c>
      <c r="L72" t="str">
        <f t="shared" si="2"/>
        <v>2021/2020</v>
      </c>
      <c r="M72" s="19" t="str">
        <f t="shared" si="3"/>
        <v>2021/2020</v>
      </c>
      <c r="N72" s="24">
        <v>0</v>
      </c>
      <c r="O72" s="18">
        <v>2020</v>
      </c>
    </row>
    <row r="73" spans="1:15">
      <c r="A73" s="18" t="s">
        <v>72</v>
      </c>
      <c r="B73" s="18" t="s">
        <v>73</v>
      </c>
      <c r="C73" s="18" t="s">
        <v>74</v>
      </c>
      <c r="D73" s="18" t="s">
        <v>75</v>
      </c>
      <c r="E73" s="18" t="s">
        <v>76</v>
      </c>
      <c r="F73" t="s">
        <v>37</v>
      </c>
      <c r="G73" t="s">
        <v>38</v>
      </c>
      <c r="H73" t="s">
        <v>33</v>
      </c>
      <c r="I73" s="18" t="s">
        <v>34</v>
      </c>
      <c r="J73" s="18" t="s">
        <v>29</v>
      </c>
      <c r="K73" s="18" t="s">
        <v>25</v>
      </c>
      <c r="L73" t="str">
        <f t="shared" si="2"/>
        <v>2021/2020</v>
      </c>
      <c r="M73" s="19" t="str">
        <f t="shared" si="3"/>
        <v>2021/2020</v>
      </c>
      <c r="N73" s="24">
        <v>0</v>
      </c>
      <c r="O73" s="18">
        <v>2020</v>
      </c>
    </row>
    <row r="74" spans="1:15">
      <c r="A74" s="18" t="s">
        <v>72</v>
      </c>
      <c r="B74" s="18" t="s">
        <v>73</v>
      </c>
      <c r="C74" s="18" t="s">
        <v>74</v>
      </c>
      <c r="D74" s="18" t="s">
        <v>75</v>
      </c>
      <c r="E74" s="18" t="s">
        <v>76</v>
      </c>
      <c r="F74" t="s">
        <v>39</v>
      </c>
      <c r="G74" t="s">
        <v>40</v>
      </c>
      <c r="H74" t="s">
        <v>33</v>
      </c>
      <c r="I74" s="18" t="s">
        <v>34</v>
      </c>
      <c r="J74" s="18" t="s">
        <v>29</v>
      </c>
      <c r="K74" s="18" t="s">
        <v>25</v>
      </c>
      <c r="L74" t="str">
        <f t="shared" si="2"/>
        <v>2021/2020</v>
      </c>
      <c r="M74" s="19" t="str">
        <f t="shared" si="3"/>
        <v>2021/2020</v>
      </c>
      <c r="N74" s="24">
        <v>27250</v>
      </c>
      <c r="O74" s="18">
        <v>2020</v>
      </c>
    </row>
    <row r="75" spans="1:15">
      <c r="A75" s="18" t="s">
        <v>72</v>
      </c>
      <c r="B75" s="18" t="s">
        <v>73</v>
      </c>
      <c r="C75" s="18" t="s">
        <v>74</v>
      </c>
      <c r="D75" s="18" t="s">
        <v>75</v>
      </c>
      <c r="E75" s="18" t="s">
        <v>76</v>
      </c>
      <c r="F75" t="s">
        <v>39</v>
      </c>
      <c r="G75" t="s">
        <v>40</v>
      </c>
      <c r="H75" t="s">
        <v>30</v>
      </c>
      <c r="I75" s="18" t="s">
        <v>31</v>
      </c>
      <c r="J75" s="18" t="s">
        <v>29</v>
      </c>
      <c r="K75" s="18" t="s">
        <v>25</v>
      </c>
      <c r="L75" t="str">
        <f t="shared" si="2"/>
        <v>2021/2020</v>
      </c>
      <c r="M75" s="19" t="str">
        <f t="shared" si="3"/>
        <v>2021/2020</v>
      </c>
      <c r="N75" s="24">
        <v>25117</v>
      </c>
      <c r="O75" s="18">
        <v>2020</v>
      </c>
    </row>
    <row r="76" spans="1:15">
      <c r="A76" s="18" t="s">
        <v>72</v>
      </c>
      <c r="B76" s="18" t="s">
        <v>73</v>
      </c>
      <c r="C76" s="18" t="s">
        <v>74</v>
      </c>
      <c r="D76" s="18" t="s">
        <v>75</v>
      </c>
      <c r="E76" s="18" t="s">
        <v>76</v>
      </c>
      <c r="F76" t="s">
        <v>15</v>
      </c>
      <c r="G76" t="s">
        <v>32</v>
      </c>
      <c r="H76" t="s">
        <v>30</v>
      </c>
      <c r="I76" s="18" t="s">
        <v>31</v>
      </c>
      <c r="J76" s="18" t="s">
        <v>28</v>
      </c>
      <c r="K76" s="18" t="s">
        <v>24</v>
      </c>
      <c r="L76" t="str">
        <f t="shared" si="2"/>
        <v>2021/2020</v>
      </c>
      <c r="M76" s="19" t="str">
        <f t="shared" si="3"/>
        <v>2021/2020</v>
      </c>
      <c r="N76" s="24">
        <v>628323</v>
      </c>
      <c r="O76" s="18">
        <v>2020</v>
      </c>
    </row>
    <row r="77" spans="1:15">
      <c r="A77" s="18" t="s">
        <v>72</v>
      </c>
      <c r="B77" s="18" t="s">
        <v>73</v>
      </c>
      <c r="C77" s="18" t="s">
        <v>74</v>
      </c>
      <c r="D77" s="18" t="s">
        <v>75</v>
      </c>
      <c r="E77" s="18" t="s">
        <v>76</v>
      </c>
      <c r="F77" t="s">
        <v>15</v>
      </c>
      <c r="G77" t="s">
        <v>32</v>
      </c>
      <c r="H77" t="s">
        <v>33</v>
      </c>
      <c r="I77" s="18" t="s">
        <v>34</v>
      </c>
      <c r="J77" s="18" t="s">
        <v>28</v>
      </c>
      <c r="K77" s="18" t="s">
        <v>24</v>
      </c>
      <c r="L77" t="str">
        <f t="shared" si="2"/>
        <v>2021/2020</v>
      </c>
      <c r="M77" s="19" t="str">
        <f t="shared" si="3"/>
        <v>2021/2020</v>
      </c>
      <c r="N77" s="24">
        <v>674671</v>
      </c>
      <c r="O77" s="18">
        <v>2020</v>
      </c>
    </row>
    <row r="78" spans="1:15">
      <c r="A78" s="18" t="s">
        <v>72</v>
      </c>
      <c r="B78" s="18" t="s">
        <v>73</v>
      </c>
      <c r="C78" s="18" t="s">
        <v>74</v>
      </c>
      <c r="D78" s="18" t="s">
        <v>75</v>
      </c>
      <c r="E78" s="18" t="s">
        <v>76</v>
      </c>
      <c r="F78" t="s">
        <v>35</v>
      </c>
      <c r="G78" t="s">
        <v>36</v>
      </c>
      <c r="H78" t="s">
        <v>33</v>
      </c>
      <c r="I78" s="18" t="s">
        <v>34</v>
      </c>
      <c r="J78" s="18" t="s">
        <v>28</v>
      </c>
      <c r="K78" s="18" t="s">
        <v>24</v>
      </c>
      <c r="L78" t="str">
        <f t="shared" si="2"/>
        <v>2021/2020</v>
      </c>
      <c r="M78" s="19" t="str">
        <f t="shared" si="3"/>
        <v>2021/2020</v>
      </c>
      <c r="N78" s="24">
        <v>13845</v>
      </c>
      <c r="O78" s="18">
        <v>2020</v>
      </c>
    </row>
    <row r="79" spans="1:15">
      <c r="A79" s="18" t="s">
        <v>72</v>
      </c>
      <c r="B79" s="18" t="s">
        <v>73</v>
      </c>
      <c r="C79" s="18" t="s">
        <v>74</v>
      </c>
      <c r="D79" s="18" t="s">
        <v>75</v>
      </c>
      <c r="E79" s="18" t="s">
        <v>76</v>
      </c>
      <c r="F79" t="s">
        <v>35</v>
      </c>
      <c r="G79" t="s">
        <v>36</v>
      </c>
      <c r="H79" t="s">
        <v>30</v>
      </c>
      <c r="I79" s="18" t="s">
        <v>31</v>
      </c>
      <c r="J79" s="18" t="s">
        <v>28</v>
      </c>
      <c r="K79" s="18" t="s">
        <v>24</v>
      </c>
      <c r="L79" t="str">
        <f t="shared" si="2"/>
        <v>2021/2020</v>
      </c>
      <c r="M79" s="19" t="str">
        <f t="shared" si="3"/>
        <v>2021/2020</v>
      </c>
      <c r="N79" s="24">
        <v>2549</v>
      </c>
      <c r="O79" s="18">
        <v>2020</v>
      </c>
    </row>
    <row r="80" spans="1:15">
      <c r="A80" s="18" t="s">
        <v>72</v>
      </c>
      <c r="B80" s="18" t="s">
        <v>73</v>
      </c>
      <c r="C80" s="18" t="s">
        <v>74</v>
      </c>
      <c r="D80" s="18" t="s">
        <v>75</v>
      </c>
      <c r="E80" s="18" t="s">
        <v>76</v>
      </c>
      <c r="F80" t="s">
        <v>37</v>
      </c>
      <c r="G80" t="s">
        <v>38</v>
      </c>
      <c r="H80" t="s">
        <v>30</v>
      </c>
      <c r="I80" s="18" t="s">
        <v>31</v>
      </c>
      <c r="J80" s="18" t="s">
        <v>28</v>
      </c>
      <c r="K80" s="18" t="s">
        <v>24</v>
      </c>
      <c r="L80" t="str">
        <f t="shared" si="2"/>
        <v>2021/2020</v>
      </c>
      <c r="M80" s="19" t="str">
        <f t="shared" si="3"/>
        <v>2021/2020</v>
      </c>
      <c r="N80" s="24">
        <v>61396</v>
      </c>
      <c r="O80" s="18">
        <v>2020</v>
      </c>
    </row>
    <row r="81" spans="1:15">
      <c r="A81" s="18" t="s">
        <v>72</v>
      </c>
      <c r="B81" s="18" t="s">
        <v>73</v>
      </c>
      <c r="C81" s="18" t="s">
        <v>74</v>
      </c>
      <c r="D81" s="18" t="s">
        <v>75</v>
      </c>
      <c r="E81" s="18" t="s">
        <v>76</v>
      </c>
      <c r="F81" t="s">
        <v>37</v>
      </c>
      <c r="G81" t="s">
        <v>38</v>
      </c>
      <c r="H81" t="s">
        <v>33</v>
      </c>
      <c r="I81" s="18" t="s">
        <v>34</v>
      </c>
      <c r="J81" s="18" t="s">
        <v>28</v>
      </c>
      <c r="K81" s="18" t="s">
        <v>24</v>
      </c>
      <c r="L81" t="str">
        <f t="shared" si="2"/>
        <v>2021/2020</v>
      </c>
      <c r="M81" s="19" t="str">
        <f t="shared" si="3"/>
        <v>2021/2020</v>
      </c>
      <c r="N81" s="24">
        <v>57789</v>
      </c>
      <c r="O81" s="18">
        <v>2020</v>
      </c>
    </row>
    <row r="82" spans="1:15">
      <c r="A82" s="18" t="s">
        <v>72</v>
      </c>
      <c r="B82" s="18" t="s">
        <v>73</v>
      </c>
      <c r="C82" s="18" t="s">
        <v>74</v>
      </c>
      <c r="D82" s="18" t="s">
        <v>75</v>
      </c>
      <c r="E82" s="18" t="s">
        <v>76</v>
      </c>
      <c r="F82" t="s">
        <v>39</v>
      </c>
      <c r="G82" t="s">
        <v>40</v>
      </c>
      <c r="H82" t="s">
        <v>33</v>
      </c>
      <c r="I82" s="18" t="s">
        <v>34</v>
      </c>
      <c r="J82" s="18" t="s">
        <v>28</v>
      </c>
      <c r="K82" s="18" t="s">
        <v>24</v>
      </c>
      <c r="L82" t="str">
        <f t="shared" si="2"/>
        <v>2021/2020</v>
      </c>
      <c r="M82" s="19" t="str">
        <f t="shared" si="3"/>
        <v>2021/2020</v>
      </c>
      <c r="N82" s="24">
        <v>211762</v>
      </c>
      <c r="O82" s="18">
        <v>2020</v>
      </c>
    </row>
    <row r="83" spans="1:15">
      <c r="A83" s="18" t="s">
        <v>72</v>
      </c>
      <c r="B83" s="18" t="s">
        <v>73</v>
      </c>
      <c r="C83" s="18" t="s">
        <v>74</v>
      </c>
      <c r="D83" s="18" t="s">
        <v>75</v>
      </c>
      <c r="E83" s="18" t="s">
        <v>76</v>
      </c>
      <c r="F83" t="s">
        <v>39</v>
      </c>
      <c r="G83" t="s">
        <v>40</v>
      </c>
      <c r="H83" t="s">
        <v>30</v>
      </c>
      <c r="I83" s="18" t="s">
        <v>31</v>
      </c>
      <c r="J83" s="18" t="s">
        <v>28</v>
      </c>
      <c r="K83" s="18" t="s">
        <v>24</v>
      </c>
      <c r="L83" t="str">
        <f t="shared" si="2"/>
        <v>2021/2020</v>
      </c>
      <c r="M83" s="19" t="str">
        <f t="shared" si="3"/>
        <v>2021/2020</v>
      </c>
      <c r="N83" s="24">
        <v>146159</v>
      </c>
      <c r="O83" s="18">
        <v>2020</v>
      </c>
    </row>
    <row r="84" spans="1:15">
      <c r="A84" s="18" t="s">
        <v>72</v>
      </c>
      <c r="B84" s="18" t="s">
        <v>73</v>
      </c>
      <c r="C84" s="18" t="s">
        <v>74</v>
      </c>
      <c r="D84" s="18" t="s">
        <v>75</v>
      </c>
      <c r="E84" s="18" t="s">
        <v>76</v>
      </c>
      <c r="F84" t="s">
        <v>15</v>
      </c>
      <c r="G84" t="s">
        <v>32</v>
      </c>
      <c r="H84" t="s">
        <v>30</v>
      </c>
      <c r="I84" s="18" t="s">
        <v>31</v>
      </c>
      <c r="J84" s="18" t="s">
        <v>27</v>
      </c>
      <c r="K84" s="18" t="s">
        <v>23</v>
      </c>
      <c r="L84" t="str">
        <f t="shared" si="2"/>
        <v>2021/2020</v>
      </c>
      <c r="M84" s="19" t="str">
        <f t="shared" si="3"/>
        <v>2021/2020</v>
      </c>
      <c r="N84" s="24">
        <v>90046</v>
      </c>
      <c r="O84" s="18">
        <v>2020</v>
      </c>
    </row>
    <row r="85" spans="1:15">
      <c r="A85" s="18" t="s">
        <v>72</v>
      </c>
      <c r="B85" s="18" t="s">
        <v>73</v>
      </c>
      <c r="C85" s="18" t="s">
        <v>74</v>
      </c>
      <c r="D85" s="18" t="s">
        <v>75</v>
      </c>
      <c r="E85" s="18" t="s">
        <v>76</v>
      </c>
      <c r="F85" t="s">
        <v>15</v>
      </c>
      <c r="G85" t="s">
        <v>32</v>
      </c>
      <c r="H85" t="s">
        <v>33</v>
      </c>
      <c r="I85" s="18" t="s">
        <v>34</v>
      </c>
      <c r="J85" s="18" t="s">
        <v>27</v>
      </c>
      <c r="K85" s="18" t="s">
        <v>23</v>
      </c>
      <c r="L85" t="str">
        <f t="shared" si="2"/>
        <v>2021/2020</v>
      </c>
      <c r="M85" s="19" t="str">
        <f t="shared" si="3"/>
        <v>2021/2020</v>
      </c>
      <c r="N85" s="24">
        <v>105965</v>
      </c>
      <c r="O85" s="18">
        <v>2020</v>
      </c>
    </row>
    <row r="86" spans="1:15">
      <c r="A86" s="18" t="s">
        <v>72</v>
      </c>
      <c r="B86" s="18" t="s">
        <v>73</v>
      </c>
      <c r="C86" s="18" t="s">
        <v>74</v>
      </c>
      <c r="D86" s="18" t="s">
        <v>75</v>
      </c>
      <c r="E86" s="18" t="s">
        <v>76</v>
      </c>
      <c r="F86" t="s">
        <v>35</v>
      </c>
      <c r="G86" t="s">
        <v>36</v>
      </c>
      <c r="H86" t="s">
        <v>30</v>
      </c>
      <c r="I86" s="18" t="s">
        <v>31</v>
      </c>
      <c r="J86" s="18" t="s">
        <v>27</v>
      </c>
      <c r="K86" s="18" t="s">
        <v>23</v>
      </c>
      <c r="L86" t="str">
        <f t="shared" si="2"/>
        <v>2021/2020</v>
      </c>
      <c r="M86" s="19" t="str">
        <f t="shared" si="3"/>
        <v>2021/2020</v>
      </c>
      <c r="N86" s="24">
        <v>2904</v>
      </c>
      <c r="O86" s="18">
        <v>2020</v>
      </c>
    </row>
    <row r="87" spans="1:15">
      <c r="A87" s="18" t="s">
        <v>72</v>
      </c>
      <c r="B87" s="18" t="s">
        <v>73</v>
      </c>
      <c r="C87" s="18" t="s">
        <v>74</v>
      </c>
      <c r="D87" s="18" t="s">
        <v>75</v>
      </c>
      <c r="E87" s="18" t="s">
        <v>76</v>
      </c>
      <c r="F87" t="s">
        <v>35</v>
      </c>
      <c r="G87" t="s">
        <v>36</v>
      </c>
      <c r="H87" t="s">
        <v>33</v>
      </c>
      <c r="I87" s="18" t="s">
        <v>34</v>
      </c>
      <c r="J87" s="18" t="s">
        <v>27</v>
      </c>
      <c r="K87" s="18" t="s">
        <v>23</v>
      </c>
      <c r="L87" t="str">
        <f t="shared" si="2"/>
        <v>2021/2020</v>
      </c>
      <c r="M87" s="19" t="str">
        <f t="shared" si="3"/>
        <v>2021/2020</v>
      </c>
      <c r="N87" s="24">
        <v>608</v>
      </c>
      <c r="O87" s="18">
        <v>2020</v>
      </c>
    </row>
    <row r="88" spans="1:15">
      <c r="A88" s="18" t="s">
        <v>72</v>
      </c>
      <c r="B88" s="18" t="s">
        <v>73</v>
      </c>
      <c r="C88" s="18" t="s">
        <v>74</v>
      </c>
      <c r="D88" s="18" t="s">
        <v>75</v>
      </c>
      <c r="E88" s="18" t="s">
        <v>76</v>
      </c>
      <c r="F88" t="s">
        <v>37</v>
      </c>
      <c r="G88" t="s">
        <v>38</v>
      </c>
      <c r="H88" t="s">
        <v>30</v>
      </c>
      <c r="I88" s="18" t="s">
        <v>31</v>
      </c>
      <c r="J88" s="18" t="s">
        <v>27</v>
      </c>
      <c r="K88" s="18" t="s">
        <v>23</v>
      </c>
      <c r="L88" t="str">
        <f t="shared" si="2"/>
        <v>2021/2020</v>
      </c>
      <c r="M88" s="19" t="str">
        <f t="shared" si="3"/>
        <v>2021/2020</v>
      </c>
      <c r="N88" s="24">
        <v>0</v>
      </c>
      <c r="O88" s="18">
        <v>2020</v>
      </c>
    </row>
    <row r="89" spans="1:15">
      <c r="A89" s="18" t="s">
        <v>72</v>
      </c>
      <c r="B89" s="18" t="s">
        <v>73</v>
      </c>
      <c r="C89" s="18" t="s">
        <v>74</v>
      </c>
      <c r="D89" s="18" t="s">
        <v>75</v>
      </c>
      <c r="E89" s="18" t="s">
        <v>76</v>
      </c>
      <c r="F89" t="s">
        <v>37</v>
      </c>
      <c r="G89" t="s">
        <v>38</v>
      </c>
      <c r="H89" t="s">
        <v>33</v>
      </c>
      <c r="I89" s="18" t="s">
        <v>34</v>
      </c>
      <c r="J89" s="18" t="s">
        <v>27</v>
      </c>
      <c r="K89" s="18" t="s">
        <v>23</v>
      </c>
      <c r="L89" t="str">
        <f t="shared" si="2"/>
        <v>2021/2020</v>
      </c>
      <c r="M89" s="19" t="str">
        <f t="shared" si="3"/>
        <v>2021/2020</v>
      </c>
      <c r="N89" s="24">
        <v>0</v>
      </c>
      <c r="O89" s="18">
        <v>2020</v>
      </c>
    </row>
    <row r="90" spans="1:15">
      <c r="A90" s="18" t="s">
        <v>72</v>
      </c>
      <c r="B90" s="18" t="s">
        <v>73</v>
      </c>
      <c r="C90" s="18" t="s">
        <v>74</v>
      </c>
      <c r="D90" s="18" t="s">
        <v>75</v>
      </c>
      <c r="E90" s="18" t="s">
        <v>76</v>
      </c>
      <c r="F90" t="s">
        <v>39</v>
      </c>
      <c r="G90" t="s">
        <v>40</v>
      </c>
      <c r="H90" t="s">
        <v>30</v>
      </c>
      <c r="I90" s="18" t="s">
        <v>31</v>
      </c>
      <c r="J90" s="18" t="s">
        <v>27</v>
      </c>
      <c r="K90" s="18" t="s">
        <v>23</v>
      </c>
      <c r="L90" t="str">
        <f t="shared" si="2"/>
        <v>2021/2020</v>
      </c>
      <c r="M90" s="19" t="str">
        <f t="shared" si="3"/>
        <v>2021/2020</v>
      </c>
      <c r="N90" s="24">
        <v>18380</v>
      </c>
      <c r="O90" s="18">
        <v>2020</v>
      </c>
    </row>
    <row r="91" spans="1:15">
      <c r="A91" s="18" t="s">
        <v>72</v>
      </c>
      <c r="B91" s="18" t="s">
        <v>73</v>
      </c>
      <c r="C91" s="18" t="s">
        <v>74</v>
      </c>
      <c r="D91" s="18" t="s">
        <v>75</v>
      </c>
      <c r="E91" s="18" t="s">
        <v>76</v>
      </c>
      <c r="F91" t="s">
        <v>39</v>
      </c>
      <c r="G91" t="s">
        <v>40</v>
      </c>
      <c r="H91" t="s">
        <v>33</v>
      </c>
      <c r="I91" s="18" t="s">
        <v>34</v>
      </c>
      <c r="J91" s="18" t="s">
        <v>27</v>
      </c>
      <c r="K91" s="18" t="s">
        <v>23</v>
      </c>
      <c r="L91" t="str">
        <f t="shared" si="2"/>
        <v>2021/2020</v>
      </c>
      <c r="M91" s="19" t="str">
        <f t="shared" si="3"/>
        <v>2021/2020</v>
      </c>
      <c r="N91" s="24">
        <v>15742</v>
      </c>
      <c r="O91" s="18">
        <v>2020</v>
      </c>
    </row>
    <row r="92" spans="1:15">
      <c r="A92" s="18" t="s">
        <v>72</v>
      </c>
      <c r="B92" s="18" t="s">
        <v>73</v>
      </c>
      <c r="C92" s="18" t="s">
        <v>74</v>
      </c>
      <c r="D92" s="18" t="s">
        <v>75</v>
      </c>
      <c r="E92" s="18" t="s">
        <v>76</v>
      </c>
      <c r="F92" t="s">
        <v>15</v>
      </c>
      <c r="G92" t="s">
        <v>32</v>
      </c>
      <c r="H92" t="s">
        <v>30</v>
      </c>
      <c r="I92" s="18" t="s">
        <v>31</v>
      </c>
      <c r="J92" s="18" t="s">
        <v>26</v>
      </c>
      <c r="K92" s="18" t="s">
        <v>22</v>
      </c>
      <c r="L92" t="str">
        <f t="shared" si="2"/>
        <v>2021/2020</v>
      </c>
      <c r="M92" s="19" t="str">
        <f t="shared" si="3"/>
        <v>2021/2020</v>
      </c>
      <c r="N92" s="24">
        <v>14485</v>
      </c>
      <c r="O92" s="18">
        <v>2020</v>
      </c>
    </row>
    <row r="93" spans="1:15">
      <c r="A93" s="18" t="s">
        <v>72</v>
      </c>
      <c r="B93" s="18" t="s">
        <v>73</v>
      </c>
      <c r="C93" s="18" t="s">
        <v>74</v>
      </c>
      <c r="D93" s="18" t="s">
        <v>75</v>
      </c>
      <c r="E93" s="18" t="s">
        <v>76</v>
      </c>
      <c r="F93" t="s">
        <v>15</v>
      </c>
      <c r="G93" t="s">
        <v>32</v>
      </c>
      <c r="H93" t="s">
        <v>33</v>
      </c>
      <c r="I93" s="18" t="s">
        <v>34</v>
      </c>
      <c r="J93" s="18" t="s">
        <v>26</v>
      </c>
      <c r="K93" s="18" t="s">
        <v>22</v>
      </c>
      <c r="L93" t="str">
        <f t="shared" si="2"/>
        <v>2021/2020</v>
      </c>
      <c r="M93" s="19" t="str">
        <f t="shared" si="3"/>
        <v>2021/2020</v>
      </c>
      <c r="N93" s="24">
        <v>12084</v>
      </c>
      <c r="O93" s="18">
        <v>2020</v>
      </c>
    </row>
    <row r="94" spans="1:15">
      <c r="A94" s="18" t="s">
        <v>72</v>
      </c>
      <c r="B94" s="18" t="s">
        <v>73</v>
      </c>
      <c r="C94" s="18" t="s">
        <v>74</v>
      </c>
      <c r="D94" s="18" t="s">
        <v>75</v>
      </c>
      <c r="E94" s="18" t="s">
        <v>76</v>
      </c>
      <c r="F94" t="s">
        <v>35</v>
      </c>
      <c r="G94" t="s">
        <v>36</v>
      </c>
      <c r="H94" t="s">
        <v>30</v>
      </c>
      <c r="I94" s="18" t="s">
        <v>31</v>
      </c>
      <c r="J94" s="18" t="s">
        <v>26</v>
      </c>
      <c r="K94" s="18" t="s">
        <v>22</v>
      </c>
      <c r="L94" t="str">
        <f t="shared" si="2"/>
        <v>2021/2020</v>
      </c>
      <c r="M94" s="19" t="str">
        <f t="shared" si="3"/>
        <v>2021/2020</v>
      </c>
      <c r="N94" s="24">
        <v>238</v>
      </c>
      <c r="O94" s="18">
        <v>2020</v>
      </c>
    </row>
    <row r="95" spans="1:15">
      <c r="A95" s="18" t="s">
        <v>72</v>
      </c>
      <c r="B95" s="18" t="s">
        <v>73</v>
      </c>
      <c r="C95" s="18" t="s">
        <v>74</v>
      </c>
      <c r="D95" s="18" t="s">
        <v>75</v>
      </c>
      <c r="E95" s="18" t="s">
        <v>76</v>
      </c>
      <c r="F95" t="s">
        <v>35</v>
      </c>
      <c r="G95" t="s">
        <v>36</v>
      </c>
      <c r="H95" t="s">
        <v>33</v>
      </c>
      <c r="I95" s="18" t="s">
        <v>34</v>
      </c>
      <c r="J95" s="18" t="s">
        <v>26</v>
      </c>
      <c r="K95" s="18" t="s">
        <v>22</v>
      </c>
      <c r="L95" t="str">
        <f t="shared" si="2"/>
        <v>2021/2020</v>
      </c>
      <c r="M95" s="19" t="str">
        <f t="shared" si="3"/>
        <v>2021/2020</v>
      </c>
      <c r="N95" s="24">
        <v>0</v>
      </c>
      <c r="O95" s="18">
        <v>2020</v>
      </c>
    </row>
    <row r="96" spans="1:15">
      <c r="A96" s="18" t="s">
        <v>72</v>
      </c>
      <c r="B96" s="18" t="s">
        <v>73</v>
      </c>
      <c r="C96" s="18" t="s">
        <v>74</v>
      </c>
      <c r="D96" s="18" t="s">
        <v>75</v>
      </c>
      <c r="E96" s="18" t="s">
        <v>76</v>
      </c>
      <c r="F96" t="s">
        <v>37</v>
      </c>
      <c r="G96" t="s">
        <v>38</v>
      </c>
      <c r="H96" t="s">
        <v>30</v>
      </c>
      <c r="I96" s="18" t="s">
        <v>31</v>
      </c>
      <c r="J96" s="18" t="s">
        <v>26</v>
      </c>
      <c r="K96" s="18" t="s">
        <v>22</v>
      </c>
      <c r="L96" t="str">
        <f t="shared" si="2"/>
        <v>2021/2020</v>
      </c>
      <c r="M96" s="19" t="str">
        <f t="shared" si="3"/>
        <v>2021/2020</v>
      </c>
      <c r="N96" s="24">
        <v>0</v>
      </c>
      <c r="O96" s="18">
        <v>2020</v>
      </c>
    </row>
    <row r="97" spans="1:15">
      <c r="A97" s="18" t="s">
        <v>72</v>
      </c>
      <c r="B97" s="18" t="s">
        <v>73</v>
      </c>
      <c r="C97" s="18" t="s">
        <v>74</v>
      </c>
      <c r="D97" s="18" t="s">
        <v>75</v>
      </c>
      <c r="E97" s="18" t="s">
        <v>76</v>
      </c>
      <c r="F97" t="s">
        <v>37</v>
      </c>
      <c r="G97" t="s">
        <v>38</v>
      </c>
      <c r="H97" t="s">
        <v>33</v>
      </c>
      <c r="I97" s="18" t="s">
        <v>34</v>
      </c>
      <c r="J97" s="18" t="s">
        <v>26</v>
      </c>
      <c r="K97" s="18" t="s">
        <v>22</v>
      </c>
      <c r="L97" t="str">
        <f t="shared" si="2"/>
        <v>2021/2020</v>
      </c>
      <c r="M97" s="19" t="str">
        <f t="shared" si="3"/>
        <v>2021/2020</v>
      </c>
      <c r="N97" s="24">
        <v>0</v>
      </c>
      <c r="O97" s="18">
        <v>2020</v>
      </c>
    </row>
    <row r="98" spans="1:15">
      <c r="A98" s="18" t="s">
        <v>72</v>
      </c>
      <c r="B98" s="18" t="s">
        <v>73</v>
      </c>
      <c r="C98" s="18" t="s">
        <v>74</v>
      </c>
      <c r="D98" s="18" t="s">
        <v>75</v>
      </c>
      <c r="E98" s="18" t="s">
        <v>76</v>
      </c>
      <c r="F98" t="s">
        <v>39</v>
      </c>
      <c r="G98" t="s">
        <v>40</v>
      </c>
      <c r="H98" t="s">
        <v>30</v>
      </c>
      <c r="I98" s="18" t="s">
        <v>31</v>
      </c>
      <c r="J98" s="18" t="s">
        <v>26</v>
      </c>
      <c r="K98" s="18" t="s">
        <v>22</v>
      </c>
      <c r="L98" t="str">
        <f t="shared" si="2"/>
        <v>2021/2020</v>
      </c>
      <c r="M98" s="19" t="str">
        <f t="shared" si="3"/>
        <v>2021/2020</v>
      </c>
      <c r="N98" s="24">
        <v>459</v>
      </c>
      <c r="O98" s="18">
        <v>2020</v>
      </c>
    </row>
    <row r="99" spans="1:15">
      <c r="A99" s="18" t="s">
        <v>72</v>
      </c>
      <c r="B99" s="18" t="s">
        <v>73</v>
      </c>
      <c r="C99" s="18" t="s">
        <v>74</v>
      </c>
      <c r="D99" s="18" t="s">
        <v>75</v>
      </c>
      <c r="E99" s="18" t="s">
        <v>76</v>
      </c>
      <c r="F99" t="s">
        <v>39</v>
      </c>
      <c r="G99" t="s">
        <v>40</v>
      </c>
      <c r="H99" t="s">
        <v>33</v>
      </c>
      <c r="I99" s="18" t="s">
        <v>34</v>
      </c>
      <c r="J99" s="18" t="s">
        <v>26</v>
      </c>
      <c r="K99" s="18" t="s">
        <v>22</v>
      </c>
      <c r="L99" t="str">
        <f t="shared" si="2"/>
        <v>2021/2020</v>
      </c>
      <c r="M99" s="19" t="str">
        <f t="shared" si="3"/>
        <v>2021/2020</v>
      </c>
      <c r="N99" s="24">
        <v>74</v>
      </c>
      <c r="O99" s="18">
        <v>2020</v>
      </c>
    </row>
    <row r="100" spans="1:15">
      <c r="A100" s="18" t="s">
        <v>72</v>
      </c>
      <c r="B100" s="18" t="s">
        <v>73</v>
      </c>
      <c r="C100" s="18" t="s">
        <v>74</v>
      </c>
      <c r="D100" s="18" t="s">
        <v>75</v>
      </c>
      <c r="E100" s="18" t="s">
        <v>76</v>
      </c>
      <c r="F100" t="s">
        <v>15</v>
      </c>
      <c r="G100" t="s">
        <v>32</v>
      </c>
      <c r="H100" t="s">
        <v>30</v>
      </c>
      <c r="I100" s="18" t="s">
        <v>31</v>
      </c>
      <c r="J100" s="18" t="s">
        <v>29</v>
      </c>
      <c r="K100" s="18" t="s">
        <v>25</v>
      </c>
      <c r="L100" t="str">
        <f t="shared" si="2"/>
        <v>2020/2019</v>
      </c>
      <c r="M100" s="19" t="str">
        <f t="shared" si="3"/>
        <v>2020/2019</v>
      </c>
      <c r="N100" s="24">
        <v>20568</v>
      </c>
      <c r="O100" s="18">
        <v>2019</v>
      </c>
    </row>
    <row r="101" spans="1:15">
      <c r="A101" s="18" t="s">
        <v>72</v>
      </c>
      <c r="B101" s="18" t="s">
        <v>73</v>
      </c>
      <c r="C101" s="18" t="s">
        <v>74</v>
      </c>
      <c r="D101" s="18" t="s">
        <v>75</v>
      </c>
      <c r="E101" s="18" t="s">
        <v>76</v>
      </c>
      <c r="F101" t="s">
        <v>15</v>
      </c>
      <c r="G101" t="s">
        <v>32</v>
      </c>
      <c r="H101" t="s">
        <v>33</v>
      </c>
      <c r="I101" s="18" t="s">
        <v>34</v>
      </c>
      <c r="J101" s="18" t="s">
        <v>29</v>
      </c>
      <c r="K101" s="18" t="s">
        <v>25</v>
      </c>
      <c r="L101" t="str">
        <f t="shared" si="2"/>
        <v>2020/2019</v>
      </c>
      <c r="M101" s="19" t="str">
        <f t="shared" si="3"/>
        <v>2020/2019</v>
      </c>
      <c r="N101" s="24">
        <v>21751</v>
      </c>
      <c r="O101" s="18">
        <v>2019</v>
      </c>
    </row>
    <row r="102" spans="1:15">
      <c r="A102" s="18" t="s">
        <v>72</v>
      </c>
      <c r="B102" s="18" t="s">
        <v>73</v>
      </c>
      <c r="C102" s="18" t="s">
        <v>74</v>
      </c>
      <c r="D102" s="18" t="s">
        <v>75</v>
      </c>
      <c r="E102" s="18" t="s">
        <v>76</v>
      </c>
      <c r="F102" t="s">
        <v>35</v>
      </c>
      <c r="G102" t="s">
        <v>36</v>
      </c>
      <c r="H102" t="s">
        <v>33</v>
      </c>
      <c r="I102" s="18" t="s">
        <v>34</v>
      </c>
      <c r="J102" s="18" t="s">
        <v>29</v>
      </c>
      <c r="K102" s="18" t="s">
        <v>25</v>
      </c>
      <c r="L102" t="str">
        <f t="shared" si="2"/>
        <v>2020/2019</v>
      </c>
      <c r="M102" s="19" t="str">
        <f t="shared" si="3"/>
        <v>2020/2019</v>
      </c>
      <c r="N102" s="24">
        <v>87</v>
      </c>
      <c r="O102" s="18">
        <v>2019</v>
      </c>
    </row>
    <row r="103" spans="1:15">
      <c r="A103" s="18" t="s">
        <v>72</v>
      </c>
      <c r="B103" s="18" t="s">
        <v>73</v>
      </c>
      <c r="C103" s="18" t="s">
        <v>74</v>
      </c>
      <c r="D103" s="18" t="s">
        <v>75</v>
      </c>
      <c r="E103" s="18" t="s">
        <v>76</v>
      </c>
      <c r="F103" t="s">
        <v>35</v>
      </c>
      <c r="G103" t="s">
        <v>36</v>
      </c>
      <c r="H103" t="s">
        <v>30</v>
      </c>
      <c r="I103" s="18" t="s">
        <v>31</v>
      </c>
      <c r="J103" s="18" t="s">
        <v>29</v>
      </c>
      <c r="K103" s="18" t="s">
        <v>25</v>
      </c>
      <c r="L103" t="str">
        <f t="shared" si="2"/>
        <v>2020/2019</v>
      </c>
      <c r="M103" s="19" t="str">
        <f t="shared" si="3"/>
        <v>2020/2019</v>
      </c>
      <c r="N103" s="24">
        <v>75</v>
      </c>
      <c r="O103" s="18">
        <v>2019</v>
      </c>
    </row>
    <row r="104" spans="1:15">
      <c r="A104" s="18" t="s">
        <v>72</v>
      </c>
      <c r="B104" s="18" t="s">
        <v>73</v>
      </c>
      <c r="C104" s="18" t="s">
        <v>74</v>
      </c>
      <c r="D104" s="18" t="s">
        <v>75</v>
      </c>
      <c r="E104" s="18" t="s">
        <v>76</v>
      </c>
      <c r="F104" t="s">
        <v>37</v>
      </c>
      <c r="G104" t="s">
        <v>38</v>
      </c>
      <c r="H104" t="s">
        <v>30</v>
      </c>
      <c r="I104" s="18" t="s">
        <v>31</v>
      </c>
      <c r="J104" s="18" t="s">
        <v>29</v>
      </c>
      <c r="K104" s="18" t="s">
        <v>25</v>
      </c>
      <c r="L104" t="str">
        <f t="shared" si="2"/>
        <v>2020/2019</v>
      </c>
      <c r="M104" s="19" t="str">
        <f t="shared" si="3"/>
        <v>2020/2019</v>
      </c>
      <c r="N104" s="24">
        <v>0</v>
      </c>
      <c r="O104" s="18">
        <v>2019</v>
      </c>
    </row>
    <row r="105" spans="1:15">
      <c r="A105" s="18" t="s">
        <v>72</v>
      </c>
      <c r="B105" s="18" t="s">
        <v>73</v>
      </c>
      <c r="C105" s="18" t="s">
        <v>74</v>
      </c>
      <c r="D105" s="18" t="s">
        <v>75</v>
      </c>
      <c r="E105" s="18" t="s">
        <v>76</v>
      </c>
      <c r="F105" t="s">
        <v>37</v>
      </c>
      <c r="G105" t="s">
        <v>38</v>
      </c>
      <c r="H105" t="s">
        <v>33</v>
      </c>
      <c r="I105" s="18" t="s">
        <v>34</v>
      </c>
      <c r="J105" s="18" t="s">
        <v>29</v>
      </c>
      <c r="K105" s="18" t="s">
        <v>25</v>
      </c>
      <c r="L105" t="str">
        <f t="shared" si="2"/>
        <v>2020/2019</v>
      </c>
      <c r="M105" s="19" t="str">
        <f t="shared" si="3"/>
        <v>2020/2019</v>
      </c>
      <c r="N105" s="24">
        <v>0</v>
      </c>
      <c r="O105" s="18">
        <v>2019</v>
      </c>
    </row>
    <row r="106" spans="1:15">
      <c r="A106" s="18" t="s">
        <v>72</v>
      </c>
      <c r="B106" s="18" t="s">
        <v>73</v>
      </c>
      <c r="C106" s="18" t="s">
        <v>74</v>
      </c>
      <c r="D106" s="18" t="s">
        <v>75</v>
      </c>
      <c r="E106" s="18" t="s">
        <v>76</v>
      </c>
      <c r="F106" t="s">
        <v>39</v>
      </c>
      <c r="G106" t="s">
        <v>40</v>
      </c>
      <c r="H106" t="s">
        <v>33</v>
      </c>
      <c r="I106" s="18" t="s">
        <v>34</v>
      </c>
      <c r="J106" s="18" t="s">
        <v>29</v>
      </c>
      <c r="K106" s="18" t="s">
        <v>25</v>
      </c>
      <c r="L106" t="str">
        <f t="shared" si="2"/>
        <v>2020/2019</v>
      </c>
      <c r="M106" s="19" t="str">
        <f t="shared" si="3"/>
        <v>2020/2019</v>
      </c>
      <c r="N106" s="24">
        <v>53661</v>
      </c>
      <c r="O106" s="18">
        <v>2019</v>
      </c>
    </row>
    <row r="107" spans="1:15">
      <c r="A107" s="18" t="s">
        <v>72</v>
      </c>
      <c r="B107" s="18" t="s">
        <v>73</v>
      </c>
      <c r="C107" s="18" t="s">
        <v>74</v>
      </c>
      <c r="D107" s="18" t="s">
        <v>75</v>
      </c>
      <c r="E107" s="18" t="s">
        <v>76</v>
      </c>
      <c r="F107" t="s">
        <v>39</v>
      </c>
      <c r="G107" t="s">
        <v>40</v>
      </c>
      <c r="H107" t="s">
        <v>30</v>
      </c>
      <c r="I107" s="18" t="s">
        <v>31</v>
      </c>
      <c r="J107" s="18" t="s">
        <v>29</v>
      </c>
      <c r="K107" s="18" t="s">
        <v>25</v>
      </c>
      <c r="L107" t="str">
        <f t="shared" si="2"/>
        <v>2020/2019</v>
      </c>
      <c r="M107" s="19" t="str">
        <f t="shared" si="3"/>
        <v>2020/2019</v>
      </c>
      <c r="N107" s="24">
        <v>49047</v>
      </c>
      <c r="O107" s="18">
        <v>2019</v>
      </c>
    </row>
    <row r="108" spans="1:15">
      <c r="A108" s="18" t="s">
        <v>72</v>
      </c>
      <c r="B108" s="18" t="s">
        <v>73</v>
      </c>
      <c r="C108" s="18" t="s">
        <v>74</v>
      </c>
      <c r="D108" s="18" t="s">
        <v>75</v>
      </c>
      <c r="E108" s="18" t="s">
        <v>76</v>
      </c>
      <c r="F108" t="s">
        <v>15</v>
      </c>
      <c r="G108" t="s">
        <v>32</v>
      </c>
      <c r="H108" t="s">
        <v>30</v>
      </c>
      <c r="I108" s="18" t="s">
        <v>31</v>
      </c>
      <c r="J108" s="18" t="s">
        <v>28</v>
      </c>
      <c r="K108" s="18" t="s">
        <v>24</v>
      </c>
      <c r="L108" t="str">
        <f t="shared" si="2"/>
        <v>2020/2019</v>
      </c>
      <c r="M108" s="19" t="str">
        <f t="shared" si="3"/>
        <v>2020/2019</v>
      </c>
      <c r="N108" s="24">
        <v>566465</v>
      </c>
      <c r="O108" s="18">
        <v>2019</v>
      </c>
    </row>
    <row r="109" spans="1:15">
      <c r="A109" s="18" t="s">
        <v>72</v>
      </c>
      <c r="B109" s="18" t="s">
        <v>73</v>
      </c>
      <c r="C109" s="18" t="s">
        <v>74</v>
      </c>
      <c r="D109" s="18" t="s">
        <v>75</v>
      </c>
      <c r="E109" s="18" t="s">
        <v>76</v>
      </c>
      <c r="F109" t="s">
        <v>15</v>
      </c>
      <c r="G109" t="s">
        <v>32</v>
      </c>
      <c r="H109" t="s">
        <v>33</v>
      </c>
      <c r="I109" s="18" t="s">
        <v>34</v>
      </c>
      <c r="J109" s="18" t="s">
        <v>28</v>
      </c>
      <c r="K109" s="18" t="s">
        <v>24</v>
      </c>
      <c r="L109" t="str">
        <f t="shared" si="2"/>
        <v>2020/2019</v>
      </c>
      <c r="M109" s="19" t="str">
        <f t="shared" si="3"/>
        <v>2020/2019</v>
      </c>
      <c r="N109" s="24">
        <v>638366</v>
      </c>
      <c r="O109" s="18">
        <v>2019</v>
      </c>
    </row>
    <row r="110" spans="1:15">
      <c r="A110" s="18" t="s">
        <v>72</v>
      </c>
      <c r="B110" s="18" t="s">
        <v>73</v>
      </c>
      <c r="C110" s="18" t="s">
        <v>74</v>
      </c>
      <c r="D110" s="18" t="s">
        <v>75</v>
      </c>
      <c r="E110" s="18" t="s">
        <v>76</v>
      </c>
      <c r="F110" t="s">
        <v>35</v>
      </c>
      <c r="G110" t="s">
        <v>36</v>
      </c>
      <c r="H110" t="s">
        <v>33</v>
      </c>
      <c r="I110" s="18" t="s">
        <v>34</v>
      </c>
      <c r="J110" s="18" t="s">
        <v>28</v>
      </c>
      <c r="K110" s="18" t="s">
        <v>24</v>
      </c>
      <c r="L110" t="str">
        <f t="shared" si="2"/>
        <v>2020/2019</v>
      </c>
      <c r="M110" s="19" t="str">
        <f t="shared" si="3"/>
        <v>2020/2019</v>
      </c>
      <c r="N110" s="24">
        <v>12572</v>
      </c>
      <c r="O110" s="18">
        <v>2019</v>
      </c>
    </row>
    <row r="111" spans="1:15">
      <c r="A111" s="18" t="s">
        <v>72</v>
      </c>
      <c r="B111" s="18" t="s">
        <v>73</v>
      </c>
      <c r="C111" s="18" t="s">
        <v>74</v>
      </c>
      <c r="D111" s="18" t="s">
        <v>75</v>
      </c>
      <c r="E111" s="18" t="s">
        <v>76</v>
      </c>
      <c r="F111" t="s">
        <v>35</v>
      </c>
      <c r="G111" t="s">
        <v>36</v>
      </c>
      <c r="H111" t="s">
        <v>30</v>
      </c>
      <c r="I111" s="18" t="s">
        <v>31</v>
      </c>
      <c r="J111" s="18" t="s">
        <v>28</v>
      </c>
      <c r="K111" s="18" t="s">
        <v>24</v>
      </c>
      <c r="L111" t="str">
        <f t="shared" si="2"/>
        <v>2020/2019</v>
      </c>
      <c r="M111" s="19" t="str">
        <f t="shared" si="3"/>
        <v>2020/2019</v>
      </c>
      <c r="N111" s="24">
        <v>2409</v>
      </c>
      <c r="O111" s="18">
        <v>2019</v>
      </c>
    </row>
    <row r="112" spans="1:15">
      <c r="A112" s="18" t="s">
        <v>72</v>
      </c>
      <c r="B112" s="18" t="s">
        <v>73</v>
      </c>
      <c r="C112" s="18" t="s">
        <v>74</v>
      </c>
      <c r="D112" s="18" t="s">
        <v>75</v>
      </c>
      <c r="E112" s="18" t="s">
        <v>76</v>
      </c>
      <c r="F112" t="s">
        <v>37</v>
      </c>
      <c r="G112" t="s">
        <v>38</v>
      </c>
      <c r="H112" t="s">
        <v>30</v>
      </c>
      <c r="I112" s="18" t="s">
        <v>31</v>
      </c>
      <c r="J112" s="18" t="s">
        <v>28</v>
      </c>
      <c r="K112" s="18" t="s">
        <v>24</v>
      </c>
      <c r="L112" t="str">
        <f t="shared" si="2"/>
        <v>2020/2019</v>
      </c>
      <c r="M112" s="19" t="str">
        <f t="shared" si="3"/>
        <v>2020/2019</v>
      </c>
      <c r="N112" s="24">
        <v>59931</v>
      </c>
      <c r="O112" s="18">
        <v>2019</v>
      </c>
    </row>
    <row r="113" spans="1:15">
      <c r="A113" s="18" t="s">
        <v>72</v>
      </c>
      <c r="B113" s="18" t="s">
        <v>73</v>
      </c>
      <c r="C113" s="18" t="s">
        <v>74</v>
      </c>
      <c r="D113" s="18" t="s">
        <v>75</v>
      </c>
      <c r="E113" s="18" t="s">
        <v>76</v>
      </c>
      <c r="F113" t="s">
        <v>37</v>
      </c>
      <c r="G113" t="s">
        <v>38</v>
      </c>
      <c r="H113" t="s">
        <v>33</v>
      </c>
      <c r="I113" s="18" t="s">
        <v>34</v>
      </c>
      <c r="J113" s="18" t="s">
        <v>28</v>
      </c>
      <c r="K113" s="18" t="s">
        <v>24</v>
      </c>
      <c r="L113" t="str">
        <f t="shared" si="2"/>
        <v>2020/2019</v>
      </c>
      <c r="M113" s="19" t="str">
        <f t="shared" si="3"/>
        <v>2020/2019</v>
      </c>
      <c r="N113" s="24">
        <v>58650</v>
      </c>
      <c r="O113" s="18">
        <v>2019</v>
      </c>
    </row>
    <row r="114" spans="1:15">
      <c r="A114" s="18" t="s">
        <v>72</v>
      </c>
      <c r="B114" s="18" t="s">
        <v>73</v>
      </c>
      <c r="C114" s="18" t="s">
        <v>74</v>
      </c>
      <c r="D114" s="18" t="s">
        <v>75</v>
      </c>
      <c r="E114" s="18" t="s">
        <v>76</v>
      </c>
      <c r="F114" t="s">
        <v>39</v>
      </c>
      <c r="G114" t="s">
        <v>40</v>
      </c>
      <c r="H114" t="s">
        <v>33</v>
      </c>
      <c r="I114" s="18" t="s">
        <v>34</v>
      </c>
      <c r="J114" s="18" t="s">
        <v>28</v>
      </c>
      <c r="K114" s="18" t="s">
        <v>24</v>
      </c>
      <c r="L114" t="str">
        <f t="shared" si="2"/>
        <v>2020/2019</v>
      </c>
      <c r="M114" s="19" t="str">
        <f t="shared" si="3"/>
        <v>2020/2019</v>
      </c>
      <c r="N114" s="24">
        <v>260944</v>
      </c>
      <c r="O114" s="18">
        <v>2019</v>
      </c>
    </row>
    <row r="115" spans="1:15">
      <c r="A115" s="18" t="s">
        <v>72</v>
      </c>
      <c r="B115" s="18" t="s">
        <v>73</v>
      </c>
      <c r="C115" s="18" t="s">
        <v>74</v>
      </c>
      <c r="D115" s="18" t="s">
        <v>75</v>
      </c>
      <c r="E115" s="18" t="s">
        <v>76</v>
      </c>
      <c r="F115" t="s">
        <v>39</v>
      </c>
      <c r="G115" t="s">
        <v>40</v>
      </c>
      <c r="H115" t="s">
        <v>30</v>
      </c>
      <c r="I115" s="18" t="s">
        <v>31</v>
      </c>
      <c r="J115" s="18" t="s">
        <v>28</v>
      </c>
      <c r="K115" s="18" t="s">
        <v>24</v>
      </c>
      <c r="L115" t="str">
        <f t="shared" si="2"/>
        <v>2020/2019</v>
      </c>
      <c r="M115" s="19" t="str">
        <f t="shared" si="3"/>
        <v>2020/2019</v>
      </c>
      <c r="N115" s="24">
        <v>170256</v>
      </c>
      <c r="O115" s="18">
        <v>2019</v>
      </c>
    </row>
    <row r="116" spans="1:15">
      <c r="A116" s="18" t="s">
        <v>72</v>
      </c>
      <c r="B116" s="18" t="s">
        <v>73</v>
      </c>
      <c r="C116" s="18" t="s">
        <v>74</v>
      </c>
      <c r="D116" s="18" t="s">
        <v>75</v>
      </c>
      <c r="E116" s="18" t="s">
        <v>76</v>
      </c>
      <c r="F116" t="s">
        <v>15</v>
      </c>
      <c r="G116" t="s">
        <v>32</v>
      </c>
      <c r="H116" t="s">
        <v>30</v>
      </c>
      <c r="I116" s="18" t="s">
        <v>31</v>
      </c>
      <c r="J116" s="18" t="s">
        <v>27</v>
      </c>
      <c r="K116" s="18" t="s">
        <v>23</v>
      </c>
      <c r="L116" t="str">
        <f t="shared" si="2"/>
        <v>2020/2019</v>
      </c>
      <c r="M116" s="19" t="str">
        <f t="shared" si="3"/>
        <v>2020/2019</v>
      </c>
      <c r="N116" s="24">
        <v>77772</v>
      </c>
      <c r="O116" s="18">
        <v>2019</v>
      </c>
    </row>
    <row r="117" spans="1:15">
      <c r="A117" s="18" t="s">
        <v>72</v>
      </c>
      <c r="B117" s="18" t="s">
        <v>73</v>
      </c>
      <c r="C117" s="18" t="s">
        <v>74</v>
      </c>
      <c r="D117" s="18" t="s">
        <v>75</v>
      </c>
      <c r="E117" s="18" t="s">
        <v>76</v>
      </c>
      <c r="F117" t="s">
        <v>15</v>
      </c>
      <c r="G117" t="s">
        <v>32</v>
      </c>
      <c r="H117" t="s">
        <v>33</v>
      </c>
      <c r="I117" s="18" t="s">
        <v>34</v>
      </c>
      <c r="J117" s="18" t="s">
        <v>27</v>
      </c>
      <c r="K117" s="18" t="s">
        <v>23</v>
      </c>
      <c r="L117" t="str">
        <f t="shared" si="2"/>
        <v>2020/2019</v>
      </c>
      <c r="M117" s="19" t="str">
        <f t="shared" si="3"/>
        <v>2020/2019</v>
      </c>
      <c r="N117" s="24">
        <v>96195</v>
      </c>
      <c r="O117" s="18">
        <v>2019</v>
      </c>
    </row>
    <row r="118" spans="1:15">
      <c r="A118" s="18" t="s">
        <v>72</v>
      </c>
      <c r="B118" s="18" t="s">
        <v>73</v>
      </c>
      <c r="C118" s="18" t="s">
        <v>74</v>
      </c>
      <c r="D118" s="18" t="s">
        <v>75</v>
      </c>
      <c r="E118" s="18" t="s">
        <v>76</v>
      </c>
      <c r="F118" t="s">
        <v>35</v>
      </c>
      <c r="G118" t="s">
        <v>36</v>
      </c>
      <c r="H118" t="s">
        <v>30</v>
      </c>
      <c r="I118" s="18" t="s">
        <v>31</v>
      </c>
      <c r="J118" s="18" t="s">
        <v>27</v>
      </c>
      <c r="K118" s="18" t="s">
        <v>23</v>
      </c>
      <c r="L118" t="str">
        <f t="shared" si="2"/>
        <v>2020/2019</v>
      </c>
      <c r="M118" s="19" t="str">
        <f t="shared" si="3"/>
        <v>2020/2019</v>
      </c>
      <c r="N118" s="24">
        <v>2448</v>
      </c>
      <c r="O118" s="18">
        <v>2019</v>
      </c>
    </row>
    <row r="119" spans="1:15">
      <c r="A119" s="18" t="s">
        <v>72</v>
      </c>
      <c r="B119" s="18" t="s">
        <v>73</v>
      </c>
      <c r="C119" s="18" t="s">
        <v>74</v>
      </c>
      <c r="D119" s="18" t="s">
        <v>75</v>
      </c>
      <c r="E119" s="18" t="s">
        <v>76</v>
      </c>
      <c r="F119" t="s">
        <v>35</v>
      </c>
      <c r="G119" t="s">
        <v>36</v>
      </c>
      <c r="H119" t="s">
        <v>33</v>
      </c>
      <c r="I119" s="18" t="s">
        <v>34</v>
      </c>
      <c r="J119" s="18" t="s">
        <v>27</v>
      </c>
      <c r="K119" s="18" t="s">
        <v>23</v>
      </c>
      <c r="L119" t="str">
        <f t="shared" si="2"/>
        <v>2020/2019</v>
      </c>
      <c r="M119" s="19" t="str">
        <f t="shared" si="3"/>
        <v>2020/2019</v>
      </c>
      <c r="N119" s="24">
        <v>566</v>
      </c>
      <c r="O119" s="18">
        <v>2019</v>
      </c>
    </row>
    <row r="120" spans="1:15">
      <c r="A120" s="18" t="s">
        <v>72</v>
      </c>
      <c r="B120" s="18" t="s">
        <v>73</v>
      </c>
      <c r="C120" s="18" t="s">
        <v>74</v>
      </c>
      <c r="D120" s="18" t="s">
        <v>75</v>
      </c>
      <c r="E120" s="18" t="s">
        <v>76</v>
      </c>
      <c r="F120" t="s">
        <v>37</v>
      </c>
      <c r="G120" t="s">
        <v>38</v>
      </c>
      <c r="H120" t="s">
        <v>30</v>
      </c>
      <c r="I120" s="18" t="s">
        <v>31</v>
      </c>
      <c r="J120" s="18" t="s">
        <v>27</v>
      </c>
      <c r="K120" s="18" t="s">
        <v>23</v>
      </c>
      <c r="L120" t="str">
        <f t="shared" si="2"/>
        <v>2020/2019</v>
      </c>
      <c r="M120" s="19" t="str">
        <f t="shared" si="3"/>
        <v>2020/2019</v>
      </c>
      <c r="N120" s="24">
        <v>0</v>
      </c>
      <c r="O120" s="18">
        <v>2019</v>
      </c>
    </row>
    <row r="121" spans="1:15">
      <c r="A121" s="18" t="s">
        <v>72</v>
      </c>
      <c r="B121" s="18" t="s">
        <v>73</v>
      </c>
      <c r="C121" s="18" t="s">
        <v>74</v>
      </c>
      <c r="D121" s="18" t="s">
        <v>75</v>
      </c>
      <c r="E121" s="18" t="s">
        <v>76</v>
      </c>
      <c r="F121" t="s">
        <v>37</v>
      </c>
      <c r="G121" t="s">
        <v>38</v>
      </c>
      <c r="H121" t="s">
        <v>33</v>
      </c>
      <c r="I121" s="18" t="s">
        <v>34</v>
      </c>
      <c r="J121" s="18" t="s">
        <v>27</v>
      </c>
      <c r="K121" s="18" t="s">
        <v>23</v>
      </c>
      <c r="L121" t="str">
        <f t="shared" si="2"/>
        <v>2020/2019</v>
      </c>
      <c r="M121" s="19" t="str">
        <f t="shared" si="3"/>
        <v>2020/2019</v>
      </c>
      <c r="N121" s="24">
        <v>0</v>
      </c>
      <c r="O121" s="18">
        <v>2019</v>
      </c>
    </row>
    <row r="122" spans="1:15">
      <c r="A122" s="18" t="s">
        <v>72</v>
      </c>
      <c r="B122" s="18" t="s">
        <v>73</v>
      </c>
      <c r="C122" s="18" t="s">
        <v>74</v>
      </c>
      <c r="D122" s="18" t="s">
        <v>75</v>
      </c>
      <c r="E122" s="18" t="s">
        <v>76</v>
      </c>
      <c r="F122" t="s">
        <v>39</v>
      </c>
      <c r="G122" t="s">
        <v>40</v>
      </c>
      <c r="H122" t="s">
        <v>30</v>
      </c>
      <c r="I122" s="18" t="s">
        <v>31</v>
      </c>
      <c r="J122" s="18" t="s">
        <v>27</v>
      </c>
      <c r="K122" s="18" t="s">
        <v>23</v>
      </c>
      <c r="L122" t="str">
        <f t="shared" si="2"/>
        <v>2020/2019</v>
      </c>
      <c r="M122" s="19" t="str">
        <f t="shared" si="3"/>
        <v>2020/2019</v>
      </c>
      <c r="N122" s="24">
        <v>19142</v>
      </c>
      <c r="O122" s="18">
        <v>2019</v>
      </c>
    </row>
    <row r="123" spans="1:15">
      <c r="A123" s="18" t="s">
        <v>72</v>
      </c>
      <c r="B123" s="18" t="s">
        <v>73</v>
      </c>
      <c r="C123" s="18" t="s">
        <v>74</v>
      </c>
      <c r="D123" s="18" t="s">
        <v>75</v>
      </c>
      <c r="E123" s="18" t="s">
        <v>76</v>
      </c>
      <c r="F123" t="s">
        <v>39</v>
      </c>
      <c r="G123" t="s">
        <v>40</v>
      </c>
      <c r="H123" t="s">
        <v>33</v>
      </c>
      <c r="I123" s="18" t="s">
        <v>34</v>
      </c>
      <c r="J123" s="18" t="s">
        <v>27</v>
      </c>
      <c r="K123" s="18" t="s">
        <v>23</v>
      </c>
      <c r="L123" t="str">
        <f t="shared" si="2"/>
        <v>2020/2019</v>
      </c>
      <c r="M123" s="19" t="str">
        <f t="shared" si="3"/>
        <v>2020/2019</v>
      </c>
      <c r="N123" s="24">
        <v>15850</v>
      </c>
      <c r="O123" s="18">
        <v>2019</v>
      </c>
    </row>
    <row r="124" spans="1:15">
      <c r="A124" s="18" t="s">
        <v>72</v>
      </c>
      <c r="B124" s="18" t="s">
        <v>73</v>
      </c>
      <c r="C124" s="18" t="s">
        <v>74</v>
      </c>
      <c r="D124" s="18" t="s">
        <v>75</v>
      </c>
      <c r="E124" s="18" t="s">
        <v>76</v>
      </c>
      <c r="F124" t="s">
        <v>15</v>
      </c>
      <c r="G124" t="s">
        <v>32</v>
      </c>
      <c r="H124" t="s">
        <v>30</v>
      </c>
      <c r="I124" s="18" t="s">
        <v>31</v>
      </c>
      <c r="J124" s="18" t="s">
        <v>26</v>
      </c>
      <c r="K124" s="18" t="s">
        <v>22</v>
      </c>
      <c r="L124" t="str">
        <f t="shared" si="2"/>
        <v>2020/2019</v>
      </c>
      <c r="M124" s="19" t="str">
        <f t="shared" si="3"/>
        <v>2020/2019</v>
      </c>
      <c r="N124" s="24">
        <v>13153</v>
      </c>
      <c r="O124" s="18">
        <v>2019</v>
      </c>
    </row>
    <row r="125" spans="1:15">
      <c r="A125" s="18" t="s">
        <v>72</v>
      </c>
      <c r="B125" s="18" t="s">
        <v>73</v>
      </c>
      <c r="C125" s="18" t="s">
        <v>74</v>
      </c>
      <c r="D125" s="18" t="s">
        <v>75</v>
      </c>
      <c r="E125" s="18" t="s">
        <v>76</v>
      </c>
      <c r="F125" t="s">
        <v>15</v>
      </c>
      <c r="G125" t="s">
        <v>32</v>
      </c>
      <c r="H125" t="s">
        <v>33</v>
      </c>
      <c r="I125" s="18" t="s">
        <v>34</v>
      </c>
      <c r="J125" s="18" t="s">
        <v>26</v>
      </c>
      <c r="K125" s="18" t="s">
        <v>22</v>
      </c>
      <c r="L125" t="str">
        <f t="shared" si="2"/>
        <v>2020/2019</v>
      </c>
      <c r="M125" s="19" t="str">
        <f t="shared" si="3"/>
        <v>2020/2019</v>
      </c>
      <c r="N125" s="24">
        <v>10970</v>
      </c>
      <c r="O125" s="18">
        <v>2019</v>
      </c>
    </row>
    <row r="126" spans="1:15">
      <c r="A126" s="18" t="s">
        <v>72</v>
      </c>
      <c r="B126" s="18" t="s">
        <v>73</v>
      </c>
      <c r="C126" s="18" t="s">
        <v>74</v>
      </c>
      <c r="D126" s="18" t="s">
        <v>75</v>
      </c>
      <c r="E126" s="18" t="s">
        <v>76</v>
      </c>
      <c r="F126" t="s">
        <v>35</v>
      </c>
      <c r="G126" t="s">
        <v>36</v>
      </c>
      <c r="H126" t="s">
        <v>30</v>
      </c>
      <c r="I126" s="18" t="s">
        <v>31</v>
      </c>
      <c r="J126" s="18" t="s">
        <v>26</v>
      </c>
      <c r="K126" s="18" t="s">
        <v>22</v>
      </c>
      <c r="L126" t="str">
        <f t="shared" si="2"/>
        <v>2020/2019</v>
      </c>
      <c r="M126" s="19" t="str">
        <f t="shared" si="3"/>
        <v>2020/2019</v>
      </c>
      <c r="N126" s="24">
        <v>188</v>
      </c>
      <c r="O126" s="18">
        <v>2019</v>
      </c>
    </row>
    <row r="127" spans="1:15">
      <c r="A127" s="18" t="s">
        <v>72</v>
      </c>
      <c r="B127" s="18" t="s">
        <v>73</v>
      </c>
      <c r="C127" s="18" t="s">
        <v>74</v>
      </c>
      <c r="D127" s="18" t="s">
        <v>75</v>
      </c>
      <c r="E127" s="18" t="s">
        <v>76</v>
      </c>
      <c r="F127" t="s">
        <v>35</v>
      </c>
      <c r="G127" t="s">
        <v>36</v>
      </c>
      <c r="H127" t="s">
        <v>33</v>
      </c>
      <c r="I127" s="18" t="s">
        <v>34</v>
      </c>
      <c r="J127" s="18" t="s">
        <v>26</v>
      </c>
      <c r="K127" s="18" t="s">
        <v>22</v>
      </c>
      <c r="L127" t="str">
        <f t="shared" si="2"/>
        <v>2020/2019</v>
      </c>
      <c r="M127" s="19" t="str">
        <f t="shared" si="3"/>
        <v>2020/2019</v>
      </c>
      <c r="N127" s="24">
        <v>0</v>
      </c>
      <c r="O127" s="18">
        <v>2019</v>
      </c>
    </row>
    <row r="128" spans="1:15">
      <c r="A128" s="18" t="s">
        <v>72</v>
      </c>
      <c r="B128" s="18" t="s">
        <v>73</v>
      </c>
      <c r="C128" s="18" t="s">
        <v>74</v>
      </c>
      <c r="D128" s="18" t="s">
        <v>75</v>
      </c>
      <c r="E128" s="18" t="s">
        <v>76</v>
      </c>
      <c r="F128" t="s">
        <v>37</v>
      </c>
      <c r="G128" t="s">
        <v>38</v>
      </c>
      <c r="H128" t="s">
        <v>30</v>
      </c>
      <c r="I128" s="18" t="s">
        <v>31</v>
      </c>
      <c r="J128" s="18" t="s">
        <v>26</v>
      </c>
      <c r="K128" s="18" t="s">
        <v>22</v>
      </c>
      <c r="L128" t="str">
        <f t="shared" si="2"/>
        <v>2020/2019</v>
      </c>
      <c r="M128" s="19" t="str">
        <f t="shared" si="3"/>
        <v>2020/2019</v>
      </c>
      <c r="N128" s="24">
        <v>0</v>
      </c>
      <c r="O128" s="18">
        <v>2019</v>
      </c>
    </row>
    <row r="129" spans="1:15">
      <c r="A129" s="18" t="s">
        <v>72</v>
      </c>
      <c r="B129" s="18" t="s">
        <v>73</v>
      </c>
      <c r="C129" s="18" t="s">
        <v>74</v>
      </c>
      <c r="D129" s="18" t="s">
        <v>75</v>
      </c>
      <c r="E129" s="18" t="s">
        <v>76</v>
      </c>
      <c r="F129" t="s">
        <v>37</v>
      </c>
      <c r="G129" t="s">
        <v>38</v>
      </c>
      <c r="H129" t="s">
        <v>33</v>
      </c>
      <c r="I129" s="18" t="s">
        <v>34</v>
      </c>
      <c r="J129" s="18" t="s">
        <v>26</v>
      </c>
      <c r="K129" s="18" t="s">
        <v>22</v>
      </c>
      <c r="L129" t="str">
        <f t="shared" si="2"/>
        <v>2020/2019</v>
      </c>
      <c r="M129" s="19" t="str">
        <f t="shared" si="3"/>
        <v>2020/2019</v>
      </c>
      <c r="N129" s="24">
        <v>0</v>
      </c>
      <c r="O129" s="18">
        <v>2019</v>
      </c>
    </row>
    <row r="130" spans="1:15">
      <c r="A130" s="18" t="s">
        <v>72</v>
      </c>
      <c r="B130" s="18" t="s">
        <v>73</v>
      </c>
      <c r="C130" s="18" t="s">
        <v>74</v>
      </c>
      <c r="D130" s="18" t="s">
        <v>75</v>
      </c>
      <c r="E130" s="18" t="s">
        <v>76</v>
      </c>
      <c r="F130" t="s">
        <v>39</v>
      </c>
      <c r="G130" t="s">
        <v>40</v>
      </c>
      <c r="H130" t="s">
        <v>30</v>
      </c>
      <c r="I130" s="18" t="s">
        <v>31</v>
      </c>
      <c r="J130" s="18" t="s">
        <v>26</v>
      </c>
      <c r="K130" s="18" t="s">
        <v>22</v>
      </c>
      <c r="L130" t="str">
        <f t="shared" si="2"/>
        <v>2020/2019</v>
      </c>
      <c r="M130" s="19" t="str">
        <f t="shared" si="3"/>
        <v>2020/2019</v>
      </c>
      <c r="N130" s="24">
        <v>545</v>
      </c>
      <c r="O130" s="18">
        <v>2019</v>
      </c>
    </row>
    <row r="131" spans="1:15">
      <c r="A131" s="18" t="s">
        <v>72</v>
      </c>
      <c r="B131" s="18" t="s">
        <v>73</v>
      </c>
      <c r="C131" s="18" t="s">
        <v>74</v>
      </c>
      <c r="D131" s="18" t="s">
        <v>75</v>
      </c>
      <c r="E131" s="18" t="s">
        <v>76</v>
      </c>
      <c r="F131" t="s">
        <v>39</v>
      </c>
      <c r="G131" t="s">
        <v>40</v>
      </c>
      <c r="H131" t="s">
        <v>33</v>
      </c>
      <c r="I131" s="18" t="s">
        <v>34</v>
      </c>
      <c r="J131" s="18" t="s">
        <v>26</v>
      </c>
      <c r="K131" s="18" t="s">
        <v>22</v>
      </c>
      <c r="L131" t="str">
        <f t="shared" si="2"/>
        <v>2020/2019</v>
      </c>
      <c r="M131" s="19" t="str">
        <f t="shared" si="3"/>
        <v>2020/2019</v>
      </c>
      <c r="N131" s="24">
        <v>59</v>
      </c>
      <c r="O131" s="18">
        <v>2019</v>
      </c>
    </row>
    <row r="132" spans="1:15">
      <c r="A132" s="18" t="s">
        <v>72</v>
      </c>
      <c r="B132" s="18" t="s">
        <v>73</v>
      </c>
      <c r="C132" s="18" t="s">
        <v>74</v>
      </c>
      <c r="D132" s="18" t="s">
        <v>75</v>
      </c>
      <c r="E132" s="18" t="s">
        <v>76</v>
      </c>
      <c r="F132" t="s">
        <v>15</v>
      </c>
      <c r="G132" t="s">
        <v>32</v>
      </c>
      <c r="H132" t="s">
        <v>30</v>
      </c>
      <c r="I132" s="18" t="s">
        <v>31</v>
      </c>
      <c r="J132" s="18" t="s">
        <v>29</v>
      </c>
      <c r="K132" s="18" t="s">
        <v>25</v>
      </c>
      <c r="L132" t="str">
        <f t="shared" si="2"/>
        <v>2019/2018</v>
      </c>
      <c r="M132" s="19" t="str">
        <f t="shared" si="3"/>
        <v>2019/2018</v>
      </c>
      <c r="N132" s="24">
        <v>17956</v>
      </c>
      <c r="O132" s="18">
        <v>2018</v>
      </c>
    </row>
    <row r="133" spans="1:15">
      <c r="A133" s="18" t="s">
        <v>72</v>
      </c>
      <c r="B133" s="18" t="s">
        <v>73</v>
      </c>
      <c r="C133" s="18" t="s">
        <v>74</v>
      </c>
      <c r="D133" s="18" t="s">
        <v>75</v>
      </c>
      <c r="E133" s="18" t="s">
        <v>76</v>
      </c>
      <c r="F133" t="s">
        <v>15</v>
      </c>
      <c r="G133" t="s">
        <v>32</v>
      </c>
      <c r="H133" t="s">
        <v>33</v>
      </c>
      <c r="I133" s="18" t="s">
        <v>34</v>
      </c>
      <c r="J133" s="18" t="s">
        <v>29</v>
      </c>
      <c r="K133" s="18" t="s">
        <v>25</v>
      </c>
      <c r="L133" t="str">
        <f t="shared" ref="L133:L196" si="4">TEXT(O133+1,"0")&amp;"/"&amp;TEXT(O133,"0")</f>
        <v>2019/2018</v>
      </c>
      <c r="M133" s="19" t="str">
        <f t="shared" ref="M133:M196" si="5">TEXT(O133+1,"0")&amp;"/"&amp;TEXT(O133,"0")</f>
        <v>2019/2018</v>
      </c>
      <c r="N133" s="24">
        <v>19266</v>
      </c>
      <c r="O133" s="18">
        <v>2018</v>
      </c>
    </row>
    <row r="134" spans="1:15">
      <c r="A134" s="18" t="s">
        <v>72</v>
      </c>
      <c r="B134" s="18" t="s">
        <v>73</v>
      </c>
      <c r="C134" s="18" t="s">
        <v>74</v>
      </c>
      <c r="D134" s="18" t="s">
        <v>75</v>
      </c>
      <c r="E134" s="18" t="s">
        <v>76</v>
      </c>
      <c r="F134" t="s">
        <v>35</v>
      </c>
      <c r="G134" t="s">
        <v>36</v>
      </c>
      <c r="H134" t="s">
        <v>33</v>
      </c>
      <c r="I134" s="18" t="s">
        <v>34</v>
      </c>
      <c r="J134" s="18" t="s">
        <v>29</v>
      </c>
      <c r="K134" s="18" t="s">
        <v>25</v>
      </c>
      <c r="L134" t="str">
        <f t="shared" si="4"/>
        <v>2019/2018</v>
      </c>
      <c r="M134" s="19" t="str">
        <f t="shared" si="5"/>
        <v>2019/2018</v>
      </c>
      <c r="N134" s="24">
        <v>95</v>
      </c>
      <c r="O134" s="18">
        <v>2018</v>
      </c>
    </row>
    <row r="135" spans="1:15">
      <c r="A135" s="18" t="s">
        <v>72</v>
      </c>
      <c r="B135" s="18" t="s">
        <v>73</v>
      </c>
      <c r="C135" s="18" t="s">
        <v>74</v>
      </c>
      <c r="D135" s="18" t="s">
        <v>75</v>
      </c>
      <c r="E135" s="18" t="s">
        <v>76</v>
      </c>
      <c r="F135" t="s">
        <v>35</v>
      </c>
      <c r="G135" t="s">
        <v>36</v>
      </c>
      <c r="H135" t="s">
        <v>30</v>
      </c>
      <c r="I135" s="18" t="s">
        <v>31</v>
      </c>
      <c r="J135" s="18" t="s">
        <v>29</v>
      </c>
      <c r="K135" s="18" t="s">
        <v>25</v>
      </c>
      <c r="L135" t="str">
        <f t="shared" si="4"/>
        <v>2019/2018</v>
      </c>
      <c r="M135" s="19" t="str">
        <f t="shared" si="5"/>
        <v>2019/2018</v>
      </c>
      <c r="N135" s="24">
        <v>104</v>
      </c>
      <c r="O135" s="18">
        <v>2018</v>
      </c>
    </row>
    <row r="136" spans="1:15">
      <c r="A136" s="18" t="s">
        <v>72</v>
      </c>
      <c r="B136" s="18" t="s">
        <v>73</v>
      </c>
      <c r="C136" s="18" t="s">
        <v>74</v>
      </c>
      <c r="D136" s="18" t="s">
        <v>75</v>
      </c>
      <c r="E136" s="18" t="s">
        <v>76</v>
      </c>
      <c r="F136" t="s">
        <v>37</v>
      </c>
      <c r="G136" t="s">
        <v>38</v>
      </c>
      <c r="H136" t="s">
        <v>30</v>
      </c>
      <c r="I136" s="18" t="s">
        <v>31</v>
      </c>
      <c r="J136" s="18" t="s">
        <v>29</v>
      </c>
      <c r="K136" s="18" t="s">
        <v>25</v>
      </c>
      <c r="L136" t="str">
        <f t="shared" si="4"/>
        <v>2019/2018</v>
      </c>
      <c r="M136" s="19" t="str">
        <f t="shared" si="5"/>
        <v>2019/2018</v>
      </c>
      <c r="N136" s="24">
        <v>0</v>
      </c>
      <c r="O136" s="18">
        <v>2018</v>
      </c>
    </row>
    <row r="137" spans="1:15">
      <c r="A137" s="18" t="s">
        <v>72</v>
      </c>
      <c r="B137" s="18" t="s">
        <v>73</v>
      </c>
      <c r="C137" s="18" t="s">
        <v>74</v>
      </c>
      <c r="D137" s="18" t="s">
        <v>75</v>
      </c>
      <c r="E137" s="18" t="s">
        <v>76</v>
      </c>
      <c r="F137" t="s">
        <v>37</v>
      </c>
      <c r="G137" t="s">
        <v>38</v>
      </c>
      <c r="H137" t="s">
        <v>33</v>
      </c>
      <c r="I137" s="18" t="s">
        <v>34</v>
      </c>
      <c r="J137" s="18" t="s">
        <v>29</v>
      </c>
      <c r="K137" s="18" t="s">
        <v>25</v>
      </c>
      <c r="L137" t="str">
        <f t="shared" si="4"/>
        <v>2019/2018</v>
      </c>
      <c r="M137" s="19" t="str">
        <f t="shared" si="5"/>
        <v>2019/2018</v>
      </c>
      <c r="N137" s="24">
        <v>0</v>
      </c>
      <c r="O137" s="18">
        <v>2018</v>
      </c>
    </row>
    <row r="138" spans="1:15">
      <c r="A138" s="18" t="s">
        <v>72</v>
      </c>
      <c r="B138" s="18" t="s">
        <v>73</v>
      </c>
      <c r="C138" s="18" t="s">
        <v>74</v>
      </c>
      <c r="D138" s="18" t="s">
        <v>75</v>
      </c>
      <c r="E138" s="18" t="s">
        <v>76</v>
      </c>
      <c r="F138" t="s">
        <v>39</v>
      </c>
      <c r="G138" t="s">
        <v>40</v>
      </c>
      <c r="H138" t="s">
        <v>33</v>
      </c>
      <c r="I138" s="18" t="s">
        <v>34</v>
      </c>
      <c r="J138" s="18" t="s">
        <v>29</v>
      </c>
      <c r="K138" s="18" t="s">
        <v>25</v>
      </c>
      <c r="L138" t="str">
        <f t="shared" si="4"/>
        <v>2019/2018</v>
      </c>
      <c r="M138" s="19" t="str">
        <f t="shared" si="5"/>
        <v>2019/2018</v>
      </c>
      <c r="N138" s="24">
        <v>50862</v>
      </c>
      <c r="O138" s="18">
        <v>2018</v>
      </c>
    </row>
    <row r="139" spans="1:15">
      <c r="A139" s="18" t="s">
        <v>72</v>
      </c>
      <c r="B139" s="18" t="s">
        <v>73</v>
      </c>
      <c r="C139" s="18" t="s">
        <v>74</v>
      </c>
      <c r="D139" s="18" t="s">
        <v>75</v>
      </c>
      <c r="E139" s="18" t="s">
        <v>76</v>
      </c>
      <c r="F139" t="s">
        <v>39</v>
      </c>
      <c r="G139" t="s">
        <v>40</v>
      </c>
      <c r="H139" t="s">
        <v>30</v>
      </c>
      <c r="I139" s="18" t="s">
        <v>31</v>
      </c>
      <c r="J139" s="18" t="s">
        <v>29</v>
      </c>
      <c r="K139" s="18" t="s">
        <v>25</v>
      </c>
      <c r="L139" t="str">
        <f t="shared" si="4"/>
        <v>2019/2018</v>
      </c>
      <c r="M139" s="19" t="str">
        <f t="shared" si="5"/>
        <v>2019/2018</v>
      </c>
      <c r="N139" s="24">
        <v>46450</v>
      </c>
      <c r="O139" s="18">
        <v>2018</v>
      </c>
    </row>
    <row r="140" spans="1:15">
      <c r="A140" s="18" t="s">
        <v>72</v>
      </c>
      <c r="B140" s="18" t="s">
        <v>73</v>
      </c>
      <c r="C140" s="18" t="s">
        <v>74</v>
      </c>
      <c r="D140" s="18" t="s">
        <v>75</v>
      </c>
      <c r="E140" s="18" t="s">
        <v>76</v>
      </c>
      <c r="F140" t="s">
        <v>15</v>
      </c>
      <c r="G140" t="s">
        <v>32</v>
      </c>
      <c r="H140" t="s">
        <v>30</v>
      </c>
      <c r="I140" s="18" t="s">
        <v>31</v>
      </c>
      <c r="J140" s="18" t="s">
        <v>28</v>
      </c>
      <c r="K140" s="18" t="s">
        <v>24</v>
      </c>
      <c r="L140" t="str">
        <f t="shared" si="4"/>
        <v>2019/2018</v>
      </c>
      <c r="M140" s="19" t="str">
        <f t="shared" si="5"/>
        <v>2019/2018</v>
      </c>
      <c r="N140" s="24">
        <v>565218</v>
      </c>
      <c r="O140" s="18">
        <v>2018</v>
      </c>
    </row>
    <row r="141" spans="1:15">
      <c r="A141" s="18" t="s">
        <v>72</v>
      </c>
      <c r="B141" s="18" t="s">
        <v>73</v>
      </c>
      <c r="C141" s="18" t="s">
        <v>74</v>
      </c>
      <c r="D141" s="18" t="s">
        <v>75</v>
      </c>
      <c r="E141" s="18" t="s">
        <v>76</v>
      </c>
      <c r="F141" t="s">
        <v>15</v>
      </c>
      <c r="G141" t="s">
        <v>32</v>
      </c>
      <c r="H141" t="s">
        <v>33</v>
      </c>
      <c r="I141" s="18" t="s">
        <v>34</v>
      </c>
      <c r="J141" s="18" t="s">
        <v>28</v>
      </c>
      <c r="K141" s="18" t="s">
        <v>24</v>
      </c>
      <c r="L141" t="str">
        <f t="shared" si="4"/>
        <v>2019/2018</v>
      </c>
      <c r="M141" s="19" t="str">
        <f t="shared" si="5"/>
        <v>2019/2018</v>
      </c>
      <c r="N141" s="24">
        <v>636291</v>
      </c>
      <c r="O141" s="18">
        <v>2018</v>
      </c>
    </row>
    <row r="142" spans="1:15">
      <c r="A142" s="18" t="s">
        <v>72</v>
      </c>
      <c r="B142" s="18" t="s">
        <v>73</v>
      </c>
      <c r="C142" s="18" t="s">
        <v>74</v>
      </c>
      <c r="D142" s="18" t="s">
        <v>75</v>
      </c>
      <c r="E142" s="18" t="s">
        <v>76</v>
      </c>
      <c r="F142" t="s">
        <v>35</v>
      </c>
      <c r="G142" t="s">
        <v>36</v>
      </c>
      <c r="H142" t="s">
        <v>33</v>
      </c>
      <c r="I142" s="18" t="s">
        <v>34</v>
      </c>
      <c r="J142" s="18" t="s">
        <v>28</v>
      </c>
      <c r="K142" s="18" t="s">
        <v>24</v>
      </c>
      <c r="L142" t="str">
        <f t="shared" si="4"/>
        <v>2019/2018</v>
      </c>
      <c r="M142" s="19" t="str">
        <f t="shared" si="5"/>
        <v>2019/2018</v>
      </c>
      <c r="N142" s="24">
        <v>11667</v>
      </c>
      <c r="O142" s="18">
        <v>2018</v>
      </c>
    </row>
    <row r="143" spans="1:15">
      <c r="A143" s="18" t="s">
        <v>72</v>
      </c>
      <c r="B143" s="18" t="s">
        <v>73</v>
      </c>
      <c r="C143" s="18" t="s">
        <v>74</v>
      </c>
      <c r="D143" s="18" t="s">
        <v>75</v>
      </c>
      <c r="E143" s="18" t="s">
        <v>76</v>
      </c>
      <c r="F143" t="s">
        <v>35</v>
      </c>
      <c r="G143" t="s">
        <v>36</v>
      </c>
      <c r="H143" t="s">
        <v>30</v>
      </c>
      <c r="I143" s="18" t="s">
        <v>31</v>
      </c>
      <c r="J143" s="18" t="s">
        <v>28</v>
      </c>
      <c r="K143" s="18" t="s">
        <v>24</v>
      </c>
      <c r="L143" t="str">
        <f t="shared" si="4"/>
        <v>2019/2018</v>
      </c>
      <c r="M143" s="19" t="str">
        <f t="shared" si="5"/>
        <v>2019/2018</v>
      </c>
      <c r="N143" s="24">
        <v>2514</v>
      </c>
      <c r="O143" s="18">
        <v>2018</v>
      </c>
    </row>
    <row r="144" spans="1:15">
      <c r="A144" s="18" t="s">
        <v>72</v>
      </c>
      <c r="B144" s="18" t="s">
        <v>73</v>
      </c>
      <c r="C144" s="18" t="s">
        <v>74</v>
      </c>
      <c r="D144" s="18" t="s">
        <v>75</v>
      </c>
      <c r="E144" s="18" t="s">
        <v>76</v>
      </c>
      <c r="F144" t="s">
        <v>37</v>
      </c>
      <c r="G144" t="s">
        <v>38</v>
      </c>
      <c r="H144" t="s">
        <v>30</v>
      </c>
      <c r="I144" s="18" t="s">
        <v>31</v>
      </c>
      <c r="J144" s="18" t="s">
        <v>28</v>
      </c>
      <c r="K144" s="18" t="s">
        <v>24</v>
      </c>
      <c r="L144" t="str">
        <f t="shared" si="4"/>
        <v>2019/2018</v>
      </c>
      <c r="M144" s="19" t="str">
        <f t="shared" si="5"/>
        <v>2019/2018</v>
      </c>
      <c r="N144" s="24">
        <v>62542</v>
      </c>
      <c r="O144" s="18">
        <v>2018</v>
      </c>
    </row>
    <row r="145" spans="1:15">
      <c r="A145" s="18" t="s">
        <v>72</v>
      </c>
      <c r="B145" s="18" t="s">
        <v>73</v>
      </c>
      <c r="C145" s="18" t="s">
        <v>74</v>
      </c>
      <c r="D145" s="18" t="s">
        <v>75</v>
      </c>
      <c r="E145" s="18" t="s">
        <v>76</v>
      </c>
      <c r="F145" t="s">
        <v>37</v>
      </c>
      <c r="G145" t="s">
        <v>38</v>
      </c>
      <c r="H145" t="s">
        <v>33</v>
      </c>
      <c r="I145" s="18" t="s">
        <v>34</v>
      </c>
      <c r="J145" s="18" t="s">
        <v>28</v>
      </c>
      <c r="K145" s="18" t="s">
        <v>24</v>
      </c>
      <c r="L145" t="str">
        <f t="shared" si="4"/>
        <v>2019/2018</v>
      </c>
      <c r="M145" s="19" t="str">
        <f t="shared" si="5"/>
        <v>2019/2018</v>
      </c>
      <c r="N145" s="24">
        <v>58781</v>
      </c>
      <c r="O145" s="18">
        <v>2018</v>
      </c>
    </row>
    <row r="146" spans="1:15">
      <c r="A146" s="18" t="s">
        <v>72</v>
      </c>
      <c r="B146" s="18" t="s">
        <v>73</v>
      </c>
      <c r="C146" s="18" t="s">
        <v>74</v>
      </c>
      <c r="D146" s="18" t="s">
        <v>75</v>
      </c>
      <c r="E146" s="18" t="s">
        <v>76</v>
      </c>
      <c r="F146" t="s">
        <v>39</v>
      </c>
      <c r="G146" t="s">
        <v>40</v>
      </c>
      <c r="H146" t="s">
        <v>33</v>
      </c>
      <c r="I146" s="18" t="s">
        <v>34</v>
      </c>
      <c r="J146" s="18" t="s">
        <v>28</v>
      </c>
      <c r="K146" s="18" t="s">
        <v>24</v>
      </c>
      <c r="L146" t="str">
        <f t="shared" si="4"/>
        <v>2019/2018</v>
      </c>
      <c r="M146" s="19" t="str">
        <f t="shared" si="5"/>
        <v>2019/2018</v>
      </c>
      <c r="N146" s="24">
        <v>256411</v>
      </c>
      <c r="O146" s="18">
        <v>2018</v>
      </c>
    </row>
    <row r="147" spans="1:15">
      <c r="A147" s="18" t="s">
        <v>72</v>
      </c>
      <c r="B147" s="18" t="s">
        <v>73</v>
      </c>
      <c r="C147" s="18" t="s">
        <v>74</v>
      </c>
      <c r="D147" s="18" t="s">
        <v>75</v>
      </c>
      <c r="E147" s="18" t="s">
        <v>76</v>
      </c>
      <c r="F147" t="s">
        <v>39</v>
      </c>
      <c r="G147" t="s">
        <v>40</v>
      </c>
      <c r="H147" t="s">
        <v>30</v>
      </c>
      <c r="I147" s="18" t="s">
        <v>31</v>
      </c>
      <c r="J147" s="18" t="s">
        <v>28</v>
      </c>
      <c r="K147" s="18" t="s">
        <v>24</v>
      </c>
      <c r="L147" t="str">
        <f t="shared" si="4"/>
        <v>2019/2018</v>
      </c>
      <c r="M147" s="19" t="str">
        <f t="shared" si="5"/>
        <v>2019/2018</v>
      </c>
      <c r="N147" s="24">
        <v>166166</v>
      </c>
      <c r="O147" s="18">
        <v>2018</v>
      </c>
    </row>
    <row r="148" spans="1:15">
      <c r="A148" s="18" t="s">
        <v>72</v>
      </c>
      <c r="B148" s="18" t="s">
        <v>73</v>
      </c>
      <c r="C148" s="18" t="s">
        <v>74</v>
      </c>
      <c r="D148" s="18" t="s">
        <v>75</v>
      </c>
      <c r="E148" s="18" t="s">
        <v>76</v>
      </c>
      <c r="F148" t="s">
        <v>15</v>
      </c>
      <c r="G148" t="s">
        <v>32</v>
      </c>
      <c r="H148" t="s">
        <v>30</v>
      </c>
      <c r="I148" s="18" t="s">
        <v>31</v>
      </c>
      <c r="J148" s="18" t="s">
        <v>27</v>
      </c>
      <c r="K148" s="18" t="s">
        <v>23</v>
      </c>
      <c r="L148" t="str">
        <f t="shared" si="4"/>
        <v>2019/2018</v>
      </c>
      <c r="M148" s="19" t="str">
        <f t="shared" si="5"/>
        <v>2019/2018</v>
      </c>
      <c r="N148" s="24">
        <v>72272</v>
      </c>
      <c r="O148" s="18">
        <v>2018</v>
      </c>
    </row>
    <row r="149" spans="1:15">
      <c r="A149" s="18" t="s">
        <v>72</v>
      </c>
      <c r="B149" s="18" t="s">
        <v>73</v>
      </c>
      <c r="C149" s="18" t="s">
        <v>74</v>
      </c>
      <c r="D149" s="18" t="s">
        <v>75</v>
      </c>
      <c r="E149" s="18" t="s">
        <v>76</v>
      </c>
      <c r="F149" t="s">
        <v>15</v>
      </c>
      <c r="G149" t="s">
        <v>32</v>
      </c>
      <c r="H149" t="s">
        <v>33</v>
      </c>
      <c r="I149" s="18" t="s">
        <v>34</v>
      </c>
      <c r="J149" s="18" t="s">
        <v>27</v>
      </c>
      <c r="K149" s="18" t="s">
        <v>23</v>
      </c>
      <c r="L149" t="str">
        <f t="shared" si="4"/>
        <v>2019/2018</v>
      </c>
      <c r="M149" s="19" t="str">
        <f t="shared" si="5"/>
        <v>2019/2018</v>
      </c>
      <c r="N149" s="24">
        <v>89797</v>
      </c>
      <c r="O149" s="18">
        <v>2018</v>
      </c>
    </row>
    <row r="150" spans="1:15">
      <c r="A150" s="18" t="s">
        <v>72</v>
      </c>
      <c r="B150" s="18" t="s">
        <v>73</v>
      </c>
      <c r="C150" s="18" t="s">
        <v>74</v>
      </c>
      <c r="D150" s="18" t="s">
        <v>75</v>
      </c>
      <c r="E150" s="18" t="s">
        <v>76</v>
      </c>
      <c r="F150" t="s">
        <v>35</v>
      </c>
      <c r="G150" t="s">
        <v>36</v>
      </c>
      <c r="H150" t="s">
        <v>30</v>
      </c>
      <c r="I150" s="18" t="s">
        <v>31</v>
      </c>
      <c r="J150" s="18" t="s">
        <v>27</v>
      </c>
      <c r="K150" s="18" t="s">
        <v>23</v>
      </c>
      <c r="L150" t="str">
        <f t="shared" si="4"/>
        <v>2019/2018</v>
      </c>
      <c r="M150" s="19" t="str">
        <f t="shared" si="5"/>
        <v>2019/2018</v>
      </c>
      <c r="N150" s="24">
        <v>2285</v>
      </c>
      <c r="O150" s="18">
        <v>2018</v>
      </c>
    </row>
    <row r="151" spans="1:15">
      <c r="A151" s="18" t="s">
        <v>72</v>
      </c>
      <c r="B151" s="18" t="s">
        <v>73</v>
      </c>
      <c r="C151" s="18" t="s">
        <v>74</v>
      </c>
      <c r="D151" s="18" t="s">
        <v>75</v>
      </c>
      <c r="E151" s="18" t="s">
        <v>76</v>
      </c>
      <c r="F151" t="s">
        <v>35</v>
      </c>
      <c r="G151" t="s">
        <v>36</v>
      </c>
      <c r="H151" t="s">
        <v>33</v>
      </c>
      <c r="I151" s="18" t="s">
        <v>34</v>
      </c>
      <c r="J151" s="18" t="s">
        <v>27</v>
      </c>
      <c r="K151" s="18" t="s">
        <v>23</v>
      </c>
      <c r="L151" t="str">
        <f t="shared" si="4"/>
        <v>2019/2018</v>
      </c>
      <c r="M151" s="19" t="str">
        <f t="shared" si="5"/>
        <v>2019/2018</v>
      </c>
      <c r="N151" s="24">
        <v>533</v>
      </c>
      <c r="O151" s="18">
        <v>2018</v>
      </c>
    </row>
    <row r="152" spans="1:15">
      <c r="A152" s="18" t="s">
        <v>72</v>
      </c>
      <c r="B152" s="18" t="s">
        <v>73</v>
      </c>
      <c r="C152" s="18" t="s">
        <v>74</v>
      </c>
      <c r="D152" s="18" t="s">
        <v>75</v>
      </c>
      <c r="E152" s="18" t="s">
        <v>76</v>
      </c>
      <c r="F152" t="s">
        <v>37</v>
      </c>
      <c r="G152" t="s">
        <v>38</v>
      </c>
      <c r="H152" t="s">
        <v>30</v>
      </c>
      <c r="I152" s="18" t="s">
        <v>31</v>
      </c>
      <c r="J152" s="18" t="s">
        <v>27</v>
      </c>
      <c r="K152" s="18" t="s">
        <v>23</v>
      </c>
      <c r="L152" t="str">
        <f t="shared" si="4"/>
        <v>2019/2018</v>
      </c>
      <c r="M152" s="19" t="str">
        <f t="shared" si="5"/>
        <v>2019/2018</v>
      </c>
      <c r="N152" s="24">
        <v>0</v>
      </c>
      <c r="O152" s="18">
        <v>2018</v>
      </c>
    </row>
    <row r="153" spans="1:15">
      <c r="A153" s="18" t="s">
        <v>72</v>
      </c>
      <c r="B153" s="18" t="s">
        <v>73</v>
      </c>
      <c r="C153" s="18" t="s">
        <v>74</v>
      </c>
      <c r="D153" s="18" t="s">
        <v>75</v>
      </c>
      <c r="E153" s="18" t="s">
        <v>76</v>
      </c>
      <c r="F153" t="s">
        <v>37</v>
      </c>
      <c r="G153" t="s">
        <v>38</v>
      </c>
      <c r="H153" t="s">
        <v>33</v>
      </c>
      <c r="I153" s="18" t="s">
        <v>34</v>
      </c>
      <c r="J153" s="18" t="s">
        <v>27</v>
      </c>
      <c r="K153" s="18" t="s">
        <v>23</v>
      </c>
      <c r="L153" t="str">
        <f t="shared" si="4"/>
        <v>2019/2018</v>
      </c>
      <c r="M153" s="19" t="str">
        <f t="shared" si="5"/>
        <v>2019/2018</v>
      </c>
      <c r="N153" s="24">
        <v>0</v>
      </c>
      <c r="O153" s="18">
        <v>2018</v>
      </c>
    </row>
    <row r="154" spans="1:15">
      <c r="A154" s="18" t="s">
        <v>72</v>
      </c>
      <c r="B154" s="18" t="s">
        <v>73</v>
      </c>
      <c r="C154" s="18" t="s">
        <v>74</v>
      </c>
      <c r="D154" s="18" t="s">
        <v>75</v>
      </c>
      <c r="E154" s="18" t="s">
        <v>76</v>
      </c>
      <c r="F154" t="s">
        <v>39</v>
      </c>
      <c r="G154" t="s">
        <v>40</v>
      </c>
      <c r="H154" t="s">
        <v>30</v>
      </c>
      <c r="I154" s="18" t="s">
        <v>31</v>
      </c>
      <c r="J154" s="18" t="s">
        <v>27</v>
      </c>
      <c r="K154" s="18" t="s">
        <v>23</v>
      </c>
      <c r="L154" t="str">
        <f t="shared" si="4"/>
        <v>2019/2018</v>
      </c>
      <c r="M154" s="19" t="str">
        <f t="shared" si="5"/>
        <v>2019/2018</v>
      </c>
      <c r="N154" s="24">
        <v>17424</v>
      </c>
      <c r="O154" s="18">
        <v>2018</v>
      </c>
    </row>
    <row r="155" spans="1:15">
      <c r="A155" s="18" t="s">
        <v>72</v>
      </c>
      <c r="B155" s="18" t="s">
        <v>73</v>
      </c>
      <c r="C155" s="18" t="s">
        <v>74</v>
      </c>
      <c r="D155" s="18" t="s">
        <v>75</v>
      </c>
      <c r="E155" s="18" t="s">
        <v>76</v>
      </c>
      <c r="F155" t="s">
        <v>39</v>
      </c>
      <c r="G155" t="s">
        <v>40</v>
      </c>
      <c r="H155" t="s">
        <v>33</v>
      </c>
      <c r="I155" s="18" t="s">
        <v>34</v>
      </c>
      <c r="J155" s="18" t="s">
        <v>27</v>
      </c>
      <c r="K155" s="18" t="s">
        <v>23</v>
      </c>
      <c r="L155" t="str">
        <f t="shared" si="4"/>
        <v>2019/2018</v>
      </c>
      <c r="M155" s="19" t="str">
        <f t="shared" si="5"/>
        <v>2019/2018</v>
      </c>
      <c r="N155" s="24">
        <v>14533</v>
      </c>
      <c r="O155" s="18">
        <v>2018</v>
      </c>
    </row>
    <row r="156" spans="1:15">
      <c r="A156" s="18" t="s">
        <v>72</v>
      </c>
      <c r="B156" s="18" t="s">
        <v>73</v>
      </c>
      <c r="C156" s="18" t="s">
        <v>74</v>
      </c>
      <c r="D156" s="18" t="s">
        <v>75</v>
      </c>
      <c r="E156" s="18" t="s">
        <v>76</v>
      </c>
      <c r="F156" t="s">
        <v>15</v>
      </c>
      <c r="G156" t="s">
        <v>32</v>
      </c>
      <c r="H156" t="s">
        <v>30</v>
      </c>
      <c r="I156" s="18" t="s">
        <v>31</v>
      </c>
      <c r="J156" s="18" t="s">
        <v>26</v>
      </c>
      <c r="K156" s="18" t="s">
        <v>22</v>
      </c>
      <c r="L156" t="str">
        <f t="shared" si="4"/>
        <v>2019/2018</v>
      </c>
      <c r="M156" s="19" t="str">
        <f t="shared" si="5"/>
        <v>2019/2018</v>
      </c>
      <c r="N156" s="24">
        <v>12805</v>
      </c>
      <c r="O156" s="18">
        <v>2018</v>
      </c>
    </row>
    <row r="157" spans="1:15">
      <c r="A157" s="18" t="s">
        <v>72</v>
      </c>
      <c r="B157" s="18" t="s">
        <v>73</v>
      </c>
      <c r="C157" s="18" t="s">
        <v>74</v>
      </c>
      <c r="D157" s="18" t="s">
        <v>75</v>
      </c>
      <c r="E157" s="18" t="s">
        <v>76</v>
      </c>
      <c r="F157" t="s">
        <v>15</v>
      </c>
      <c r="G157" t="s">
        <v>32</v>
      </c>
      <c r="H157" t="s">
        <v>33</v>
      </c>
      <c r="I157" s="18" t="s">
        <v>34</v>
      </c>
      <c r="J157" s="18" t="s">
        <v>26</v>
      </c>
      <c r="K157" s="18" t="s">
        <v>22</v>
      </c>
      <c r="L157" t="str">
        <f t="shared" si="4"/>
        <v>2019/2018</v>
      </c>
      <c r="M157" s="19" t="str">
        <f t="shared" si="5"/>
        <v>2019/2018</v>
      </c>
      <c r="N157" s="24">
        <v>9883</v>
      </c>
      <c r="O157" s="18">
        <v>2018</v>
      </c>
    </row>
    <row r="158" spans="1:15">
      <c r="A158" s="18" t="s">
        <v>72</v>
      </c>
      <c r="B158" s="18" t="s">
        <v>73</v>
      </c>
      <c r="C158" s="18" t="s">
        <v>74</v>
      </c>
      <c r="D158" s="18" t="s">
        <v>75</v>
      </c>
      <c r="E158" s="18" t="s">
        <v>76</v>
      </c>
      <c r="F158" t="s">
        <v>35</v>
      </c>
      <c r="G158" t="s">
        <v>36</v>
      </c>
      <c r="H158" t="s">
        <v>30</v>
      </c>
      <c r="I158" s="18" t="s">
        <v>31</v>
      </c>
      <c r="J158" s="18" t="s">
        <v>26</v>
      </c>
      <c r="K158" s="18" t="s">
        <v>22</v>
      </c>
      <c r="L158" t="str">
        <f t="shared" si="4"/>
        <v>2019/2018</v>
      </c>
      <c r="M158" s="19" t="str">
        <f t="shared" si="5"/>
        <v>2019/2018</v>
      </c>
      <c r="N158" s="24">
        <v>180</v>
      </c>
      <c r="O158" s="18">
        <v>2018</v>
      </c>
    </row>
    <row r="159" spans="1:15">
      <c r="A159" s="18" t="s">
        <v>72</v>
      </c>
      <c r="B159" s="18" t="s">
        <v>73</v>
      </c>
      <c r="C159" s="18" t="s">
        <v>74</v>
      </c>
      <c r="D159" s="18" t="s">
        <v>75</v>
      </c>
      <c r="E159" s="18" t="s">
        <v>76</v>
      </c>
      <c r="F159" t="s">
        <v>35</v>
      </c>
      <c r="G159" t="s">
        <v>36</v>
      </c>
      <c r="H159" t="s">
        <v>33</v>
      </c>
      <c r="I159" s="18" t="s">
        <v>34</v>
      </c>
      <c r="J159" s="18" t="s">
        <v>26</v>
      </c>
      <c r="K159" s="18" t="s">
        <v>22</v>
      </c>
      <c r="L159" t="str">
        <f t="shared" si="4"/>
        <v>2019/2018</v>
      </c>
      <c r="M159" s="19" t="str">
        <f t="shared" si="5"/>
        <v>2019/2018</v>
      </c>
      <c r="N159" s="24">
        <v>0</v>
      </c>
      <c r="O159" s="18">
        <v>2018</v>
      </c>
    </row>
    <row r="160" spans="1:15">
      <c r="A160" s="18" t="s">
        <v>72</v>
      </c>
      <c r="B160" s="18" t="s">
        <v>73</v>
      </c>
      <c r="C160" s="18" t="s">
        <v>74</v>
      </c>
      <c r="D160" s="18" t="s">
        <v>75</v>
      </c>
      <c r="E160" s="18" t="s">
        <v>76</v>
      </c>
      <c r="F160" t="s">
        <v>37</v>
      </c>
      <c r="G160" t="s">
        <v>38</v>
      </c>
      <c r="H160" t="s">
        <v>30</v>
      </c>
      <c r="I160" s="18" t="s">
        <v>31</v>
      </c>
      <c r="J160" s="18" t="s">
        <v>26</v>
      </c>
      <c r="K160" s="18" t="s">
        <v>22</v>
      </c>
      <c r="L160" t="str">
        <f t="shared" si="4"/>
        <v>2019/2018</v>
      </c>
      <c r="M160" s="19" t="str">
        <f t="shared" si="5"/>
        <v>2019/2018</v>
      </c>
      <c r="N160" s="24">
        <v>0</v>
      </c>
      <c r="O160" s="18">
        <v>2018</v>
      </c>
    </row>
    <row r="161" spans="1:15">
      <c r="A161" s="18" t="s">
        <v>72</v>
      </c>
      <c r="B161" s="18" t="s">
        <v>73</v>
      </c>
      <c r="C161" s="18" t="s">
        <v>74</v>
      </c>
      <c r="D161" s="18" t="s">
        <v>75</v>
      </c>
      <c r="E161" s="18" t="s">
        <v>76</v>
      </c>
      <c r="F161" t="s">
        <v>37</v>
      </c>
      <c r="G161" t="s">
        <v>38</v>
      </c>
      <c r="H161" t="s">
        <v>33</v>
      </c>
      <c r="I161" s="18" t="s">
        <v>34</v>
      </c>
      <c r="J161" s="18" t="s">
        <v>26</v>
      </c>
      <c r="K161" s="18" t="s">
        <v>22</v>
      </c>
      <c r="L161" t="str">
        <f t="shared" si="4"/>
        <v>2019/2018</v>
      </c>
      <c r="M161" s="19" t="str">
        <f t="shared" si="5"/>
        <v>2019/2018</v>
      </c>
      <c r="N161" s="24">
        <v>0</v>
      </c>
      <c r="O161" s="18">
        <v>2018</v>
      </c>
    </row>
    <row r="162" spans="1:15">
      <c r="A162" s="18" t="s">
        <v>72</v>
      </c>
      <c r="B162" s="18" t="s">
        <v>73</v>
      </c>
      <c r="C162" s="18" t="s">
        <v>74</v>
      </c>
      <c r="D162" s="18" t="s">
        <v>75</v>
      </c>
      <c r="E162" s="18" t="s">
        <v>76</v>
      </c>
      <c r="F162" t="s">
        <v>39</v>
      </c>
      <c r="G162" t="s">
        <v>40</v>
      </c>
      <c r="H162" t="s">
        <v>30</v>
      </c>
      <c r="I162" s="18" t="s">
        <v>31</v>
      </c>
      <c r="J162" s="18" t="s">
        <v>26</v>
      </c>
      <c r="K162" s="18" t="s">
        <v>22</v>
      </c>
      <c r="L162" t="str">
        <f t="shared" si="4"/>
        <v>2019/2018</v>
      </c>
      <c r="M162" s="19" t="str">
        <f t="shared" si="5"/>
        <v>2019/2018</v>
      </c>
      <c r="N162" s="24">
        <v>618</v>
      </c>
      <c r="O162" s="18">
        <v>2018</v>
      </c>
    </row>
    <row r="163" spans="1:15">
      <c r="A163" s="18" t="s">
        <v>72</v>
      </c>
      <c r="B163" s="18" t="s">
        <v>73</v>
      </c>
      <c r="C163" s="18" t="s">
        <v>74</v>
      </c>
      <c r="D163" s="18" t="s">
        <v>75</v>
      </c>
      <c r="E163" s="18" t="s">
        <v>76</v>
      </c>
      <c r="F163" t="s">
        <v>39</v>
      </c>
      <c r="G163" t="s">
        <v>40</v>
      </c>
      <c r="H163" t="s">
        <v>33</v>
      </c>
      <c r="I163" s="18" t="s">
        <v>34</v>
      </c>
      <c r="J163" s="18" t="s">
        <v>26</v>
      </c>
      <c r="K163" s="18" t="s">
        <v>22</v>
      </c>
      <c r="L163" t="str">
        <f t="shared" si="4"/>
        <v>2019/2018</v>
      </c>
      <c r="M163" s="19" t="str">
        <f t="shared" si="5"/>
        <v>2019/2018</v>
      </c>
      <c r="N163" s="24">
        <v>66</v>
      </c>
      <c r="O163" s="18">
        <v>2018</v>
      </c>
    </row>
    <row r="164" spans="1:15">
      <c r="A164" s="18" t="s">
        <v>72</v>
      </c>
      <c r="B164" s="18" t="s">
        <v>73</v>
      </c>
      <c r="C164" s="18" t="s">
        <v>74</v>
      </c>
      <c r="D164" s="18" t="s">
        <v>75</v>
      </c>
      <c r="E164" s="18" t="s">
        <v>76</v>
      </c>
      <c r="F164" t="s">
        <v>15</v>
      </c>
      <c r="G164" t="s">
        <v>32</v>
      </c>
      <c r="H164" t="s">
        <v>30</v>
      </c>
      <c r="I164" s="18" t="s">
        <v>31</v>
      </c>
      <c r="J164" s="18" t="s">
        <v>29</v>
      </c>
      <c r="K164" s="18" t="s">
        <v>25</v>
      </c>
      <c r="L164" t="str">
        <f t="shared" si="4"/>
        <v>2018/2017</v>
      </c>
      <c r="M164" s="19" t="str">
        <f t="shared" si="5"/>
        <v>2018/2017</v>
      </c>
      <c r="N164" s="23">
        <v>16093</v>
      </c>
      <c r="O164" s="18">
        <v>2017</v>
      </c>
    </row>
    <row r="165" spans="1:15">
      <c r="A165" s="18" t="s">
        <v>72</v>
      </c>
      <c r="B165" s="18" t="s">
        <v>73</v>
      </c>
      <c r="C165" s="18" t="s">
        <v>74</v>
      </c>
      <c r="D165" s="18" t="s">
        <v>75</v>
      </c>
      <c r="E165" s="18" t="s">
        <v>76</v>
      </c>
      <c r="F165" t="s">
        <v>15</v>
      </c>
      <c r="G165" t="s">
        <v>32</v>
      </c>
      <c r="H165" t="s">
        <v>33</v>
      </c>
      <c r="I165" s="18" t="s">
        <v>34</v>
      </c>
      <c r="J165" s="18" t="s">
        <v>29</v>
      </c>
      <c r="K165" s="18" t="s">
        <v>25</v>
      </c>
      <c r="L165" t="str">
        <f t="shared" si="4"/>
        <v>2018/2017</v>
      </c>
      <c r="M165" s="19" t="str">
        <f t="shared" si="5"/>
        <v>2018/2017</v>
      </c>
      <c r="N165" s="23">
        <v>17695</v>
      </c>
      <c r="O165" s="18">
        <v>2017</v>
      </c>
    </row>
    <row r="166" spans="1:15">
      <c r="A166" s="18" t="s">
        <v>72</v>
      </c>
      <c r="B166" s="18" t="s">
        <v>73</v>
      </c>
      <c r="C166" s="18" t="s">
        <v>74</v>
      </c>
      <c r="D166" s="18" t="s">
        <v>75</v>
      </c>
      <c r="E166" s="18" t="s">
        <v>76</v>
      </c>
      <c r="F166" t="s">
        <v>35</v>
      </c>
      <c r="G166" t="s">
        <v>36</v>
      </c>
      <c r="H166" t="s">
        <v>33</v>
      </c>
      <c r="I166" s="18" t="s">
        <v>34</v>
      </c>
      <c r="J166" s="18" t="s">
        <v>29</v>
      </c>
      <c r="K166" s="18" t="s">
        <v>25</v>
      </c>
      <c r="L166" t="str">
        <f t="shared" si="4"/>
        <v>2018/2017</v>
      </c>
      <c r="M166" s="19" t="str">
        <f t="shared" si="5"/>
        <v>2018/2017</v>
      </c>
      <c r="N166" s="23">
        <v>142</v>
      </c>
      <c r="O166" s="18">
        <v>2017</v>
      </c>
    </row>
    <row r="167" spans="1:15">
      <c r="A167" s="18" t="s">
        <v>72</v>
      </c>
      <c r="B167" s="18" t="s">
        <v>73</v>
      </c>
      <c r="C167" s="18" t="s">
        <v>74</v>
      </c>
      <c r="D167" s="18" t="s">
        <v>75</v>
      </c>
      <c r="E167" s="18" t="s">
        <v>76</v>
      </c>
      <c r="F167" t="s">
        <v>35</v>
      </c>
      <c r="G167" t="s">
        <v>36</v>
      </c>
      <c r="H167" t="s">
        <v>30</v>
      </c>
      <c r="I167" s="18" t="s">
        <v>31</v>
      </c>
      <c r="J167" s="18" t="s">
        <v>29</v>
      </c>
      <c r="K167" s="18" t="s">
        <v>25</v>
      </c>
      <c r="L167" t="str">
        <f t="shared" si="4"/>
        <v>2018/2017</v>
      </c>
      <c r="M167" s="19" t="str">
        <f t="shared" si="5"/>
        <v>2018/2017</v>
      </c>
      <c r="N167" s="23">
        <v>125</v>
      </c>
      <c r="O167" s="18">
        <v>2017</v>
      </c>
    </row>
    <row r="168" spans="1:15">
      <c r="A168" s="18" t="s">
        <v>72</v>
      </c>
      <c r="B168" s="18" t="s">
        <v>73</v>
      </c>
      <c r="C168" s="18" t="s">
        <v>74</v>
      </c>
      <c r="D168" s="18" t="s">
        <v>75</v>
      </c>
      <c r="E168" s="18" t="s">
        <v>76</v>
      </c>
      <c r="F168" t="s">
        <v>37</v>
      </c>
      <c r="G168" t="s">
        <v>38</v>
      </c>
      <c r="H168" t="s">
        <v>30</v>
      </c>
      <c r="I168" s="18" t="s">
        <v>31</v>
      </c>
      <c r="J168" s="18" t="s">
        <v>29</v>
      </c>
      <c r="K168" s="18" t="s">
        <v>25</v>
      </c>
      <c r="L168" t="str">
        <f t="shared" si="4"/>
        <v>2018/2017</v>
      </c>
      <c r="M168" s="19" t="str">
        <f t="shared" si="5"/>
        <v>2018/2017</v>
      </c>
      <c r="N168" s="23">
        <v>0</v>
      </c>
      <c r="O168" s="18">
        <v>2017</v>
      </c>
    </row>
    <row r="169" spans="1:15">
      <c r="A169" s="18" t="s">
        <v>72</v>
      </c>
      <c r="B169" s="18" t="s">
        <v>73</v>
      </c>
      <c r="C169" s="18" t="s">
        <v>74</v>
      </c>
      <c r="D169" s="18" t="s">
        <v>75</v>
      </c>
      <c r="E169" s="18" t="s">
        <v>76</v>
      </c>
      <c r="F169" t="s">
        <v>37</v>
      </c>
      <c r="G169" t="s">
        <v>38</v>
      </c>
      <c r="H169" t="s">
        <v>33</v>
      </c>
      <c r="I169" s="18" t="s">
        <v>34</v>
      </c>
      <c r="J169" s="18" t="s">
        <v>29</v>
      </c>
      <c r="K169" s="18" t="s">
        <v>25</v>
      </c>
      <c r="L169" t="str">
        <f t="shared" si="4"/>
        <v>2018/2017</v>
      </c>
      <c r="M169" s="19" t="str">
        <f t="shared" si="5"/>
        <v>2018/2017</v>
      </c>
      <c r="N169" s="23">
        <v>0</v>
      </c>
      <c r="O169" s="18">
        <v>2017</v>
      </c>
    </row>
    <row r="170" spans="1:15">
      <c r="A170" s="18" t="s">
        <v>72</v>
      </c>
      <c r="B170" s="18" t="s">
        <v>73</v>
      </c>
      <c r="C170" s="18" t="s">
        <v>74</v>
      </c>
      <c r="D170" s="18" t="s">
        <v>75</v>
      </c>
      <c r="E170" s="18" t="s">
        <v>76</v>
      </c>
      <c r="F170" t="s">
        <v>39</v>
      </c>
      <c r="G170" t="s">
        <v>40</v>
      </c>
      <c r="H170" t="s">
        <v>33</v>
      </c>
      <c r="I170" s="18" t="s">
        <v>34</v>
      </c>
      <c r="J170" s="18" t="s">
        <v>29</v>
      </c>
      <c r="K170" s="18" t="s">
        <v>25</v>
      </c>
      <c r="L170" t="str">
        <f t="shared" si="4"/>
        <v>2018/2017</v>
      </c>
      <c r="M170" s="19" t="str">
        <f t="shared" si="5"/>
        <v>2018/2017</v>
      </c>
      <c r="N170" s="23">
        <v>49168</v>
      </c>
      <c r="O170" s="18">
        <v>2017</v>
      </c>
    </row>
    <row r="171" spans="1:15">
      <c r="A171" s="18" t="s">
        <v>72</v>
      </c>
      <c r="B171" s="18" t="s">
        <v>73</v>
      </c>
      <c r="C171" s="18" t="s">
        <v>74</v>
      </c>
      <c r="D171" s="18" t="s">
        <v>75</v>
      </c>
      <c r="E171" s="18" t="s">
        <v>76</v>
      </c>
      <c r="F171" t="s">
        <v>39</v>
      </c>
      <c r="G171" t="s">
        <v>40</v>
      </c>
      <c r="H171" t="s">
        <v>30</v>
      </c>
      <c r="I171" s="18" t="s">
        <v>31</v>
      </c>
      <c r="J171" s="18" t="s">
        <v>29</v>
      </c>
      <c r="K171" s="18" t="s">
        <v>25</v>
      </c>
      <c r="L171" t="str">
        <f t="shared" si="4"/>
        <v>2018/2017</v>
      </c>
      <c r="M171" s="19" t="str">
        <f t="shared" si="5"/>
        <v>2018/2017</v>
      </c>
      <c r="N171" s="23">
        <v>44812</v>
      </c>
      <c r="O171" s="18">
        <v>2017</v>
      </c>
    </row>
    <row r="172" spans="1:15">
      <c r="A172" s="18" t="s">
        <v>72</v>
      </c>
      <c r="B172" s="18" t="s">
        <v>73</v>
      </c>
      <c r="C172" s="18" t="s">
        <v>74</v>
      </c>
      <c r="D172" s="18" t="s">
        <v>75</v>
      </c>
      <c r="E172" s="18" t="s">
        <v>76</v>
      </c>
      <c r="F172" t="s">
        <v>15</v>
      </c>
      <c r="G172" t="s">
        <v>32</v>
      </c>
      <c r="H172" t="s">
        <v>30</v>
      </c>
      <c r="I172" s="18" t="s">
        <v>31</v>
      </c>
      <c r="J172" s="18" t="s">
        <v>28</v>
      </c>
      <c r="K172" s="18" t="s">
        <v>24</v>
      </c>
      <c r="L172" t="str">
        <f t="shared" si="4"/>
        <v>2018/2017</v>
      </c>
      <c r="M172" s="19" t="str">
        <f t="shared" si="5"/>
        <v>2018/2017</v>
      </c>
      <c r="N172" s="23">
        <v>554383</v>
      </c>
      <c r="O172" s="18">
        <v>2017</v>
      </c>
    </row>
    <row r="173" spans="1:15">
      <c r="A173" s="18" t="s">
        <v>72</v>
      </c>
      <c r="B173" s="18" t="s">
        <v>73</v>
      </c>
      <c r="C173" s="18" t="s">
        <v>74</v>
      </c>
      <c r="D173" s="18" t="s">
        <v>75</v>
      </c>
      <c r="E173" s="18" t="s">
        <v>76</v>
      </c>
      <c r="F173" t="s">
        <v>15</v>
      </c>
      <c r="G173" t="s">
        <v>32</v>
      </c>
      <c r="H173" t="s">
        <v>33</v>
      </c>
      <c r="I173" s="18" t="s">
        <v>34</v>
      </c>
      <c r="J173" s="18" t="s">
        <v>28</v>
      </c>
      <c r="K173" s="18" t="s">
        <v>24</v>
      </c>
      <c r="L173" t="str">
        <f t="shared" si="4"/>
        <v>2018/2017</v>
      </c>
      <c r="M173" s="19" t="str">
        <f t="shared" si="5"/>
        <v>2018/2017</v>
      </c>
      <c r="N173" s="23">
        <v>622809</v>
      </c>
      <c r="O173" s="18">
        <v>2017</v>
      </c>
    </row>
    <row r="174" spans="1:15">
      <c r="A174" s="18" t="s">
        <v>72</v>
      </c>
      <c r="B174" s="18" t="s">
        <v>73</v>
      </c>
      <c r="C174" s="18" t="s">
        <v>74</v>
      </c>
      <c r="D174" s="18" t="s">
        <v>75</v>
      </c>
      <c r="E174" s="18" t="s">
        <v>76</v>
      </c>
      <c r="F174" t="s">
        <v>35</v>
      </c>
      <c r="G174" t="s">
        <v>36</v>
      </c>
      <c r="H174" t="s">
        <v>33</v>
      </c>
      <c r="I174" s="18" t="s">
        <v>34</v>
      </c>
      <c r="J174" s="18" t="s">
        <v>28</v>
      </c>
      <c r="K174" s="18" t="s">
        <v>24</v>
      </c>
      <c r="L174" t="str">
        <f t="shared" si="4"/>
        <v>2018/2017</v>
      </c>
      <c r="M174" s="19" t="str">
        <f t="shared" si="5"/>
        <v>2018/2017</v>
      </c>
      <c r="N174" s="23">
        <v>12102</v>
      </c>
      <c r="O174" s="18">
        <v>2017</v>
      </c>
    </row>
    <row r="175" spans="1:15">
      <c r="A175" s="18" t="s">
        <v>72</v>
      </c>
      <c r="B175" s="18" t="s">
        <v>73</v>
      </c>
      <c r="C175" s="18" t="s">
        <v>74</v>
      </c>
      <c r="D175" s="18" t="s">
        <v>75</v>
      </c>
      <c r="E175" s="18" t="s">
        <v>76</v>
      </c>
      <c r="F175" t="s">
        <v>35</v>
      </c>
      <c r="G175" t="s">
        <v>36</v>
      </c>
      <c r="H175" t="s">
        <v>30</v>
      </c>
      <c r="I175" s="18" t="s">
        <v>31</v>
      </c>
      <c r="J175" s="18" t="s">
        <v>28</v>
      </c>
      <c r="K175" s="18" t="s">
        <v>24</v>
      </c>
      <c r="L175" t="str">
        <f t="shared" si="4"/>
        <v>2018/2017</v>
      </c>
      <c r="M175" s="19" t="str">
        <f t="shared" si="5"/>
        <v>2018/2017</v>
      </c>
      <c r="N175" s="23">
        <v>2736</v>
      </c>
      <c r="O175" s="18">
        <v>2017</v>
      </c>
    </row>
    <row r="176" spans="1:15">
      <c r="A176" s="18" t="s">
        <v>72</v>
      </c>
      <c r="B176" s="18" t="s">
        <v>73</v>
      </c>
      <c r="C176" s="18" t="s">
        <v>74</v>
      </c>
      <c r="D176" s="18" t="s">
        <v>75</v>
      </c>
      <c r="E176" s="18" t="s">
        <v>76</v>
      </c>
      <c r="F176" t="s">
        <v>37</v>
      </c>
      <c r="G176" t="s">
        <v>38</v>
      </c>
      <c r="H176" t="s">
        <v>30</v>
      </c>
      <c r="I176" s="18" t="s">
        <v>31</v>
      </c>
      <c r="J176" s="18" t="s">
        <v>28</v>
      </c>
      <c r="K176" s="18" t="s">
        <v>24</v>
      </c>
      <c r="L176" t="str">
        <f t="shared" si="4"/>
        <v>2018/2017</v>
      </c>
      <c r="M176" s="19" t="str">
        <f t="shared" si="5"/>
        <v>2018/2017</v>
      </c>
      <c r="N176" s="23">
        <v>61764</v>
      </c>
      <c r="O176" s="18">
        <v>2017</v>
      </c>
    </row>
    <row r="177" spans="1:15">
      <c r="A177" s="18" t="s">
        <v>72</v>
      </c>
      <c r="B177" s="18" t="s">
        <v>73</v>
      </c>
      <c r="C177" s="18" t="s">
        <v>74</v>
      </c>
      <c r="D177" s="18" t="s">
        <v>75</v>
      </c>
      <c r="E177" s="18" t="s">
        <v>76</v>
      </c>
      <c r="F177" t="s">
        <v>37</v>
      </c>
      <c r="G177" t="s">
        <v>38</v>
      </c>
      <c r="H177" t="s">
        <v>33</v>
      </c>
      <c r="I177" s="18" t="s">
        <v>34</v>
      </c>
      <c r="J177" s="18" t="s">
        <v>28</v>
      </c>
      <c r="K177" s="18" t="s">
        <v>24</v>
      </c>
      <c r="L177" t="str">
        <f t="shared" si="4"/>
        <v>2018/2017</v>
      </c>
      <c r="M177" s="19" t="str">
        <f t="shared" si="5"/>
        <v>2018/2017</v>
      </c>
      <c r="N177" s="23">
        <v>58399</v>
      </c>
      <c r="O177" s="18">
        <v>2017</v>
      </c>
    </row>
    <row r="178" spans="1:15">
      <c r="A178" s="18" t="s">
        <v>72</v>
      </c>
      <c r="B178" s="18" t="s">
        <v>73</v>
      </c>
      <c r="C178" s="18" t="s">
        <v>74</v>
      </c>
      <c r="D178" s="18" t="s">
        <v>75</v>
      </c>
      <c r="E178" s="18" t="s">
        <v>76</v>
      </c>
      <c r="F178" t="s">
        <v>39</v>
      </c>
      <c r="G178" t="s">
        <v>40</v>
      </c>
      <c r="H178" t="s">
        <v>33</v>
      </c>
      <c r="I178" s="18" t="s">
        <v>34</v>
      </c>
      <c r="J178" s="18" t="s">
        <v>28</v>
      </c>
      <c r="K178" s="18" t="s">
        <v>24</v>
      </c>
      <c r="L178" t="str">
        <f t="shared" si="4"/>
        <v>2018/2017</v>
      </c>
      <c r="M178" s="19" t="str">
        <f t="shared" si="5"/>
        <v>2018/2017</v>
      </c>
      <c r="N178" s="23">
        <v>249294</v>
      </c>
      <c r="O178" s="18">
        <v>2017</v>
      </c>
    </row>
    <row r="179" spans="1:15">
      <c r="A179" s="18" t="s">
        <v>72</v>
      </c>
      <c r="B179" s="18" t="s">
        <v>73</v>
      </c>
      <c r="C179" s="18" t="s">
        <v>74</v>
      </c>
      <c r="D179" s="18" t="s">
        <v>75</v>
      </c>
      <c r="E179" s="18" t="s">
        <v>76</v>
      </c>
      <c r="F179" t="s">
        <v>39</v>
      </c>
      <c r="G179" t="s">
        <v>40</v>
      </c>
      <c r="H179" t="s">
        <v>30</v>
      </c>
      <c r="I179" s="18" t="s">
        <v>31</v>
      </c>
      <c r="J179" s="18" t="s">
        <v>28</v>
      </c>
      <c r="K179" s="18" t="s">
        <v>24</v>
      </c>
      <c r="L179" t="str">
        <f t="shared" si="4"/>
        <v>2018/2017</v>
      </c>
      <c r="M179" s="19" t="str">
        <f t="shared" si="5"/>
        <v>2018/2017</v>
      </c>
      <c r="N179" s="23">
        <v>161193</v>
      </c>
      <c r="O179" s="18">
        <v>2017</v>
      </c>
    </row>
    <row r="180" spans="1:15">
      <c r="A180" s="18" t="s">
        <v>72</v>
      </c>
      <c r="B180" s="18" t="s">
        <v>73</v>
      </c>
      <c r="C180" s="18" t="s">
        <v>74</v>
      </c>
      <c r="D180" s="18" t="s">
        <v>75</v>
      </c>
      <c r="E180" s="18" t="s">
        <v>76</v>
      </c>
      <c r="F180" t="s">
        <v>15</v>
      </c>
      <c r="G180" t="s">
        <v>32</v>
      </c>
      <c r="H180" t="s">
        <v>30</v>
      </c>
      <c r="I180" s="18" t="s">
        <v>31</v>
      </c>
      <c r="J180" s="18" t="s">
        <v>27</v>
      </c>
      <c r="K180" s="18" t="s">
        <v>23</v>
      </c>
      <c r="L180" t="str">
        <f t="shared" si="4"/>
        <v>2018/2017</v>
      </c>
      <c r="M180" s="19" t="str">
        <f t="shared" si="5"/>
        <v>2018/2017</v>
      </c>
      <c r="N180" s="23">
        <v>61640</v>
      </c>
      <c r="O180" s="18">
        <v>2017</v>
      </c>
    </row>
    <row r="181" spans="1:15">
      <c r="A181" s="18" t="s">
        <v>72</v>
      </c>
      <c r="B181" s="18" t="s">
        <v>73</v>
      </c>
      <c r="C181" s="18" t="s">
        <v>74</v>
      </c>
      <c r="D181" s="18" t="s">
        <v>75</v>
      </c>
      <c r="E181" s="18" t="s">
        <v>76</v>
      </c>
      <c r="F181" t="s">
        <v>15</v>
      </c>
      <c r="G181" t="s">
        <v>32</v>
      </c>
      <c r="H181" t="s">
        <v>33</v>
      </c>
      <c r="I181" s="18" t="s">
        <v>34</v>
      </c>
      <c r="J181" s="18" t="s">
        <v>27</v>
      </c>
      <c r="K181" s="18" t="s">
        <v>23</v>
      </c>
      <c r="L181" t="str">
        <f t="shared" si="4"/>
        <v>2018/2017</v>
      </c>
      <c r="M181" s="19" t="str">
        <f t="shared" si="5"/>
        <v>2018/2017</v>
      </c>
      <c r="N181" s="23">
        <v>84076</v>
      </c>
      <c r="O181" s="18">
        <v>2017</v>
      </c>
    </row>
    <row r="182" spans="1:15">
      <c r="A182" s="18" t="s">
        <v>72</v>
      </c>
      <c r="B182" s="18" t="s">
        <v>73</v>
      </c>
      <c r="C182" s="18" t="s">
        <v>74</v>
      </c>
      <c r="D182" s="18" t="s">
        <v>75</v>
      </c>
      <c r="E182" s="18" t="s">
        <v>76</v>
      </c>
      <c r="F182" t="s">
        <v>35</v>
      </c>
      <c r="G182" t="s">
        <v>36</v>
      </c>
      <c r="H182" t="s">
        <v>30</v>
      </c>
      <c r="I182" s="18" t="s">
        <v>31</v>
      </c>
      <c r="J182" s="18" t="s">
        <v>27</v>
      </c>
      <c r="K182" s="18" t="s">
        <v>23</v>
      </c>
      <c r="L182" t="str">
        <f t="shared" si="4"/>
        <v>2018/2017</v>
      </c>
      <c r="M182" s="19" t="str">
        <f t="shared" si="5"/>
        <v>2018/2017</v>
      </c>
      <c r="N182" s="23">
        <v>2200</v>
      </c>
      <c r="O182" s="18">
        <v>2017</v>
      </c>
    </row>
    <row r="183" spans="1:15">
      <c r="A183" s="18" t="s">
        <v>72</v>
      </c>
      <c r="B183" s="18" t="s">
        <v>73</v>
      </c>
      <c r="C183" s="18" t="s">
        <v>74</v>
      </c>
      <c r="D183" s="18" t="s">
        <v>75</v>
      </c>
      <c r="E183" s="18" t="s">
        <v>76</v>
      </c>
      <c r="F183" t="s">
        <v>35</v>
      </c>
      <c r="G183" t="s">
        <v>36</v>
      </c>
      <c r="H183" t="s">
        <v>33</v>
      </c>
      <c r="I183" s="18" t="s">
        <v>34</v>
      </c>
      <c r="J183" s="18" t="s">
        <v>27</v>
      </c>
      <c r="K183" s="18" t="s">
        <v>23</v>
      </c>
      <c r="L183" t="str">
        <f t="shared" si="4"/>
        <v>2018/2017</v>
      </c>
      <c r="M183" s="19" t="str">
        <f t="shared" si="5"/>
        <v>2018/2017</v>
      </c>
      <c r="N183" s="23">
        <v>531</v>
      </c>
      <c r="O183" s="18">
        <v>2017</v>
      </c>
    </row>
    <row r="184" spans="1:15">
      <c r="A184" s="18" t="s">
        <v>72</v>
      </c>
      <c r="B184" s="18" t="s">
        <v>73</v>
      </c>
      <c r="C184" s="18" t="s">
        <v>74</v>
      </c>
      <c r="D184" s="18" t="s">
        <v>75</v>
      </c>
      <c r="E184" s="18" t="s">
        <v>76</v>
      </c>
      <c r="F184" t="s">
        <v>37</v>
      </c>
      <c r="G184" t="s">
        <v>38</v>
      </c>
      <c r="H184" t="s">
        <v>30</v>
      </c>
      <c r="I184" s="18" t="s">
        <v>31</v>
      </c>
      <c r="J184" s="18" t="s">
        <v>27</v>
      </c>
      <c r="K184" s="18" t="s">
        <v>23</v>
      </c>
      <c r="L184" t="str">
        <f t="shared" si="4"/>
        <v>2018/2017</v>
      </c>
      <c r="M184" s="19" t="str">
        <f t="shared" si="5"/>
        <v>2018/2017</v>
      </c>
      <c r="N184" s="23">
        <v>0</v>
      </c>
      <c r="O184" s="18">
        <v>2017</v>
      </c>
    </row>
    <row r="185" spans="1:15">
      <c r="A185" s="18" t="s">
        <v>72</v>
      </c>
      <c r="B185" s="18" t="s">
        <v>73</v>
      </c>
      <c r="C185" s="18" t="s">
        <v>74</v>
      </c>
      <c r="D185" s="18" t="s">
        <v>75</v>
      </c>
      <c r="E185" s="18" t="s">
        <v>76</v>
      </c>
      <c r="F185" t="s">
        <v>37</v>
      </c>
      <c r="G185" t="s">
        <v>38</v>
      </c>
      <c r="H185" t="s">
        <v>33</v>
      </c>
      <c r="I185" s="18" t="s">
        <v>34</v>
      </c>
      <c r="J185" s="18" t="s">
        <v>27</v>
      </c>
      <c r="K185" s="18" t="s">
        <v>23</v>
      </c>
      <c r="L185" t="str">
        <f t="shared" si="4"/>
        <v>2018/2017</v>
      </c>
      <c r="M185" s="19" t="str">
        <f t="shared" si="5"/>
        <v>2018/2017</v>
      </c>
      <c r="N185" s="23">
        <v>0</v>
      </c>
      <c r="O185" s="18">
        <v>2017</v>
      </c>
    </row>
    <row r="186" spans="1:15">
      <c r="A186" s="18" t="s">
        <v>72</v>
      </c>
      <c r="B186" s="18" t="s">
        <v>73</v>
      </c>
      <c r="C186" s="18" t="s">
        <v>74</v>
      </c>
      <c r="D186" s="18" t="s">
        <v>75</v>
      </c>
      <c r="E186" s="18" t="s">
        <v>76</v>
      </c>
      <c r="F186" t="s">
        <v>39</v>
      </c>
      <c r="G186" t="s">
        <v>40</v>
      </c>
      <c r="H186" t="s">
        <v>30</v>
      </c>
      <c r="I186" s="18" t="s">
        <v>31</v>
      </c>
      <c r="J186" s="18" t="s">
        <v>27</v>
      </c>
      <c r="K186" s="18" t="s">
        <v>23</v>
      </c>
      <c r="L186" t="str">
        <f t="shared" si="4"/>
        <v>2018/2017</v>
      </c>
      <c r="M186" s="19" t="str">
        <f t="shared" si="5"/>
        <v>2018/2017</v>
      </c>
      <c r="N186" s="23">
        <v>15980</v>
      </c>
      <c r="O186" s="18">
        <v>2017</v>
      </c>
    </row>
    <row r="187" spans="1:15">
      <c r="A187" s="18" t="s">
        <v>72</v>
      </c>
      <c r="B187" s="18" t="s">
        <v>73</v>
      </c>
      <c r="C187" s="18" t="s">
        <v>74</v>
      </c>
      <c r="D187" s="18" t="s">
        <v>75</v>
      </c>
      <c r="E187" s="18" t="s">
        <v>76</v>
      </c>
      <c r="F187" t="s">
        <v>39</v>
      </c>
      <c r="G187" t="s">
        <v>40</v>
      </c>
      <c r="H187" t="s">
        <v>33</v>
      </c>
      <c r="I187" s="18" t="s">
        <v>34</v>
      </c>
      <c r="J187" s="18" t="s">
        <v>27</v>
      </c>
      <c r="K187" s="18" t="s">
        <v>23</v>
      </c>
      <c r="L187" t="str">
        <f t="shared" si="4"/>
        <v>2018/2017</v>
      </c>
      <c r="M187" s="19" t="str">
        <f t="shared" si="5"/>
        <v>2018/2017</v>
      </c>
      <c r="N187" s="23">
        <v>13518</v>
      </c>
      <c r="O187" s="18">
        <v>2017</v>
      </c>
    </row>
    <row r="188" spans="1:15">
      <c r="A188" s="18" t="s">
        <v>72</v>
      </c>
      <c r="B188" s="18" t="s">
        <v>73</v>
      </c>
      <c r="C188" s="18" t="s">
        <v>74</v>
      </c>
      <c r="D188" s="18" t="s">
        <v>75</v>
      </c>
      <c r="E188" s="18" t="s">
        <v>76</v>
      </c>
      <c r="F188" t="s">
        <v>15</v>
      </c>
      <c r="G188" t="s">
        <v>32</v>
      </c>
      <c r="H188" t="s">
        <v>30</v>
      </c>
      <c r="I188" s="18" t="s">
        <v>31</v>
      </c>
      <c r="J188" s="18" t="s">
        <v>26</v>
      </c>
      <c r="K188" s="18" t="s">
        <v>22</v>
      </c>
      <c r="L188" t="str">
        <f t="shared" si="4"/>
        <v>2018/2017</v>
      </c>
      <c r="M188" s="19" t="str">
        <f t="shared" si="5"/>
        <v>2018/2017</v>
      </c>
      <c r="N188" s="23">
        <v>13039</v>
      </c>
      <c r="O188" s="18">
        <v>2017</v>
      </c>
    </row>
    <row r="189" spans="1:15">
      <c r="A189" s="18" t="s">
        <v>72</v>
      </c>
      <c r="B189" s="18" t="s">
        <v>73</v>
      </c>
      <c r="C189" s="18" t="s">
        <v>74</v>
      </c>
      <c r="D189" s="18" t="s">
        <v>75</v>
      </c>
      <c r="E189" s="18" t="s">
        <v>76</v>
      </c>
      <c r="F189" t="s">
        <v>15</v>
      </c>
      <c r="G189" t="s">
        <v>32</v>
      </c>
      <c r="H189" t="s">
        <v>33</v>
      </c>
      <c r="I189" s="18" t="s">
        <v>34</v>
      </c>
      <c r="J189" s="18" t="s">
        <v>26</v>
      </c>
      <c r="K189" s="18" t="s">
        <v>22</v>
      </c>
      <c r="L189" t="str">
        <f t="shared" si="4"/>
        <v>2018/2017</v>
      </c>
      <c r="M189" s="19" t="str">
        <f t="shared" si="5"/>
        <v>2018/2017</v>
      </c>
      <c r="N189" s="23">
        <v>9106</v>
      </c>
      <c r="O189" s="18">
        <v>2017</v>
      </c>
    </row>
    <row r="190" spans="1:15">
      <c r="A190" s="18" t="s">
        <v>72</v>
      </c>
      <c r="B190" s="18" t="s">
        <v>73</v>
      </c>
      <c r="C190" s="18" t="s">
        <v>74</v>
      </c>
      <c r="D190" s="18" t="s">
        <v>75</v>
      </c>
      <c r="E190" s="18" t="s">
        <v>76</v>
      </c>
      <c r="F190" t="s">
        <v>35</v>
      </c>
      <c r="G190" t="s">
        <v>36</v>
      </c>
      <c r="H190" t="s">
        <v>30</v>
      </c>
      <c r="I190" s="18" t="s">
        <v>31</v>
      </c>
      <c r="J190" s="18" t="s">
        <v>26</v>
      </c>
      <c r="K190" s="18" t="s">
        <v>22</v>
      </c>
      <c r="L190" t="str">
        <f t="shared" si="4"/>
        <v>2018/2017</v>
      </c>
      <c r="M190" s="19" t="str">
        <f t="shared" si="5"/>
        <v>2018/2017</v>
      </c>
      <c r="N190" s="23">
        <v>192</v>
      </c>
      <c r="O190" s="18">
        <v>2017</v>
      </c>
    </row>
    <row r="191" spans="1:15">
      <c r="A191" s="18" t="s">
        <v>72</v>
      </c>
      <c r="B191" s="18" t="s">
        <v>73</v>
      </c>
      <c r="C191" s="18" t="s">
        <v>74</v>
      </c>
      <c r="D191" s="18" t="s">
        <v>75</v>
      </c>
      <c r="E191" s="18" t="s">
        <v>76</v>
      </c>
      <c r="F191" t="s">
        <v>35</v>
      </c>
      <c r="G191" t="s">
        <v>36</v>
      </c>
      <c r="H191" t="s">
        <v>33</v>
      </c>
      <c r="I191" s="18" t="s">
        <v>34</v>
      </c>
      <c r="J191" s="18" t="s">
        <v>26</v>
      </c>
      <c r="K191" s="18" t="s">
        <v>22</v>
      </c>
      <c r="L191" t="str">
        <f t="shared" si="4"/>
        <v>2018/2017</v>
      </c>
      <c r="M191" s="19" t="str">
        <f t="shared" si="5"/>
        <v>2018/2017</v>
      </c>
      <c r="N191" s="23">
        <v>0</v>
      </c>
      <c r="O191" s="18">
        <v>2017</v>
      </c>
    </row>
    <row r="192" spans="1:15">
      <c r="A192" s="18" t="s">
        <v>72</v>
      </c>
      <c r="B192" s="18" t="s">
        <v>73</v>
      </c>
      <c r="C192" s="18" t="s">
        <v>74</v>
      </c>
      <c r="D192" s="18" t="s">
        <v>75</v>
      </c>
      <c r="E192" s="18" t="s">
        <v>76</v>
      </c>
      <c r="F192" t="s">
        <v>37</v>
      </c>
      <c r="G192" t="s">
        <v>38</v>
      </c>
      <c r="H192" t="s">
        <v>30</v>
      </c>
      <c r="I192" s="18" t="s">
        <v>31</v>
      </c>
      <c r="J192" s="18" t="s">
        <v>26</v>
      </c>
      <c r="K192" s="18" t="s">
        <v>22</v>
      </c>
      <c r="L192" t="str">
        <f t="shared" si="4"/>
        <v>2018/2017</v>
      </c>
      <c r="M192" s="19" t="str">
        <f t="shared" si="5"/>
        <v>2018/2017</v>
      </c>
      <c r="N192" s="23">
        <v>0</v>
      </c>
      <c r="O192" s="18">
        <v>2017</v>
      </c>
    </row>
    <row r="193" spans="1:15">
      <c r="A193" s="18" t="s">
        <v>72</v>
      </c>
      <c r="B193" s="18" t="s">
        <v>73</v>
      </c>
      <c r="C193" s="18" t="s">
        <v>74</v>
      </c>
      <c r="D193" s="18" t="s">
        <v>75</v>
      </c>
      <c r="E193" s="18" t="s">
        <v>76</v>
      </c>
      <c r="F193" t="s">
        <v>37</v>
      </c>
      <c r="G193" t="s">
        <v>38</v>
      </c>
      <c r="H193" t="s">
        <v>33</v>
      </c>
      <c r="I193" s="18" t="s">
        <v>34</v>
      </c>
      <c r="J193" s="18" t="s">
        <v>26</v>
      </c>
      <c r="K193" s="18" t="s">
        <v>22</v>
      </c>
      <c r="L193" t="str">
        <f t="shared" si="4"/>
        <v>2018/2017</v>
      </c>
      <c r="M193" s="19" t="str">
        <f t="shared" si="5"/>
        <v>2018/2017</v>
      </c>
      <c r="N193" s="23">
        <v>0</v>
      </c>
      <c r="O193" s="18">
        <v>2017</v>
      </c>
    </row>
    <row r="194" spans="1:15">
      <c r="A194" s="18" t="s">
        <v>72</v>
      </c>
      <c r="B194" s="18" t="s">
        <v>73</v>
      </c>
      <c r="C194" s="18" t="s">
        <v>74</v>
      </c>
      <c r="D194" s="18" t="s">
        <v>75</v>
      </c>
      <c r="E194" s="18" t="s">
        <v>76</v>
      </c>
      <c r="F194" t="s">
        <v>39</v>
      </c>
      <c r="G194" t="s">
        <v>40</v>
      </c>
      <c r="H194" t="s">
        <v>30</v>
      </c>
      <c r="I194" s="18" t="s">
        <v>31</v>
      </c>
      <c r="J194" s="18" t="s">
        <v>26</v>
      </c>
      <c r="K194" s="18" t="s">
        <v>22</v>
      </c>
      <c r="L194" t="str">
        <f t="shared" si="4"/>
        <v>2018/2017</v>
      </c>
      <c r="M194" s="19" t="str">
        <f t="shared" si="5"/>
        <v>2018/2017</v>
      </c>
      <c r="N194" s="23">
        <v>743</v>
      </c>
      <c r="O194" s="18">
        <v>2017</v>
      </c>
    </row>
    <row r="195" spans="1:15">
      <c r="A195" s="18" t="s">
        <v>72</v>
      </c>
      <c r="B195" s="18" t="s">
        <v>73</v>
      </c>
      <c r="C195" s="18" t="s">
        <v>74</v>
      </c>
      <c r="D195" s="18" t="s">
        <v>75</v>
      </c>
      <c r="E195" s="18" t="s">
        <v>76</v>
      </c>
      <c r="F195" t="s">
        <v>39</v>
      </c>
      <c r="G195" t="s">
        <v>40</v>
      </c>
      <c r="H195" t="s">
        <v>33</v>
      </c>
      <c r="I195" s="18" t="s">
        <v>34</v>
      </c>
      <c r="J195" s="18" t="s">
        <v>26</v>
      </c>
      <c r="K195" s="18" t="s">
        <v>22</v>
      </c>
      <c r="L195" t="str">
        <f t="shared" si="4"/>
        <v>2018/2017</v>
      </c>
      <c r="M195" s="19" t="str">
        <f t="shared" si="5"/>
        <v>2018/2017</v>
      </c>
      <c r="N195" s="23">
        <v>101</v>
      </c>
      <c r="O195" s="18">
        <v>2017</v>
      </c>
    </row>
    <row r="196" spans="1:15">
      <c r="A196" s="18" t="s">
        <v>72</v>
      </c>
      <c r="B196" s="18" t="s">
        <v>73</v>
      </c>
      <c r="C196" s="18" t="s">
        <v>74</v>
      </c>
      <c r="D196" s="18" t="s">
        <v>75</v>
      </c>
      <c r="E196" s="18" t="s">
        <v>76</v>
      </c>
      <c r="F196" t="s">
        <v>15</v>
      </c>
      <c r="G196" t="s">
        <v>32</v>
      </c>
      <c r="H196" t="s">
        <v>30</v>
      </c>
      <c r="I196" s="18" t="s">
        <v>31</v>
      </c>
      <c r="J196" s="18" t="s">
        <v>29</v>
      </c>
      <c r="K196" s="18" t="s">
        <v>25</v>
      </c>
      <c r="L196" t="str">
        <f t="shared" si="4"/>
        <v>2017/2016</v>
      </c>
      <c r="M196" s="19" t="str">
        <f t="shared" si="5"/>
        <v>2017/2016</v>
      </c>
      <c r="N196" s="23">
        <v>14532</v>
      </c>
      <c r="O196" s="18">
        <v>2016</v>
      </c>
    </row>
    <row r="197" spans="1:15">
      <c r="A197" s="18" t="s">
        <v>72</v>
      </c>
      <c r="B197" s="18" t="s">
        <v>73</v>
      </c>
      <c r="C197" s="18" t="s">
        <v>74</v>
      </c>
      <c r="D197" s="18" t="s">
        <v>75</v>
      </c>
      <c r="E197" s="18" t="s">
        <v>76</v>
      </c>
      <c r="F197" t="s">
        <v>15</v>
      </c>
      <c r="G197" t="s">
        <v>32</v>
      </c>
      <c r="H197" t="s">
        <v>33</v>
      </c>
      <c r="I197" s="18" t="s">
        <v>34</v>
      </c>
      <c r="J197" s="18" t="s">
        <v>29</v>
      </c>
      <c r="K197" s="18" t="s">
        <v>25</v>
      </c>
      <c r="L197" t="str">
        <f t="shared" ref="L197:L260" si="6">TEXT(O197+1,"0")&amp;"/"&amp;TEXT(O197,"0")</f>
        <v>2017/2016</v>
      </c>
      <c r="M197" s="19" t="str">
        <f t="shared" ref="M197:M260" si="7">TEXT(O197+1,"0")&amp;"/"&amp;TEXT(O197,"0")</f>
        <v>2017/2016</v>
      </c>
      <c r="N197" s="23">
        <v>16032</v>
      </c>
      <c r="O197" s="18">
        <v>2016</v>
      </c>
    </row>
    <row r="198" spans="1:15">
      <c r="A198" s="18" t="s">
        <v>72</v>
      </c>
      <c r="B198" s="18" t="s">
        <v>73</v>
      </c>
      <c r="C198" s="18" t="s">
        <v>74</v>
      </c>
      <c r="D198" s="18" t="s">
        <v>75</v>
      </c>
      <c r="E198" s="18" t="s">
        <v>76</v>
      </c>
      <c r="F198" t="s">
        <v>35</v>
      </c>
      <c r="G198" t="s">
        <v>36</v>
      </c>
      <c r="H198" t="s">
        <v>33</v>
      </c>
      <c r="I198" s="18" t="s">
        <v>34</v>
      </c>
      <c r="J198" s="18" t="s">
        <v>29</v>
      </c>
      <c r="K198" s="18" t="s">
        <v>25</v>
      </c>
      <c r="L198" t="str">
        <f t="shared" si="6"/>
        <v>2017/2016</v>
      </c>
      <c r="M198" s="19" t="str">
        <f t="shared" si="7"/>
        <v>2017/2016</v>
      </c>
      <c r="N198" s="23">
        <v>122</v>
      </c>
      <c r="O198" s="18">
        <v>2016</v>
      </c>
    </row>
    <row r="199" spans="1:15">
      <c r="A199" s="18" t="s">
        <v>72</v>
      </c>
      <c r="B199" s="18" t="s">
        <v>73</v>
      </c>
      <c r="C199" s="18" t="s">
        <v>74</v>
      </c>
      <c r="D199" s="18" t="s">
        <v>75</v>
      </c>
      <c r="E199" s="18" t="s">
        <v>76</v>
      </c>
      <c r="F199" t="s">
        <v>35</v>
      </c>
      <c r="G199" t="s">
        <v>36</v>
      </c>
      <c r="H199" t="s">
        <v>30</v>
      </c>
      <c r="I199" s="18" t="s">
        <v>31</v>
      </c>
      <c r="J199" s="18" t="s">
        <v>29</v>
      </c>
      <c r="K199" s="18" t="s">
        <v>25</v>
      </c>
      <c r="L199" t="str">
        <f t="shared" si="6"/>
        <v>2017/2016</v>
      </c>
      <c r="M199" s="19" t="str">
        <f t="shared" si="7"/>
        <v>2017/2016</v>
      </c>
      <c r="N199" s="23">
        <v>144</v>
      </c>
      <c r="O199" s="18">
        <v>2016</v>
      </c>
    </row>
    <row r="200" spans="1:15">
      <c r="A200" s="18" t="s">
        <v>72</v>
      </c>
      <c r="B200" s="18" t="s">
        <v>73</v>
      </c>
      <c r="C200" s="18" t="s">
        <v>74</v>
      </c>
      <c r="D200" s="18" t="s">
        <v>75</v>
      </c>
      <c r="E200" s="18" t="s">
        <v>76</v>
      </c>
      <c r="F200" t="s">
        <v>37</v>
      </c>
      <c r="G200" t="s">
        <v>38</v>
      </c>
      <c r="H200" t="s">
        <v>30</v>
      </c>
      <c r="I200" s="18" t="s">
        <v>31</v>
      </c>
      <c r="J200" s="18" t="s">
        <v>29</v>
      </c>
      <c r="K200" s="18" t="s">
        <v>25</v>
      </c>
      <c r="L200" t="str">
        <f t="shared" si="6"/>
        <v>2017/2016</v>
      </c>
      <c r="M200" s="19" t="str">
        <f t="shared" si="7"/>
        <v>2017/2016</v>
      </c>
      <c r="N200" s="23">
        <v>0</v>
      </c>
      <c r="O200" s="18">
        <v>2016</v>
      </c>
    </row>
    <row r="201" spans="1:15">
      <c r="A201" s="18" t="s">
        <v>72</v>
      </c>
      <c r="B201" s="18" t="s">
        <v>73</v>
      </c>
      <c r="C201" s="18" t="s">
        <v>74</v>
      </c>
      <c r="D201" s="18" t="s">
        <v>75</v>
      </c>
      <c r="E201" s="18" t="s">
        <v>76</v>
      </c>
      <c r="F201" t="s">
        <v>37</v>
      </c>
      <c r="G201" t="s">
        <v>38</v>
      </c>
      <c r="H201" t="s">
        <v>33</v>
      </c>
      <c r="I201" s="18" t="s">
        <v>34</v>
      </c>
      <c r="J201" s="18" t="s">
        <v>29</v>
      </c>
      <c r="K201" s="18" t="s">
        <v>25</v>
      </c>
      <c r="L201" t="str">
        <f t="shared" si="6"/>
        <v>2017/2016</v>
      </c>
      <c r="M201" s="19" t="str">
        <f t="shared" si="7"/>
        <v>2017/2016</v>
      </c>
      <c r="N201" s="23">
        <v>0</v>
      </c>
      <c r="O201" s="18">
        <v>2016</v>
      </c>
    </row>
    <row r="202" spans="1:15">
      <c r="A202" s="18" t="s">
        <v>72</v>
      </c>
      <c r="B202" s="18" t="s">
        <v>73</v>
      </c>
      <c r="C202" s="18" t="s">
        <v>74</v>
      </c>
      <c r="D202" s="18" t="s">
        <v>75</v>
      </c>
      <c r="E202" s="18" t="s">
        <v>76</v>
      </c>
      <c r="F202" t="s">
        <v>39</v>
      </c>
      <c r="G202" t="s">
        <v>40</v>
      </c>
      <c r="H202" t="s">
        <v>33</v>
      </c>
      <c r="I202" s="18" t="s">
        <v>34</v>
      </c>
      <c r="J202" s="18" t="s">
        <v>29</v>
      </c>
      <c r="K202" s="18" t="s">
        <v>25</v>
      </c>
      <c r="L202" t="str">
        <f t="shared" si="6"/>
        <v>2017/2016</v>
      </c>
      <c r="M202" s="19" t="str">
        <f t="shared" si="7"/>
        <v>2017/2016</v>
      </c>
      <c r="N202" s="23">
        <v>47646</v>
      </c>
      <c r="O202" s="18">
        <v>2016</v>
      </c>
    </row>
    <row r="203" spans="1:15">
      <c r="A203" s="18" t="s">
        <v>72</v>
      </c>
      <c r="B203" s="18" t="s">
        <v>73</v>
      </c>
      <c r="C203" s="18" t="s">
        <v>74</v>
      </c>
      <c r="D203" s="18" t="s">
        <v>75</v>
      </c>
      <c r="E203" s="18" t="s">
        <v>76</v>
      </c>
      <c r="F203" t="s">
        <v>39</v>
      </c>
      <c r="G203" t="s">
        <v>40</v>
      </c>
      <c r="H203" t="s">
        <v>30</v>
      </c>
      <c r="I203" s="18" t="s">
        <v>31</v>
      </c>
      <c r="J203" s="18" t="s">
        <v>29</v>
      </c>
      <c r="K203" s="18" t="s">
        <v>25</v>
      </c>
      <c r="L203" t="str">
        <f t="shared" si="6"/>
        <v>2017/2016</v>
      </c>
      <c r="M203" s="19" t="str">
        <f t="shared" si="7"/>
        <v>2017/2016</v>
      </c>
      <c r="N203" s="23">
        <v>43700</v>
      </c>
      <c r="O203" s="18">
        <v>2016</v>
      </c>
    </row>
    <row r="204" spans="1:15">
      <c r="A204" s="18" t="s">
        <v>72</v>
      </c>
      <c r="B204" s="18" t="s">
        <v>73</v>
      </c>
      <c r="C204" s="18" t="s">
        <v>74</v>
      </c>
      <c r="D204" s="18" t="s">
        <v>75</v>
      </c>
      <c r="E204" s="18" t="s">
        <v>76</v>
      </c>
      <c r="F204" t="s">
        <v>15</v>
      </c>
      <c r="G204" t="s">
        <v>32</v>
      </c>
      <c r="H204" t="s">
        <v>30</v>
      </c>
      <c r="I204" s="18" t="s">
        <v>31</v>
      </c>
      <c r="J204" s="18" t="s">
        <v>28</v>
      </c>
      <c r="K204" s="18" t="s">
        <v>24</v>
      </c>
      <c r="L204" t="str">
        <f t="shared" si="6"/>
        <v>2017/2016</v>
      </c>
      <c r="M204" s="19" t="str">
        <f t="shared" si="7"/>
        <v>2017/2016</v>
      </c>
      <c r="N204" s="23">
        <v>540251</v>
      </c>
      <c r="O204" s="18">
        <v>2016</v>
      </c>
    </row>
    <row r="205" spans="1:15">
      <c r="A205" s="18" t="s">
        <v>72</v>
      </c>
      <c r="B205" s="18" t="s">
        <v>73</v>
      </c>
      <c r="C205" s="18" t="s">
        <v>74</v>
      </c>
      <c r="D205" s="18" t="s">
        <v>75</v>
      </c>
      <c r="E205" s="18" t="s">
        <v>76</v>
      </c>
      <c r="F205" t="s">
        <v>15</v>
      </c>
      <c r="G205" t="s">
        <v>32</v>
      </c>
      <c r="H205" t="s">
        <v>33</v>
      </c>
      <c r="I205" s="18" t="s">
        <v>34</v>
      </c>
      <c r="J205" s="18" t="s">
        <v>28</v>
      </c>
      <c r="K205" s="18" t="s">
        <v>24</v>
      </c>
      <c r="L205" t="str">
        <f t="shared" si="6"/>
        <v>2017/2016</v>
      </c>
      <c r="M205" s="19" t="str">
        <f t="shared" si="7"/>
        <v>2017/2016</v>
      </c>
      <c r="N205" s="23">
        <v>605893</v>
      </c>
      <c r="O205" s="18">
        <v>2016</v>
      </c>
    </row>
    <row r="206" spans="1:15">
      <c r="A206" s="18" t="s">
        <v>72</v>
      </c>
      <c r="B206" s="18" t="s">
        <v>73</v>
      </c>
      <c r="C206" s="18" t="s">
        <v>74</v>
      </c>
      <c r="D206" s="18" t="s">
        <v>75</v>
      </c>
      <c r="E206" s="18" t="s">
        <v>76</v>
      </c>
      <c r="F206" t="s">
        <v>35</v>
      </c>
      <c r="G206" t="s">
        <v>36</v>
      </c>
      <c r="H206" t="s">
        <v>33</v>
      </c>
      <c r="I206" s="18" t="s">
        <v>34</v>
      </c>
      <c r="J206" s="18" t="s">
        <v>28</v>
      </c>
      <c r="K206" s="18" t="s">
        <v>24</v>
      </c>
      <c r="L206" t="str">
        <f t="shared" si="6"/>
        <v>2017/2016</v>
      </c>
      <c r="M206" s="19" t="str">
        <f t="shared" si="7"/>
        <v>2017/2016</v>
      </c>
      <c r="N206" s="23">
        <v>12193</v>
      </c>
      <c r="O206" s="18">
        <v>2016</v>
      </c>
    </row>
    <row r="207" spans="1:15">
      <c r="A207" s="18" t="s">
        <v>72</v>
      </c>
      <c r="B207" s="18" t="s">
        <v>73</v>
      </c>
      <c r="C207" s="18" t="s">
        <v>74</v>
      </c>
      <c r="D207" s="18" t="s">
        <v>75</v>
      </c>
      <c r="E207" s="18" t="s">
        <v>76</v>
      </c>
      <c r="F207" t="s">
        <v>35</v>
      </c>
      <c r="G207" t="s">
        <v>36</v>
      </c>
      <c r="H207" t="s">
        <v>30</v>
      </c>
      <c r="I207" s="18" t="s">
        <v>31</v>
      </c>
      <c r="J207" s="18" t="s">
        <v>28</v>
      </c>
      <c r="K207" s="18" t="s">
        <v>24</v>
      </c>
      <c r="L207" t="str">
        <f t="shared" si="6"/>
        <v>2017/2016</v>
      </c>
      <c r="M207" s="19" t="str">
        <f t="shared" si="7"/>
        <v>2017/2016</v>
      </c>
      <c r="N207" s="23">
        <v>2791</v>
      </c>
      <c r="O207" s="18">
        <v>2016</v>
      </c>
    </row>
    <row r="208" spans="1:15">
      <c r="A208" s="18" t="s">
        <v>72</v>
      </c>
      <c r="B208" s="18" t="s">
        <v>73</v>
      </c>
      <c r="C208" s="18" t="s">
        <v>74</v>
      </c>
      <c r="D208" s="18" t="s">
        <v>75</v>
      </c>
      <c r="E208" s="18" t="s">
        <v>76</v>
      </c>
      <c r="F208" t="s">
        <v>37</v>
      </c>
      <c r="G208" t="s">
        <v>38</v>
      </c>
      <c r="H208" t="s">
        <v>30</v>
      </c>
      <c r="I208" s="18" t="s">
        <v>31</v>
      </c>
      <c r="J208" s="18" t="s">
        <v>28</v>
      </c>
      <c r="K208" s="18" t="s">
        <v>24</v>
      </c>
      <c r="L208" t="str">
        <f t="shared" si="6"/>
        <v>2017/2016</v>
      </c>
      <c r="M208" s="19" t="str">
        <f t="shared" si="7"/>
        <v>2017/2016</v>
      </c>
      <c r="N208" s="23">
        <v>62747</v>
      </c>
      <c r="O208" s="18">
        <v>2016</v>
      </c>
    </row>
    <row r="209" spans="1:15">
      <c r="A209" s="18" t="s">
        <v>72</v>
      </c>
      <c r="B209" s="18" t="s">
        <v>73</v>
      </c>
      <c r="C209" s="18" t="s">
        <v>74</v>
      </c>
      <c r="D209" s="18" t="s">
        <v>75</v>
      </c>
      <c r="E209" s="18" t="s">
        <v>76</v>
      </c>
      <c r="F209" t="s">
        <v>37</v>
      </c>
      <c r="G209" t="s">
        <v>38</v>
      </c>
      <c r="H209" t="s">
        <v>33</v>
      </c>
      <c r="I209" s="18" t="s">
        <v>34</v>
      </c>
      <c r="J209" s="18" t="s">
        <v>28</v>
      </c>
      <c r="K209" s="18" t="s">
        <v>24</v>
      </c>
      <c r="L209" t="str">
        <f t="shared" si="6"/>
        <v>2017/2016</v>
      </c>
      <c r="M209" s="19" t="str">
        <f t="shared" si="7"/>
        <v>2017/2016</v>
      </c>
      <c r="N209" s="23">
        <v>59380</v>
      </c>
      <c r="O209" s="18">
        <v>2016</v>
      </c>
    </row>
    <row r="210" spans="1:15">
      <c r="A210" s="18" t="s">
        <v>72</v>
      </c>
      <c r="B210" s="18" t="s">
        <v>73</v>
      </c>
      <c r="C210" s="18" t="s">
        <v>74</v>
      </c>
      <c r="D210" s="18" t="s">
        <v>75</v>
      </c>
      <c r="E210" s="18" t="s">
        <v>76</v>
      </c>
      <c r="F210" t="s">
        <v>39</v>
      </c>
      <c r="G210" t="s">
        <v>40</v>
      </c>
      <c r="H210" t="s">
        <v>33</v>
      </c>
      <c r="I210" s="18" t="s">
        <v>34</v>
      </c>
      <c r="J210" s="18" t="s">
        <v>28</v>
      </c>
      <c r="K210" s="18" t="s">
        <v>24</v>
      </c>
      <c r="L210" t="str">
        <f t="shared" si="6"/>
        <v>2017/2016</v>
      </c>
      <c r="M210" s="19" t="str">
        <f t="shared" si="7"/>
        <v>2017/2016</v>
      </c>
      <c r="N210" s="23">
        <v>240638</v>
      </c>
      <c r="O210" s="18">
        <v>2016</v>
      </c>
    </row>
    <row r="211" spans="1:15">
      <c r="A211" s="18" t="s">
        <v>72</v>
      </c>
      <c r="B211" s="18" t="s">
        <v>73</v>
      </c>
      <c r="C211" s="18" t="s">
        <v>74</v>
      </c>
      <c r="D211" s="18" t="s">
        <v>75</v>
      </c>
      <c r="E211" s="18" t="s">
        <v>76</v>
      </c>
      <c r="F211" t="s">
        <v>39</v>
      </c>
      <c r="G211" t="s">
        <v>40</v>
      </c>
      <c r="H211" t="s">
        <v>30</v>
      </c>
      <c r="I211" s="18" t="s">
        <v>31</v>
      </c>
      <c r="J211" s="18" t="s">
        <v>28</v>
      </c>
      <c r="K211" s="18" t="s">
        <v>24</v>
      </c>
      <c r="L211" t="str">
        <f t="shared" si="6"/>
        <v>2017/2016</v>
      </c>
      <c r="M211" s="19" t="str">
        <f t="shared" si="7"/>
        <v>2017/2016</v>
      </c>
      <c r="N211" s="23">
        <v>156100</v>
      </c>
      <c r="O211" s="18">
        <v>2016</v>
      </c>
    </row>
    <row r="212" spans="1:15">
      <c r="A212" s="18" t="s">
        <v>72</v>
      </c>
      <c r="B212" s="18" t="s">
        <v>73</v>
      </c>
      <c r="C212" s="18" t="s">
        <v>74</v>
      </c>
      <c r="D212" s="18" t="s">
        <v>75</v>
      </c>
      <c r="E212" s="18" t="s">
        <v>76</v>
      </c>
      <c r="F212" t="s">
        <v>15</v>
      </c>
      <c r="G212" t="s">
        <v>32</v>
      </c>
      <c r="H212" t="s">
        <v>30</v>
      </c>
      <c r="I212" s="18" t="s">
        <v>31</v>
      </c>
      <c r="J212" s="18" t="s">
        <v>27</v>
      </c>
      <c r="K212" s="18" t="s">
        <v>23</v>
      </c>
      <c r="L212" t="str">
        <f t="shared" si="6"/>
        <v>2017/2016</v>
      </c>
      <c r="M212" s="19" t="str">
        <f t="shared" si="7"/>
        <v>2017/2016</v>
      </c>
      <c r="N212" s="23">
        <v>56632</v>
      </c>
      <c r="O212" s="18">
        <v>2016</v>
      </c>
    </row>
    <row r="213" spans="1:15">
      <c r="A213" s="18" t="s">
        <v>72</v>
      </c>
      <c r="B213" s="18" t="s">
        <v>73</v>
      </c>
      <c r="C213" s="18" t="s">
        <v>74</v>
      </c>
      <c r="D213" s="18" t="s">
        <v>75</v>
      </c>
      <c r="E213" s="18" t="s">
        <v>76</v>
      </c>
      <c r="F213" t="s">
        <v>15</v>
      </c>
      <c r="G213" t="s">
        <v>32</v>
      </c>
      <c r="H213" t="s">
        <v>33</v>
      </c>
      <c r="I213" s="18" t="s">
        <v>34</v>
      </c>
      <c r="J213" s="18" t="s">
        <v>27</v>
      </c>
      <c r="K213" s="18" t="s">
        <v>23</v>
      </c>
      <c r="L213" t="str">
        <f t="shared" si="6"/>
        <v>2017/2016</v>
      </c>
      <c r="M213" s="19" t="str">
        <f t="shared" si="7"/>
        <v>2017/2016</v>
      </c>
      <c r="N213" s="23">
        <v>77994</v>
      </c>
      <c r="O213" s="18">
        <v>2016</v>
      </c>
    </row>
    <row r="214" spans="1:15">
      <c r="A214" s="18" t="s">
        <v>72</v>
      </c>
      <c r="B214" s="18" t="s">
        <v>73</v>
      </c>
      <c r="C214" s="18" t="s">
        <v>74</v>
      </c>
      <c r="D214" s="18" t="s">
        <v>75</v>
      </c>
      <c r="E214" s="18" t="s">
        <v>76</v>
      </c>
      <c r="F214" t="s">
        <v>35</v>
      </c>
      <c r="G214" t="s">
        <v>36</v>
      </c>
      <c r="H214" t="s">
        <v>30</v>
      </c>
      <c r="I214" s="18" t="s">
        <v>31</v>
      </c>
      <c r="J214" s="18" t="s">
        <v>27</v>
      </c>
      <c r="K214" s="18" t="s">
        <v>23</v>
      </c>
      <c r="L214" t="str">
        <f t="shared" si="6"/>
        <v>2017/2016</v>
      </c>
      <c r="M214" s="19" t="str">
        <f t="shared" si="7"/>
        <v>2017/2016</v>
      </c>
      <c r="N214" s="23">
        <v>2066</v>
      </c>
      <c r="O214" s="18">
        <v>2016</v>
      </c>
    </row>
    <row r="215" spans="1:15">
      <c r="A215" s="18" t="s">
        <v>72</v>
      </c>
      <c r="B215" s="18" t="s">
        <v>73</v>
      </c>
      <c r="C215" s="18" t="s">
        <v>74</v>
      </c>
      <c r="D215" s="18" t="s">
        <v>75</v>
      </c>
      <c r="E215" s="18" t="s">
        <v>76</v>
      </c>
      <c r="F215" t="s">
        <v>35</v>
      </c>
      <c r="G215" t="s">
        <v>36</v>
      </c>
      <c r="H215" t="s">
        <v>33</v>
      </c>
      <c r="I215" s="18" t="s">
        <v>34</v>
      </c>
      <c r="J215" s="18" t="s">
        <v>27</v>
      </c>
      <c r="K215" s="18" t="s">
        <v>23</v>
      </c>
      <c r="L215" t="str">
        <f t="shared" si="6"/>
        <v>2017/2016</v>
      </c>
      <c r="M215" s="19" t="str">
        <f t="shared" si="7"/>
        <v>2017/2016</v>
      </c>
      <c r="N215" s="23">
        <v>488</v>
      </c>
      <c r="O215" s="18">
        <v>2016</v>
      </c>
    </row>
    <row r="216" spans="1:15">
      <c r="A216" s="18" t="s">
        <v>72</v>
      </c>
      <c r="B216" s="18" t="s">
        <v>73</v>
      </c>
      <c r="C216" s="18" t="s">
        <v>74</v>
      </c>
      <c r="D216" s="18" t="s">
        <v>75</v>
      </c>
      <c r="E216" s="18" t="s">
        <v>76</v>
      </c>
      <c r="F216" t="s">
        <v>37</v>
      </c>
      <c r="G216" t="s">
        <v>38</v>
      </c>
      <c r="H216" t="s">
        <v>30</v>
      </c>
      <c r="I216" s="18" t="s">
        <v>31</v>
      </c>
      <c r="J216" s="18" t="s">
        <v>27</v>
      </c>
      <c r="K216" s="18" t="s">
        <v>23</v>
      </c>
      <c r="L216" t="str">
        <f t="shared" si="6"/>
        <v>2017/2016</v>
      </c>
      <c r="M216" s="19" t="str">
        <f t="shared" si="7"/>
        <v>2017/2016</v>
      </c>
      <c r="N216" s="23">
        <v>0</v>
      </c>
      <c r="O216" s="18">
        <v>2016</v>
      </c>
    </row>
    <row r="217" spans="1:15">
      <c r="A217" s="18" t="s">
        <v>72</v>
      </c>
      <c r="B217" s="18" t="s">
        <v>73</v>
      </c>
      <c r="C217" s="18" t="s">
        <v>74</v>
      </c>
      <c r="D217" s="18" t="s">
        <v>75</v>
      </c>
      <c r="E217" s="18" t="s">
        <v>76</v>
      </c>
      <c r="F217" t="s">
        <v>37</v>
      </c>
      <c r="G217" t="s">
        <v>38</v>
      </c>
      <c r="H217" t="s">
        <v>33</v>
      </c>
      <c r="I217" s="18" t="s">
        <v>34</v>
      </c>
      <c r="J217" s="18" t="s">
        <v>27</v>
      </c>
      <c r="K217" s="18" t="s">
        <v>23</v>
      </c>
      <c r="L217" t="str">
        <f t="shared" si="6"/>
        <v>2017/2016</v>
      </c>
      <c r="M217" s="19" t="str">
        <f t="shared" si="7"/>
        <v>2017/2016</v>
      </c>
      <c r="N217" s="23">
        <v>0</v>
      </c>
      <c r="O217" s="18">
        <v>2016</v>
      </c>
    </row>
    <row r="218" spans="1:15">
      <c r="A218" s="18" t="s">
        <v>72</v>
      </c>
      <c r="B218" s="18" t="s">
        <v>73</v>
      </c>
      <c r="C218" s="18" t="s">
        <v>74</v>
      </c>
      <c r="D218" s="18" t="s">
        <v>75</v>
      </c>
      <c r="E218" s="18" t="s">
        <v>76</v>
      </c>
      <c r="F218" t="s">
        <v>39</v>
      </c>
      <c r="G218" t="s">
        <v>40</v>
      </c>
      <c r="H218" t="s">
        <v>30</v>
      </c>
      <c r="I218" s="18" t="s">
        <v>31</v>
      </c>
      <c r="J218" s="18" t="s">
        <v>27</v>
      </c>
      <c r="K218" s="18" t="s">
        <v>23</v>
      </c>
      <c r="L218" t="str">
        <f t="shared" si="6"/>
        <v>2017/2016</v>
      </c>
      <c r="M218" s="19" t="str">
        <f t="shared" si="7"/>
        <v>2017/2016</v>
      </c>
      <c r="N218" s="23">
        <v>14213</v>
      </c>
      <c r="O218" s="18">
        <v>2016</v>
      </c>
    </row>
    <row r="219" spans="1:15">
      <c r="A219" s="18" t="s">
        <v>72</v>
      </c>
      <c r="B219" s="18" t="s">
        <v>73</v>
      </c>
      <c r="C219" s="18" t="s">
        <v>74</v>
      </c>
      <c r="D219" s="18" t="s">
        <v>75</v>
      </c>
      <c r="E219" s="18" t="s">
        <v>76</v>
      </c>
      <c r="F219" t="s">
        <v>39</v>
      </c>
      <c r="G219" t="s">
        <v>40</v>
      </c>
      <c r="H219" t="s">
        <v>33</v>
      </c>
      <c r="I219" s="18" t="s">
        <v>34</v>
      </c>
      <c r="J219" s="18" t="s">
        <v>27</v>
      </c>
      <c r="K219" s="18" t="s">
        <v>23</v>
      </c>
      <c r="L219" t="str">
        <f t="shared" si="6"/>
        <v>2017/2016</v>
      </c>
      <c r="M219" s="19" t="str">
        <f t="shared" si="7"/>
        <v>2017/2016</v>
      </c>
      <c r="N219" s="23">
        <v>12322</v>
      </c>
      <c r="O219" s="18">
        <v>2016</v>
      </c>
    </row>
    <row r="220" spans="1:15">
      <c r="A220" s="18" t="s">
        <v>72</v>
      </c>
      <c r="B220" s="18" t="s">
        <v>73</v>
      </c>
      <c r="C220" s="18" t="s">
        <v>74</v>
      </c>
      <c r="D220" s="18" t="s">
        <v>75</v>
      </c>
      <c r="E220" s="18" t="s">
        <v>76</v>
      </c>
      <c r="F220" t="s">
        <v>15</v>
      </c>
      <c r="G220" t="s">
        <v>32</v>
      </c>
      <c r="H220" t="s">
        <v>30</v>
      </c>
      <c r="I220" s="18" t="s">
        <v>31</v>
      </c>
      <c r="J220" s="18" t="s">
        <v>26</v>
      </c>
      <c r="K220" s="18" t="s">
        <v>22</v>
      </c>
      <c r="L220" t="str">
        <f t="shared" si="6"/>
        <v>2017/2016</v>
      </c>
      <c r="M220" s="19" t="str">
        <f t="shared" si="7"/>
        <v>2017/2016</v>
      </c>
      <c r="N220" s="23">
        <v>14216</v>
      </c>
      <c r="O220" s="18">
        <v>2016</v>
      </c>
    </row>
    <row r="221" spans="1:15">
      <c r="A221" s="18" t="s">
        <v>72</v>
      </c>
      <c r="B221" s="18" t="s">
        <v>73</v>
      </c>
      <c r="C221" s="18" t="s">
        <v>74</v>
      </c>
      <c r="D221" s="18" t="s">
        <v>75</v>
      </c>
      <c r="E221" s="18" t="s">
        <v>76</v>
      </c>
      <c r="F221" t="s">
        <v>15</v>
      </c>
      <c r="G221" t="s">
        <v>32</v>
      </c>
      <c r="H221" t="s">
        <v>33</v>
      </c>
      <c r="I221" s="18" t="s">
        <v>34</v>
      </c>
      <c r="J221" s="18" t="s">
        <v>26</v>
      </c>
      <c r="K221" s="18" t="s">
        <v>22</v>
      </c>
      <c r="L221" t="str">
        <f t="shared" si="6"/>
        <v>2017/2016</v>
      </c>
      <c r="M221" s="19" t="str">
        <f t="shared" si="7"/>
        <v>2017/2016</v>
      </c>
      <c r="N221" s="23">
        <v>10817</v>
      </c>
      <c r="O221" s="18">
        <v>2016</v>
      </c>
    </row>
    <row r="222" spans="1:15">
      <c r="A222" s="18" t="s">
        <v>72</v>
      </c>
      <c r="B222" s="18" t="s">
        <v>73</v>
      </c>
      <c r="C222" s="18" t="s">
        <v>74</v>
      </c>
      <c r="D222" s="18" t="s">
        <v>75</v>
      </c>
      <c r="E222" s="18" t="s">
        <v>76</v>
      </c>
      <c r="F222" t="s">
        <v>35</v>
      </c>
      <c r="G222" t="s">
        <v>36</v>
      </c>
      <c r="H222" t="s">
        <v>30</v>
      </c>
      <c r="I222" s="18" t="s">
        <v>31</v>
      </c>
      <c r="J222" s="18" t="s">
        <v>26</v>
      </c>
      <c r="K222" s="18" t="s">
        <v>22</v>
      </c>
      <c r="L222" t="str">
        <f t="shared" si="6"/>
        <v>2017/2016</v>
      </c>
      <c r="M222" s="19" t="str">
        <f t="shared" si="7"/>
        <v>2017/2016</v>
      </c>
      <c r="N222" s="23">
        <v>196</v>
      </c>
      <c r="O222" s="18">
        <v>2016</v>
      </c>
    </row>
    <row r="223" spans="1:15">
      <c r="A223" s="18" t="s">
        <v>72</v>
      </c>
      <c r="B223" s="18" t="s">
        <v>73</v>
      </c>
      <c r="C223" s="18" t="s">
        <v>74</v>
      </c>
      <c r="D223" s="18" t="s">
        <v>75</v>
      </c>
      <c r="E223" s="18" t="s">
        <v>76</v>
      </c>
      <c r="F223" t="s">
        <v>35</v>
      </c>
      <c r="G223" t="s">
        <v>36</v>
      </c>
      <c r="H223" t="s">
        <v>33</v>
      </c>
      <c r="I223" s="18" t="s">
        <v>34</v>
      </c>
      <c r="J223" s="18" t="s">
        <v>26</v>
      </c>
      <c r="K223" s="18" t="s">
        <v>22</v>
      </c>
      <c r="L223" t="str">
        <f t="shared" si="6"/>
        <v>2017/2016</v>
      </c>
      <c r="M223" s="19" t="str">
        <f t="shared" si="7"/>
        <v>2017/2016</v>
      </c>
      <c r="N223" s="23">
        <v>0</v>
      </c>
      <c r="O223" s="18">
        <v>2016</v>
      </c>
    </row>
    <row r="224" spans="1:15">
      <c r="A224" s="18" t="s">
        <v>72</v>
      </c>
      <c r="B224" s="18" t="s">
        <v>73</v>
      </c>
      <c r="C224" s="18" t="s">
        <v>74</v>
      </c>
      <c r="D224" s="18" t="s">
        <v>75</v>
      </c>
      <c r="E224" s="18" t="s">
        <v>76</v>
      </c>
      <c r="F224" t="s">
        <v>37</v>
      </c>
      <c r="G224" t="s">
        <v>38</v>
      </c>
      <c r="H224" t="s">
        <v>30</v>
      </c>
      <c r="I224" s="18" t="s">
        <v>31</v>
      </c>
      <c r="J224" s="18" t="s">
        <v>26</v>
      </c>
      <c r="K224" s="18" t="s">
        <v>22</v>
      </c>
      <c r="L224" t="str">
        <f t="shared" si="6"/>
        <v>2017/2016</v>
      </c>
      <c r="M224" s="19" t="str">
        <f t="shared" si="7"/>
        <v>2017/2016</v>
      </c>
      <c r="N224" s="23">
        <v>555</v>
      </c>
      <c r="O224" s="18">
        <v>2016</v>
      </c>
    </row>
    <row r="225" spans="1:15">
      <c r="A225" s="18" t="s">
        <v>72</v>
      </c>
      <c r="B225" s="18" t="s">
        <v>73</v>
      </c>
      <c r="C225" s="18" t="s">
        <v>74</v>
      </c>
      <c r="D225" s="18" t="s">
        <v>75</v>
      </c>
      <c r="E225" s="18" t="s">
        <v>76</v>
      </c>
      <c r="F225" t="s">
        <v>37</v>
      </c>
      <c r="G225" t="s">
        <v>38</v>
      </c>
      <c r="H225" t="s">
        <v>33</v>
      </c>
      <c r="I225" s="18" t="s">
        <v>34</v>
      </c>
      <c r="J225" s="18" t="s">
        <v>26</v>
      </c>
      <c r="K225" s="18" t="s">
        <v>22</v>
      </c>
      <c r="L225" t="str">
        <f t="shared" si="6"/>
        <v>2017/2016</v>
      </c>
      <c r="M225" s="19" t="str">
        <f t="shared" si="7"/>
        <v>2017/2016</v>
      </c>
      <c r="N225" s="23">
        <v>0</v>
      </c>
      <c r="O225" s="18">
        <v>2016</v>
      </c>
    </row>
    <row r="226" spans="1:15">
      <c r="A226" s="18" t="s">
        <v>72</v>
      </c>
      <c r="B226" s="18" t="s">
        <v>73</v>
      </c>
      <c r="C226" s="18" t="s">
        <v>74</v>
      </c>
      <c r="D226" s="18" t="s">
        <v>75</v>
      </c>
      <c r="E226" s="18" t="s">
        <v>76</v>
      </c>
      <c r="F226" t="s">
        <v>39</v>
      </c>
      <c r="G226" t="s">
        <v>40</v>
      </c>
      <c r="H226" t="s">
        <v>30</v>
      </c>
      <c r="I226" s="18" t="s">
        <v>31</v>
      </c>
      <c r="J226" s="18" t="s">
        <v>26</v>
      </c>
      <c r="K226" s="18" t="s">
        <v>22</v>
      </c>
      <c r="L226" t="str">
        <f t="shared" si="6"/>
        <v>2017/2016</v>
      </c>
      <c r="M226" s="19" t="str">
        <f t="shared" si="7"/>
        <v>2017/2016</v>
      </c>
      <c r="N226" s="23">
        <v>704</v>
      </c>
      <c r="O226" s="18">
        <v>2016</v>
      </c>
    </row>
    <row r="227" spans="1:15">
      <c r="A227" s="18" t="s">
        <v>72</v>
      </c>
      <c r="B227" s="18" t="s">
        <v>73</v>
      </c>
      <c r="C227" s="18" t="s">
        <v>74</v>
      </c>
      <c r="D227" s="18" t="s">
        <v>75</v>
      </c>
      <c r="E227" s="18" t="s">
        <v>76</v>
      </c>
      <c r="F227" t="s">
        <v>39</v>
      </c>
      <c r="G227" t="s">
        <v>40</v>
      </c>
      <c r="H227" t="s">
        <v>33</v>
      </c>
      <c r="I227" s="18" t="s">
        <v>34</v>
      </c>
      <c r="J227" s="18" t="s">
        <v>26</v>
      </c>
      <c r="K227" s="18" t="s">
        <v>22</v>
      </c>
      <c r="L227" t="str">
        <f t="shared" si="6"/>
        <v>2017/2016</v>
      </c>
      <c r="M227" s="19" t="str">
        <f t="shared" si="7"/>
        <v>2017/2016</v>
      </c>
      <c r="N227" s="23">
        <v>109</v>
      </c>
      <c r="O227" s="18">
        <v>2016</v>
      </c>
    </row>
    <row r="228" spans="1:15">
      <c r="A228" s="18" t="s">
        <v>72</v>
      </c>
      <c r="B228" s="18" t="s">
        <v>73</v>
      </c>
      <c r="C228" s="18" t="s">
        <v>74</v>
      </c>
      <c r="D228" s="18" t="s">
        <v>75</v>
      </c>
      <c r="E228" s="18" t="s">
        <v>76</v>
      </c>
      <c r="F228" t="s">
        <v>15</v>
      </c>
      <c r="G228" t="s">
        <v>32</v>
      </c>
      <c r="H228" t="s">
        <v>30</v>
      </c>
      <c r="I228" s="18" t="s">
        <v>31</v>
      </c>
      <c r="J228" s="18" t="s">
        <v>29</v>
      </c>
      <c r="K228" s="18" t="s">
        <v>25</v>
      </c>
      <c r="L228" t="str">
        <f t="shared" si="6"/>
        <v>2016/2015</v>
      </c>
      <c r="M228" s="19" t="str">
        <f t="shared" si="7"/>
        <v>2016/2015</v>
      </c>
      <c r="N228" s="25">
        <v>12147</v>
      </c>
      <c r="O228" s="18">
        <v>2015</v>
      </c>
    </row>
    <row r="229" spans="1:15">
      <c r="A229" s="18" t="s">
        <v>72</v>
      </c>
      <c r="B229" s="18" t="s">
        <v>73</v>
      </c>
      <c r="C229" s="18" t="s">
        <v>74</v>
      </c>
      <c r="D229" s="18" t="s">
        <v>75</v>
      </c>
      <c r="E229" s="18" t="s">
        <v>76</v>
      </c>
      <c r="F229" t="s">
        <v>15</v>
      </c>
      <c r="G229" t="s">
        <v>32</v>
      </c>
      <c r="H229" t="s">
        <v>33</v>
      </c>
      <c r="I229" s="18" t="s">
        <v>34</v>
      </c>
      <c r="J229" s="18" t="s">
        <v>29</v>
      </c>
      <c r="K229" s="18" t="s">
        <v>25</v>
      </c>
      <c r="L229" t="str">
        <f t="shared" si="6"/>
        <v>2016/2015</v>
      </c>
      <c r="M229" s="19" t="str">
        <f t="shared" si="7"/>
        <v>2016/2015</v>
      </c>
      <c r="N229" s="25">
        <v>13137</v>
      </c>
      <c r="O229" s="18">
        <v>2015</v>
      </c>
    </row>
    <row r="230" spans="1:15">
      <c r="A230" s="18" t="s">
        <v>72</v>
      </c>
      <c r="B230" s="18" t="s">
        <v>73</v>
      </c>
      <c r="C230" s="18" t="s">
        <v>74</v>
      </c>
      <c r="D230" s="18" t="s">
        <v>75</v>
      </c>
      <c r="E230" s="18" t="s">
        <v>76</v>
      </c>
      <c r="F230" t="s">
        <v>35</v>
      </c>
      <c r="G230" t="s">
        <v>36</v>
      </c>
      <c r="H230" t="s">
        <v>33</v>
      </c>
      <c r="I230" s="18" t="s">
        <v>34</v>
      </c>
      <c r="J230" s="18" t="s">
        <v>29</v>
      </c>
      <c r="K230" s="18" t="s">
        <v>25</v>
      </c>
      <c r="L230" t="str">
        <f t="shared" si="6"/>
        <v>2016/2015</v>
      </c>
      <c r="M230" s="19" t="str">
        <f t="shared" si="7"/>
        <v>2016/2015</v>
      </c>
      <c r="N230" s="25">
        <v>141</v>
      </c>
      <c r="O230" s="18">
        <v>2015</v>
      </c>
    </row>
    <row r="231" spans="1:15">
      <c r="A231" s="18" t="s">
        <v>72</v>
      </c>
      <c r="B231" s="18" t="s">
        <v>73</v>
      </c>
      <c r="C231" s="18" t="s">
        <v>74</v>
      </c>
      <c r="D231" s="18" t="s">
        <v>75</v>
      </c>
      <c r="E231" s="18" t="s">
        <v>76</v>
      </c>
      <c r="F231" t="s">
        <v>35</v>
      </c>
      <c r="G231" t="s">
        <v>36</v>
      </c>
      <c r="H231" t="s">
        <v>30</v>
      </c>
      <c r="I231" s="18" t="s">
        <v>31</v>
      </c>
      <c r="J231" s="18" t="s">
        <v>29</v>
      </c>
      <c r="K231" s="18" t="s">
        <v>25</v>
      </c>
      <c r="L231" t="str">
        <f t="shared" si="6"/>
        <v>2016/2015</v>
      </c>
      <c r="M231" s="19" t="str">
        <f t="shared" si="7"/>
        <v>2016/2015</v>
      </c>
      <c r="N231" s="25">
        <v>144</v>
      </c>
      <c r="O231" s="18">
        <v>2015</v>
      </c>
    </row>
    <row r="232" spans="1:15">
      <c r="A232" s="18" t="s">
        <v>72</v>
      </c>
      <c r="B232" s="18" t="s">
        <v>73</v>
      </c>
      <c r="C232" s="18" t="s">
        <v>74</v>
      </c>
      <c r="D232" s="18" t="s">
        <v>75</v>
      </c>
      <c r="E232" s="18" t="s">
        <v>76</v>
      </c>
      <c r="F232" t="s">
        <v>37</v>
      </c>
      <c r="G232" t="s">
        <v>38</v>
      </c>
      <c r="H232" t="s">
        <v>30</v>
      </c>
      <c r="I232" s="18" t="s">
        <v>31</v>
      </c>
      <c r="J232" s="18" t="s">
        <v>29</v>
      </c>
      <c r="K232" s="18" t="s">
        <v>25</v>
      </c>
      <c r="L232" t="str">
        <f t="shared" si="6"/>
        <v>2016/2015</v>
      </c>
      <c r="M232" s="19" t="str">
        <f t="shared" si="7"/>
        <v>2016/2015</v>
      </c>
      <c r="N232" s="25">
        <v>0</v>
      </c>
      <c r="O232" s="18">
        <v>2015</v>
      </c>
    </row>
    <row r="233" spans="1:15">
      <c r="A233" s="18" t="s">
        <v>72</v>
      </c>
      <c r="B233" s="18" t="s">
        <v>73</v>
      </c>
      <c r="C233" s="18" t="s">
        <v>74</v>
      </c>
      <c r="D233" s="18" t="s">
        <v>75</v>
      </c>
      <c r="E233" s="18" t="s">
        <v>76</v>
      </c>
      <c r="F233" t="s">
        <v>37</v>
      </c>
      <c r="G233" t="s">
        <v>38</v>
      </c>
      <c r="H233" t="s">
        <v>33</v>
      </c>
      <c r="I233" s="18" t="s">
        <v>34</v>
      </c>
      <c r="J233" s="18" t="s">
        <v>29</v>
      </c>
      <c r="K233" s="18" t="s">
        <v>25</v>
      </c>
      <c r="L233" t="str">
        <f t="shared" si="6"/>
        <v>2016/2015</v>
      </c>
      <c r="M233" s="19" t="str">
        <f t="shared" si="7"/>
        <v>2016/2015</v>
      </c>
      <c r="N233" s="25">
        <v>0</v>
      </c>
      <c r="O233" s="18">
        <v>2015</v>
      </c>
    </row>
    <row r="234" spans="1:15">
      <c r="A234" s="18" t="s">
        <v>72</v>
      </c>
      <c r="B234" s="18" t="s">
        <v>73</v>
      </c>
      <c r="C234" s="18" t="s">
        <v>74</v>
      </c>
      <c r="D234" s="18" t="s">
        <v>75</v>
      </c>
      <c r="E234" s="18" t="s">
        <v>76</v>
      </c>
      <c r="F234" t="s">
        <v>39</v>
      </c>
      <c r="G234" t="s">
        <v>40</v>
      </c>
      <c r="H234" t="s">
        <v>33</v>
      </c>
      <c r="I234" s="18" t="s">
        <v>34</v>
      </c>
      <c r="J234" s="18" t="s">
        <v>29</v>
      </c>
      <c r="K234" s="18" t="s">
        <v>25</v>
      </c>
      <c r="L234" t="str">
        <f t="shared" si="6"/>
        <v>2016/2015</v>
      </c>
      <c r="M234" s="19" t="str">
        <f t="shared" si="7"/>
        <v>2016/2015</v>
      </c>
      <c r="N234" s="25">
        <v>47869</v>
      </c>
      <c r="O234" s="18">
        <v>2015</v>
      </c>
    </row>
    <row r="235" spans="1:15">
      <c r="A235" s="18" t="s">
        <v>72</v>
      </c>
      <c r="B235" s="18" t="s">
        <v>73</v>
      </c>
      <c r="C235" s="18" t="s">
        <v>74</v>
      </c>
      <c r="D235" s="18" t="s">
        <v>75</v>
      </c>
      <c r="E235" s="18" t="s">
        <v>76</v>
      </c>
      <c r="F235" t="s">
        <v>39</v>
      </c>
      <c r="G235" t="s">
        <v>40</v>
      </c>
      <c r="H235" t="s">
        <v>30</v>
      </c>
      <c r="I235" s="18" t="s">
        <v>31</v>
      </c>
      <c r="J235" s="18" t="s">
        <v>29</v>
      </c>
      <c r="K235" s="18" t="s">
        <v>25</v>
      </c>
      <c r="L235" t="str">
        <f t="shared" si="6"/>
        <v>2016/2015</v>
      </c>
      <c r="M235" s="19" t="str">
        <f t="shared" si="7"/>
        <v>2016/2015</v>
      </c>
      <c r="N235" s="25">
        <v>42124</v>
      </c>
      <c r="O235" s="18">
        <v>2015</v>
      </c>
    </row>
    <row r="236" spans="1:15">
      <c r="A236" s="18" t="s">
        <v>72</v>
      </c>
      <c r="B236" s="18" t="s">
        <v>73</v>
      </c>
      <c r="C236" s="18" t="s">
        <v>74</v>
      </c>
      <c r="D236" s="18" t="s">
        <v>75</v>
      </c>
      <c r="E236" s="18" t="s">
        <v>76</v>
      </c>
      <c r="F236" t="s">
        <v>15</v>
      </c>
      <c r="G236" t="s">
        <v>32</v>
      </c>
      <c r="H236" t="s">
        <v>30</v>
      </c>
      <c r="I236" s="18" t="s">
        <v>31</v>
      </c>
      <c r="J236" s="18" t="s">
        <v>28</v>
      </c>
      <c r="K236" s="18" t="s">
        <v>24</v>
      </c>
      <c r="L236" t="str">
        <f t="shared" si="6"/>
        <v>2016/2015</v>
      </c>
      <c r="M236" s="19" t="str">
        <f t="shared" si="7"/>
        <v>2016/2015</v>
      </c>
      <c r="N236" s="25">
        <v>506789</v>
      </c>
      <c r="O236" s="18">
        <v>2015</v>
      </c>
    </row>
    <row r="237" spans="1:15">
      <c r="A237" s="18" t="s">
        <v>72</v>
      </c>
      <c r="B237" s="18" t="s">
        <v>73</v>
      </c>
      <c r="C237" s="18" t="s">
        <v>74</v>
      </c>
      <c r="D237" s="18" t="s">
        <v>75</v>
      </c>
      <c r="E237" s="18" t="s">
        <v>76</v>
      </c>
      <c r="F237" t="s">
        <v>15</v>
      </c>
      <c r="G237" t="s">
        <v>32</v>
      </c>
      <c r="H237" t="s">
        <v>33</v>
      </c>
      <c r="I237" s="18" t="s">
        <v>34</v>
      </c>
      <c r="J237" s="18" t="s">
        <v>28</v>
      </c>
      <c r="K237" s="18" t="s">
        <v>24</v>
      </c>
      <c r="L237" t="str">
        <f t="shared" si="6"/>
        <v>2016/2015</v>
      </c>
      <c r="M237" s="19" t="str">
        <f t="shared" si="7"/>
        <v>2016/2015</v>
      </c>
      <c r="N237" s="25">
        <v>573557</v>
      </c>
      <c r="O237" s="18">
        <v>2015</v>
      </c>
    </row>
    <row r="238" spans="1:15">
      <c r="A238" s="18" t="s">
        <v>72</v>
      </c>
      <c r="B238" s="18" t="s">
        <v>73</v>
      </c>
      <c r="C238" s="18" t="s">
        <v>74</v>
      </c>
      <c r="D238" s="18" t="s">
        <v>75</v>
      </c>
      <c r="E238" s="18" t="s">
        <v>76</v>
      </c>
      <c r="F238" t="s">
        <v>35</v>
      </c>
      <c r="G238" t="s">
        <v>36</v>
      </c>
      <c r="H238" t="s">
        <v>33</v>
      </c>
      <c r="I238" s="18" t="s">
        <v>34</v>
      </c>
      <c r="J238" s="18" t="s">
        <v>28</v>
      </c>
      <c r="K238" s="18" t="s">
        <v>24</v>
      </c>
      <c r="L238" t="str">
        <f t="shared" si="6"/>
        <v>2016/2015</v>
      </c>
      <c r="M238" s="19" t="str">
        <f t="shared" si="7"/>
        <v>2016/2015</v>
      </c>
      <c r="N238" s="25">
        <v>12285</v>
      </c>
      <c r="O238" s="18">
        <v>2015</v>
      </c>
    </row>
    <row r="239" spans="1:15">
      <c r="A239" s="18" t="s">
        <v>72</v>
      </c>
      <c r="B239" s="18" t="s">
        <v>73</v>
      </c>
      <c r="C239" s="18" t="s">
        <v>74</v>
      </c>
      <c r="D239" s="18" t="s">
        <v>75</v>
      </c>
      <c r="E239" s="18" t="s">
        <v>76</v>
      </c>
      <c r="F239" t="s">
        <v>35</v>
      </c>
      <c r="G239" t="s">
        <v>36</v>
      </c>
      <c r="H239" t="s">
        <v>30</v>
      </c>
      <c r="I239" s="18" t="s">
        <v>31</v>
      </c>
      <c r="J239" s="18" t="s">
        <v>28</v>
      </c>
      <c r="K239" s="18" t="s">
        <v>24</v>
      </c>
      <c r="L239" t="str">
        <f t="shared" si="6"/>
        <v>2016/2015</v>
      </c>
      <c r="M239" s="19" t="str">
        <f t="shared" si="7"/>
        <v>2016/2015</v>
      </c>
      <c r="N239" s="25">
        <v>2759</v>
      </c>
      <c r="O239" s="18">
        <v>2015</v>
      </c>
    </row>
    <row r="240" spans="1:15">
      <c r="A240" s="18" t="s">
        <v>72</v>
      </c>
      <c r="B240" s="18" t="s">
        <v>73</v>
      </c>
      <c r="C240" s="18" t="s">
        <v>74</v>
      </c>
      <c r="D240" s="18" t="s">
        <v>75</v>
      </c>
      <c r="E240" s="18" t="s">
        <v>76</v>
      </c>
      <c r="F240" t="s">
        <v>37</v>
      </c>
      <c r="G240" t="s">
        <v>38</v>
      </c>
      <c r="H240" t="s">
        <v>30</v>
      </c>
      <c r="I240" s="18" t="s">
        <v>31</v>
      </c>
      <c r="J240" s="18" t="s">
        <v>28</v>
      </c>
      <c r="K240" s="18" t="s">
        <v>24</v>
      </c>
      <c r="L240" t="str">
        <f t="shared" si="6"/>
        <v>2016/2015</v>
      </c>
      <c r="M240" s="19" t="str">
        <f t="shared" si="7"/>
        <v>2016/2015</v>
      </c>
      <c r="N240" s="25">
        <v>58927</v>
      </c>
      <c r="O240" s="18">
        <v>2015</v>
      </c>
    </row>
    <row r="241" spans="1:15">
      <c r="A241" s="18" t="s">
        <v>72</v>
      </c>
      <c r="B241" s="18" t="s">
        <v>73</v>
      </c>
      <c r="C241" s="18" t="s">
        <v>74</v>
      </c>
      <c r="D241" s="18" t="s">
        <v>75</v>
      </c>
      <c r="E241" s="18" t="s">
        <v>76</v>
      </c>
      <c r="F241" t="s">
        <v>37</v>
      </c>
      <c r="G241" t="s">
        <v>38</v>
      </c>
      <c r="H241" t="s">
        <v>33</v>
      </c>
      <c r="I241" s="18" t="s">
        <v>34</v>
      </c>
      <c r="J241" s="18" t="s">
        <v>28</v>
      </c>
      <c r="K241" s="18" t="s">
        <v>24</v>
      </c>
      <c r="L241" t="str">
        <f t="shared" si="6"/>
        <v>2016/2015</v>
      </c>
      <c r="M241" s="19" t="str">
        <f t="shared" si="7"/>
        <v>2016/2015</v>
      </c>
      <c r="N241" s="25">
        <v>57270</v>
      </c>
      <c r="O241" s="18">
        <v>2015</v>
      </c>
    </row>
    <row r="242" spans="1:15">
      <c r="A242" s="18" t="s">
        <v>72</v>
      </c>
      <c r="B242" s="18" t="s">
        <v>73</v>
      </c>
      <c r="C242" s="18" t="s">
        <v>74</v>
      </c>
      <c r="D242" s="18" t="s">
        <v>75</v>
      </c>
      <c r="E242" s="18" t="s">
        <v>76</v>
      </c>
      <c r="F242" t="s">
        <v>39</v>
      </c>
      <c r="G242" t="s">
        <v>40</v>
      </c>
      <c r="H242" t="s">
        <v>33</v>
      </c>
      <c r="I242" s="18" t="s">
        <v>34</v>
      </c>
      <c r="J242" s="18" t="s">
        <v>28</v>
      </c>
      <c r="K242" s="18" t="s">
        <v>24</v>
      </c>
      <c r="L242" t="str">
        <f t="shared" si="6"/>
        <v>2016/2015</v>
      </c>
      <c r="M242" s="19" t="str">
        <f t="shared" si="7"/>
        <v>2016/2015</v>
      </c>
      <c r="N242" s="25">
        <v>232735</v>
      </c>
      <c r="O242" s="18">
        <v>2015</v>
      </c>
    </row>
    <row r="243" spans="1:15">
      <c r="A243" s="18" t="s">
        <v>72</v>
      </c>
      <c r="B243" s="18" t="s">
        <v>73</v>
      </c>
      <c r="C243" s="18" t="s">
        <v>74</v>
      </c>
      <c r="D243" s="18" t="s">
        <v>75</v>
      </c>
      <c r="E243" s="18" t="s">
        <v>76</v>
      </c>
      <c r="F243" t="s">
        <v>39</v>
      </c>
      <c r="G243" t="s">
        <v>40</v>
      </c>
      <c r="H243" t="s">
        <v>30</v>
      </c>
      <c r="I243" s="18" t="s">
        <v>31</v>
      </c>
      <c r="J243" s="18" t="s">
        <v>28</v>
      </c>
      <c r="K243" s="18" t="s">
        <v>24</v>
      </c>
      <c r="L243" t="str">
        <f t="shared" si="6"/>
        <v>2016/2015</v>
      </c>
      <c r="M243" s="19" t="str">
        <f t="shared" si="7"/>
        <v>2016/2015</v>
      </c>
      <c r="N243" s="25">
        <v>150223</v>
      </c>
      <c r="O243" s="18">
        <v>2015</v>
      </c>
    </row>
    <row r="244" spans="1:15">
      <c r="A244" s="18" t="s">
        <v>72</v>
      </c>
      <c r="B244" s="18" t="s">
        <v>73</v>
      </c>
      <c r="C244" s="18" t="s">
        <v>74</v>
      </c>
      <c r="D244" s="18" t="s">
        <v>75</v>
      </c>
      <c r="E244" s="18" t="s">
        <v>76</v>
      </c>
      <c r="F244" t="s">
        <v>15</v>
      </c>
      <c r="G244" t="s">
        <v>32</v>
      </c>
      <c r="H244" t="s">
        <v>30</v>
      </c>
      <c r="I244" s="18" t="s">
        <v>31</v>
      </c>
      <c r="J244" s="18" t="s">
        <v>27</v>
      </c>
      <c r="K244" s="18" t="s">
        <v>23</v>
      </c>
      <c r="L244" t="str">
        <f t="shared" si="6"/>
        <v>2016/2015</v>
      </c>
      <c r="M244" s="19" t="str">
        <f t="shared" si="7"/>
        <v>2016/2015</v>
      </c>
      <c r="N244" s="25">
        <v>56488</v>
      </c>
      <c r="O244" s="18">
        <v>2015</v>
      </c>
    </row>
    <row r="245" spans="1:15">
      <c r="A245" s="18" t="s">
        <v>72</v>
      </c>
      <c r="B245" s="18" t="s">
        <v>73</v>
      </c>
      <c r="C245" s="18" t="s">
        <v>74</v>
      </c>
      <c r="D245" s="18" t="s">
        <v>75</v>
      </c>
      <c r="E245" s="18" t="s">
        <v>76</v>
      </c>
      <c r="F245" t="s">
        <v>15</v>
      </c>
      <c r="G245" t="s">
        <v>32</v>
      </c>
      <c r="H245" t="s">
        <v>33</v>
      </c>
      <c r="I245" s="18" t="s">
        <v>34</v>
      </c>
      <c r="J245" s="18" t="s">
        <v>27</v>
      </c>
      <c r="K245" s="18" t="s">
        <v>23</v>
      </c>
      <c r="L245" t="str">
        <f t="shared" si="6"/>
        <v>2016/2015</v>
      </c>
      <c r="M245" s="19" t="str">
        <f t="shared" si="7"/>
        <v>2016/2015</v>
      </c>
      <c r="N245" s="25">
        <v>79120</v>
      </c>
      <c r="O245" s="18">
        <v>2015</v>
      </c>
    </row>
    <row r="246" spans="1:15">
      <c r="A246" s="18" t="s">
        <v>72</v>
      </c>
      <c r="B246" s="18" t="s">
        <v>73</v>
      </c>
      <c r="C246" s="18" t="s">
        <v>74</v>
      </c>
      <c r="D246" s="18" t="s">
        <v>75</v>
      </c>
      <c r="E246" s="18" t="s">
        <v>76</v>
      </c>
      <c r="F246" t="s">
        <v>35</v>
      </c>
      <c r="G246" t="s">
        <v>36</v>
      </c>
      <c r="H246" t="s">
        <v>30</v>
      </c>
      <c r="I246" s="18" t="s">
        <v>31</v>
      </c>
      <c r="J246" s="18" t="s">
        <v>27</v>
      </c>
      <c r="K246" s="18" t="s">
        <v>23</v>
      </c>
      <c r="L246" t="str">
        <f t="shared" si="6"/>
        <v>2016/2015</v>
      </c>
      <c r="M246" s="19" t="str">
        <f t="shared" si="7"/>
        <v>2016/2015</v>
      </c>
      <c r="N246" s="25">
        <v>1850</v>
      </c>
      <c r="O246" s="18">
        <v>2015</v>
      </c>
    </row>
    <row r="247" spans="1:15">
      <c r="A247" s="18" t="s">
        <v>72</v>
      </c>
      <c r="B247" s="18" t="s">
        <v>73</v>
      </c>
      <c r="C247" s="18" t="s">
        <v>74</v>
      </c>
      <c r="D247" s="18" t="s">
        <v>75</v>
      </c>
      <c r="E247" s="18" t="s">
        <v>76</v>
      </c>
      <c r="F247" t="s">
        <v>35</v>
      </c>
      <c r="G247" t="s">
        <v>36</v>
      </c>
      <c r="H247" t="s">
        <v>33</v>
      </c>
      <c r="I247" s="18" t="s">
        <v>34</v>
      </c>
      <c r="J247" s="18" t="s">
        <v>27</v>
      </c>
      <c r="K247" s="18" t="s">
        <v>23</v>
      </c>
      <c r="L247" t="str">
        <f t="shared" si="6"/>
        <v>2016/2015</v>
      </c>
      <c r="M247" s="19" t="str">
        <f t="shared" si="7"/>
        <v>2016/2015</v>
      </c>
      <c r="N247" s="25">
        <v>431</v>
      </c>
      <c r="O247" s="18">
        <v>2015</v>
      </c>
    </row>
    <row r="248" spans="1:15">
      <c r="A248" s="18" t="s">
        <v>72</v>
      </c>
      <c r="B248" s="18" t="s">
        <v>73</v>
      </c>
      <c r="C248" s="18" t="s">
        <v>74</v>
      </c>
      <c r="D248" s="18" t="s">
        <v>75</v>
      </c>
      <c r="E248" s="18" t="s">
        <v>76</v>
      </c>
      <c r="F248" t="s">
        <v>37</v>
      </c>
      <c r="G248" t="s">
        <v>38</v>
      </c>
      <c r="H248" t="s">
        <v>30</v>
      </c>
      <c r="I248" s="18" t="s">
        <v>31</v>
      </c>
      <c r="J248" s="18" t="s">
        <v>27</v>
      </c>
      <c r="K248" s="18" t="s">
        <v>23</v>
      </c>
      <c r="L248" t="str">
        <f t="shared" si="6"/>
        <v>2016/2015</v>
      </c>
      <c r="M248" s="19" t="str">
        <f t="shared" si="7"/>
        <v>2016/2015</v>
      </c>
      <c r="N248" s="25">
        <v>0</v>
      </c>
      <c r="O248" s="18">
        <v>2015</v>
      </c>
    </row>
    <row r="249" spans="1:15">
      <c r="A249" s="18" t="s">
        <v>72</v>
      </c>
      <c r="B249" s="18" t="s">
        <v>73</v>
      </c>
      <c r="C249" s="18" t="s">
        <v>74</v>
      </c>
      <c r="D249" s="18" t="s">
        <v>75</v>
      </c>
      <c r="E249" s="18" t="s">
        <v>76</v>
      </c>
      <c r="F249" t="s">
        <v>37</v>
      </c>
      <c r="G249" t="s">
        <v>38</v>
      </c>
      <c r="H249" t="s">
        <v>33</v>
      </c>
      <c r="I249" s="18" t="s">
        <v>34</v>
      </c>
      <c r="J249" s="18" t="s">
        <v>27</v>
      </c>
      <c r="K249" s="18" t="s">
        <v>23</v>
      </c>
      <c r="L249" t="str">
        <f t="shared" si="6"/>
        <v>2016/2015</v>
      </c>
      <c r="M249" s="19" t="str">
        <f t="shared" si="7"/>
        <v>2016/2015</v>
      </c>
      <c r="N249" s="25">
        <v>0</v>
      </c>
      <c r="O249" s="18">
        <v>2015</v>
      </c>
    </row>
    <row r="250" spans="1:15">
      <c r="A250" s="18" t="s">
        <v>72</v>
      </c>
      <c r="B250" s="18" t="s">
        <v>73</v>
      </c>
      <c r="C250" s="18" t="s">
        <v>74</v>
      </c>
      <c r="D250" s="18" t="s">
        <v>75</v>
      </c>
      <c r="E250" s="18" t="s">
        <v>76</v>
      </c>
      <c r="F250" t="s">
        <v>39</v>
      </c>
      <c r="G250" t="s">
        <v>40</v>
      </c>
      <c r="H250" t="s">
        <v>30</v>
      </c>
      <c r="I250" s="18" t="s">
        <v>31</v>
      </c>
      <c r="J250" s="18" t="s">
        <v>27</v>
      </c>
      <c r="K250" s="18" t="s">
        <v>23</v>
      </c>
      <c r="L250" t="str">
        <f t="shared" si="6"/>
        <v>2016/2015</v>
      </c>
      <c r="M250" s="19" t="str">
        <f t="shared" si="7"/>
        <v>2016/2015</v>
      </c>
      <c r="N250" s="25">
        <v>13800</v>
      </c>
      <c r="O250" s="18">
        <v>2015</v>
      </c>
    </row>
    <row r="251" spans="1:15">
      <c r="A251" s="18" t="s">
        <v>72</v>
      </c>
      <c r="B251" s="18" t="s">
        <v>73</v>
      </c>
      <c r="C251" s="18" t="s">
        <v>74</v>
      </c>
      <c r="D251" s="18" t="s">
        <v>75</v>
      </c>
      <c r="E251" s="18" t="s">
        <v>76</v>
      </c>
      <c r="F251" t="s">
        <v>39</v>
      </c>
      <c r="G251" t="s">
        <v>40</v>
      </c>
      <c r="H251" t="s">
        <v>33</v>
      </c>
      <c r="I251" s="18" t="s">
        <v>34</v>
      </c>
      <c r="J251" s="18" t="s">
        <v>27</v>
      </c>
      <c r="K251" s="18" t="s">
        <v>23</v>
      </c>
      <c r="L251" t="str">
        <f t="shared" si="6"/>
        <v>2016/2015</v>
      </c>
      <c r="M251" s="19" t="str">
        <f t="shared" si="7"/>
        <v>2016/2015</v>
      </c>
      <c r="N251" s="25">
        <v>12098</v>
      </c>
      <c r="O251" s="18">
        <v>2015</v>
      </c>
    </row>
    <row r="252" spans="1:15">
      <c r="A252" s="18" t="s">
        <v>72</v>
      </c>
      <c r="B252" s="18" t="s">
        <v>73</v>
      </c>
      <c r="C252" s="18" t="s">
        <v>74</v>
      </c>
      <c r="D252" s="18" t="s">
        <v>75</v>
      </c>
      <c r="E252" s="18" t="s">
        <v>76</v>
      </c>
      <c r="F252" t="s">
        <v>15</v>
      </c>
      <c r="G252" t="s">
        <v>32</v>
      </c>
      <c r="H252" t="s">
        <v>30</v>
      </c>
      <c r="I252" s="18" t="s">
        <v>31</v>
      </c>
      <c r="J252" s="18" t="s">
        <v>26</v>
      </c>
      <c r="K252" s="18" t="s">
        <v>22</v>
      </c>
      <c r="L252" t="str">
        <f t="shared" si="6"/>
        <v>2016/2015</v>
      </c>
      <c r="M252" s="19" t="str">
        <f t="shared" si="7"/>
        <v>2016/2015</v>
      </c>
      <c r="N252" s="25">
        <v>12351</v>
      </c>
      <c r="O252" s="18">
        <v>2015</v>
      </c>
    </row>
    <row r="253" spans="1:15">
      <c r="A253" s="18" t="s">
        <v>72</v>
      </c>
      <c r="B253" s="18" t="s">
        <v>73</v>
      </c>
      <c r="C253" s="18" t="s">
        <v>74</v>
      </c>
      <c r="D253" s="18" t="s">
        <v>75</v>
      </c>
      <c r="E253" s="18" t="s">
        <v>76</v>
      </c>
      <c r="F253" t="s">
        <v>15</v>
      </c>
      <c r="G253" t="s">
        <v>32</v>
      </c>
      <c r="H253" t="s">
        <v>33</v>
      </c>
      <c r="I253" s="18" t="s">
        <v>34</v>
      </c>
      <c r="J253" s="18" t="s">
        <v>26</v>
      </c>
      <c r="K253" s="18" t="s">
        <v>22</v>
      </c>
      <c r="L253" t="str">
        <f t="shared" si="6"/>
        <v>2016/2015</v>
      </c>
      <c r="M253" s="19" t="str">
        <f t="shared" si="7"/>
        <v>2016/2015</v>
      </c>
      <c r="N253" s="25">
        <v>11627</v>
      </c>
      <c r="O253" s="18">
        <v>2015</v>
      </c>
    </row>
    <row r="254" spans="1:15">
      <c r="A254" s="18" t="s">
        <v>72</v>
      </c>
      <c r="B254" s="18" t="s">
        <v>73</v>
      </c>
      <c r="C254" s="18" t="s">
        <v>74</v>
      </c>
      <c r="D254" s="18" t="s">
        <v>75</v>
      </c>
      <c r="E254" s="18" t="s">
        <v>76</v>
      </c>
      <c r="F254" t="s">
        <v>35</v>
      </c>
      <c r="G254" t="s">
        <v>36</v>
      </c>
      <c r="H254" t="s">
        <v>30</v>
      </c>
      <c r="I254" s="18" t="s">
        <v>31</v>
      </c>
      <c r="J254" s="18" t="s">
        <v>26</v>
      </c>
      <c r="K254" s="18" t="s">
        <v>22</v>
      </c>
      <c r="L254" t="str">
        <f t="shared" si="6"/>
        <v>2016/2015</v>
      </c>
      <c r="M254" s="19" t="str">
        <f t="shared" si="7"/>
        <v>2016/2015</v>
      </c>
      <c r="N254" s="25">
        <v>235</v>
      </c>
      <c r="O254" s="18">
        <v>2015</v>
      </c>
    </row>
    <row r="255" spans="1:15">
      <c r="A255" s="18" t="s">
        <v>72</v>
      </c>
      <c r="B255" s="18" t="s">
        <v>73</v>
      </c>
      <c r="C255" s="18" t="s">
        <v>74</v>
      </c>
      <c r="D255" s="18" t="s">
        <v>75</v>
      </c>
      <c r="E255" s="18" t="s">
        <v>76</v>
      </c>
      <c r="F255" t="s">
        <v>35</v>
      </c>
      <c r="G255" t="s">
        <v>36</v>
      </c>
      <c r="H255" t="s">
        <v>33</v>
      </c>
      <c r="I255" s="18" t="s">
        <v>34</v>
      </c>
      <c r="J255" s="18" t="s">
        <v>26</v>
      </c>
      <c r="K255" s="18" t="s">
        <v>22</v>
      </c>
      <c r="L255" t="str">
        <f t="shared" si="6"/>
        <v>2016/2015</v>
      </c>
      <c r="M255" s="19" t="str">
        <f t="shared" si="7"/>
        <v>2016/2015</v>
      </c>
      <c r="N255" s="25">
        <v>0</v>
      </c>
      <c r="O255" s="18">
        <v>2015</v>
      </c>
    </row>
    <row r="256" spans="1:15">
      <c r="A256" s="18" t="s">
        <v>72</v>
      </c>
      <c r="B256" s="18" t="s">
        <v>73</v>
      </c>
      <c r="C256" s="18" t="s">
        <v>74</v>
      </c>
      <c r="D256" s="18" t="s">
        <v>75</v>
      </c>
      <c r="E256" s="18" t="s">
        <v>76</v>
      </c>
      <c r="F256" t="s">
        <v>37</v>
      </c>
      <c r="G256" t="s">
        <v>38</v>
      </c>
      <c r="H256" t="s">
        <v>30</v>
      </c>
      <c r="I256" s="18" t="s">
        <v>31</v>
      </c>
      <c r="J256" s="18" t="s">
        <v>26</v>
      </c>
      <c r="K256" s="18" t="s">
        <v>22</v>
      </c>
      <c r="L256" t="str">
        <f t="shared" si="6"/>
        <v>2016/2015</v>
      </c>
      <c r="M256" s="19" t="str">
        <f t="shared" si="7"/>
        <v>2016/2015</v>
      </c>
      <c r="N256" s="25">
        <v>555</v>
      </c>
      <c r="O256" s="18">
        <v>2015</v>
      </c>
    </row>
    <row r="257" spans="1:15">
      <c r="A257" s="18" t="s">
        <v>72</v>
      </c>
      <c r="B257" s="18" t="s">
        <v>73</v>
      </c>
      <c r="C257" s="18" t="s">
        <v>74</v>
      </c>
      <c r="D257" s="18" t="s">
        <v>75</v>
      </c>
      <c r="E257" s="18" t="s">
        <v>76</v>
      </c>
      <c r="F257" t="s">
        <v>37</v>
      </c>
      <c r="G257" t="s">
        <v>38</v>
      </c>
      <c r="H257" t="s">
        <v>33</v>
      </c>
      <c r="I257" s="18" t="s">
        <v>34</v>
      </c>
      <c r="J257" s="18" t="s">
        <v>26</v>
      </c>
      <c r="K257" s="18" t="s">
        <v>22</v>
      </c>
      <c r="L257" t="str">
        <f t="shared" si="6"/>
        <v>2016/2015</v>
      </c>
      <c r="M257" s="19" t="str">
        <f t="shared" si="7"/>
        <v>2016/2015</v>
      </c>
      <c r="N257" s="25">
        <v>0</v>
      </c>
      <c r="O257" s="18">
        <v>2015</v>
      </c>
    </row>
    <row r="258" spans="1:15">
      <c r="A258" s="18" t="s">
        <v>72</v>
      </c>
      <c r="B258" s="18" t="s">
        <v>73</v>
      </c>
      <c r="C258" s="18" t="s">
        <v>74</v>
      </c>
      <c r="D258" s="18" t="s">
        <v>75</v>
      </c>
      <c r="E258" s="18" t="s">
        <v>76</v>
      </c>
      <c r="F258" t="s">
        <v>39</v>
      </c>
      <c r="G258" t="s">
        <v>40</v>
      </c>
      <c r="H258" t="s">
        <v>30</v>
      </c>
      <c r="I258" s="18" t="s">
        <v>31</v>
      </c>
      <c r="J258" s="18" t="s">
        <v>26</v>
      </c>
      <c r="K258" s="18" t="s">
        <v>22</v>
      </c>
      <c r="L258" t="str">
        <f t="shared" si="6"/>
        <v>2016/2015</v>
      </c>
      <c r="M258" s="19" t="str">
        <f t="shared" si="7"/>
        <v>2016/2015</v>
      </c>
      <c r="N258" s="25">
        <v>557</v>
      </c>
      <c r="O258" s="18">
        <v>2015</v>
      </c>
    </row>
    <row r="259" spans="1:15">
      <c r="A259" s="18" t="s">
        <v>72</v>
      </c>
      <c r="B259" s="18" t="s">
        <v>73</v>
      </c>
      <c r="C259" s="18" t="s">
        <v>74</v>
      </c>
      <c r="D259" s="18" t="s">
        <v>75</v>
      </c>
      <c r="E259" s="18" t="s">
        <v>76</v>
      </c>
      <c r="F259" t="s">
        <v>39</v>
      </c>
      <c r="G259" t="s">
        <v>40</v>
      </c>
      <c r="H259" t="s">
        <v>33</v>
      </c>
      <c r="I259" s="18" t="s">
        <v>34</v>
      </c>
      <c r="J259" s="18" t="s">
        <v>26</v>
      </c>
      <c r="K259" s="18" t="s">
        <v>22</v>
      </c>
      <c r="L259" t="str">
        <f t="shared" si="6"/>
        <v>2016/2015</v>
      </c>
      <c r="M259" s="19" t="str">
        <f t="shared" si="7"/>
        <v>2016/2015</v>
      </c>
      <c r="N259" s="25">
        <v>61</v>
      </c>
      <c r="O259" s="18">
        <v>2015</v>
      </c>
    </row>
    <row r="260" spans="1:15">
      <c r="A260" s="18" t="s">
        <v>72</v>
      </c>
      <c r="B260" s="18" t="s">
        <v>73</v>
      </c>
      <c r="C260" s="18" t="s">
        <v>74</v>
      </c>
      <c r="D260" s="18" t="s">
        <v>75</v>
      </c>
      <c r="E260" s="18" t="s">
        <v>76</v>
      </c>
      <c r="F260" t="s">
        <v>15</v>
      </c>
      <c r="G260" t="s">
        <v>32</v>
      </c>
      <c r="H260" t="s">
        <v>30</v>
      </c>
      <c r="I260" s="18" t="s">
        <v>31</v>
      </c>
      <c r="J260" s="18" t="s">
        <v>29</v>
      </c>
      <c r="K260" s="18" t="s">
        <v>25</v>
      </c>
      <c r="L260" t="str">
        <f t="shared" si="6"/>
        <v>2015/2014</v>
      </c>
      <c r="M260" s="19" t="str">
        <f t="shared" si="7"/>
        <v>2015/2014</v>
      </c>
      <c r="N260" s="26">
        <v>11378</v>
      </c>
      <c r="O260" s="18">
        <v>2014</v>
      </c>
    </row>
    <row r="261" spans="1:15">
      <c r="A261" s="18" t="s">
        <v>72</v>
      </c>
      <c r="B261" s="18" t="s">
        <v>73</v>
      </c>
      <c r="C261" s="18" t="s">
        <v>74</v>
      </c>
      <c r="D261" s="18" t="s">
        <v>75</v>
      </c>
      <c r="E261" s="18" t="s">
        <v>76</v>
      </c>
      <c r="F261" t="s">
        <v>15</v>
      </c>
      <c r="G261" t="s">
        <v>32</v>
      </c>
      <c r="H261" t="s">
        <v>33</v>
      </c>
      <c r="I261" s="18" t="s">
        <v>34</v>
      </c>
      <c r="J261" s="18" t="s">
        <v>29</v>
      </c>
      <c r="K261" s="18" t="s">
        <v>25</v>
      </c>
      <c r="L261" t="str">
        <f t="shared" ref="L261:L291" si="8">TEXT(O261+1,"0")&amp;"/"&amp;TEXT(O261,"0")</f>
        <v>2015/2014</v>
      </c>
      <c r="M261" s="19" t="str">
        <f t="shared" ref="M261:M291" si="9">TEXT(O261+1,"0")&amp;"/"&amp;TEXT(O261,"0")</f>
        <v>2015/2014</v>
      </c>
      <c r="N261" s="26">
        <v>12390</v>
      </c>
      <c r="O261" s="18">
        <v>2014</v>
      </c>
    </row>
    <row r="262" spans="1:15">
      <c r="A262" s="18" t="s">
        <v>72</v>
      </c>
      <c r="B262" s="18" t="s">
        <v>73</v>
      </c>
      <c r="C262" s="18" t="s">
        <v>74</v>
      </c>
      <c r="D262" s="18" t="s">
        <v>75</v>
      </c>
      <c r="E262" s="18" t="s">
        <v>76</v>
      </c>
      <c r="F262" t="s">
        <v>35</v>
      </c>
      <c r="G262" t="s">
        <v>36</v>
      </c>
      <c r="H262" t="s">
        <v>33</v>
      </c>
      <c r="I262" s="18" t="s">
        <v>34</v>
      </c>
      <c r="J262" s="18" t="s">
        <v>29</v>
      </c>
      <c r="K262" s="18" t="s">
        <v>25</v>
      </c>
      <c r="L262" t="str">
        <f t="shared" si="8"/>
        <v>2015/2014</v>
      </c>
      <c r="M262" s="19" t="str">
        <f t="shared" si="9"/>
        <v>2015/2014</v>
      </c>
      <c r="N262" s="23">
        <v>158</v>
      </c>
      <c r="O262" s="18">
        <v>2014</v>
      </c>
    </row>
    <row r="263" spans="1:15">
      <c r="A263" s="18" t="s">
        <v>72</v>
      </c>
      <c r="B263" s="18" t="s">
        <v>73</v>
      </c>
      <c r="C263" s="18" t="s">
        <v>74</v>
      </c>
      <c r="D263" s="18" t="s">
        <v>75</v>
      </c>
      <c r="E263" s="18" t="s">
        <v>76</v>
      </c>
      <c r="F263" t="s">
        <v>35</v>
      </c>
      <c r="G263" t="s">
        <v>36</v>
      </c>
      <c r="H263" t="s">
        <v>30</v>
      </c>
      <c r="I263" s="18" t="s">
        <v>31</v>
      </c>
      <c r="J263" s="18" t="s">
        <v>29</v>
      </c>
      <c r="K263" s="18" t="s">
        <v>25</v>
      </c>
      <c r="L263" t="str">
        <f t="shared" si="8"/>
        <v>2015/2014</v>
      </c>
      <c r="M263" s="19" t="str">
        <f t="shared" si="9"/>
        <v>2015/2014</v>
      </c>
      <c r="N263" s="23">
        <v>144</v>
      </c>
      <c r="O263" s="18">
        <v>2014</v>
      </c>
    </row>
    <row r="264" spans="1:15">
      <c r="A264" s="18" t="s">
        <v>72</v>
      </c>
      <c r="B264" s="18" t="s">
        <v>73</v>
      </c>
      <c r="C264" s="18" t="s">
        <v>74</v>
      </c>
      <c r="D264" s="18" t="s">
        <v>75</v>
      </c>
      <c r="E264" s="18" t="s">
        <v>76</v>
      </c>
      <c r="F264" t="s">
        <v>37</v>
      </c>
      <c r="G264" t="s">
        <v>38</v>
      </c>
      <c r="H264" t="s">
        <v>30</v>
      </c>
      <c r="I264" s="18" t="s">
        <v>31</v>
      </c>
      <c r="J264" s="18" t="s">
        <v>29</v>
      </c>
      <c r="K264" s="18" t="s">
        <v>25</v>
      </c>
      <c r="L264" t="str">
        <f t="shared" si="8"/>
        <v>2015/2014</v>
      </c>
      <c r="M264" s="19" t="str">
        <f t="shared" si="9"/>
        <v>2015/2014</v>
      </c>
      <c r="N264" s="23">
        <v>0</v>
      </c>
      <c r="O264" s="18">
        <v>2014</v>
      </c>
    </row>
    <row r="265" spans="1:15">
      <c r="A265" s="18" t="s">
        <v>72</v>
      </c>
      <c r="B265" s="18" t="s">
        <v>73</v>
      </c>
      <c r="C265" s="18" t="s">
        <v>74</v>
      </c>
      <c r="D265" s="18" t="s">
        <v>75</v>
      </c>
      <c r="E265" s="18" t="s">
        <v>76</v>
      </c>
      <c r="F265" t="s">
        <v>37</v>
      </c>
      <c r="G265" t="s">
        <v>38</v>
      </c>
      <c r="H265" t="s">
        <v>33</v>
      </c>
      <c r="I265" s="18" t="s">
        <v>34</v>
      </c>
      <c r="J265" s="18" t="s">
        <v>29</v>
      </c>
      <c r="K265" s="18" t="s">
        <v>25</v>
      </c>
      <c r="L265" t="str">
        <f t="shared" si="8"/>
        <v>2015/2014</v>
      </c>
      <c r="M265" s="19" t="str">
        <f t="shared" si="9"/>
        <v>2015/2014</v>
      </c>
      <c r="N265" s="23">
        <v>0</v>
      </c>
      <c r="O265" s="18">
        <v>2014</v>
      </c>
    </row>
    <row r="266" spans="1:15">
      <c r="A266" s="18" t="s">
        <v>72</v>
      </c>
      <c r="B266" s="18" t="s">
        <v>73</v>
      </c>
      <c r="C266" s="18" t="s">
        <v>74</v>
      </c>
      <c r="D266" s="18" t="s">
        <v>75</v>
      </c>
      <c r="E266" s="18" t="s">
        <v>76</v>
      </c>
      <c r="F266" t="s">
        <v>39</v>
      </c>
      <c r="G266" t="s">
        <v>40</v>
      </c>
      <c r="H266" t="s">
        <v>33</v>
      </c>
      <c r="I266" s="18" t="s">
        <v>34</v>
      </c>
      <c r="J266" s="18" t="s">
        <v>29</v>
      </c>
      <c r="K266" s="18" t="s">
        <v>25</v>
      </c>
      <c r="L266" t="str">
        <f t="shared" si="8"/>
        <v>2015/2014</v>
      </c>
      <c r="M266" s="19" t="str">
        <f t="shared" si="9"/>
        <v>2015/2014</v>
      </c>
      <c r="N266" s="23">
        <v>48916</v>
      </c>
      <c r="O266" s="18">
        <v>2014</v>
      </c>
    </row>
    <row r="267" spans="1:15">
      <c r="A267" s="18" t="s">
        <v>72</v>
      </c>
      <c r="B267" s="18" t="s">
        <v>73</v>
      </c>
      <c r="C267" s="18" t="s">
        <v>74</v>
      </c>
      <c r="D267" s="18" t="s">
        <v>75</v>
      </c>
      <c r="E267" s="18" t="s">
        <v>76</v>
      </c>
      <c r="F267" t="s">
        <v>39</v>
      </c>
      <c r="G267" t="s">
        <v>40</v>
      </c>
      <c r="H267" t="s">
        <v>30</v>
      </c>
      <c r="I267" s="18" t="s">
        <v>31</v>
      </c>
      <c r="J267" s="18" t="s">
        <v>29</v>
      </c>
      <c r="K267" s="18" t="s">
        <v>25</v>
      </c>
      <c r="L267" t="str">
        <f t="shared" si="8"/>
        <v>2015/2014</v>
      </c>
      <c r="M267" s="19" t="str">
        <f t="shared" si="9"/>
        <v>2015/2014</v>
      </c>
      <c r="N267" s="23">
        <v>42668</v>
      </c>
      <c r="O267" s="18">
        <v>2014</v>
      </c>
    </row>
    <row r="268" spans="1:15">
      <c r="A268" s="18" t="s">
        <v>72</v>
      </c>
      <c r="B268" s="18" t="s">
        <v>73</v>
      </c>
      <c r="C268" s="18" t="s">
        <v>74</v>
      </c>
      <c r="D268" s="18" t="s">
        <v>75</v>
      </c>
      <c r="E268" s="18" t="s">
        <v>76</v>
      </c>
      <c r="F268" t="s">
        <v>15</v>
      </c>
      <c r="G268" t="s">
        <v>32</v>
      </c>
      <c r="H268" t="s">
        <v>30</v>
      </c>
      <c r="I268" s="18" t="s">
        <v>31</v>
      </c>
      <c r="J268" s="18" t="s">
        <v>28</v>
      </c>
      <c r="K268" s="18" t="s">
        <v>24</v>
      </c>
      <c r="L268" t="str">
        <f t="shared" si="8"/>
        <v>2015/2014</v>
      </c>
      <c r="M268" s="19" t="str">
        <f t="shared" si="9"/>
        <v>2015/2014</v>
      </c>
      <c r="N268" s="26">
        <v>503408</v>
      </c>
      <c r="O268" s="18">
        <v>2014</v>
      </c>
    </row>
    <row r="269" spans="1:15">
      <c r="A269" s="18" t="s">
        <v>72</v>
      </c>
      <c r="B269" s="18" t="s">
        <v>73</v>
      </c>
      <c r="C269" s="18" t="s">
        <v>74</v>
      </c>
      <c r="D269" s="18" t="s">
        <v>75</v>
      </c>
      <c r="E269" s="18" t="s">
        <v>76</v>
      </c>
      <c r="F269" t="s">
        <v>15</v>
      </c>
      <c r="G269" t="s">
        <v>32</v>
      </c>
      <c r="H269" t="s">
        <v>33</v>
      </c>
      <c r="I269" s="18" t="s">
        <v>34</v>
      </c>
      <c r="J269" s="18" t="s">
        <v>28</v>
      </c>
      <c r="K269" s="18" t="s">
        <v>24</v>
      </c>
      <c r="L269" t="str">
        <f t="shared" si="8"/>
        <v>2015/2014</v>
      </c>
      <c r="M269" s="19" t="str">
        <f t="shared" si="9"/>
        <v>2015/2014</v>
      </c>
      <c r="N269" s="26">
        <v>564263</v>
      </c>
      <c r="O269" s="18">
        <v>2014</v>
      </c>
    </row>
    <row r="270" spans="1:15">
      <c r="A270" s="18" t="s">
        <v>72</v>
      </c>
      <c r="B270" s="18" t="s">
        <v>73</v>
      </c>
      <c r="C270" s="18" t="s">
        <v>74</v>
      </c>
      <c r="D270" s="18" t="s">
        <v>75</v>
      </c>
      <c r="E270" s="18" t="s">
        <v>76</v>
      </c>
      <c r="F270" t="s">
        <v>35</v>
      </c>
      <c r="G270" t="s">
        <v>36</v>
      </c>
      <c r="H270" t="s">
        <v>33</v>
      </c>
      <c r="I270" s="18" t="s">
        <v>34</v>
      </c>
      <c r="J270" s="18" t="s">
        <v>28</v>
      </c>
      <c r="K270" s="18" t="s">
        <v>24</v>
      </c>
      <c r="L270" t="str">
        <f t="shared" si="8"/>
        <v>2015/2014</v>
      </c>
      <c r="M270" s="19" t="str">
        <f t="shared" si="9"/>
        <v>2015/2014</v>
      </c>
      <c r="N270" s="26">
        <v>11621</v>
      </c>
      <c r="O270" s="18">
        <v>2014</v>
      </c>
    </row>
    <row r="271" spans="1:15">
      <c r="A271" s="18" t="s">
        <v>72</v>
      </c>
      <c r="B271" s="18" t="s">
        <v>73</v>
      </c>
      <c r="C271" s="18" t="s">
        <v>74</v>
      </c>
      <c r="D271" s="18" t="s">
        <v>75</v>
      </c>
      <c r="E271" s="18" t="s">
        <v>76</v>
      </c>
      <c r="F271" t="s">
        <v>35</v>
      </c>
      <c r="G271" t="s">
        <v>36</v>
      </c>
      <c r="H271" t="s">
        <v>30</v>
      </c>
      <c r="I271" s="18" t="s">
        <v>31</v>
      </c>
      <c r="J271" s="18" t="s">
        <v>28</v>
      </c>
      <c r="K271" s="18" t="s">
        <v>24</v>
      </c>
      <c r="L271" t="str">
        <f t="shared" si="8"/>
        <v>2015/2014</v>
      </c>
      <c r="M271" s="19" t="str">
        <f t="shared" si="9"/>
        <v>2015/2014</v>
      </c>
      <c r="N271" s="26">
        <v>2577</v>
      </c>
      <c r="O271" s="18">
        <v>2014</v>
      </c>
    </row>
    <row r="272" spans="1:15">
      <c r="A272" s="18" t="s">
        <v>72</v>
      </c>
      <c r="B272" s="18" t="s">
        <v>73</v>
      </c>
      <c r="C272" s="18" t="s">
        <v>74</v>
      </c>
      <c r="D272" s="18" t="s">
        <v>75</v>
      </c>
      <c r="E272" s="18" t="s">
        <v>76</v>
      </c>
      <c r="F272" t="s">
        <v>37</v>
      </c>
      <c r="G272" t="s">
        <v>38</v>
      </c>
      <c r="H272" t="s">
        <v>30</v>
      </c>
      <c r="I272" s="18" t="s">
        <v>31</v>
      </c>
      <c r="J272" s="18" t="s">
        <v>28</v>
      </c>
      <c r="K272" s="18" t="s">
        <v>24</v>
      </c>
      <c r="L272" t="str">
        <f t="shared" si="8"/>
        <v>2015/2014</v>
      </c>
      <c r="M272" s="19" t="str">
        <f t="shared" si="9"/>
        <v>2015/2014</v>
      </c>
      <c r="N272" s="26">
        <v>58473</v>
      </c>
      <c r="O272" s="18">
        <v>2014</v>
      </c>
    </row>
    <row r="273" spans="1:15">
      <c r="A273" s="18" t="s">
        <v>72</v>
      </c>
      <c r="B273" s="18" t="s">
        <v>73</v>
      </c>
      <c r="C273" s="18" t="s">
        <v>74</v>
      </c>
      <c r="D273" s="18" t="s">
        <v>75</v>
      </c>
      <c r="E273" s="18" t="s">
        <v>76</v>
      </c>
      <c r="F273" t="s">
        <v>37</v>
      </c>
      <c r="G273" t="s">
        <v>38</v>
      </c>
      <c r="H273" t="s">
        <v>33</v>
      </c>
      <c r="I273" s="18" t="s">
        <v>34</v>
      </c>
      <c r="J273" s="18" t="s">
        <v>28</v>
      </c>
      <c r="K273" s="18" t="s">
        <v>24</v>
      </c>
      <c r="L273" t="str">
        <f t="shared" si="8"/>
        <v>2015/2014</v>
      </c>
      <c r="M273" s="19" t="str">
        <f t="shared" si="9"/>
        <v>2015/2014</v>
      </c>
      <c r="N273" s="26">
        <v>57049</v>
      </c>
      <c r="O273" s="18">
        <v>2014</v>
      </c>
    </row>
    <row r="274" spans="1:15">
      <c r="A274" s="18" t="s">
        <v>72</v>
      </c>
      <c r="B274" s="18" t="s">
        <v>73</v>
      </c>
      <c r="C274" s="18" t="s">
        <v>74</v>
      </c>
      <c r="D274" s="18" t="s">
        <v>75</v>
      </c>
      <c r="E274" s="18" t="s">
        <v>76</v>
      </c>
      <c r="F274" t="s">
        <v>39</v>
      </c>
      <c r="G274" t="s">
        <v>40</v>
      </c>
      <c r="H274" t="s">
        <v>33</v>
      </c>
      <c r="I274" s="18" t="s">
        <v>34</v>
      </c>
      <c r="J274" s="18" t="s">
        <v>28</v>
      </c>
      <c r="K274" s="18" t="s">
        <v>24</v>
      </c>
      <c r="L274" t="str">
        <f t="shared" si="8"/>
        <v>2015/2014</v>
      </c>
      <c r="M274" s="19" t="str">
        <f t="shared" si="9"/>
        <v>2015/2014</v>
      </c>
      <c r="N274" s="26">
        <v>216114</v>
      </c>
      <c r="O274" s="18">
        <v>2014</v>
      </c>
    </row>
    <row r="275" spans="1:15">
      <c r="A275" s="18" t="s">
        <v>72</v>
      </c>
      <c r="B275" s="18" t="s">
        <v>73</v>
      </c>
      <c r="C275" s="18" t="s">
        <v>74</v>
      </c>
      <c r="D275" s="18" t="s">
        <v>75</v>
      </c>
      <c r="E275" s="18" t="s">
        <v>76</v>
      </c>
      <c r="F275" t="s">
        <v>39</v>
      </c>
      <c r="G275" t="s">
        <v>40</v>
      </c>
      <c r="H275" t="s">
        <v>30</v>
      </c>
      <c r="I275" s="18" t="s">
        <v>31</v>
      </c>
      <c r="J275" s="18" t="s">
        <v>28</v>
      </c>
      <c r="K275" s="18" t="s">
        <v>24</v>
      </c>
      <c r="L275" t="str">
        <f t="shared" si="8"/>
        <v>2015/2014</v>
      </c>
      <c r="M275" s="19" t="str">
        <f t="shared" si="9"/>
        <v>2015/2014</v>
      </c>
      <c r="N275" s="26">
        <v>139848</v>
      </c>
      <c r="O275" s="18">
        <v>2014</v>
      </c>
    </row>
    <row r="276" spans="1:15">
      <c r="A276" s="18" t="s">
        <v>72</v>
      </c>
      <c r="B276" s="18" t="s">
        <v>73</v>
      </c>
      <c r="C276" s="18" t="s">
        <v>74</v>
      </c>
      <c r="D276" s="18" t="s">
        <v>75</v>
      </c>
      <c r="E276" s="18" t="s">
        <v>76</v>
      </c>
      <c r="F276" t="s">
        <v>15</v>
      </c>
      <c r="G276" t="s">
        <v>32</v>
      </c>
      <c r="H276" t="s">
        <v>30</v>
      </c>
      <c r="I276" s="18" t="s">
        <v>31</v>
      </c>
      <c r="J276" s="18" t="s">
        <v>27</v>
      </c>
      <c r="K276" s="18" t="s">
        <v>23</v>
      </c>
      <c r="L276" t="str">
        <f t="shared" si="8"/>
        <v>2015/2014</v>
      </c>
      <c r="M276" s="19" t="str">
        <f t="shared" si="9"/>
        <v>2015/2014</v>
      </c>
      <c r="N276" s="26">
        <v>64377</v>
      </c>
      <c r="O276" s="18">
        <v>2014</v>
      </c>
    </row>
    <row r="277" spans="1:15">
      <c r="A277" s="18" t="s">
        <v>72</v>
      </c>
      <c r="B277" s="18" t="s">
        <v>73</v>
      </c>
      <c r="C277" s="18" t="s">
        <v>74</v>
      </c>
      <c r="D277" s="18" t="s">
        <v>75</v>
      </c>
      <c r="E277" s="18" t="s">
        <v>76</v>
      </c>
      <c r="F277" t="s">
        <v>15</v>
      </c>
      <c r="G277" t="s">
        <v>32</v>
      </c>
      <c r="H277" t="s">
        <v>33</v>
      </c>
      <c r="I277" s="18" t="s">
        <v>34</v>
      </c>
      <c r="J277" s="18" t="s">
        <v>27</v>
      </c>
      <c r="K277" s="18" t="s">
        <v>23</v>
      </c>
      <c r="L277" t="str">
        <f t="shared" si="8"/>
        <v>2015/2014</v>
      </c>
      <c r="M277" s="19" t="str">
        <f t="shared" si="9"/>
        <v>2015/2014</v>
      </c>
      <c r="N277" s="26">
        <v>86373</v>
      </c>
      <c r="O277" s="18">
        <v>2014</v>
      </c>
    </row>
    <row r="278" spans="1:15">
      <c r="A278" s="18" t="s">
        <v>72</v>
      </c>
      <c r="B278" s="18" t="s">
        <v>73</v>
      </c>
      <c r="C278" s="18" t="s">
        <v>74</v>
      </c>
      <c r="D278" s="18" t="s">
        <v>75</v>
      </c>
      <c r="E278" s="18" t="s">
        <v>76</v>
      </c>
      <c r="F278" t="s">
        <v>35</v>
      </c>
      <c r="G278" t="s">
        <v>36</v>
      </c>
      <c r="H278" t="s">
        <v>30</v>
      </c>
      <c r="I278" s="18" t="s">
        <v>31</v>
      </c>
      <c r="J278" s="18" t="s">
        <v>27</v>
      </c>
      <c r="K278" s="18" t="s">
        <v>23</v>
      </c>
      <c r="L278" t="str">
        <f t="shared" si="8"/>
        <v>2015/2014</v>
      </c>
      <c r="M278" s="19" t="str">
        <f t="shared" si="9"/>
        <v>2015/2014</v>
      </c>
      <c r="N278" s="26">
        <v>1696</v>
      </c>
      <c r="O278" s="18">
        <v>2014</v>
      </c>
    </row>
    <row r="279" spans="1:15">
      <c r="A279" s="18" t="s">
        <v>72</v>
      </c>
      <c r="B279" s="18" t="s">
        <v>73</v>
      </c>
      <c r="C279" s="18" t="s">
        <v>74</v>
      </c>
      <c r="D279" s="18" t="s">
        <v>75</v>
      </c>
      <c r="E279" s="18" t="s">
        <v>76</v>
      </c>
      <c r="F279" t="s">
        <v>35</v>
      </c>
      <c r="G279" t="s">
        <v>36</v>
      </c>
      <c r="H279" t="s">
        <v>33</v>
      </c>
      <c r="I279" s="18" t="s">
        <v>34</v>
      </c>
      <c r="J279" s="18" t="s">
        <v>27</v>
      </c>
      <c r="K279" s="18" t="s">
        <v>23</v>
      </c>
      <c r="L279" t="str">
        <f t="shared" si="8"/>
        <v>2015/2014</v>
      </c>
      <c r="M279" s="19" t="str">
        <f t="shared" si="9"/>
        <v>2015/2014</v>
      </c>
      <c r="N279" s="26">
        <v>395</v>
      </c>
      <c r="O279" s="18">
        <v>2014</v>
      </c>
    </row>
    <row r="280" spans="1:15">
      <c r="A280" s="18" t="s">
        <v>72</v>
      </c>
      <c r="B280" s="18" t="s">
        <v>73</v>
      </c>
      <c r="C280" s="18" t="s">
        <v>74</v>
      </c>
      <c r="D280" s="18" t="s">
        <v>75</v>
      </c>
      <c r="E280" s="18" t="s">
        <v>76</v>
      </c>
      <c r="F280" t="s">
        <v>37</v>
      </c>
      <c r="G280" t="s">
        <v>38</v>
      </c>
      <c r="H280" t="s">
        <v>30</v>
      </c>
      <c r="I280" s="18" t="s">
        <v>31</v>
      </c>
      <c r="J280" s="18" t="s">
        <v>27</v>
      </c>
      <c r="K280" s="18" t="s">
        <v>23</v>
      </c>
      <c r="L280" t="str">
        <f t="shared" si="8"/>
        <v>2015/2014</v>
      </c>
      <c r="M280" s="19" t="str">
        <f t="shared" si="9"/>
        <v>2015/2014</v>
      </c>
      <c r="N280" s="26">
        <v>0</v>
      </c>
      <c r="O280" s="18">
        <v>2014</v>
      </c>
    </row>
    <row r="281" spans="1:15">
      <c r="A281" s="18" t="s">
        <v>72</v>
      </c>
      <c r="B281" s="18" t="s">
        <v>73</v>
      </c>
      <c r="C281" s="18" t="s">
        <v>74</v>
      </c>
      <c r="D281" s="18" t="s">
        <v>75</v>
      </c>
      <c r="E281" s="18" t="s">
        <v>76</v>
      </c>
      <c r="F281" t="s">
        <v>37</v>
      </c>
      <c r="G281" t="s">
        <v>38</v>
      </c>
      <c r="H281" t="s">
        <v>33</v>
      </c>
      <c r="I281" s="18" t="s">
        <v>34</v>
      </c>
      <c r="J281" s="18" t="s">
        <v>27</v>
      </c>
      <c r="K281" s="18" t="s">
        <v>23</v>
      </c>
      <c r="L281" t="str">
        <f t="shared" si="8"/>
        <v>2015/2014</v>
      </c>
      <c r="M281" s="19" t="str">
        <f t="shared" si="9"/>
        <v>2015/2014</v>
      </c>
      <c r="N281" s="26">
        <v>0</v>
      </c>
      <c r="O281" s="18">
        <v>2014</v>
      </c>
    </row>
    <row r="282" spans="1:15">
      <c r="A282" s="18" t="s">
        <v>72</v>
      </c>
      <c r="B282" s="18" t="s">
        <v>73</v>
      </c>
      <c r="C282" s="18" t="s">
        <v>74</v>
      </c>
      <c r="D282" s="18" t="s">
        <v>75</v>
      </c>
      <c r="E282" s="18" t="s">
        <v>76</v>
      </c>
      <c r="F282" t="s">
        <v>39</v>
      </c>
      <c r="G282" t="s">
        <v>40</v>
      </c>
      <c r="H282" t="s">
        <v>30</v>
      </c>
      <c r="I282" s="18" t="s">
        <v>31</v>
      </c>
      <c r="J282" s="18" t="s">
        <v>27</v>
      </c>
      <c r="K282" s="18" t="s">
        <v>23</v>
      </c>
      <c r="L282" t="str">
        <f t="shared" si="8"/>
        <v>2015/2014</v>
      </c>
      <c r="M282" s="19" t="str">
        <f t="shared" si="9"/>
        <v>2015/2014</v>
      </c>
      <c r="N282" s="26">
        <v>13728</v>
      </c>
      <c r="O282" s="18">
        <v>2014</v>
      </c>
    </row>
    <row r="283" spans="1:15">
      <c r="A283" s="18" t="s">
        <v>72</v>
      </c>
      <c r="B283" s="18" t="s">
        <v>73</v>
      </c>
      <c r="C283" s="18" t="s">
        <v>74</v>
      </c>
      <c r="D283" s="18" t="s">
        <v>75</v>
      </c>
      <c r="E283" s="18" t="s">
        <v>76</v>
      </c>
      <c r="F283" t="s">
        <v>39</v>
      </c>
      <c r="G283" t="s">
        <v>40</v>
      </c>
      <c r="H283" t="s">
        <v>33</v>
      </c>
      <c r="I283" s="18" t="s">
        <v>34</v>
      </c>
      <c r="J283" s="18" t="s">
        <v>27</v>
      </c>
      <c r="K283" s="18" t="s">
        <v>23</v>
      </c>
      <c r="L283" t="str">
        <f t="shared" si="8"/>
        <v>2015/2014</v>
      </c>
      <c r="M283" s="19" t="str">
        <f t="shared" si="9"/>
        <v>2015/2014</v>
      </c>
      <c r="N283" s="26">
        <v>12205</v>
      </c>
      <c r="O283" s="18">
        <v>2014</v>
      </c>
    </row>
    <row r="284" spans="1:15">
      <c r="A284" s="18" t="s">
        <v>72</v>
      </c>
      <c r="B284" s="18" t="s">
        <v>73</v>
      </c>
      <c r="C284" s="18" t="s">
        <v>74</v>
      </c>
      <c r="D284" s="18" t="s">
        <v>75</v>
      </c>
      <c r="E284" s="18" t="s">
        <v>76</v>
      </c>
      <c r="F284" t="s">
        <v>15</v>
      </c>
      <c r="G284" t="s">
        <v>32</v>
      </c>
      <c r="H284" t="s">
        <v>30</v>
      </c>
      <c r="I284" s="18" t="s">
        <v>31</v>
      </c>
      <c r="J284" s="18" t="s">
        <v>26</v>
      </c>
      <c r="K284" s="18" t="s">
        <v>22</v>
      </c>
      <c r="L284" t="str">
        <f t="shared" si="8"/>
        <v>2015/2014</v>
      </c>
      <c r="M284" s="19" t="str">
        <f t="shared" si="9"/>
        <v>2015/2014</v>
      </c>
      <c r="N284" s="26">
        <v>17194</v>
      </c>
      <c r="O284" s="18">
        <v>2014</v>
      </c>
    </row>
    <row r="285" spans="1:15">
      <c r="A285" s="18" t="s">
        <v>72</v>
      </c>
      <c r="B285" s="18" t="s">
        <v>73</v>
      </c>
      <c r="C285" s="18" t="s">
        <v>74</v>
      </c>
      <c r="D285" s="18" t="s">
        <v>75</v>
      </c>
      <c r="E285" s="18" t="s">
        <v>76</v>
      </c>
      <c r="F285" t="s">
        <v>15</v>
      </c>
      <c r="G285" t="s">
        <v>32</v>
      </c>
      <c r="H285" t="s">
        <v>33</v>
      </c>
      <c r="I285" s="18" t="s">
        <v>34</v>
      </c>
      <c r="J285" s="18" t="s">
        <v>26</v>
      </c>
      <c r="K285" s="18" t="s">
        <v>22</v>
      </c>
      <c r="L285" t="str">
        <f t="shared" si="8"/>
        <v>2015/2014</v>
      </c>
      <c r="M285" s="19" t="str">
        <f t="shared" si="9"/>
        <v>2015/2014</v>
      </c>
      <c r="N285" s="26">
        <v>10557</v>
      </c>
      <c r="O285" s="18">
        <v>2014</v>
      </c>
    </row>
    <row r="286" spans="1:15">
      <c r="A286" s="18" t="s">
        <v>72</v>
      </c>
      <c r="B286" s="18" t="s">
        <v>73</v>
      </c>
      <c r="C286" s="18" t="s">
        <v>74</v>
      </c>
      <c r="D286" s="18" t="s">
        <v>75</v>
      </c>
      <c r="E286" s="18" t="s">
        <v>76</v>
      </c>
      <c r="F286" t="s">
        <v>35</v>
      </c>
      <c r="G286" t="s">
        <v>36</v>
      </c>
      <c r="H286" t="s">
        <v>30</v>
      </c>
      <c r="I286" s="18" t="s">
        <v>31</v>
      </c>
      <c r="J286" s="18" t="s">
        <v>26</v>
      </c>
      <c r="K286" s="18" t="s">
        <v>22</v>
      </c>
      <c r="L286" t="str">
        <f t="shared" si="8"/>
        <v>2015/2014</v>
      </c>
      <c r="M286" s="19" t="str">
        <f t="shared" si="9"/>
        <v>2015/2014</v>
      </c>
      <c r="N286" s="26">
        <v>249</v>
      </c>
      <c r="O286" s="18">
        <v>2014</v>
      </c>
    </row>
    <row r="287" spans="1:15">
      <c r="A287" s="18" t="s">
        <v>72</v>
      </c>
      <c r="B287" s="18" t="s">
        <v>73</v>
      </c>
      <c r="C287" s="18" t="s">
        <v>74</v>
      </c>
      <c r="D287" s="18" t="s">
        <v>75</v>
      </c>
      <c r="E287" s="18" t="s">
        <v>76</v>
      </c>
      <c r="F287" t="s">
        <v>35</v>
      </c>
      <c r="G287" t="s">
        <v>36</v>
      </c>
      <c r="H287" t="s">
        <v>33</v>
      </c>
      <c r="I287" s="18" t="s">
        <v>34</v>
      </c>
      <c r="J287" s="18" t="s">
        <v>26</v>
      </c>
      <c r="K287" s="18" t="s">
        <v>22</v>
      </c>
      <c r="L287" t="str">
        <f t="shared" si="8"/>
        <v>2015/2014</v>
      </c>
      <c r="M287" s="19" t="str">
        <f t="shared" si="9"/>
        <v>2015/2014</v>
      </c>
      <c r="N287" s="26">
        <v>0</v>
      </c>
      <c r="O287" s="18">
        <v>2014</v>
      </c>
    </row>
    <row r="288" spans="1:15">
      <c r="A288" s="18" t="s">
        <v>72</v>
      </c>
      <c r="B288" s="18" t="s">
        <v>73</v>
      </c>
      <c r="C288" s="18" t="s">
        <v>74</v>
      </c>
      <c r="D288" s="18" t="s">
        <v>75</v>
      </c>
      <c r="E288" s="18" t="s">
        <v>76</v>
      </c>
      <c r="F288" t="s">
        <v>37</v>
      </c>
      <c r="G288" t="s">
        <v>38</v>
      </c>
      <c r="H288" t="s">
        <v>30</v>
      </c>
      <c r="I288" s="18" t="s">
        <v>31</v>
      </c>
      <c r="J288" s="18" t="s">
        <v>26</v>
      </c>
      <c r="K288" s="18" t="s">
        <v>22</v>
      </c>
      <c r="L288" t="str">
        <f t="shared" si="8"/>
        <v>2015/2014</v>
      </c>
      <c r="M288" s="19" t="str">
        <f t="shared" si="9"/>
        <v>2015/2014</v>
      </c>
      <c r="N288" s="26">
        <v>583</v>
      </c>
      <c r="O288" s="18">
        <v>2014</v>
      </c>
    </row>
    <row r="289" spans="1:15">
      <c r="A289" s="18" t="s">
        <v>72</v>
      </c>
      <c r="B289" s="18" t="s">
        <v>73</v>
      </c>
      <c r="C289" s="18" t="s">
        <v>74</v>
      </c>
      <c r="D289" s="18" t="s">
        <v>75</v>
      </c>
      <c r="E289" s="18" t="s">
        <v>76</v>
      </c>
      <c r="F289" t="s">
        <v>37</v>
      </c>
      <c r="G289" t="s">
        <v>38</v>
      </c>
      <c r="H289" t="s">
        <v>33</v>
      </c>
      <c r="I289" s="18" t="s">
        <v>34</v>
      </c>
      <c r="J289" s="18" t="s">
        <v>26</v>
      </c>
      <c r="K289" s="18" t="s">
        <v>22</v>
      </c>
      <c r="L289" t="str">
        <f t="shared" si="8"/>
        <v>2015/2014</v>
      </c>
      <c r="M289" s="19" t="str">
        <f t="shared" si="9"/>
        <v>2015/2014</v>
      </c>
      <c r="N289" s="26">
        <v>0</v>
      </c>
      <c r="O289" s="18">
        <v>2014</v>
      </c>
    </row>
    <row r="290" spans="1:15">
      <c r="A290" s="18" t="s">
        <v>72</v>
      </c>
      <c r="B290" s="18" t="s">
        <v>73</v>
      </c>
      <c r="C290" s="18" t="s">
        <v>74</v>
      </c>
      <c r="D290" s="18" t="s">
        <v>75</v>
      </c>
      <c r="E290" s="18" t="s">
        <v>76</v>
      </c>
      <c r="F290" t="s">
        <v>39</v>
      </c>
      <c r="G290" t="s">
        <v>40</v>
      </c>
      <c r="H290" t="s">
        <v>30</v>
      </c>
      <c r="I290" s="18" t="s">
        <v>31</v>
      </c>
      <c r="J290" s="18" t="s">
        <v>26</v>
      </c>
      <c r="K290" s="18" t="s">
        <v>22</v>
      </c>
      <c r="L290" t="str">
        <f t="shared" si="8"/>
        <v>2015/2014</v>
      </c>
      <c r="M290" s="19" t="str">
        <f t="shared" si="9"/>
        <v>2015/2014</v>
      </c>
      <c r="N290" s="26">
        <v>422</v>
      </c>
      <c r="O290" s="18">
        <v>2014</v>
      </c>
    </row>
    <row r="291" spans="1:15">
      <c r="A291" s="18" t="s">
        <v>72</v>
      </c>
      <c r="B291" s="18" t="s">
        <v>73</v>
      </c>
      <c r="C291" s="18" t="s">
        <v>74</v>
      </c>
      <c r="D291" s="18" t="s">
        <v>75</v>
      </c>
      <c r="E291" s="18" t="s">
        <v>76</v>
      </c>
      <c r="F291" t="s">
        <v>39</v>
      </c>
      <c r="G291" t="s">
        <v>40</v>
      </c>
      <c r="H291" t="s">
        <v>33</v>
      </c>
      <c r="I291" s="18" t="s">
        <v>34</v>
      </c>
      <c r="J291" s="18" t="s">
        <v>26</v>
      </c>
      <c r="K291" s="18" t="s">
        <v>22</v>
      </c>
      <c r="L291" t="str">
        <f t="shared" si="8"/>
        <v>2015/2014</v>
      </c>
      <c r="M291" s="19" t="str">
        <f t="shared" si="9"/>
        <v>2015/2014</v>
      </c>
      <c r="N291" s="26">
        <v>30</v>
      </c>
      <c r="O291" s="18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70" zoomScaleNormal="70" workbookViewId="0">
      <selection activeCell="A4" sqref="A4:P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77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78</v>
      </c>
      <c r="B3">
        <v>1</v>
      </c>
    </row>
    <row r="4" s="10" customFormat="1" ht="18" customHeight="1" spans="1:16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4" t="s">
        <v>47</v>
      </c>
      <c r="G4" s="14" t="s">
        <v>48</v>
      </c>
      <c r="H4" s="14" t="s">
        <v>49</v>
      </c>
      <c r="I4" s="14" t="s">
        <v>50</v>
      </c>
      <c r="J4" s="14" t="s">
        <v>51</v>
      </c>
      <c r="K4" s="14" t="s">
        <v>52</v>
      </c>
      <c r="L4" s="15" t="s">
        <v>53</v>
      </c>
      <c r="M4" s="15" t="s">
        <v>54</v>
      </c>
      <c r="N4" s="13" t="s">
        <v>55</v>
      </c>
      <c r="O4" s="13" t="s">
        <v>56</v>
      </c>
      <c r="P4" s="13" t="s">
        <v>57</v>
      </c>
    </row>
    <row r="5" s="10" customFormat="1" ht="18" customHeight="1" spans="1:16">
      <c r="A5" s="13" t="s">
        <v>58</v>
      </c>
      <c r="B5" s="13" t="s">
        <v>59</v>
      </c>
      <c r="C5" s="13" t="s">
        <v>60</v>
      </c>
      <c r="D5" s="13" t="s">
        <v>61</v>
      </c>
      <c r="E5" s="13" t="s">
        <v>62</v>
      </c>
      <c r="F5" s="14" t="s">
        <v>63</v>
      </c>
      <c r="G5" s="14" t="s">
        <v>64</v>
      </c>
      <c r="H5" s="14" t="s">
        <v>65</v>
      </c>
      <c r="I5" s="14" t="s">
        <v>66</v>
      </c>
      <c r="J5" s="14" t="s">
        <v>21</v>
      </c>
      <c r="K5" s="14" t="s">
        <v>20</v>
      </c>
      <c r="L5" s="16" t="s">
        <v>67</v>
      </c>
      <c r="M5" s="15" t="s">
        <v>68</v>
      </c>
      <c r="N5" s="13" t="s">
        <v>69</v>
      </c>
      <c r="O5" s="13" t="s">
        <v>70</v>
      </c>
      <c r="P5" s="13" t="s">
        <v>71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79</v>
      </c>
      <c r="C2" s="6" t="s">
        <v>80</v>
      </c>
    </row>
    <row r="3" spans="1:1">
      <c r="A3" s="7"/>
    </row>
    <row r="4" ht="28.5" spans="1:3">
      <c r="A4" s="7" t="s">
        <v>81</v>
      </c>
      <c r="C4" s="3" t="s">
        <v>82</v>
      </c>
    </row>
    <row r="6" ht="17.25" spans="1:3">
      <c r="A6" s="5" t="s">
        <v>83</v>
      </c>
      <c r="C6" s="6" t="s">
        <v>84</v>
      </c>
    </row>
    <row r="7" spans="1:1">
      <c r="A7" s="7"/>
    </row>
    <row r="8" ht="30" spans="1:3">
      <c r="A8" s="8" t="s">
        <v>85</v>
      </c>
      <c r="C8" s="3" t="s">
        <v>86</v>
      </c>
    </row>
    <row r="10" ht="17.25" spans="1:3">
      <c r="A10" s="5" t="s">
        <v>87</v>
      </c>
      <c r="C10" s="6" t="s">
        <v>88</v>
      </c>
    </row>
    <row r="11" spans="1:1">
      <c r="A11" s="7"/>
    </row>
    <row r="12" spans="1:3">
      <c r="A12" s="7" t="s">
        <v>89</v>
      </c>
      <c r="C12" s="3" t="s">
        <v>90</v>
      </c>
    </row>
    <row r="13" ht="15" spans="1:3">
      <c r="A13" s="8" t="s">
        <v>91</v>
      </c>
      <c r="C13" s="9" t="s">
        <v>92</v>
      </c>
    </row>
    <row r="14" ht="29.25" spans="1:3">
      <c r="A14" s="8" t="s">
        <v>93</v>
      </c>
      <c r="C14" s="9" t="s">
        <v>94</v>
      </c>
    </row>
    <row r="15" ht="15" spans="1:3">
      <c r="A15" s="8" t="s">
        <v>95</v>
      </c>
      <c r="C15" s="9" t="s">
        <v>96</v>
      </c>
    </row>
    <row r="16" ht="15" spans="1:3">
      <c r="A16" s="8" t="s">
        <v>97</v>
      </c>
      <c r="C16" s="9" t="s">
        <v>98</v>
      </c>
    </row>
    <row r="17" ht="15" spans="1:3">
      <c r="A17" s="8" t="s">
        <v>99</v>
      </c>
      <c r="C17" s="9" t="s">
        <v>100</v>
      </c>
    </row>
    <row r="18" spans="1:3">
      <c r="A18" s="7" t="s">
        <v>101</v>
      </c>
      <c r="C18" s="3" t="s">
        <v>102</v>
      </c>
    </row>
    <row r="19" spans="1:3">
      <c r="A19" s="7" t="s">
        <v>103</v>
      </c>
      <c r="C19" s="3" t="s">
        <v>104</v>
      </c>
    </row>
    <row r="20" ht="29.25" spans="1:3">
      <c r="A20" s="8" t="s">
        <v>105</v>
      </c>
      <c r="C20" s="9" t="s">
        <v>106</v>
      </c>
    </row>
    <row r="22" ht="17.25" spans="1:3">
      <c r="A22" s="5" t="s">
        <v>107</v>
      </c>
      <c r="C22" s="6" t="s">
        <v>108</v>
      </c>
    </row>
    <row r="23" spans="1:1">
      <c r="A23" s="7"/>
    </row>
    <row r="24" ht="29.25" spans="1:3">
      <c r="A24" s="7" t="s">
        <v>109</v>
      </c>
      <c r="C24" s="3" t="s">
        <v>110</v>
      </c>
    </row>
    <row r="25" ht="30" spans="1:3">
      <c r="A25" s="7" t="s">
        <v>111</v>
      </c>
      <c r="C25" s="3" t="s">
        <v>112</v>
      </c>
    </row>
    <row r="27" ht="17.25" spans="1:3">
      <c r="A27" s="5" t="s">
        <v>113</v>
      </c>
      <c r="C27" s="6" t="s">
        <v>114</v>
      </c>
    </row>
    <row r="28" spans="1:1">
      <c r="A28" s="7"/>
    </row>
    <row r="29" ht="15" spans="1:3">
      <c r="A29" s="7" t="s">
        <v>115</v>
      </c>
      <c r="C29" s="3" t="s">
        <v>116</v>
      </c>
    </row>
    <row r="30" spans="1:3">
      <c r="A30" s="7" t="s">
        <v>117</v>
      </c>
      <c r="C30" s="3" t="s">
        <v>118</v>
      </c>
    </row>
    <row r="32" ht="17.25" spans="1:3">
      <c r="A32" s="5" t="s">
        <v>119</v>
      </c>
      <c r="C32" s="6" t="s">
        <v>120</v>
      </c>
    </row>
    <row r="33" spans="1:1">
      <c r="A33" s="7"/>
    </row>
    <row r="34" ht="15" spans="1:3">
      <c r="A34" s="8" t="s">
        <v>121</v>
      </c>
      <c r="C34" s="3" t="s">
        <v>122</v>
      </c>
    </row>
    <row r="36" ht="17.25" spans="1:3">
      <c r="A36" s="5" t="s">
        <v>123</v>
      </c>
      <c r="C36" s="6" t="s">
        <v>124</v>
      </c>
    </row>
    <row r="37" spans="1:1">
      <c r="A37" s="7"/>
    </row>
    <row r="38" spans="1:3">
      <c r="A38" s="7" t="s">
        <v>125</v>
      </c>
      <c r="C38" s="3" t="s">
        <v>126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3AFDB58E1859478882B1A4BB338259E2_13</vt:lpwstr>
  </property>
  <property fmtid="{D5CDD505-2E9C-101B-9397-08002B2CF9AE}" pid="5" name="KSOProductBuildVer">
    <vt:lpwstr>1033-12.2.0.19805</vt:lpwstr>
  </property>
</Properties>
</file>