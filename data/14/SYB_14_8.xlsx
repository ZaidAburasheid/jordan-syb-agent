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<sst xmlns="http://schemas.openxmlformats.org/spreadsheetml/2006/main" count="336" uniqueCount="96">
  <si>
    <t>Code</t>
  </si>
  <si>
    <t>SYB_14_8</t>
  </si>
  <si>
    <t>Version</t>
  </si>
  <si>
    <t>V1</t>
  </si>
  <si>
    <t>اسم القالب</t>
  </si>
  <si>
    <t>إصابات التدرن الرئوي والجراحي</t>
  </si>
  <si>
    <t>Template Name</t>
  </si>
  <si>
    <t>T.B. and Surgical T.B.Infection</t>
  </si>
  <si>
    <t>دورية البيانات</t>
  </si>
  <si>
    <t>سنوي</t>
  </si>
  <si>
    <t>Data Frequency</t>
  </si>
  <si>
    <t>Yearly</t>
  </si>
  <si>
    <t>الجهة المصدرية</t>
  </si>
  <si>
    <t>وزارة الصحة</t>
  </si>
  <si>
    <t>Data Source</t>
  </si>
  <si>
    <t>Ministry of Health</t>
  </si>
  <si>
    <t>Year</t>
  </si>
  <si>
    <t>السنة</t>
  </si>
  <si>
    <t xml:space="preserve">TB TYPE </t>
  </si>
  <si>
    <t xml:space="preserve">نوع التدرن </t>
  </si>
  <si>
    <t>.T.B</t>
  </si>
  <si>
    <t>التدرن الرئوي</t>
  </si>
  <si>
    <t>.Surgical T.B</t>
  </si>
  <si>
    <t>التدرن الجراحي</t>
  </si>
  <si>
    <t>Relational Sheet</t>
  </si>
  <si>
    <t>Measure_Name_Ar</t>
  </si>
  <si>
    <t>Measure_Name_En</t>
  </si>
  <si>
    <t>Measure_ID</t>
  </si>
  <si>
    <t>Unit_EN</t>
  </si>
  <si>
    <t>Unit_AR</t>
  </si>
  <si>
    <t>CL_TB_TYPE_EN_V1</t>
  </si>
  <si>
    <t>CL_TB_TYPE_AR_V1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</si>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</sst>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4"/>
      <color theme="1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/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11" borderId="17" applyNumberFormat="0" applyAlignment="0" applyProtection="0">
      <alignment vertical="center"/>
    </xf>
    <xf numFmtId="0" fontId="26" fillId="11" borderId="16" applyNumberFormat="0" applyAlignment="0" applyProtection="0">
      <alignment vertical="center"/>
    </xf>
    <xf numFmtId="0" fontId="27" fillId="12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6" fillId="0" borderId="0">
      <alignment horizontal="centerContinuous" vertical="center"/>
    </xf>
    <xf numFmtId="0" fontId="37" fillId="0" borderId="0">
      <alignment horizontal="centerContinuous" vertical="center"/>
    </xf>
    <xf numFmtId="1" fontId="38" fillId="40" borderId="21">
      <alignment horizontal="center" vertical="center"/>
    </xf>
    <xf numFmtId="0" fontId="39" fillId="40" borderId="21">
      <alignment horizontal="center" vertical="center" wrapText="1"/>
    </xf>
    <xf numFmtId="0" fontId="40" fillId="40" borderId="21">
      <alignment horizontal="center" vertical="center" wrapText="1"/>
    </xf>
    <xf numFmtId="0" fontId="35" fillId="0" borderId="0"/>
    <xf numFmtId="0" fontId="35" fillId="0" borderId="0"/>
    <xf numFmtId="0" fontId="0" fillId="0" borderId="0"/>
    <xf numFmtId="0" fontId="0" fillId="0" borderId="0"/>
    <xf numFmtId="0" fontId="35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35" fillId="0" borderId="0">
      <alignment horizontal="left" vertical="center"/>
    </xf>
  </cellStyleXfs>
  <cellXfs count="3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 applyAlignment="1">
      <alignment horizontal="center"/>
    </xf>
    <xf numFmtId="14" fontId="0" fillId="0" borderId="0" xfId="0" applyNumberFormat="1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readingOrder="2"/>
    </xf>
    <xf numFmtId="0" fontId="0" fillId="0" borderId="0" xfId="0" applyAlignment="1">
      <alignment readingOrder="2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 readingOrder="2"/>
    </xf>
    <xf numFmtId="0" fontId="12" fillId="8" borderId="8" xfId="0" applyFont="1" applyFill="1" applyBorder="1" applyAlignment="1">
      <alignment horizontal="center" vertical="center" readingOrder="2"/>
    </xf>
    <xf numFmtId="0" fontId="12" fillId="2" borderId="0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 readingOrder="2"/>
    </xf>
    <xf numFmtId="0" fontId="12" fillId="8" borderId="10" xfId="0" applyFont="1" applyFill="1" applyBorder="1" applyAlignment="1">
      <alignment horizontal="center" vertical="center" readingOrder="2"/>
    </xf>
    <xf numFmtId="0" fontId="12" fillId="8" borderId="11" xfId="0" applyFont="1" applyFill="1" applyBorder="1" applyAlignment="1">
      <alignment horizontal="center" vertical="center" readingOrder="2"/>
    </xf>
    <xf numFmtId="0" fontId="12" fillId="2" borderId="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vertical="center" readingOrder="2"/>
    </xf>
    <xf numFmtId="0" fontId="14" fillId="0" borderId="12" xfId="0" applyFont="1" applyBorder="1" applyAlignment="1" applyProtection="1">
      <alignment horizontal="center" vertical="center"/>
      <protection locked="0"/>
    </xf>
    <xf numFmtId="0" fontId="15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readingOrder="2"/>
    </xf>
    <xf numFmtId="0" fontId="7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4" sqref="B4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36" t="s">
        <v>0</v>
      </c>
      <c r="B1" s="15" t="s">
        <v>1</v>
      </c>
    </row>
    <row r="2" ht="21" customHeight="1" spans="1:2">
      <c r="A2" s="36" t="s">
        <v>2</v>
      </c>
      <c r="B2" s="15" t="s">
        <v>3</v>
      </c>
    </row>
    <row r="3" ht="21" customHeight="1" spans="1:2">
      <c r="A3" s="36" t="s">
        <v>4</v>
      </c>
      <c r="B3" s="15" t="s">
        <v>5</v>
      </c>
    </row>
    <row r="4" ht="21" customHeight="1" spans="1:2">
      <c r="A4" s="36" t="s">
        <v>6</v>
      </c>
      <c r="B4" s="15" t="s">
        <v>7</v>
      </c>
    </row>
    <row r="5" ht="21" customHeight="1" spans="1:2">
      <c r="A5" s="36" t="s">
        <v>8</v>
      </c>
      <c r="B5" s="37" t="s">
        <v>9</v>
      </c>
    </row>
    <row r="6" ht="21" customHeight="1" spans="1:2">
      <c r="A6" s="36" t="s">
        <v>10</v>
      </c>
      <c r="B6" s="37" t="s">
        <v>11</v>
      </c>
    </row>
    <row r="7" ht="21" customHeight="1" spans="1:2">
      <c r="A7" s="36" t="s">
        <v>12</v>
      </c>
      <c r="B7" s="38" t="s">
        <v>13</v>
      </c>
    </row>
    <row r="8" ht="21" customHeight="1" spans="1:2">
      <c r="A8" s="36" t="s">
        <v>14</v>
      </c>
      <c r="B8" s="3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9"/>
  <sheetViews>
    <sheetView view="pageBreakPreview" zoomScale="70" zoomScaleNormal="100" workbookViewId="0">
      <selection activeCell="G10" sqref="G10"/>
    </sheetView>
  </sheetViews>
  <sheetFormatPr defaultColWidth="16.75" defaultRowHeight="14.25" outlineLevelCol="3"/>
  <cols>
    <col min="2" max="5" width="25.75" customWidth="1"/>
  </cols>
  <sheetData>
    <row r="2" ht="28.15" customHeight="1" spans="2:4">
      <c r="B2" s="21" t="str">
        <f>'Cover Page'!B4</f>
        <v>T.B. and Surgical T.B.Infection</v>
      </c>
      <c r="C2" s="22"/>
      <c r="D2" s="22"/>
    </row>
    <row r="3" ht="28.15" customHeight="1" spans="2:4">
      <c r="B3" s="23" t="str">
        <f>'Cover Page'!B3</f>
        <v>إصابات التدرن الرئوي والجراحي</v>
      </c>
      <c r="C3" s="24"/>
      <c r="D3" s="24"/>
    </row>
    <row r="4" ht="28.15" customHeight="1" spans="2:4">
      <c r="B4" s="25" t="s">
        <v>16</v>
      </c>
      <c r="C4" s="26">
        <f>YEAR('Template Data'!B1)</f>
        <v>2024</v>
      </c>
      <c r="D4" s="27" t="s">
        <v>17</v>
      </c>
    </row>
    <row r="5" ht="28.15" customHeight="1" spans="2:4">
      <c r="B5" s="28" t="s">
        <v>18</v>
      </c>
      <c r="C5" s="29"/>
      <c r="D5" s="30" t="s">
        <v>19</v>
      </c>
    </row>
    <row r="6" ht="19.9" customHeight="1" spans="2:4">
      <c r="B6" s="31"/>
      <c r="C6" s="29"/>
      <c r="D6" s="30"/>
    </row>
    <row r="7" ht="19.9" customHeight="1" spans="2:4">
      <c r="B7" s="32"/>
      <c r="C7" s="33"/>
      <c r="D7" s="30"/>
    </row>
    <row r="8" ht="22.15" customHeight="1" spans="2:4">
      <c r="B8" s="34" t="s">
        <v>20</v>
      </c>
      <c r="C8" s="35"/>
      <c r="D8" s="34" t="s">
        <v>21</v>
      </c>
    </row>
    <row r="9" ht="22.15" customHeight="1" spans="2:4">
      <c r="B9" s="34" t="s">
        <v>22</v>
      </c>
      <c r="C9" s="35"/>
      <c r="D9" s="34" t="s">
        <v>23</v>
      </c>
    </row>
  </sheetData>
  <sheetProtection algorithmName="SHA-512" hashValue="dlOU0s18gqWf/66zATLuSEZBGBCw0yr7HQSDe9OFUbHd+qr+xLVTa6BD6CxnPUASU4PbOXbuas9FWBwE6C+BZQ==" saltValue="aJ7s1LddOoMjYdmmh7QmhA==" spinCount="100000" sheet="1" objects="1"/>
  <mergeCells count="5">
    <mergeCell ref="B2:D2"/>
    <mergeCell ref="B3:D3"/>
    <mergeCell ref="B5:B7"/>
    <mergeCell ref="C4:C7"/>
    <mergeCell ref="D5:D7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zoomScale="70" zoomScaleNormal="70" workbookViewId="0">
      <selection activeCell="J2" sqref="A2:J3"/>
    </sheetView>
  </sheetViews>
  <sheetFormatPr defaultColWidth="9" defaultRowHeight="14.25"/>
  <cols>
    <col min="1" max="1" width="46.25" customWidth="1"/>
    <col min="2" max="2" width="35.875" customWidth="1"/>
    <col min="3" max="3" width="9.75" customWidth="1"/>
    <col min="4" max="5" width="18.125" customWidth="1"/>
    <col min="6" max="6" width="23.875" customWidth="1"/>
    <col min="7" max="7" width="24.75" customWidth="1"/>
    <col min="8" max="8" width="23.375" customWidth="1"/>
    <col min="9" max="9" width="36.5" customWidth="1"/>
    <col min="10" max="12" width="15.5" customWidth="1"/>
  </cols>
  <sheetData>
    <row r="1" ht="20.25" spans="1:1">
      <c r="A1" s="15" t="s">
        <v>24</v>
      </c>
    </row>
    <row r="2" s="14" customFormat="1" ht="18" customHeight="1" spans="1:10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29</v>
      </c>
      <c r="F2" s="13" t="s">
        <v>30</v>
      </c>
      <c r="G2" s="13" t="s">
        <v>31</v>
      </c>
      <c r="H2" s="12" t="s">
        <v>32</v>
      </c>
      <c r="I2" s="12" t="s">
        <v>33</v>
      </c>
      <c r="J2" s="12" t="s">
        <v>34</v>
      </c>
    </row>
    <row r="3" s="14" customFormat="1" ht="18" customHeight="1" spans="1:10">
      <c r="A3" s="12" t="s">
        <v>35</v>
      </c>
      <c r="B3" s="12" t="s">
        <v>36</v>
      </c>
      <c r="C3" s="12" t="s">
        <v>37</v>
      </c>
      <c r="D3" s="12" t="s">
        <v>38</v>
      </c>
      <c r="E3" s="12" t="s">
        <v>39</v>
      </c>
      <c r="F3" s="13" t="s">
        <v>18</v>
      </c>
      <c r="G3" s="13" t="s">
        <v>19</v>
      </c>
      <c r="H3" s="12" t="s">
        <v>40</v>
      </c>
      <c r="I3" s="12" t="s">
        <v>41</v>
      </c>
      <c r="J3" s="12" t="s">
        <v>42</v>
      </c>
    </row>
    <row r="4" ht="15.75" spans="1:9">
      <c r="A4" s="16" t="s">
        <v>5</v>
      </c>
      <c r="B4" s="16" t="s">
        <v>7</v>
      </c>
      <c r="C4" s="17" t="s">
        <v>43</v>
      </c>
      <c r="D4" s="18" t="s">
        <v>44</v>
      </c>
      <c r="E4" s="19" t="s">
        <v>45</v>
      </c>
      <c r="F4" s="20" t="str">
        <f>'Source Table'!$B$8</f>
        <v>.T.B</v>
      </c>
      <c r="G4" t="str">
        <f>'Source Table'!$D$8</f>
        <v>التدرن الرئوي</v>
      </c>
      <c r="H4">
        <v>116</v>
      </c>
      <c r="I4">
        <v>2022</v>
      </c>
    </row>
    <row r="5" ht="15.75" spans="1:9">
      <c r="A5" s="16" t="s">
        <v>5</v>
      </c>
      <c r="B5" s="16" t="s">
        <v>7</v>
      </c>
      <c r="C5" s="17" t="s">
        <v>43</v>
      </c>
      <c r="D5" s="18" t="s">
        <v>44</v>
      </c>
      <c r="E5" s="19" t="s">
        <v>45</v>
      </c>
      <c r="F5" s="20" t="str">
        <f>'Source Table'!$B$9</f>
        <v>.Surgical T.B</v>
      </c>
      <c r="G5" t="str">
        <f>'Source Table'!$D$9</f>
        <v>التدرن الجراحي</v>
      </c>
      <c r="H5">
        <v>120</v>
      </c>
      <c r="I5">
        <v>2022</v>
      </c>
    </row>
    <row r="6" ht="15.75" spans="1:9">
      <c r="A6" s="16" t="s">
        <v>5</v>
      </c>
      <c r="B6" s="16" t="s">
        <v>7</v>
      </c>
      <c r="C6" s="17" t="s">
        <v>43</v>
      </c>
      <c r="D6" s="18" t="s">
        <v>44</v>
      </c>
      <c r="E6" s="19" t="s">
        <v>45</v>
      </c>
      <c r="F6" s="20" t="str">
        <f>'Source Table'!$B$8</f>
        <v>.T.B</v>
      </c>
      <c r="G6" t="str">
        <f>'Source Table'!$D$8</f>
        <v>التدرن الرئوي</v>
      </c>
      <c r="H6">
        <v>105</v>
      </c>
      <c r="I6">
        <v>2021</v>
      </c>
    </row>
    <row r="7" ht="15.75" spans="1:9">
      <c r="A7" s="16" t="s">
        <v>5</v>
      </c>
      <c r="B7" s="16" t="s">
        <v>7</v>
      </c>
      <c r="C7" s="17" t="s">
        <v>43</v>
      </c>
      <c r="D7" s="18" t="s">
        <v>44</v>
      </c>
      <c r="E7" s="19" t="s">
        <v>45</v>
      </c>
      <c r="F7" s="20" t="str">
        <f>'Source Table'!$B$9</f>
        <v>.Surgical T.B</v>
      </c>
      <c r="G7" t="str">
        <f>'Source Table'!$D$9</f>
        <v>التدرن الجراحي</v>
      </c>
      <c r="H7">
        <v>114</v>
      </c>
      <c r="I7">
        <v>2021</v>
      </c>
    </row>
    <row r="8" ht="15.75" spans="1:9">
      <c r="A8" s="16" t="s">
        <v>5</v>
      </c>
      <c r="B8" s="16" t="s">
        <v>7</v>
      </c>
      <c r="C8" s="17" t="s">
        <v>43</v>
      </c>
      <c r="D8" s="18" t="s">
        <v>44</v>
      </c>
      <c r="E8" s="19" t="s">
        <v>45</v>
      </c>
      <c r="F8" s="20" t="str">
        <f>'Source Table'!$B$8</f>
        <v>.T.B</v>
      </c>
      <c r="G8" t="str">
        <f>'Source Table'!$D$8</f>
        <v>التدرن الرئوي</v>
      </c>
      <c r="H8">
        <v>167</v>
      </c>
      <c r="I8">
        <v>2020</v>
      </c>
    </row>
    <row r="9" ht="15.75" spans="1:9">
      <c r="A9" s="16" t="s">
        <v>5</v>
      </c>
      <c r="B9" s="16" t="s">
        <v>7</v>
      </c>
      <c r="C9" s="17" t="s">
        <v>43</v>
      </c>
      <c r="D9" s="18" t="s">
        <v>44</v>
      </c>
      <c r="E9" s="19" t="s">
        <v>45</v>
      </c>
      <c r="F9" s="20" t="str">
        <f>'Source Table'!$B$9</f>
        <v>.Surgical T.B</v>
      </c>
      <c r="G9" t="str">
        <f>'Source Table'!$D$9</f>
        <v>التدرن الجراحي</v>
      </c>
      <c r="H9">
        <v>83</v>
      </c>
      <c r="I9">
        <v>2020</v>
      </c>
    </row>
    <row r="10" ht="15.75" spans="1:9">
      <c r="A10" s="16" t="s">
        <v>5</v>
      </c>
      <c r="B10" s="16" t="s">
        <v>7</v>
      </c>
      <c r="C10" s="17" t="s">
        <v>43</v>
      </c>
      <c r="D10" s="18" t="s">
        <v>44</v>
      </c>
      <c r="E10" s="19" t="s">
        <v>45</v>
      </c>
      <c r="F10" s="20" t="str">
        <f>'Source Table'!$B$8</f>
        <v>.T.B</v>
      </c>
      <c r="G10" t="str">
        <f>'Source Table'!$D$8</f>
        <v>التدرن الرئوي</v>
      </c>
      <c r="H10">
        <v>336</v>
      </c>
      <c r="I10">
        <v>2019</v>
      </c>
    </row>
    <row r="11" ht="15.75" spans="1:9">
      <c r="A11" s="16" t="s">
        <v>5</v>
      </c>
      <c r="B11" s="16" t="s">
        <v>7</v>
      </c>
      <c r="C11" s="17" t="s">
        <v>43</v>
      </c>
      <c r="D11" s="18" t="s">
        <v>44</v>
      </c>
      <c r="E11" s="19" t="s">
        <v>45</v>
      </c>
      <c r="F11" s="20" t="str">
        <f>'Source Table'!$B$9</f>
        <v>.Surgical T.B</v>
      </c>
      <c r="G11" t="str">
        <f>'Source Table'!$D$9</f>
        <v>التدرن الجراحي</v>
      </c>
      <c r="H11">
        <v>118</v>
      </c>
      <c r="I11">
        <v>2019</v>
      </c>
    </row>
    <row r="12" ht="15.75" spans="1:9">
      <c r="A12" s="16" t="s">
        <v>5</v>
      </c>
      <c r="B12" s="16" t="s">
        <v>7</v>
      </c>
      <c r="C12" s="17" t="s">
        <v>43</v>
      </c>
      <c r="D12" s="18" t="s">
        <v>44</v>
      </c>
      <c r="E12" s="19" t="s">
        <v>45</v>
      </c>
      <c r="F12" s="20" t="str">
        <f>'Source Table'!$B$8</f>
        <v>.T.B</v>
      </c>
      <c r="G12" t="str">
        <f>'Source Table'!$D$8</f>
        <v>التدرن الرئوي</v>
      </c>
      <c r="H12">
        <v>280</v>
      </c>
      <c r="I12">
        <v>2018</v>
      </c>
    </row>
    <row r="13" ht="15.75" spans="1:9">
      <c r="A13" s="16" t="s">
        <v>5</v>
      </c>
      <c r="B13" s="16" t="s">
        <v>7</v>
      </c>
      <c r="C13" s="17" t="s">
        <v>43</v>
      </c>
      <c r="D13" s="18" t="s">
        <v>44</v>
      </c>
      <c r="E13" s="19" t="s">
        <v>45</v>
      </c>
      <c r="F13" s="20" t="str">
        <f>'Source Table'!$B$9</f>
        <v>.Surgical T.B</v>
      </c>
      <c r="G13" t="str">
        <f>'Source Table'!$D$9</f>
        <v>التدرن الجراحي</v>
      </c>
      <c r="H13">
        <v>114</v>
      </c>
      <c r="I13">
        <v>2018</v>
      </c>
    </row>
    <row r="14" ht="15.75" spans="1:9">
      <c r="A14" s="16" t="s">
        <v>5</v>
      </c>
      <c r="B14" s="16" t="s">
        <v>7</v>
      </c>
      <c r="C14" s="17" t="s">
        <v>43</v>
      </c>
      <c r="D14" s="18" t="s">
        <v>44</v>
      </c>
      <c r="E14" s="19" t="s">
        <v>45</v>
      </c>
      <c r="F14" s="20" t="str">
        <f>'Source Table'!$B$8</f>
        <v>.T.B</v>
      </c>
      <c r="G14" t="str">
        <f>'Source Table'!$D$8</f>
        <v>التدرن الرئوي</v>
      </c>
      <c r="H14">
        <v>348</v>
      </c>
      <c r="I14">
        <v>2017</v>
      </c>
    </row>
    <row r="15" ht="15.75" spans="1:9">
      <c r="A15" s="16" t="s">
        <v>5</v>
      </c>
      <c r="B15" s="16" t="s">
        <v>7</v>
      </c>
      <c r="C15" s="17" t="s">
        <v>43</v>
      </c>
      <c r="D15" s="18" t="s">
        <v>44</v>
      </c>
      <c r="E15" s="19" t="s">
        <v>45</v>
      </c>
      <c r="F15" s="20" t="str">
        <f>'Source Table'!$B$9</f>
        <v>.Surgical T.B</v>
      </c>
      <c r="G15" t="str">
        <f>'Source Table'!$D$9</f>
        <v>التدرن الجراحي</v>
      </c>
      <c r="H15">
        <v>126</v>
      </c>
      <c r="I15">
        <v>2017</v>
      </c>
    </row>
    <row r="16" ht="15.75" spans="1:9">
      <c r="A16" s="16" t="s">
        <v>5</v>
      </c>
      <c r="B16" s="16" t="s">
        <v>7</v>
      </c>
      <c r="C16" s="17" t="s">
        <v>43</v>
      </c>
      <c r="D16" s="18" t="s">
        <v>44</v>
      </c>
      <c r="E16" s="19" t="s">
        <v>45</v>
      </c>
      <c r="F16" s="20" t="str">
        <f>'Source Table'!$B$8</f>
        <v>.T.B</v>
      </c>
      <c r="G16" t="str">
        <f>'Source Table'!$D$8</f>
        <v>التدرن الرئوي</v>
      </c>
      <c r="H16">
        <v>317</v>
      </c>
      <c r="I16">
        <v>2016</v>
      </c>
    </row>
    <row r="17" ht="15.75" spans="1:9">
      <c r="A17" s="16" t="s">
        <v>5</v>
      </c>
      <c r="B17" s="16" t="s">
        <v>7</v>
      </c>
      <c r="C17" s="17" t="s">
        <v>43</v>
      </c>
      <c r="D17" s="18" t="s">
        <v>44</v>
      </c>
      <c r="E17" s="19" t="s">
        <v>45</v>
      </c>
      <c r="F17" s="20" t="str">
        <f>'Source Table'!$B$9</f>
        <v>.Surgical T.B</v>
      </c>
      <c r="G17" t="str">
        <f>'Source Table'!$D$9</f>
        <v>التدرن الجراحي</v>
      </c>
      <c r="H17">
        <v>143</v>
      </c>
      <c r="I17">
        <v>2016</v>
      </c>
    </row>
    <row r="18" ht="15.75" spans="1:9">
      <c r="A18" s="16" t="s">
        <v>5</v>
      </c>
      <c r="B18" s="16" t="s">
        <v>7</v>
      </c>
      <c r="C18" s="17" t="s">
        <v>43</v>
      </c>
      <c r="D18" s="18" t="s">
        <v>44</v>
      </c>
      <c r="E18" s="19" t="s">
        <v>45</v>
      </c>
      <c r="F18" s="20" t="str">
        <f>'Source Table'!$B$8</f>
        <v>.T.B</v>
      </c>
      <c r="G18" t="str">
        <f>'Source Table'!$D$8</f>
        <v>التدرن الرئوي</v>
      </c>
      <c r="H18">
        <v>268</v>
      </c>
      <c r="I18">
        <v>2015</v>
      </c>
    </row>
    <row r="19" ht="15.75" spans="1:9">
      <c r="A19" s="16" t="s">
        <v>5</v>
      </c>
      <c r="B19" s="16" t="s">
        <v>7</v>
      </c>
      <c r="C19" s="17" t="s">
        <v>43</v>
      </c>
      <c r="D19" s="18" t="s">
        <v>44</v>
      </c>
      <c r="E19" s="19" t="s">
        <v>45</v>
      </c>
      <c r="F19" s="20" t="str">
        <f>'Source Table'!$B$9</f>
        <v>.Surgical T.B</v>
      </c>
      <c r="G19" t="str">
        <f>'Source Table'!$D$9</f>
        <v>التدرن الجراحي</v>
      </c>
      <c r="H19">
        <v>153</v>
      </c>
      <c r="I19">
        <v>2015</v>
      </c>
    </row>
    <row r="20" ht="15.75" spans="1:9">
      <c r="A20" s="16" t="s">
        <v>5</v>
      </c>
      <c r="B20" s="16" t="s">
        <v>7</v>
      </c>
      <c r="C20" s="17" t="s">
        <v>43</v>
      </c>
      <c r="D20" s="18" t="s">
        <v>44</v>
      </c>
      <c r="E20" s="19" t="s">
        <v>45</v>
      </c>
      <c r="F20" s="20" t="str">
        <f>'Source Table'!$B$8</f>
        <v>.T.B</v>
      </c>
      <c r="G20" t="str">
        <f>'Source Table'!$D$8</f>
        <v>التدرن الرئوي</v>
      </c>
      <c r="H20">
        <v>218</v>
      </c>
      <c r="I20">
        <v>2014</v>
      </c>
    </row>
    <row r="21" ht="15.75" spans="1:9">
      <c r="A21" s="16" t="s">
        <v>5</v>
      </c>
      <c r="B21" s="16" t="s">
        <v>7</v>
      </c>
      <c r="C21" s="17" t="s">
        <v>43</v>
      </c>
      <c r="D21" s="18" t="s">
        <v>44</v>
      </c>
      <c r="E21" s="19" t="s">
        <v>45</v>
      </c>
      <c r="F21" s="20" t="str">
        <f>'Source Table'!$B$9</f>
        <v>.Surgical T.B</v>
      </c>
      <c r="G21" t="str">
        <f>'Source Table'!$D$9</f>
        <v>التدرن الجراحي</v>
      </c>
      <c r="H21">
        <v>161</v>
      </c>
      <c r="I21">
        <v>2014</v>
      </c>
    </row>
    <row r="22" ht="15.75" spans="1:9">
      <c r="A22" s="16" t="s">
        <v>5</v>
      </c>
      <c r="B22" s="16" t="s">
        <v>7</v>
      </c>
      <c r="C22" s="17" t="s">
        <v>43</v>
      </c>
      <c r="D22" s="18" t="s">
        <v>44</v>
      </c>
      <c r="E22" s="19" t="s">
        <v>45</v>
      </c>
      <c r="F22" s="20" t="str">
        <f>'Source Table'!$B$8</f>
        <v>.T.B</v>
      </c>
      <c r="G22" t="str">
        <f>'Source Table'!$D$8</f>
        <v>التدرن الرئوي</v>
      </c>
      <c r="H22">
        <v>182</v>
      </c>
      <c r="I22">
        <v>2013</v>
      </c>
    </row>
    <row r="23" ht="15.75" spans="1:9">
      <c r="A23" s="16" t="s">
        <v>5</v>
      </c>
      <c r="B23" s="16" t="s">
        <v>7</v>
      </c>
      <c r="C23" s="17" t="s">
        <v>43</v>
      </c>
      <c r="D23" s="18" t="s">
        <v>44</v>
      </c>
      <c r="E23" s="19" t="s">
        <v>45</v>
      </c>
      <c r="F23" s="20" t="str">
        <f>'Source Table'!$B$9</f>
        <v>.Surgical T.B</v>
      </c>
      <c r="G23" t="str">
        <f>'Source Table'!$D$9</f>
        <v>التدرن الجراحي</v>
      </c>
      <c r="H23">
        <v>142</v>
      </c>
      <c r="I23">
        <v>2013</v>
      </c>
    </row>
    <row r="24" ht="15.75" spans="1:9">
      <c r="A24" s="16" t="s">
        <v>5</v>
      </c>
      <c r="B24" s="16" t="s">
        <v>7</v>
      </c>
      <c r="C24" s="17" t="s">
        <v>43</v>
      </c>
      <c r="D24" s="18" t="s">
        <v>44</v>
      </c>
      <c r="E24" s="19" t="s">
        <v>45</v>
      </c>
      <c r="F24" s="20" t="str">
        <f>'Source Table'!$B$8</f>
        <v>.T.B</v>
      </c>
      <c r="G24" t="str">
        <f>'Source Table'!$D$8</f>
        <v>التدرن الرئوي</v>
      </c>
      <c r="H24">
        <v>158</v>
      </c>
      <c r="I24">
        <v>2012</v>
      </c>
    </row>
    <row r="25" ht="15.75" spans="1:9">
      <c r="A25" s="16" t="s">
        <v>5</v>
      </c>
      <c r="B25" s="16" t="s">
        <v>7</v>
      </c>
      <c r="C25" s="17" t="s">
        <v>43</v>
      </c>
      <c r="D25" s="18" t="s">
        <v>44</v>
      </c>
      <c r="E25" s="19" t="s">
        <v>45</v>
      </c>
      <c r="F25" s="20" t="str">
        <f>'Source Table'!$B$9</f>
        <v>.Surgical T.B</v>
      </c>
      <c r="G25" t="str">
        <f>'Source Table'!$D$9</f>
        <v>التدرن الجراحي</v>
      </c>
      <c r="H25">
        <v>172</v>
      </c>
      <c r="I25">
        <v>2012</v>
      </c>
    </row>
    <row r="26" ht="15.75" spans="1:9">
      <c r="A26" s="16" t="s">
        <v>5</v>
      </c>
      <c r="B26" s="16" t="s">
        <v>7</v>
      </c>
      <c r="C26" s="17" t="s">
        <v>43</v>
      </c>
      <c r="D26" s="18" t="s">
        <v>44</v>
      </c>
      <c r="E26" s="19" t="s">
        <v>45</v>
      </c>
      <c r="F26" s="20" t="str">
        <f>'Source Table'!$B$8</f>
        <v>.T.B</v>
      </c>
      <c r="G26" t="str">
        <f>'Source Table'!$D$8</f>
        <v>التدرن الرئوي</v>
      </c>
      <c r="H26">
        <v>184</v>
      </c>
      <c r="I26">
        <v>2011</v>
      </c>
    </row>
    <row r="27" ht="15.75" spans="1:9">
      <c r="A27" s="16" t="s">
        <v>5</v>
      </c>
      <c r="B27" s="16" t="s">
        <v>7</v>
      </c>
      <c r="C27" s="17" t="s">
        <v>43</v>
      </c>
      <c r="D27" s="18" t="s">
        <v>44</v>
      </c>
      <c r="E27" s="19" t="s">
        <v>45</v>
      </c>
      <c r="F27" s="20" t="str">
        <f>'Source Table'!$B$9</f>
        <v>.Surgical T.B</v>
      </c>
      <c r="G27" t="str">
        <f>'Source Table'!$D$9</f>
        <v>التدرن الجراحي</v>
      </c>
      <c r="H27">
        <v>128</v>
      </c>
      <c r="I27">
        <v>2011</v>
      </c>
    </row>
    <row r="28" ht="15.75" spans="1:9">
      <c r="A28" s="16" t="s">
        <v>5</v>
      </c>
      <c r="B28" s="16" t="s">
        <v>7</v>
      </c>
      <c r="C28" s="17" t="s">
        <v>43</v>
      </c>
      <c r="D28" s="18" t="s">
        <v>44</v>
      </c>
      <c r="E28" s="19" t="s">
        <v>45</v>
      </c>
      <c r="F28" s="20" t="str">
        <f>'Source Table'!$B$8</f>
        <v>.T.B</v>
      </c>
      <c r="G28" t="str">
        <f>'Source Table'!$D$8</f>
        <v>التدرن الرئوي</v>
      </c>
      <c r="H28">
        <v>186</v>
      </c>
      <c r="I28">
        <v>2010</v>
      </c>
    </row>
    <row r="29" ht="15.75" spans="1:9">
      <c r="A29" s="16" t="s">
        <v>5</v>
      </c>
      <c r="B29" s="16" t="s">
        <v>7</v>
      </c>
      <c r="C29" s="17" t="s">
        <v>43</v>
      </c>
      <c r="D29" s="18" t="s">
        <v>44</v>
      </c>
      <c r="E29" s="19" t="s">
        <v>45</v>
      </c>
      <c r="F29" s="20" t="str">
        <f>'Source Table'!$B$9</f>
        <v>.Surgical T.B</v>
      </c>
      <c r="G29" t="str">
        <f>'Source Table'!$D$9</f>
        <v>التدرن الجراحي</v>
      </c>
      <c r="H29">
        <v>150</v>
      </c>
      <c r="I29">
        <v>2010</v>
      </c>
    </row>
    <row r="30" ht="15.75" spans="1:9">
      <c r="A30" s="16" t="s">
        <v>5</v>
      </c>
      <c r="B30" s="16" t="s">
        <v>7</v>
      </c>
      <c r="C30" s="17" t="s">
        <v>43</v>
      </c>
      <c r="D30" s="18" t="s">
        <v>44</v>
      </c>
      <c r="E30" s="19" t="s">
        <v>45</v>
      </c>
      <c r="F30" s="20" t="str">
        <f>'Source Table'!$B$8</f>
        <v>.T.B</v>
      </c>
      <c r="G30" t="str">
        <f>'Source Table'!$D$8</f>
        <v>التدرن الرئوي</v>
      </c>
      <c r="H30">
        <v>124</v>
      </c>
      <c r="I30">
        <v>2023</v>
      </c>
    </row>
    <row r="31" ht="15.75" spans="1:9">
      <c r="A31" s="16" t="s">
        <v>5</v>
      </c>
      <c r="B31" s="16" t="s">
        <v>7</v>
      </c>
      <c r="C31" s="17" t="s">
        <v>43</v>
      </c>
      <c r="D31" s="18" t="s">
        <v>44</v>
      </c>
      <c r="E31" s="19" t="s">
        <v>45</v>
      </c>
      <c r="F31" s="20" t="str">
        <f>'Source Table'!$B$9</f>
        <v>.Surgical T.B</v>
      </c>
      <c r="G31" t="str">
        <f>'Source Table'!$D$9</f>
        <v>التدرن الجراحي</v>
      </c>
      <c r="H31">
        <v>137</v>
      </c>
      <c r="I31">
        <v>2023</v>
      </c>
    </row>
    <row r="32" ht="15.75" spans="1:9">
      <c r="A32" s="16" t="s">
        <v>5</v>
      </c>
      <c r="B32" s="16" t="s">
        <v>7</v>
      </c>
      <c r="C32" s="17" t="s">
        <v>43</v>
      </c>
      <c r="D32" s="18" t="s">
        <v>44</v>
      </c>
      <c r="E32" s="19" t="s">
        <v>45</v>
      </c>
      <c r="F32" s="20" t="str">
        <f>'Source Table'!$B$8</f>
        <v>.T.B</v>
      </c>
      <c r="G32" t="str">
        <f>'Source Table'!$D$8</f>
        <v>التدرن الرئوي</v>
      </c>
      <c r="H32">
        <v>173</v>
      </c>
      <c r="I32">
        <v>2009</v>
      </c>
    </row>
    <row r="33" ht="15.75" spans="1:9">
      <c r="A33" s="16" t="s">
        <v>5</v>
      </c>
      <c r="B33" s="16" t="s">
        <v>7</v>
      </c>
      <c r="C33" s="17" t="s">
        <v>43</v>
      </c>
      <c r="D33" s="18" t="s">
        <v>44</v>
      </c>
      <c r="E33" s="19" t="s">
        <v>45</v>
      </c>
      <c r="F33" s="20" t="str">
        <f>'Source Table'!$B$9</f>
        <v>.Surgical T.B</v>
      </c>
      <c r="G33" t="str">
        <f>'Source Table'!$D$9</f>
        <v>التدرن الجراحي</v>
      </c>
      <c r="H33">
        <v>190</v>
      </c>
      <c r="I33">
        <v>2009</v>
      </c>
    </row>
    <row r="34" ht="15.75" spans="1:9">
      <c r="A34" s="16" t="s">
        <v>5</v>
      </c>
      <c r="B34" s="16" t="s">
        <v>7</v>
      </c>
      <c r="C34" s="17" t="s">
        <v>43</v>
      </c>
      <c r="D34" s="18" t="s">
        <v>44</v>
      </c>
      <c r="E34" s="19" t="s">
        <v>45</v>
      </c>
      <c r="F34" s="20" t="str">
        <f>'Source Table'!$B$8</f>
        <v>.T.B</v>
      </c>
      <c r="G34" t="str">
        <f>'Source Table'!$D$8</f>
        <v>التدرن الرئوي</v>
      </c>
      <c r="H34">
        <v>172</v>
      </c>
      <c r="I34">
        <v>2008</v>
      </c>
    </row>
    <row r="35" ht="15.75" spans="1:9">
      <c r="A35" s="16" t="s">
        <v>5</v>
      </c>
      <c r="B35" s="16" t="s">
        <v>7</v>
      </c>
      <c r="C35" s="17" t="s">
        <v>43</v>
      </c>
      <c r="D35" s="18" t="s">
        <v>44</v>
      </c>
      <c r="E35" s="19" t="s">
        <v>45</v>
      </c>
      <c r="F35" s="20" t="str">
        <f>'Source Table'!$B$9</f>
        <v>.Surgical T.B</v>
      </c>
      <c r="G35" t="str">
        <f>'Source Table'!$D$9</f>
        <v>التدرن الجراحي</v>
      </c>
      <c r="H35">
        <v>165</v>
      </c>
      <c r="I35">
        <v>2008</v>
      </c>
    </row>
    <row r="36" ht="15.75" spans="1:9">
      <c r="A36" s="16" t="s">
        <v>5</v>
      </c>
      <c r="B36" s="16" t="s">
        <v>7</v>
      </c>
      <c r="C36" s="17" t="s">
        <v>43</v>
      </c>
      <c r="D36" s="18" t="s">
        <v>44</v>
      </c>
      <c r="E36" s="19" t="s">
        <v>45</v>
      </c>
      <c r="F36" s="20" t="str">
        <f>'Source Table'!$B$8</f>
        <v>.T.B</v>
      </c>
      <c r="G36" t="str">
        <f>'Source Table'!$D$8</f>
        <v>التدرن الرئوي</v>
      </c>
      <c r="H36">
        <v>179</v>
      </c>
      <c r="I36">
        <v>2007</v>
      </c>
    </row>
    <row r="37" ht="15.75" spans="1:9">
      <c r="A37" s="16" t="s">
        <v>5</v>
      </c>
      <c r="B37" s="16" t="s">
        <v>7</v>
      </c>
      <c r="C37" s="17" t="s">
        <v>43</v>
      </c>
      <c r="D37" s="18" t="s">
        <v>44</v>
      </c>
      <c r="E37" s="19" t="s">
        <v>45</v>
      </c>
      <c r="F37" s="20" t="str">
        <f>'Source Table'!$B$9</f>
        <v>.Surgical T.B</v>
      </c>
      <c r="G37" t="str">
        <f>'Source Table'!$D$9</f>
        <v>التدرن الجراحي</v>
      </c>
      <c r="H37">
        <v>153</v>
      </c>
      <c r="I37">
        <v>2007</v>
      </c>
    </row>
    <row r="38" ht="15.75" spans="1:9">
      <c r="A38" s="16" t="s">
        <v>5</v>
      </c>
      <c r="B38" s="16" t="s">
        <v>7</v>
      </c>
      <c r="C38" s="17" t="s">
        <v>43</v>
      </c>
      <c r="D38" s="18" t="s">
        <v>44</v>
      </c>
      <c r="E38" s="19" t="s">
        <v>45</v>
      </c>
      <c r="F38" s="20" t="str">
        <f>'Source Table'!$B$8</f>
        <v>.T.B</v>
      </c>
      <c r="G38" t="str">
        <f>'Source Table'!$D$8</f>
        <v>التدرن الرئوي</v>
      </c>
      <c r="H38">
        <v>174</v>
      </c>
      <c r="I38">
        <v>2006</v>
      </c>
    </row>
    <row r="39" ht="15.75" spans="1:9">
      <c r="A39" s="16" t="s">
        <v>5</v>
      </c>
      <c r="B39" s="16" t="s">
        <v>7</v>
      </c>
      <c r="C39" s="17" t="s">
        <v>43</v>
      </c>
      <c r="D39" s="18" t="s">
        <v>44</v>
      </c>
      <c r="E39" s="19" t="s">
        <v>45</v>
      </c>
      <c r="F39" s="20" t="str">
        <f>'Source Table'!$B$9</f>
        <v>.Surgical T.B</v>
      </c>
      <c r="G39" t="str">
        <f>'Source Table'!$D$9</f>
        <v>التدرن الجراحي</v>
      </c>
      <c r="H39">
        <v>181</v>
      </c>
      <c r="I39">
        <v>2006</v>
      </c>
    </row>
    <row r="40" ht="15.75" spans="1:9">
      <c r="A40" s="16" t="s">
        <v>5</v>
      </c>
      <c r="B40" s="16" t="s">
        <v>7</v>
      </c>
      <c r="C40" s="17" t="s">
        <v>43</v>
      </c>
      <c r="D40" s="18" t="s">
        <v>44</v>
      </c>
      <c r="E40" s="19" t="s">
        <v>45</v>
      </c>
      <c r="F40" s="20" t="str">
        <f>'Source Table'!$B$8</f>
        <v>.T.B</v>
      </c>
      <c r="G40" t="str">
        <f>'Source Table'!$D$8</f>
        <v>التدرن الرئوي</v>
      </c>
      <c r="H40">
        <v>162</v>
      </c>
      <c r="I40">
        <v>2005</v>
      </c>
    </row>
    <row r="41" ht="15.75" spans="1:9">
      <c r="A41" s="16" t="s">
        <v>5</v>
      </c>
      <c r="B41" s="16" t="s">
        <v>7</v>
      </c>
      <c r="C41" s="17" t="s">
        <v>43</v>
      </c>
      <c r="D41" s="18" t="s">
        <v>44</v>
      </c>
      <c r="E41" s="19" t="s">
        <v>45</v>
      </c>
      <c r="F41" s="20" t="str">
        <f>'Source Table'!$B$9</f>
        <v>.Surgical T.B</v>
      </c>
      <c r="G41" t="str">
        <f>'Source Table'!$D$9</f>
        <v>التدرن الجراحي</v>
      </c>
      <c r="H41">
        <v>187</v>
      </c>
      <c r="I41">
        <v>2005</v>
      </c>
    </row>
    <row r="42" ht="15.75" spans="1:9">
      <c r="A42" s="16" t="s">
        <v>5</v>
      </c>
      <c r="B42" s="16" t="s">
        <v>7</v>
      </c>
      <c r="C42" s="17" t="s">
        <v>43</v>
      </c>
      <c r="D42" s="18" t="s">
        <v>44</v>
      </c>
      <c r="E42" s="19" t="s">
        <v>45</v>
      </c>
      <c r="F42" s="20" t="str">
        <f>'Source Table'!$B$8</f>
        <v>.T.B</v>
      </c>
      <c r="G42" t="str">
        <f>'Source Table'!$D$8</f>
        <v>التدرن الرئوي</v>
      </c>
      <c r="H42">
        <v>146</v>
      </c>
      <c r="I42">
        <v>2004</v>
      </c>
    </row>
    <row r="43" ht="15.75" spans="1:9">
      <c r="A43" s="16" t="s">
        <v>5</v>
      </c>
      <c r="B43" s="16" t="s">
        <v>7</v>
      </c>
      <c r="C43" s="17" t="s">
        <v>43</v>
      </c>
      <c r="D43" s="18" t="s">
        <v>44</v>
      </c>
      <c r="E43" s="19" t="s">
        <v>45</v>
      </c>
      <c r="F43" s="20" t="str">
        <f>'Source Table'!$B$9</f>
        <v>.Surgical T.B</v>
      </c>
      <c r="G43" t="str">
        <f>'Source Table'!$D$9</f>
        <v>التدرن الجراحي</v>
      </c>
      <c r="H43">
        <v>176</v>
      </c>
      <c r="I43">
        <v>2004</v>
      </c>
    </row>
    <row r="44" ht="15.75" spans="1:9">
      <c r="A44" s="16" t="s">
        <v>5</v>
      </c>
      <c r="B44" s="16" t="s">
        <v>7</v>
      </c>
      <c r="C44" s="17" t="s">
        <v>43</v>
      </c>
      <c r="D44" s="18" t="s">
        <v>44</v>
      </c>
      <c r="E44" s="19" t="s">
        <v>45</v>
      </c>
      <c r="F44" s="20" t="str">
        <f>'Source Table'!$B$8</f>
        <v>.T.B</v>
      </c>
      <c r="G44" t="str">
        <f>'Source Table'!$D$8</f>
        <v>التدرن الرئوي</v>
      </c>
      <c r="H44">
        <v>169</v>
      </c>
      <c r="I44">
        <v>2003</v>
      </c>
    </row>
    <row r="45" ht="15.75" spans="1:9">
      <c r="A45" s="16" t="s">
        <v>5</v>
      </c>
      <c r="B45" s="16" t="s">
        <v>7</v>
      </c>
      <c r="C45" s="17" t="s">
        <v>43</v>
      </c>
      <c r="D45" s="18" t="s">
        <v>44</v>
      </c>
      <c r="E45" s="19" t="s">
        <v>45</v>
      </c>
      <c r="F45" s="20" t="str">
        <f>'Source Table'!$B$9</f>
        <v>.Surgical T.B</v>
      </c>
      <c r="G45" t="str">
        <f>'Source Table'!$D$9</f>
        <v>التدرن الجراحي</v>
      </c>
      <c r="H45">
        <v>139</v>
      </c>
      <c r="I45">
        <v>2003</v>
      </c>
    </row>
    <row r="46" ht="15.75" spans="1:9">
      <c r="A46" s="16" t="s">
        <v>5</v>
      </c>
      <c r="B46" s="16" t="s">
        <v>7</v>
      </c>
      <c r="C46" s="17" t="s">
        <v>43</v>
      </c>
      <c r="D46" s="18" t="s">
        <v>44</v>
      </c>
      <c r="E46" s="19" t="s">
        <v>45</v>
      </c>
      <c r="F46" s="20" t="str">
        <f>'Source Table'!$B$8</f>
        <v>.T.B</v>
      </c>
      <c r="G46" t="str">
        <f>'Source Table'!$D$8</f>
        <v>التدرن الرئوي</v>
      </c>
      <c r="H46">
        <v>175</v>
      </c>
      <c r="I46">
        <v>2002</v>
      </c>
    </row>
    <row r="47" ht="15.75" spans="1:9">
      <c r="A47" s="16" t="s">
        <v>5</v>
      </c>
      <c r="B47" s="16" t="s">
        <v>7</v>
      </c>
      <c r="C47" s="17" t="s">
        <v>43</v>
      </c>
      <c r="D47" s="18" t="s">
        <v>44</v>
      </c>
      <c r="E47" s="19" t="s">
        <v>45</v>
      </c>
      <c r="F47" s="20" t="str">
        <f>'Source Table'!$B$9</f>
        <v>.Surgical T.B</v>
      </c>
      <c r="G47" t="str">
        <f>'Source Table'!$D$9</f>
        <v>التدرن الجراحي</v>
      </c>
      <c r="H47">
        <v>128</v>
      </c>
      <c r="I47">
        <v>2002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zoomScale="70" zoomScaleNormal="70" workbookViewId="0">
      <selection activeCell="A4" sqref="A4:J5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0" t="s">
        <v>46</v>
      </c>
      <c r="B1" s="11">
        <f>DATE(B2,B3,1)</f>
        <v>45292</v>
      </c>
    </row>
    <row r="2" ht="15" spans="1:4">
      <c r="A2" s="10" t="s">
        <v>16</v>
      </c>
      <c r="B2">
        <v>2024</v>
      </c>
      <c r="D2" s="11"/>
    </row>
    <row r="3" ht="15" spans="1:2">
      <c r="A3" s="10" t="s">
        <v>47</v>
      </c>
      <c r="B3">
        <v>1</v>
      </c>
    </row>
    <row r="4" spans="1:10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3" t="s">
        <v>30</v>
      </c>
      <c r="G4" s="13" t="s">
        <v>31</v>
      </c>
      <c r="H4" s="12" t="s">
        <v>32</v>
      </c>
      <c r="I4" s="12" t="s">
        <v>33</v>
      </c>
      <c r="J4" s="12" t="s">
        <v>34</v>
      </c>
    </row>
    <row r="5" spans="1:10">
      <c r="A5" s="12" t="s">
        <v>35</v>
      </c>
      <c r="B5" s="12" t="s">
        <v>36</v>
      </c>
      <c r="C5" s="12" t="s">
        <v>37</v>
      </c>
      <c r="D5" s="12" t="s">
        <v>38</v>
      </c>
      <c r="E5" s="12" t="s">
        <v>39</v>
      </c>
      <c r="F5" s="13" t="s">
        <v>18</v>
      </c>
      <c r="G5" s="13" t="s">
        <v>19</v>
      </c>
      <c r="H5" s="12" t="s">
        <v>40</v>
      </c>
      <c r="I5" s="12" t="s">
        <v>41</v>
      </c>
      <c r="J5" s="12" t="s">
        <v>42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1" workbookViewId="0">
      <selection activeCell="A20" sqref="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48</v>
      </c>
      <c r="C2" s="6" t="s">
        <v>49</v>
      </c>
    </row>
    <row r="3" spans="1:1">
      <c r="A3" s="7"/>
    </row>
    <row r="4" ht="28.5" spans="1:3">
      <c r="A4" s="7" t="s">
        <v>50</v>
      </c>
      <c r="C4" s="3" t="s">
        <v>51</v>
      </c>
    </row>
    <row r="6" ht="17.25" spans="1:3">
      <c r="A6" s="5" t="s">
        <v>52</v>
      </c>
      <c r="C6" s="6" t="s">
        <v>53</v>
      </c>
    </row>
    <row r="7" spans="1:1">
      <c r="A7" s="7"/>
    </row>
    <row r="8" ht="30" spans="1:3">
      <c r="A8" s="8" t="s">
        <v>54</v>
      </c>
      <c r="C8" s="3" t="s">
        <v>55</v>
      </c>
    </row>
    <row r="10" ht="17.25" spans="1:3">
      <c r="A10" s="5" t="s">
        <v>56</v>
      </c>
      <c r="C10" s="6" t="s">
        <v>57</v>
      </c>
    </row>
    <row r="11" spans="1:1">
      <c r="A11" s="7"/>
    </row>
    <row r="12" spans="1:3">
      <c r="A12" s="7" t="s">
        <v>58</v>
      </c>
      <c r="C12" s="3" t="s">
        <v>59</v>
      </c>
    </row>
    <row r="13" ht="15" spans="1:3">
      <c r="A13" s="8" t="s">
        <v>60</v>
      </c>
      <c r="C13" s="9" t="s">
        <v>61</v>
      </c>
    </row>
    <row r="14" ht="29.25" spans="1:3">
      <c r="A14" s="8" t="s">
        <v>62</v>
      </c>
      <c r="C14" s="9" t="s">
        <v>63</v>
      </c>
    </row>
    <row r="15" ht="15" spans="1:3">
      <c r="A15" s="8" t="s">
        <v>64</v>
      </c>
      <c r="C15" s="9" t="s">
        <v>65</v>
      </c>
    </row>
    <row r="16" ht="15" spans="1:3">
      <c r="A16" s="8" t="s">
        <v>66</v>
      </c>
      <c r="C16" s="9" t="s">
        <v>67</v>
      </c>
    </row>
    <row r="17" ht="15" spans="1:3">
      <c r="A17" s="8" t="s">
        <v>68</v>
      </c>
      <c r="C17" s="9" t="s">
        <v>69</v>
      </c>
    </row>
    <row r="18" spans="1:3">
      <c r="A18" s="7" t="s">
        <v>70</v>
      </c>
      <c r="C18" s="3" t="s">
        <v>71</v>
      </c>
    </row>
    <row r="19" spans="1:3">
      <c r="A19" s="7" t="s">
        <v>72</v>
      </c>
      <c r="C19" s="3" t="s">
        <v>73</v>
      </c>
    </row>
    <row r="20" ht="29.25" spans="1:3">
      <c r="A20" s="8" t="s">
        <v>74</v>
      </c>
      <c r="C20" s="9" t="s">
        <v>75</v>
      </c>
    </row>
    <row r="22" ht="17.25" spans="1:3">
      <c r="A22" s="5" t="s">
        <v>76</v>
      </c>
      <c r="C22" s="6" t="s">
        <v>77</v>
      </c>
    </row>
    <row r="23" spans="1:1">
      <c r="A23" s="7"/>
    </row>
    <row r="24" ht="29.25" spans="1:3">
      <c r="A24" s="7" t="s">
        <v>78</v>
      </c>
      <c r="C24" s="3" t="s">
        <v>79</v>
      </c>
    </row>
    <row r="25" ht="30" spans="1:3">
      <c r="A25" s="7" t="s">
        <v>80</v>
      </c>
      <c r="C25" s="3" t="s">
        <v>81</v>
      </c>
    </row>
    <row r="27" ht="17.25" spans="1:3">
      <c r="A27" s="5" t="s">
        <v>82</v>
      </c>
      <c r="C27" s="6" t="s">
        <v>83</v>
      </c>
    </row>
    <row r="28" spans="1:1">
      <c r="A28" s="7"/>
    </row>
    <row r="29" ht="15" spans="1:3">
      <c r="A29" s="7" t="s">
        <v>84</v>
      </c>
      <c r="C29" s="3" t="s">
        <v>85</v>
      </c>
    </row>
    <row r="30" spans="1:3">
      <c r="A30" s="7" t="s">
        <v>86</v>
      </c>
      <c r="C30" s="3" t="s">
        <v>87</v>
      </c>
    </row>
    <row r="32" ht="17.25" spans="1:3">
      <c r="A32" s="5" t="s">
        <v>88</v>
      </c>
      <c r="C32" s="6" t="s">
        <v>89</v>
      </c>
    </row>
    <row r="33" spans="1:1">
      <c r="A33" s="7"/>
    </row>
    <row r="34" ht="15" spans="1:3">
      <c r="A34" s="8" t="s">
        <v>90</v>
      </c>
      <c r="C34" s="3" t="s">
        <v>91</v>
      </c>
    </row>
    <row r="36" ht="17.25" spans="1:3">
      <c r="A36" s="5" t="s">
        <v>92</v>
      </c>
      <c r="C36" s="6" t="s">
        <v>93</v>
      </c>
    </row>
    <row r="37" spans="1:1">
      <c r="A37" s="7"/>
    </row>
    <row r="38" spans="1:3">
      <c r="A38" s="7" t="s">
        <v>94</v>
      </c>
      <c r="C38" s="3" t="s">
        <v>95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B69E51F-8050-470A-8899-CD75CA9C3B53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2025-01-27T05:14:36Z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F7A31A8716754454B5889FF50E07C575_13</vt:lpwstr>
  </property>
  <property fmtid="{D5CDD505-2E9C-101B-9397-08002B2CF9AE}" pid="5" name="KSOProductBuildVer">
    <vt:lpwstr>1033-12.2.0.19805</vt:lpwstr>
  </property>
</Properties>
</file>