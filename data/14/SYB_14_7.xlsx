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firstSheet="1" activeTab="2"/>
  </bookViews>
  <sheets>
    <sheet name="Cover Page" sheetId="1" state="hidden" r:id="rId1"/>
    <sheet name="Source Table" sheetId="2" r:id="rId2"/>
    <sheet name="Relational DB" sheetId="3" r:id="rId3"/>
    <sheet name="Template Data" sheetId="4" state="hidden" r:id="rId4"/>
    <sheet name="Help" sheetId="6" state="hidden" r:id="rId5"/>
  </sheets>
  <definedNames>
    <definedName name="_xlnm.Print_Area" localSheetId="1">'Source Table'!$B$2:$D$16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<sst xmlns="http://schemas.openxmlformats.org/spreadsheetml/2006/main" count="723" uniqueCount="112">
  <si>
    <t>Code</t>
  </si>
  <si>
    <t>SYB_14_7</t>
  </si>
  <si>
    <t>Version</t>
  </si>
  <si>
    <t>V1</t>
  </si>
  <si>
    <t>اسم القالب</t>
  </si>
  <si>
    <t>الفحوصات المخبرية في وزارة الصحة</t>
  </si>
  <si>
    <t>Template Name</t>
  </si>
  <si>
    <t xml:space="preserve"> Laboratory Tests at the Ministry of Health</t>
  </si>
  <si>
    <t>دورية البيانات</t>
  </si>
  <si>
    <t>سنوي</t>
  </si>
  <si>
    <t>Data Frequency</t>
  </si>
  <si>
    <t>Yearly</t>
  </si>
  <si>
    <t>الجهة المصدرية</t>
  </si>
  <si>
    <t>وزارة الصحة</t>
  </si>
  <si>
    <t>Data Source</t>
  </si>
  <si>
    <t>Ministry of Health</t>
  </si>
  <si>
    <t>Year</t>
  </si>
  <si>
    <t>السنة</t>
  </si>
  <si>
    <t xml:space="preserve">Test Type </t>
  </si>
  <si>
    <t>نوع الفحص</t>
  </si>
  <si>
    <t>Bacteriology</t>
  </si>
  <si>
    <t>بكتريولوجي</t>
  </si>
  <si>
    <t>Urine</t>
  </si>
  <si>
    <t>الإدرار</t>
  </si>
  <si>
    <t>Stool</t>
  </si>
  <si>
    <t>غائط</t>
  </si>
  <si>
    <t>T.B.</t>
  </si>
  <si>
    <t>السل</t>
  </si>
  <si>
    <t>Blood Test</t>
  </si>
  <si>
    <t>فحص الدم</t>
  </si>
  <si>
    <t>Serology</t>
  </si>
  <si>
    <t>تفاعلات مصلية</t>
  </si>
  <si>
    <t>Bio - chemistry</t>
  </si>
  <si>
    <t>كيمياء حيوية</t>
  </si>
  <si>
    <t>Special Chemical</t>
  </si>
  <si>
    <t>كيمياء خاصة</t>
  </si>
  <si>
    <t>Other Tests</t>
  </si>
  <si>
    <t>فحوصات أخرى</t>
  </si>
  <si>
    <t>Relational Sheet</t>
  </si>
  <si>
    <t>Measure_Name_Ar</t>
  </si>
  <si>
    <t>Measure_Name_En</t>
  </si>
  <si>
    <t>Measure_ID</t>
  </si>
  <si>
    <t>Unit_EN</t>
  </si>
  <si>
    <t>Unit_AR</t>
  </si>
  <si>
    <t>CL_LABTEST_TYPE_EN_V1</t>
  </si>
  <si>
    <t>CL_LABTEST_TYPE_AR_V1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</si>
  <si>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</si>
  <si>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</si>
  <si>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</si>
  <si>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</si>
  <si>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</si>
  <si>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</si>
  <si>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</si>
  <si>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</si>
  <si>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t xml:space="preserve">Test Type  </t>
  </si>
  <si>
    <t>قيمة المؤشر</t>
  </si>
  <si>
    <t>سنة فترة القياس</t>
  </si>
  <si>
    <t>شهر فترة القياس</t>
  </si>
  <si>
    <t>Laboratory Tests at the Ministry of Health</t>
  </si>
  <si>
    <t>M1</t>
  </si>
  <si>
    <t>Number</t>
  </si>
  <si>
    <t>عدد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</si>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</sst>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5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776AD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sz val="12"/>
      <color theme="1"/>
      <name val="Times New Roman"/>
      <charset val="134"/>
    </font>
    <font>
      <sz val="11"/>
      <color indexed="8"/>
      <name val="Aptos Narrow"/>
      <charset val="134"/>
    </font>
    <font>
      <sz val="11"/>
      <color indexed="8"/>
      <name val="Calibri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b/>
      <sz val="14"/>
      <color rgb="FF0C769E"/>
      <name val="Aptos"/>
      <charset val="134"/>
    </font>
    <font>
      <b/>
      <sz val="14"/>
      <color theme="7" tint="-0.249977111117893"/>
      <name val="Arial"/>
      <charset val="134"/>
    </font>
    <font>
      <sz val="12"/>
      <color theme="7" tint="-0.249977111117893"/>
      <name val="Aptos"/>
      <charset val="134"/>
    </font>
    <font>
      <sz val="14"/>
      <color theme="1"/>
      <name val="Aptos"/>
      <charset val="134"/>
    </font>
    <font>
      <sz val="16"/>
      <color rgb="FFFFFFFF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9">
    <border>
      <left/>
      <right/>
      <top/>
      <bottom/>
      <diagonal/>
    </border>
    <border>
      <left style="thin">
        <color theme="7" tint="-0.499984740745262"/>
      </left>
      <right/>
      <top/>
      <bottom style="thin">
        <color theme="7" tint="-0.499984740745262"/>
      </bottom>
      <diagonal/>
    </border>
    <border>
      <left/>
      <right/>
      <top/>
      <bottom style="thin">
        <color theme="7" tint="-0.499984740745262"/>
      </bottom>
      <diagonal/>
    </border>
    <border>
      <left style="thin">
        <color theme="7" tint="-0.499984740745262"/>
      </left>
      <right/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auto="1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rgb="FF074F69"/>
      </left>
      <right/>
      <top style="thin">
        <color rgb="FF074F69"/>
      </top>
      <bottom style="thin">
        <color rgb="FF074F69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0" borderId="13" applyNumberFormat="0" applyAlignment="0" applyProtection="0">
      <alignment vertical="center"/>
    </xf>
    <xf numFmtId="0" fontId="27" fillId="11" borderId="14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12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6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7" fillId="0" borderId="0"/>
    <xf numFmtId="0" fontId="37" fillId="0" borderId="0"/>
    <xf numFmtId="0" fontId="38" fillId="0" borderId="0">
      <alignment horizontal="centerContinuous" vertical="center"/>
    </xf>
    <xf numFmtId="0" fontId="39" fillId="0" borderId="0">
      <alignment horizontal="centerContinuous" vertical="center"/>
    </xf>
    <xf numFmtId="1" fontId="40" fillId="40" borderId="18">
      <alignment horizontal="center" vertical="center"/>
    </xf>
    <xf numFmtId="0" fontId="41" fillId="40" borderId="18">
      <alignment horizontal="center" vertical="center" wrapText="1"/>
    </xf>
    <xf numFmtId="0" fontId="42" fillId="40" borderId="18">
      <alignment horizontal="center" vertical="center" wrapText="1"/>
    </xf>
    <xf numFmtId="0" fontId="37" fillId="0" borderId="0"/>
    <xf numFmtId="0" fontId="37" fillId="0" borderId="0"/>
    <xf numFmtId="0" fontId="0" fillId="0" borderId="0"/>
    <xf numFmtId="0" fontId="0" fillId="0" borderId="0"/>
    <xf numFmtId="0" fontId="37" fillId="0" borderId="0"/>
    <xf numFmtId="0" fontId="0" fillId="0" borderId="0"/>
    <xf numFmtId="9" fontId="0" fillId="0" borderId="0"/>
    <xf numFmtId="9" fontId="0" fillId="0" borderId="0"/>
    <xf numFmtId="0" fontId="43" fillId="0" borderId="0">
      <alignment horizontal="right" vertical="center"/>
    </xf>
    <xf numFmtId="0" fontId="37" fillId="0" borderId="0">
      <alignment horizontal="left" vertical="center"/>
    </xf>
  </cellStyleXfs>
  <cellXfs count="39">
    <xf numFmtId="0" fontId="0" fillId="0" borderId="0" xfId="0"/>
    <xf numFmtId="0" fontId="0" fillId="2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 wrapText="1" readingOrder="2"/>
    </xf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 readingOrder="2"/>
    </xf>
    <xf numFmtId="0" fontId="0" fillId="2" borderId="0" xfId="0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readingOrder="2"/>
    </xf>
    <xf numFmtId="0" fontId="11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3" fillId="7" borderId="7" xfId="0" applyFont="1" applyFill="1" applyBorder="1" applyAlignment="1">
      <alignment horizontal="center" vertical="center" readingOrder="2"/>
    </xf>
    <xf numFmtId="0" fontId="12" fillId="8" borderId="8" xfId="0" applyFont="1" applyFill="1" applyBorder="1" applyAlignment="1">
      <alignment horizontal="center" vertical="center" readingOrder="2"/>
    </xf>
    <xf numFmtId="0" fontId="12" fillId="2" borderId="0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 readingOrder="2"/>
    </xf>
    <xf numFmtId="0" fontId="12" fillId="8" borderId="9" xfId="0" applyFont="1" applyFill="1" applyBorder="1" applyAlignment="1">
      <alignment horizontal="center" vertical="center" readingOrder="2"/>
    </xf>
    <xf numFmtId="0" fontId="12" fillId="2" borderId="2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left" vertical="center" indent="2" readingOrder="2"/>
    </xf>
    <xf numFmtId="0" fontId="16" fillId="0" borderId="8" xfId="0" applyFont="1" applyBorder="1" applyAlignment="1" applyProtection="1">
      <alignment horizontal="center" vertical="center"/>
      <protection locked="0"/>
    </xf>
    <xf numFmtId="0" fontId="17" fillId="3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 readingOrder="2"/>
    </xf>
    <xf numFmtId="0" fontId="7" fillId="7" borderId="0" xfId="0" applyFont="1" applyFill="1" applyAlignment="1">
      <alignment horizontal="center" vertical="center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4.xml"/><Relationship Id="rId8" Type="http://schemas.openxmlformats.org/officeDocument/2006/relationships/customXml" Target="../customXml/item3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B9" sqref="B9"/>
    </sheetView>
  </sheetViews>
  <sheetFormatPr defaultColWidth="9" defaultRowHeight="14.25" outlineLevelRow="7" outlineLevelCol="1"/>
  <cols>
    <col min="1" max="1" width="32.5" customWidth="1"/>
    <col min="2" max="2" width="107" customWidth="1"/>
  </cols>
  <sheetData>
    <row r="1" ht="21" customHeight="1" spans="1:2">
      <c r="A1" s="34" t="s">
        <v>0</v>
      </c>
      <c r="B1" s="15" t="s">
        <v>1</v>
      </c>
    </row>
    <row r="2" ht="21" customHeight="1" spans="1:2">
      <c r="A2" s="34" t="s">
        <v>2</v>
      </c>
      <c r="B2" s="15" t="s">
        <v>3</v>
      </c>
    </row>
    <row r="3" ht="21" customHeight="1" spans="1:2">
      <c r="A3" s="34" t="s">
        <v>4</v>
      </c>
      <c r="B3" s="35" t="s">
        <v>5</v>
      </c>
    </row>
    <row r="4" ht="21" customHeight="1" spans="1:2">
      <c r="A4" s="34" t="s">
        <v>6</v>
      </c>
      <c r="B4" s="36" t="s">
        <v>7</v>
      </c>
    </row>
    <row r="5" ht="21" customHeight="1" spans="1:2">
      <c r="A5" s="34" t="s">
        <v>8</v>
      </c>
      <c r="B5" s="37" t="s">
        <v>9</v>
      </c>
    </row>
    <row r="6" ht="21" customHeight="1" spans="1:2">
      <c r="A6" s="34" t="s">
        <v>10</v>
      </c>
      <c r="B6" s="37" t="s">
        <v>11</v>
      </c>
    </row>
    <row r="7" ht="21" customHeight="1" spans="1:2">
      <c r="A7" s="34" t="s">
        <v>12</v>
      </c>
      <c r="B7" s="38" t="s">
        <v>13</v>
      </c>
    </row>
    <row r="8" ht="21" customHeight="1" spans="1:2">
      <c r="A8" s="34" t="s">
        <v>14</v>
      </c>
      <c r="B8" s="38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view="pageBreakPreview" zoomScale="70" zoomScaleNormal="100" workbookViewId="0">
      <selection activeCell="B2" sqref="B2:D16"/>
    </sheetView>
  </sheetViews>
  <sheetFormatPr defaultColWidth="16.75" defaultRowHeight="14.25" outlineLevelCol="3"/>
  <cols>
    <col min="2" max="5" width="25.75" customWidth="1"/>
  </cols>
  <sheetData>
    <row r="2" ht="28.15" customHeight="1" spans="2:4">
      <c r="B2" s="20" t="str">
        <f>'Cover Page'!B4</f>
        <v> Laboratory Tests at the Ministry of Health</v>
      </c>
      <c r="C2" s="21"/>
      <c r="D2" s="21"/>
    </row>
    <row r="3" ht="28.15" customHeight="1" spans="2:4">
      <c r="B3" s="22" t="str">
        <f>'Cover Page'!B3</f>
        <v>الفحوصات المخبرية في وزارة الصحة</v>
      </c>
      <c r="C3" s="23"/>
      <c r="D3" s="23"/>
    </row>
    <row r="4" ht="28.15" customHeight="1" spans="2:4">
      <c r="B4" s="24" t="s">
        <v>16</v>
      </c>
      <c r="C4" s="25">
        <f>YEAR('Template Data'!B1)</f>
        <v>2024</v>
      </c>
      <c r="D4" s="26" t="s">
        <v>17</v>
      </c>
    </row>
    <row r="5" ht="28.15" customHeight="1" spans="2:4">
      <c r="B5" s="27" t="s">
        <v>18</v>
      </c>
      <c r="C5" s="28"/>
      <c r="D5" s="29" t="s">
        <v>19</v>
      </c>
    </row>
    <row r="6" ht="19.9" customHeight="1" spans="2:4">
      <c r="B6" s="27"/>
      <c r="C6" s="28"/>
      <c r="D6" s="30"/>
    </row>
    <row r="7" ht="19.9" customHeight="1" spans="2:4">
      <c r="B7" s="27"/>
      <c r="C7" s="31"/>
      <c r="D7" s="30"/>
    </row>
    <row r="8" ht="22.15" customHeight="1" spans="2:4">
      <c r="B8" s="32" t="s">
        <v>20</v>
      </c>
      <c r="C8" s="33"/>
      <c r="D8" s="32" t="s">
        <v>21</v>
      </c>
    </row>
    <row r="9" ht="22.15" customHeight="1" spans="2:4">
      <c r="B9" s="32" t="s">
        <v>22</v>
      </c>
      <c r="C9" s="33"/>
      <c r="D9" s="32" t="s">
        <v>23</v>
      </c>
    </row>
    <row r="10" ht="22.15" customHeight="1" spans="2:4">
      <c r="B10" s="32" t="s">
        <v>24</v>
      </c>
      <c r="C10" s="33"/>
      <c r="D10" s="32" t="s">
        <v>25</v>
      </c>
    </row>
    <row r="11" ht="22.15" customHeight="1" spans="2:4">
      <c r="B11" s="32" t="s">
        <v>26</v>
      </c>
      <c r="C11" s="33"/>
      <c r="D11" s="32" t="s">
        <v>27</v>
      </c>
    </row>
    <row r="12" ht="22.15" customHeight="1" spans="2:4">
      <c r="B12" s="32" t="s">
        <v>28</v>
      </c>
      <c r="C12" s="33"/>
      <c r="D12" s="32" t="s">
        <v>29</v>
      </c>
    </row>
    <row r="13" ht="22.15" customHeight="1" spans="2:4">
      <c r="B13" s="32" t="s">
        <v>30</v>
      </c>
      <c r="C13" s="33"/>
      <c r="D13" s="32" t="s">
        <v>31</v>
      </c>
    </row>
    <row r="14" ht="22.15" customHeight="1" spans="2:4">
      <c r="B14" s="32" t="s">
        <v>32</v>
      </c>
      <c r="C14" s="33"/>
      <c r="D14" s="32" t="s">
        <v>33</v>
      </c>
    </row>
    <row r="15" ht="22.15" customHeight="1" spans="2:4">
      <c r="B15" s="32" t="s">
        <v>34</v>
      </c>
      <c r="C15" s="33"/>
      <c r="D15" s="32" t="s">
        <v>35</v>
      </c>
    </row>
    <row r="16" ht="22.15" customHeight="1" spans="2:4">
      <c r="B16" s="32" t="s">
        <v>36</v>
      </c>
      <c r="C16" s="33"/>
      <c r="D16" s="32" t="s">
        <v>37</v>
      </c>
    </row>
  </sheetData>
  <sheetProtection algorithmName="SHA-512" hashValue="DeBkJburCqkkQu2VgKXxYH5G5epyowWwD7+XlGSNbT5a+QqQYspYVtClT6yWPkiNJZcvP4MssS+YpVn7iFkzXQ==" saltValue="nQ4I4g8uVig/bk9/h9KItw==" spinCount="100000" sheet="1" objects="1"/>
  <mergeCells count="5">
    <mergeCell ref="B2:D2"/>
    <mergeCell ref="B3:D3"/>
    <mergeCell ref="B5:B7"/>
    <mergeCell ref="C4:C7"/>
    <mergeCell ref="D5:D7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0"/>
  <sheetViews>
    <sheetView tabSelected="1" zoomScale="70" zoomScaleNormal="70" workbookViewId="0">
      <selection activeCell="A4" sqref="A4"/>
    </sheetView>
  </sheetViews>
  <sheetFormatPr defaultColWidth="9" defaultRowHeight="14.25"/>
  <cols>
    <col min="1" max="1" width="46.25" customWidth="1"/>
    <col min="2" max="2" width="72.5" customWidth="1"/>
    <col min="3" max="3" width="9.75" customWidth="1"/>
    <col min="4" max="5" width="18.125" customWidth="1"/>
    <col min="6" max="6" width="23.875" customWidth="1"/>
    <col min="7" max="7" width="24.75" customWidth="1"/>
    <col min="8" max="8" width="23.375" customWidth="1"/>
    <col min="9" max="9" width="36.5" customWidth="1"/>
    <col min="10" max="12" width="15.5" customWidth="1"/>
  </cols>
  <sheetData>
    <row r="1" ht="20.25" spans="1:1">
      <c r="A1" s="15" t="s">
        <v>38</v>
      </c>
    </row>
    <row r="2" s="10" customFormat="1" ht="18" customHeight="1" spans="1:10">
      <c r="A2" s="13" t="s">
        <v>39</v>
      </c>
      <c r="B2" s="13" t="s">
        <v>40</v>
      </c>
      <c r="C2" s="13" t="s">
        <v>41</v>
      </c>
      <c r="D2" s="13" t="s">
        <v>42</v>
      </c>
      <c r="E2" s="13" t="s">
        <v>43</v>
      </c>
      <c r="F2" s="14" t="s">
        <v>44</v>
      </c>
      <c r="G2" s="14" t="s">
        <v>45</v>
      </c>
      <c r="H2" s="13" t="s">
        <v>46</v>
      </c>
      <c r="I2" s="13" t="s">
        <v>47</v>
      </c>
      <c r="J2" s="13" t="s">
        <v>48</v>
      </c>
    </row>
    <row r="3" s="10" customFormat="1" ht="18" customHeight="1" spans="1:10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4" t="s">
        <v>54</v>
      </c>
      <c r="G3" s="14" t="s">
        <v>19</v>
      </c>
      <c r="H3" s="13" t="s">
        <v>55</v>
      </c>
      <c r="I3" s="13" t="s">
        <v>56</v>
      </c>
      <c r="J3" s="13" t="s">
        <v>57</v>
      </c>
    </row>
    <row r="4" ht="15.75" spans="1:9">
      <c r="A4" s="16" t="s">
        <v>5</v>
      </c>
      <c r="B4" s="16" t="s">
        <v>58</v>
      </c>
      <c r="C4" s="17" t="s">
        <v>59</v>
      </c>
      <c r="D4" s="18" t="s">
        <v>60</v>
      </c>
      <c r="E4" s="19" t="s">
        <v>61</v>
      </c>
      <c r="F4" t="str">
        <f>'Source Table'!$B$8</f>
        <v>Bacteriology</v>
      </c>
      <c r="G4" t="str">
        <f>'Source Table'!$D$8</f>
        <v>بكتريولوجي</v>
      </c>
      <c r="H4" s="17">
        <v>365571</v>
      </c>
      <c r="I4" s="17">
        <v>2023</v>
      </c>
    </row>
    <row r="5" ht="15.75" spans="1:9">
      <c r="A5" s="16" t="s">
        <v>5</v>
      </c>
      <c r="B5" s="16" t="s">
        <v>58</v>
      </c>
      <c r="C5" s="17" t="s">
        <v>59</v>
      </c>
      <c r="D5" s="18" t="s">
        <v>60</v>
      </c>
      <c r="E5" s="19" t="s">
        <v>61</v>
      </c>
      <c r="F5" t="str">
        <f>'Source Table'!$B$9</f>
        <v>Urine</v>
      </c>
      <c r="G5" t="str">
        <f>'Source Table'!$D$9</f>
        <v>الإدرار</v>
      </c>
      <c r="H5" s="17">
        <v>1175832</v>
      </c>
      <c r="I5" s="17">
        <v>2023</v>
      </c>
    </row>
    <row r="6" ht="15.75" spans="1:9">
      <c r="A6" s="16" t="s">
        <v>5</v>
      </c>
      <c r="B6" s="16" t="s">
        <v>58</v>
      </c>
      <c r="C6" s="17" t="s">
        <v>59</v>
      </c>
      <c r="D6" s="18" t="s">
        <v>60</v>
      </c>
      <c r="E6" s="19" t="s">
        <v>61</v>
      </c>
      <c r="F6" t="str">
        <f>'Source Table'!$B$10</f>
        <v>Stool</v>
      </c>
      <c r="G6" t="str">
        <f>'Source Table'!$D$10</f>
        <v>غائط</v>
      </c>
      <c r="H6" s="17">
        <v>201898</v>
      </c>
      <c r="I6" s="17">
        <v>2023</v>
      </c>
    </row>
    <row r="7" ht="15.75" spans="1:9">
      <c r="A7" s="16" t="s">
        <v>5</v>
      </c>
      <c r="B7" s="16" t="s">
        <v>58</v>
      </c>
      <c r="C7" s="17" t="s">
        <v>59</v>
      </c>
      <c r="D7" s="18" t="s">
        <v>60</v>
      </c>
      <c r="E7" s="19" t="s">
        <v>61</v>
      </c>
      <c r="F7" t="str">
        <f>'Source Table'!$B$11</f>
        <v>T.B.</v>
      </c>
      <c r="G7" t="str">
        <f>'Source Table'!$D$11</f>
        <v>السل</v>
      </c>
      <c r="H7" s="17">
        <v>730</v>
      </c>
      <c r="I7" s="17">
        <v>2023</v>
      </c>
    </row>
    <row r="8" ht="15.75" spans="1:9">
      <c r="A8" s="16" t="s">
        <v>5</v>
      </c>
      <c r="B8" s="16" t="s">
        <v>58</v>
      </c>
      <c r="C8" s="17" t="s">
        <v>59</v>
      </c>
      <c r="D8" s="18" t="s">
        <v>60</v>
      </c>
      <c r="E8" s="19" t="s">
        <v>61</v>
      </c>
      <c r="F8" t="str">
        <f>'Source Table'!$B$12</f>
        <v>Blood Test</v>
      </c>
      <c r="G8" t="str">
        <f>'Source Table'!$D$12</f>
        <v>فحص الدم</v>
      </c>
      <c r="H8" s="17">
        <v>17477185</v>
      </c>
      <c r="I8" s="17">
        <v>2023</v>
      </c>
    </row>
    <row r="9" ht="15.75" spans="1:9">
      <c r="A9" s="16" t="s">
        <v>5</v>
      </c>
      <c r="B9" s="16" t="s">
        <v>58</v>
      </c>
      <c r="C9" s="17" t="s">
        <v>59</v>
      </c>
      <c r="D9" s="18" t="s">
        <v>60</v>
      </c>
      <c r="E9" s="19" t="s">
        <v>61</v>
      </c>
      <c r="F9" t="str">
        <f>'Source Table'!$B$13</f>
        <v>Serology</v>
      </c>
      <c r="G9" t="str">
        <f>'Source Table'!$D$13</f>
        <v>تفاعلات مصلية</v>
      </c>
      <c r="H9" s="17">
        <v>1583816</v>
      </c>
      <c r="I9" s="17">
        <v>2023</v>
      </c>
    </row>
    <row r="10" ht="15.75" spans="1:9">
      <c r="A10" s="16" t="s">
        <v>5</v>
      </c>
      <c r="B10" s="16" t="s">
        <v>58</v>
      </c>
      <c r="C10" s="17" t="s">
        <v>59</v>
      </c>
      <c r="D10" s="18" t="s">
        <v>60</v>
      </c>
      <c r="E10" s="19" t="s">
        <v>61</v>
      </c>
      <c r="F10" t="str">
        <f>'Source Table'!$B$14</f>
        <v>Bio - chemistry</v>
      </c>
      <c r="G10" t="str">
        <f>'Source Table'!$D$14</f>
        <v>كيمياء حيوية</v>
      </c>
      <c r="H10" s="17">
        <v>26145430</v>
      </c>
      <c r="I10" s="17">
        <v>2023</v>
      </c>
    </row>
    <row r="11" ht="15.75" spans="1:9">
      <c r="A11" s="16" t="s">
        <v>5</v>
      </c>
      <c r="B11" s="16" t="s">
        <v>58</v>
      </c>
      <c r="C11" s="17" t="s">
        <v>59</v>
      </c>
      <c r="D11" s="18" t="s">
        <v>60</v>
      </c>
      <c r="E11" s="19" t="s">
        <v>61</v>
      </c>
      <c r="F11" t="str">
        <f>'Source Table'!$B$15</f>
        <v>Special Chemical</v>
      </c>
      <c r="G11" t="str">
        <f>'Source Table'!$D$15</f>
        <v>كيمياء خاصة</v>
      </c>
      <c r="H11" s="17">
        <v>138017</v>
      </c>
      <c r="I11" s="17">
        <v>2023</v>
      </c>
    </row>
    <row r="12" ht="15.75" spans="1:9">
      <c r="A12" s="16" t="s">
        <v>5</v>
      </c>
      <c r="B12" s="16" t="s">
        <v>58</v>
      </c>
      <c r="C12" s="17" t="s">
        <v>59</v>
      </c>
      <c r="D12" s="18" t="s">
        <v>60</v>
      </c>
      <c r="E12" s="19" t="s">
        <v>61</v>
      </c>
      <c r="F12" t="str">
        <f>'Source Table'!$B$16</f>
        <v>Other Tests</v>
      </c>
      <c r="G12" t="str">
        <f>'Source Table'!$D$16</f>
        <v>فحوصات أخرى</v>
      </c>
      <c r="H12" s="17">
        <v>446215</v>
      </c>
      <c r="I12" s="17">
        <v>2023</v>
      </c>
    </row>
    <row r="13" ht="15.75" spans="1:9">
      <c r="A13" s="16" t="s">
        <v>5</v>
      </c>
      <c r="B13" s="16" t="s">
        <v>58</v>
      </c>
      <c r="C13" s="17" t="s">
        <v>59</v>
      </c>
      <c r="D13" s="18" t="s">
        <v>60</v>
      </c>
      <c r="E13" s="19" t="s">
        <v>61</v>
      </c>
      <c r="F13" t="str">
        <f>'Source Table'!$B$8</f>
        <v>Bacteriology</v>
      </c>
      <c r="G13" t="str">
        <f>'Source Table'!$D$8</f>
        <v>بكتريولوجي</v>
      </c>
      <c r="H13" s="17">
        <v>304837</v>
      </c>
      <c r="I13" s="17">
        <v>2022</v>
      </c>
    </row>
    <row r="14" ht="15.75" spans="1:9">
      <c r="A14" s="16" t="s">
        <v>5</v>
      </c>
      <c r="B14" s="16" t="s">
        <v>58</v>
      </c>
      <c r="C14" s="17" t="s">
        <v>59</v>
      </c>
      <c r="D14" s="18" t="s">
        <v>60</v>
      </c>
      <c r="E14" s="19" t="s">
        <v>61</v>
      </c>
      <c r="F14" t="str">
        <f>'Source Table'!$B$9</f>
        <v>Urine</v>
      </c>
      <c r="G14" t="str">
        <f>'Source Table'!$D$9</f>
        <v>الإدرار</v>
      </c>
      <c r="H14" s="17">
        <v>1198135</v>
      </c>
      <c r="I14" s="17">
        <v>2022</v>
      </c>
    </row>
    <row r="15" ht="15.75" spans="1:9">
      <c r="A15" s="16" t="s">
        <v>5</v>
      </c>
      <c r="B15" s="16" t="s">
        <v>58</v>
      </c>
      <c r="C15" s="17" t="s">
        <v>59</v>
      </c>
      <c r="D15" s="18" t="s">
        <v>60</v>
      </c>
      <c r="E15" s="19" t="s">
        <v>61</v>
      </c>
      <c r="F15" t="str">
        <f>'Source Table'!$B$10</f>
        <v>Stool</v>
      </c>
      <c r="G15" t="str">
        <f>'Source Table'!$D$10</f>
        <v>غائط</v>
      </c>
      <c r="H15" s="17">
        <v>171708</v>
      </c>
      <c r="I15" s="17">
        <v>2022</v>
      </c>
    </row>
    <row r="16" ht="15.75" spans="1:9">
      <c r="A16" s="16" t="s">
        <v>5</v>
      </c>
      <c r="B16" s="16" t="s">
        <v>58</v>
      </c>
      <c r="C16" s="17" t="s">
        <v>59</v>
      </c>
      <c r="D16" s="18" t="s">
        <v>60</v>
      </c>
      <c r="E16" s="19" t="s">
        <v>61</v>
      </c>
      <c r="F16" t="str">
        <f>'Source Table'!$B$11</f>
        <v>T.B.</v>
      </c>
      <c r="G16" t="str">
        <f>'Source Table'!$D$11</f>
        <v>السل</v>
      </c>
      <c r="H16" s="17">
        <v>685</v>
      </c>
      <c r="I16" s="17">
        <v>2022</v>
      </c>
    </row>
    <row r="17" ht="15.75" spans="1:9">
      <c r="A17" s="16" t="s">
        <v>5</v>
      </c>
      <c r="B17" s="16" t="s">
        <v>58</v>
      </c>
      <c r="C17" s="17" t="s">
        <v>59</v>
      </c>
      <c r="D17" s="18" t="s">
        <v>60</v>
      </c>
      <c r="E17" s="19" t="s">
        <v>61</v>
      </c>
      <c r="F17" t="str">
        <f>'Source Table'!$B$12</f>
        <v>Blood Test</v>
      </c>
      <c r="G17" t="str">
        <f>'Source Table'!$D$12</f>
        <v>فحص الدم</v>
      </c>
      <c r="H17" s="17">
        <v>17229630</v>
      </c>
      <c r="I17" s="17">
        <v>2022</v>
      </c>
    </row>
    <row r="18" ht="15.75" spans="1:9">
      <c r="A18" s="16" t="s">
        <v>5</v>
      </c>
      <c r="B18" s="16" t="s">
        <v>58</v>
      </c>
      <c r="C18" s="17" t="s">
        <v>59</v>
      </c>
      <c r="D18" s="18" t="s">
        <v>60</v>
      </c>
      <c r="E18" s="19" t="s">
        <v>61</v>
      </c>
      <c r="F18" t="str">
        <f>'Source Table'!$B$13</f>
        <v>Serology</v>
      </c>
      <c r="G18" t="str">
        <f>'Source Table'!$D$13</f>
        <v>تفاعلات مصلية</v>
      </c>
      <c r="H18" s="17">
        <v>1765064</v>
      </c>
      <c r="I18" s="17">
        <v>2022</v>
      </c>
    </row>
    <row r="19" ht="15.75" spans="1:9">
      <c r="A19" s="16" t="s">
        <v>5</v>
      </c>
      <c r="B19" s="16" t="s">
        <v>58</v>
      </c>
      <c r="C19" s="17" t="s">
        <v>59</v>
      </c>
      <c r="D19" s="18" t="s">
        <v>60</v>
      </c>
      <c r="E19" s="19" t="s">
        <v>61</v>
      </c>
      <c r="F19" t="str">
        <f>'Source Table'!$B$14</f>
        <v>Bio - chemistry</v>
      </c>
      <c r="G19" t="str">
        <f>'Source Table'!$D$14</f>
        <v>كيمياء حيوية</v>
      </c>
      <c r="H19" s="17">
        <v>24443147</v>
      </c>
      <c r="I19" s="17">
        <v>2022</v>
      </c>
    </row>
    <row r="20" ht="15.75" spans="1:9">
      <c r="A20" s="16" t="s">
        <v>5</v>
      </c>
      <c r="B20" s="16" t="s">
        <v>58</v>
      </c>
      <c r="C20" s="17" t="s">
        <v>59</v>
      </c>
      <c r="D20" s="18" t="s">
        <v>60</v>
      </c>
      <c r="E20" s="19" t="s">
        <v>61</v>
      </c>
      <c r="F20" t="str">
        <f>'Source Table'!$B$15</f>
        <v>Special Chemical</v>
      </c>
      <c r="G20" t="str">
        <f>'Source Table'!$D$15</f>
        <v>كيمياء خاصة</v>
      </c>
      <c r="H20" s="17">
        <v>203007</v>
      </c>
      <c r="I20" s="17">
        <v>2022</v>
      </c>
    </row>
    <row r="21" ht="15.75" spans="1:9">
      <c r="A21" s="16" t="s">
        <v>5</v>
      </c>
      <c r="B21" s="16" t="s">
        <v>58</v>
      </c>
      <c r="C21" s="17" t="s">
        <v>59</v>
      </c>
      <c r="D21" s="18" t="s">
        <v>60</v>
      </c>
      <c r="E21" s="19" t="s">
        <v>61</v>
      </c>
      <c r="F21" t="str">
        <f>'Source Table'!$B$16</f>
        <v>Other Tests</v>
      </c>
      <c r="G21" t="str">
        <f>'Source Table'!$D$16</f>
        <v>فحوصات أخرى</v>
      </c>
      <c r="H21" s="17">
        <v>515982</v>
      </c>
      <c r="I21" s="17">
        <v>2022</v>
      </c>
    </row>
    <row r="22" ht="15.75" spans="1:9">
      <c r="A22" s="16" t="s">
        <v>5</v>
      </c>
      <c r="B22" s="16" t="s">
        <v>58</v>
      </c>
      <c r="C22" s="17" t="s">
        <v>59</v>
      </c>
      <c r="D22" s="18" t="s">
        <v>60</v>
      </c>
      <c r="E22" s="19" t="s">
        <v>61</v>
      </c>
      <c r="F22" t="str">
        <f>'Source Table'!$B$8</f>
        <v>Bacteriology</v>
      </c>
      <c r="G22" t="str">
        <f>'Source Table'!$D$8</f>
        <v>بكتريولوجي</v>
      </c>
      <c r="H22" s="17">
        <v>237199</v>
      </c>
      <c r="I22" s="17">
        <v>2021</v>
      </c>
    </row>
    <row r="23" ht="15.75" spans="1:9">
      <c r="A23" s="16" t="s">
        <v>5</v>
      </c>
      <c r="B23" s="16" t="s">
        <v>58</v>
      </c>
      <c r="C23" s="17" t="s">
        <v>59</v>
      </c>
      <c r="D23" s="18" t="s">
        <v>60</v>
      </c>
      <c r="E23" s="19" t="s">
        <v>61</v>
      </c>
      <c r="F23" t="str">
        <f>'Source Table'!$B$9</f>
        <v>Urine</v>
      </c>
      <c r="G23" t="str">
        <f>'Source Table'!$D$9</f>
        <v>الإدرار</v>
      </c>
      <c r="H23" s="17">
        <v>1039658</v>
      </c>
      <c r="I23" s="17">
        <v>2021</v>
      </c>
    </row>
    <row r="24" ht="15.75" spans="1:9">
      <c r="A24" s="16" t="s">
        <v>5</v>
      </c>
      <c r="B24" s="16" t="s">
        <v>58</v>
      </c>
      <c r="C24" s="17" t="s">
        <v>59</v>
      </c>
      <c r="D24" s="18" t="s">
        <v>60</v>
      </c>
      <c r="E24" s="19" t="s">
        <v>61</v>
      </c>
      <c r="F24" t="str">
        <f>'Source Table'!$B$10</f>
        <v>Stool</v>
      </c>
      <c r="G24" t="str">
        <f>'Source Table'!$D$10</f>
        <v>غائط</v>
      </c>
      <c r="H24" s="17">
        <v>155316</v>
      </c>
      <c r="I24" s="17">
        <v>2021</v>
      </c>
    </row>
    <row r="25" ht="15.75" spans="1:9">
      <c r="A25" s="16" t="s">
        <v>5</v>
      </c>
      <c r="B25" s="16" t="s">
        <v>58</v>
      </c>
      <c r="C25" s="17" t="s">
        <v>59</v>
      </c>
      <c r="D25" s="18" t="s">
        <v>60</v>
      </c>
      <c r="E25" s="19" t="s">
        <v>61</v>
      </c>
      <c r="F25" t="str">
        <f>'Source Table'!$B$11</f>
        <v>T.B.</v>
      </c>
      <c r="G25" t="str">
        <f>'Source Table'!$D$11</f>
        <v>السل</v>
      </c>
      <c r="H25" s="17">
        <v>483</v>
      </c>
      <c r="I25" s="17">
        <v>2021</v>
      </c>
    </row>
    <row r="26" ht="15.75" spans="1:9">
      <c r="A26" s="16" t="s">
        <v>5</v>
      </c>
      <c r="B26" s="16" t="s">
        <v>58</v>
      </c>
      <c r="C26" s="17" t="s">
        <v>59</v>
      </c>
      <c r="D26" s="18" t="s">
        <v>60</v>
      </c>
      <c r="E26" s="19" t="s">
        <v>61</v>
      </c>
      <c r="F26" t="str">
        <f>'Source Table'!$B$12</f>
        <v>Blood Test</v>
      </c>
      <c r="G26" t="str">
        <f>'Source Table'!$D$12</f>
        <v>فحص الدم</v>
      </c>
      <c r="H26" s="17">
        <v>15495952</v>
      </c>
      <c r="I26" s="17">
        <v>2021</v>
      </c>
    </row>
    <row r="27" ht="15.75" spans="1:9">
      <c r="A27" s="16" t="s">
        <v>5</v>
      </c>
      <c r="B27" s="16" t="s">
        <v>58</v>
      </c>
      <c r="C27" s="17" t="s">
        <v>59</v>
      </c>
      <c r="D27" s="18" t="s">
        <v>60</v>
      </c>
      <c r="E27" s="19" t="s">
        <v>61</v>
      </c>
      <c r="F27" t="str">
        <f>'Source Table'!$B$13</f>
        <v>Serology</v>
      </c>
      <c r="G27" t="str">
        <f>'Source Table'!$D$13</f>
        <v>تفاعلات مصلية</v>
      </c>
      <c r="H27" s="17">
        <v>1608976</v>
      </c>
      <c r="I27" s="17">
        <v>2021</v>
      </c>
    </row>
    <row r="28" ht="15.75" spans="1:9">
      <c r="A28" s="16" t="s">
        <v>5</v>
      </c>
      <c r="B28" s="16" t="s">
        <v>58</v>
      </c>
      <c r="C28" s="17" t="s">
        <v>59</v>
      </c>
      <c r="D28" s="18" t="s">
        <v>60</v>
      </c>
      <c r="E28" s="19" t="s">
        <v>61</v>
      </c>
      <c r="F28" t="str">
        <f>'Source Table'!$B$14</f>
        <v>Bio - chemistry</v>
      </c>
      <c r="G28" t="str">
        <f>'Source Table'!$D$14</f>
        <v>كيمياء حيوية</v>
      </c>
      <c r="H28" s="17">
        <v>19544617</v>
      </c>
      <c r="I28" s="17">
        <v>2021</v>
      </c>
    </row>
    <row r="29" ht="15.75" spans="1:9">
      <c r="A29" s="16" t="s">
        <v>5</v>
      </c>
      <c r="B29" s="16" t="s">
        <v>58</v>
      </c>
      <c r="C29" s="17" t="s">
        <v>59</v>
      </c>
      <c r="D29" s="18" t="s">
        <v>60</v>
      </c>
      <c r="E29" s="19" t="s">
        <v>61</v>
      </c>
      <c r="F29" t="str">
        <f>'Source Table'!$B$15</f>
        <v>Special Chemical</v>
      </c>
      <c r="G29" t="str">
        <f>'Source Table'!$D$15</f>
        <v>كيمياء خاصة</v>
      </c>
      <c r="H29" s="17">
        <v>248987</v>
      </c>
      <c r="I29" s="17">
        <v>2021</v>
      </c>
    </row>
    <row r="30" ht="15.75" spans="1:9">
      <c r="A30" s="16" t="s">
        <v>5</v>
      </c>
      <c r="B30" s="16" t="s">
        <v>58</v>
      </c>
      <c r="C30" s="17" t="s">
        <v>59</v>
      </c>
      <c r="D30" s="18" t="s">
        <v>60</v>
      </c>
      <c r="E30" s="19" t="s">
        <v>61</v>
      </c>
      <c r="F30" t="str">
        <f>'Source Table'!$B$16</f>
        <v>Other Tests</v>
      </c>
      <c r="G30" t="str">
        <f>'Source Table'!$D$16</f>
        <v>فحوصات أخرى</v>
      </c>
      <c r="H30" s="17">
        <v>608934</v>
      </c>
      <c r="I30" s="17">
        <v>2021</v>
      </c>
    </row>
    <row r="31" ht="15.75" spans="1:9">
      <c r="A31" s="16" t="s">
        <v>5</v>
      </c>
      <c r="B31" s="16" t="s">
        <v>58</v>
      </c>
      <c r="C31" s="17" t="s">
        <v>59</v>
      </c>
      <c r="D31" s="18" t="s">
        <v>60</v>
      </c>
      <c r="E31" s="19" t="s">
        <v>61</v>
      </c>
      <c r="F31" t="str">
        <f>'Source Table'!$B$8</f>
        <v>Bacteriology</v>
      </c>
      <c r="G31" t="str">
        <f>'Source Table'!$D$8</f>
        <v>بكتريولوجي</v>
      </c>
      <c r="H31" s="17">
        <v>182154</v>
      </c>
      <c r="I31" s="17">
        <v>2020</v>
      </c>
    </row>
    <row r="32" ht="15.75" spans="1:9">
      <c r="A32" s="16" t="s">
        <v>5</v>
      </c>
      <c r="B32" s="16" t="s">
        <v>58</v>
      </c>
      <c r="C32" s="17" t="s">
        <v>59</v>
      </c>
      <c r="D32" s="18" t="s">
        <v>60</v>
      </c>
      <c r="E32" s="19" t="s">
        <v>61</v>
      </c>
      <c r="F32" t="str">
        <f>'Source Table'!$B$9</f>
        <v>Urine</v>
      </c>
      <c r="G32" t="str">
        <f>'Source Table'!$D$9</f>
        <v>الإدرار</v>
      </c>
      <c r="H32" s="17">
        <v>855210</v>
      </c>
      <c r="I32" s="17">
        <v>2020</v>
      </c>
    </row>
    <row r="33" ht="15.75" spans="1:9">
      <c r="A33" s="16" t="s">
        <v>5</v>
      </c>
      <c r="B33" s="16" t="s">
        <v>58</v>
      </c>
      <c r="C33" s="17" t="s">
        <v>59</v>
      </c>
      <c r="D33" s="18" t="s">
        <v>60</v>
      </c>
      <c r="E33" s="19" t="s">
        <v>61</v>
      </c>
      <c r="F33" t="str">
        <f>'Source Table'!$B$10</f>
        <v>Stool</v>
      </c>
      <c r="G33" t="str">
        <f>'Source Table'!$D$10</f>
        <v>غائط</v>
      </c>
      <c r="H33" s="17">
        <v>130997</v>
      </c>
      <c r="I33" s="17">
        <v>2020</v>
      </c>
    </row>
    <row r="34" ht="15.75" spans="1:9">
      <c r="A34" s="16" t="s">
        <v>5</v>
      </c>
      <c r="B34" s="16" t="s">
        <v>58</v>
      </c>
      <c r="C34" s="17" t="s">
        <v>59</v>
      </c>
      <c r="D34" s="18" t="s">
        <v>60</v>
      </c>
      <c r="E34" s="19" t="s">
        <v>61</v>
      </c>
      <c r="F34" t="str">
        <f>'Source Table'!$B$11</f>
        <v>T.B.</v>
      </c>
      <c r="G34" t="str">
        <f>'Source Table'!$D$11</f>
        <v>السل</v>
      </c>
      <c r="H34" s="17">
        <v>758</v>
      </c>
      <c r="I34" s="17">
        <v>2020</v>
      </c>
    </row>
    <row r="35" ht="15.75" spans="1:9">
      <c r="A35" s="16" t="s">
        <v>5</v>
      </c>
      <c r="B35" s="16" t="s">
        <v>58</v>
      </c>
      <c r="C35" s="17" t="s">
        <v>59</v>
      </c>
      <c r="D35" s="18" t="s">
        <v>60</v>
      </c>
      <c r="E35" s="19" t="s">
        <v>61</v>
      </c>
      <c r="F35" t="str">
        <f>'Source Table'!$B$12</f>
        <v>Blood Test</v>
      </c>
      <c r="G35" t="str">
        <f>'Source Table'!$D$12</f>
        <v>فحص الدم</v>
      </c>
      <c r="H35" s="17">
        <v>12537253</v>
      </c>
      <c r="I35" s="17">
        <v>2020</v>
      </c>
    </row>
    <row r="36" ht="15.75" spans="1:9">
      <c r="A36" s="16" t="s">
        <v>5</v>
      </c>
      <c r="B36" s="16" t="s">
        <v>58</v>
      </c>
      <c r="C36" s="17" t="s">
        <v>59</v>
      </c>
      <c r="D36" s="18" t="s">
        <v>60</v>
      </c>
      <c r="E36" s="19" t="s">
        <v>61</v>
      </c>
      <c r="F36" t="str">
        <f>'Source Table'!$B$13</f>
        <v>Serology</v>
      </c>
      <c r="G36" t="str">
        <f>'Source Table'!$D$13</f>
        <v>تفاعلات مصلية</v>
      </c>
      <c r="H36" s="17">
        <v>1154424</v>
      </c>
      <c r="I36" s="17">
        <v>2020</v>
      </c>
    </row>
    <row r="37" ht="15.75" spans="1:9">
      <c r="A37" s="16" t="s">
        <v>5</v>
      </c>
      <c r="B37" s="16" t="s">
        <v>58</v>
      </c>
      <c r="C37" s="17" t="s">
        <v>59</v>
      </c>
      <c r="D37" s="18" t="s">
        <v>60</v>
      </c>
      <c r="E37" s="19" t="s">
        <v>61</v>
      </c>
      <c r="F37" t="str">
        <f>'Source Table'!$B$14</f>
        <v>Bio - chemistry</v>
      </c>
      <c r="G37" t="str">
        <f>'Source Table'!$D$14</f>
        <v>كيمياء حيوية</v>
      </c>
      <c r="H37" s="17">
        <v>14211817</v>
      </c>
      <c r="I37" s="17">
        <v>2020</v>
      </c>
    </row>
    <row r="38" ht="15.75" spans="1:9">
      <c r="A38" s="16" t="s">
        <v>5</v>
      </c>
      <c r="B38" s="16" t="s">
        <v>58</v>
      </c>
      <c r="C38" s="17" t="s">
        <v>59</v>
      </c>
      <c r="D38" s="18" t="s">
        <v>60</v>
      </c>
      <c r="E38" s="19" t="s">
        <v>61</v>
      </c>
      <c r="F38" t="str">
        <f>'Source Table'!$B$15</f>
        <v>Special Chemical</v>
      </c>
      <c r="G38" t="str">
        <f>'Source Table'!$D$15</f>
        <v>كيمياء خاصة</v>
      </c>
      <c r="H38" s="17">
        <v>140072</v>
      </c>
      <c r="I38" s="17">
        <v>2020</v>
      </c>
    </row>
    <row r="39" ht="15.75" spans="1:9">
      <c r="A39" s="16" t="s">
        <v>5</v>
      </c>
      <c r="B39" s="16" t="s">
        <v>58</v>
      </c>
      <c r="C39" s="17" t="s">
        <v>59</v>
      </c>
      <c r="D39" s="18" t="s">
        <v>60</v>
      </c>
      <c r="E39" s="19" t="s">
        <v>61</v>
      </c>
      <c r="F39" t="str">
        <f>'Source Table'!$B$16</f>
        <v>Other Tests</v>
      </c>
      <c r="G39" t="str">
        <f>'Source Table'!$D$16</f>
        <v>فحوصات أخرى</v>
      </c>
      <c r="H39" s="17">
        <v>218101</v>
      </c>
      <c r="I39" s="17">
        <v>2020</v>
      </c>
    </row>
    <row r="40" ht="15.75" spans="1:9">
      <c r="A40" s="16" t="s">
        <v>5</v>
      </c>
      <c r="B40" s="16" t="s">
        <v>58</v>
      </c>
      <c r="C40" s="17" t="s">
        <v>59</v>
      </c>
      <c r="D40" s="18" t="s">
        <v>60</v>
      </c>
      <c r="E40" s="19" t="s">
        <v>61</v>
      </c>
      <c r="F40" t="str">
        <f>'Source Table'!$B$8</f>
        <v>Bacteriology</v>
      </c>
      <c r="G40" t="str">
        <f>'Source Table'!$D$8</f>
        <v>بكتريولوجي</v>
      </c>
      <c r="H40" s="17">
        <v>236850</v>
      </c>
      <c r="I40" s="17">
        <v>2019</v>
      </c>
    </row>
    <row r="41" ht="15.75" spans="1:9">
      <c r="A41" s="16" t="s">
        <v>5</v>
      </c>
      <c r="B41" s="16" t="s">
        <v>58</v>
      </c>
      <c r="C41" s="17" t="s">
        <v>59</v>
      </c>
      <c r="D41" s="18" t="s">
        <v>60</v>
      </c>
      <c r="E41" s="19" t="s">
        <v>61</v>
      </c>
      <c r="F41" t="str">
        <f>'Source Table'!$B$9</f>
        <v>Urine</v>
      </c>
      <c r="G41" t="str">
        <f>'Source Table'!$D$9</f>
        <v>الإدرار</v>
      </c>
      <c r="H41" s="17">
        <v>1132524</v>
      </c>
      <c r="I41" s="17">
        <v>2019</v>
      </c>
    </row>
    <row r="42" ht="15.75" spans="1:9">
      <c r="A42" s="16" t="s">
        <v>5</v>
      </c>
      <c r="B42" s="16" t="s">
        <v>58</v>
      </c>
      <c r="C42" s="17" t="s">
        <v>59</v>
      </c>
      <c r="D42" s="18" t="s">
        <v>60</v>
      </c>
      <c r="E42" s="19" t="s">
        <v>61</v>
      </c>
      <c r="F42" t="str">
        <f>'Source Table'!$B$10</f>
        <v>Stool</v>
      </c>
      <c r="G42" t="str">
        <f>'Source Table'!$D$10</f>
        <v>غائط</v>
      </c>
      <c r="H42" s="17">
        <v>169689</v>
      </c>
      <c r="I42" s="17">
        <v>2019</v>
      </c>
    </row>
    <row r="43" ht="15.75" spans="1:9">
      <c r="A43" s="16" t="s">
        <v>5</v>
      </c>
      <c r="B43" s="16" t="s">
        <v>58</v>
      </c>
      <c r="C43" s="17" t="s">
        <v>59</v>
      </c>
      <c r="D43" s="18" t="s">
        <v>60</v>
      </c>
      <c r="E43" s="19" t="s">
        <v>61</v>
      </c>
      <c r="F43" t="str">
        <f>'Source Table'!$B$11</f>
        <v>T.B.</v>
      </c>
      <c r="G43" t="str">
        <f>'Source Table'!$D$11</f>
        <v>السل</v>
      </c>
      <c r="H43" s="17">
        <v>441</v>
      </c>
      <c r="I43" s="17">
        <v>2019</v>
      </c>
    </row>
    <row r="44" ht="15.75" spans="1:9">
      <c r="A44" s="16" t="s">
        <v>5</v>
      </c>
      <c r="B44" s="16" t="s">
        <v>58</v>
      </c>
      <c r="C44" s="17" t="s">
        <v>59</v>
      </c>
      <c r="D44" s="18" t="s">
        <v>60</v>
      </c>
      <c r="E44" s="19" t="s">
        <v>61</v>
      </c>
      <c r="F44" t="str">
        <f>'Source Table'!$B$12</f>
        <v>Blood Test</v>
      </c>
      <c r="G44" t="str">
        <f>'Source Table'!$D$12</f>
        <v>فحص الدم</v>
      </c>
      <c r="H44" s="17">
        <v>17369973</v>
      </c>
      <c r="I44" s="17">
        <v>2019</v>
      </c>
    </row>
    <row r="45" ht="15.75" spans="1:9">
      <c r="A45" s="16" t="s">
        <v>5</v>
      </c>
      <c r="B45" s="16" t="s">
        <v>58</v>
      </c>
      <c r="C45" s="17" t="s">
        <v>59</v>
      </c>
      <c r="D45" s="18" t="s">
        <v>60</v>
      </c>
      <c r="E45" s="19" t="s">
        <v>61</v>
      </c>
      <c r="F45" t="str">
        <f>'Source Table'!$B$13</f>
        <v>Serology</v>
      </c>
      <c r="G45" t="str">
        <f>'Source Table'!$D$13</f>
        <v>تفاعلات مصلية</v>
      </c>
      <c r="H45" s="17">
        <v>1433114</v>
      </c>
      <c r="I45" s="17">
        <v>2019</v>
      </c>
    </row>
    <row r="46" ht="15.75" spans="1:9">
      <c r="A46" s="16" t="s">
        <v>5</v>
      </c>
      <c r="B46" s="16" t="s">
        <v>58</v>
      </c>
      <c r="C46" s="17" t="s">
        <v>59</v>
      </c>
      <c r="D46" s="18" t="s">
        <v>60</v>
      </c>
      <c r="E46" s="19" t="s">
        <v>61</v>
      </c>
      <c r="F46" t="str">
        <f>'Source Table'!$B$14</f>
        <v>Bio - chemistry</v>
      </c>
      <c r="G46" t="str">
        <f>'Source Table'!$D$14</f>
        <v>كيمياء حيوية</v>
      </c>
      <c r="H46" s="17">
        <v>16791498</v>
      </c>
      <c r="I46" s="17">
        <v>2019</v>
      </c>
    </row>
    <row r="47" ht="15.75" spans="1:9">
      <c r="A47" s="16" t="s">
        <v>5</v>
      </c>
      <c r="B47" s="16" t="s">
        <v>58</v>
      </c>
      <c r="C47" s="17" t="s">
        <v>59</v>
      </c>
      <c r="D47" s="18" t="s">
        <v>60</v>
      </c>
      <c r="E47" s="19" t="s">
        <v>61</v>
      </c>
      <c r="F47" t="str">
        <f>'Source Table'!$B$15</f>
        <v>Special Chemical</v>
      </c>
      <c r="G47" t="str">
        <f>'Source Table'!$D$15</f>
        <v>كيمياء خاصة</v>
      </c>
      <c r="H47" s="17">
        <v>227224</v>
      </c>
      <c r="I47" s="17">
        <v>2019</v>
      </c>
    </row>
    <row r="48" ht="15.75" spans="1:9">
      <c r="A48" s="16" t="s">
        <v>5</v>
      </c>
      <c r="B48" s="16" t="s">
        <v>58</v>
      </c>
      <c r="C48" s="17" t="s">
        <v>59</v>
      </c>
      <c r="D48" s="18" t="s">
        <v>60</v>
      </c>
      <c r="E48" s="19" t="s">
        <v>61</v>
      </c>
      <c r="F48" t="str">
        <f>'Source Table'!$B$16</f>
        <v>Other Tests</v>
      </c>
      <c r="G48" t="str">
        <f>'Source Table'!$D$16</f>
        <v>فحوصات أخرى</v>
      </c>
      <c r="H48" s="17">
        <v>172466</v>
      </c>
      <c r="I48" s="17">
        <v>2019</v>
      </c>
    </row>
    <row r="49" ht="15.75" spans="1:9">
      <c r="A49" s="16" t="s">
        <v>5</v>
      </c>
      <c r="B49" s="16" t="s">
        <v>58</v>
      </c>
      <c r="C49" s="17" t="s">
        <v>59</v>
      </c>
      <c r="D49" s="18" t="s">
        <v>60</v>
      </c>
      <c r="E49" s="19" t="s">
        <v>61</v>
      </c>
      <c r="F49" t="str">
        <f>'Source Table'!$B$8</f>
        <v>Bacteriology</v>
      </c>
      <c r="G49" t="str">
        <f>'Source Table'!$D$8</f>
        <v>بكتريولوجي</v>
      </c>
      <c r="H49" s="17">
        <v>240436</v>
      </c>
      <c r="I49" s="17">
        <v>2018</v>
      </c>
    </row>
    <row r="50" ht="15.75" spans="1:9">
      <c r="A50" s="16" t="s">
        <v>5</v>
      </c>
      <c r="B50" s="16" t="s">
        <v>58</v>
      </c>
      <c r="C50" s="17" t="s">
        <v>59</v>
      </c>
      <c r="D50" s="18" t="s">
        <v>60</v>
      </c>
      <c r="E50" s="19" t="s">
        <v>61</v>
      </c>
      <c r="F50" t="str">
        <f>'Source Table'!$B$9</f>
        <v>Urine</v>
      </c>
      <c r="G50" t="str">
        <f>'Source Table'!$D$9</f>
        <v>الإدرار</v>
      </c>
      <c r="H50" s="17">
        <v>1112469</v>
      </c>
      <c r="I50" s="17">
        <v>2018</v>
      </c>
    </row>
    <row r="51" ht="15.75" spans="1:9">
      <c r="A51" s="16" t="s">
        <v>5</v>
      </c>
      <c r="B51" s="16" t="s">
        <v>58</v>
      </c>
      <c r="C51" s="17" t="s">
        <v>59</v>
      </c>
      <c r="D51" s="18" t="s">
        <v>60</v>
      </c>
      <c r="E51" s="19" t="s">
        <v>61</v>
      </c>
      <c r="F51" t="str">
        <f>'Source Table'!$B$10</f>
        <v>Stool</v>
      </c>
      <c r="G51" t="str">
        <f>'Source Table'!$D$10</f>
        <v>غائط</v>
      </c>
      <c r="H51" s="17">
        <v>201501</v>
      </c>
      <c r="I51" s="17">
        <v>2018</v>
      </c>
    </row>
    <row r="52" ht="15.75" spans="1:9">
      <c r="A52" s="16" t="s">
        <v>5</v>
      </c>
      <c r="B52" s="16" t="s">
        <v>58</v>
      </c>
      <c r="C52" s="17" t="s">
        <v>59</v>
      </c>
      <c r="D52" s="18" t="s">
        <v>60</v>
      </c>
      <c r="E52" s="19" t="s">
        <v>61</v>
      </c>
      <c r="F52" t="str">
        <f>'Source Table'!$B$11</f>
        <v>T.B.</v>
      </c>
      <c r="G52" t="str">
        <f>'Source Table'!$D$11</f>
        <v>السل</v>
      </c>
      <c r="H52" s="17">
        <v>1486</v>
      </c>
      <c r="I52" s="17">
        <v>2018</v>
      </c>
    </row>
    <row r="53" ht="15.75" spans="1:9">
      <c r="A53" s="16" t="s">
        <v>5</v>
      </c>
      <c r="B53" s="16" t="s">
        <v>58</v>
      </c>
      <c r="C53" s="17" t="s">
        <v>59</v>
      </c>
      <c r="D53" s="18" t="s">
        <v>60</v>
      </c>
      <c r="E53" s="19" t="s">
        <v>61</v>
      </c>
      <c r="F53" t="str">
        <f>'Source Table'!$B$12</f>
        <v>Blood Test</v>
      </c>
      <c r="G53" t="str">
        <f>'Source Table'!$D$12</f>
        <v>فحص الدم</v>
      </c>
      <c r="H53" s="17">
        <v>16225598</v>
      </c>
      <c r="I53" s="17">
        <v>2018</v>
      </c>
    </row>
    <row r="54" ht="15.75" spans="1:9">
      <c r="A54" s="16" t="s">
        <v>5</v>
      </c>
      <c r="B54" s="16" t="s">
        <v>58</v>
      </c>
      <c r="C54" s="17" t="s">
        <v>59</v>
      </c>
      <c r="D54" s="18" t="s">
        <v>60</v>
      </c>
      <c r="E54" s="19" t="s">
        <v>61</v>
      </c>
      <c r="F54" t="str">
        <f>'Source Table'!$B$13</f>
        <v>Serology</v>
      </c>
      <c r="G54" t="str">
        <f>'Source Table'!$D$13</f>
        <v>تفاعلات مصلية</v>
      </c>
      <c r="H54" s="17">
        <v>990547</v>
      </c>
      <c r="I54" s="17">
        <v>2018</v>
      </c>
    </row>
    <row r="55" ht="15.75" spans="1:9">
      <c r="A55" s="16" t="s">
        <v>5</v>
      </c>
      <c r="B55" s="16" t="s">
        <v>58</v>
      </c>
      <c r="C55" s="17" t="s">
        <v>59</v>
      </c>
      <c r="D55" s="18" t="s">
        <v>60</v>
      </c>
      <c r="E55" s="19" t="s">
        <v>61</v>
      </c>
      <c r="F55" t="str">
        <f>'Source Table'!$B$14</f>
        <v>Bio - chemistry</v>
      </c>
      <c r="G55" t="str">
        <f>'Source Table'!$D$14</f>
        <v>كيمياء حيوية</v>
      </c>
      <c r="H55" s="17">
        <v>15394338</v>
      </c>
      <c r="I55" s="17">
        <v>2018</v>
      </c>
    </row>
    <row r="56" ht="15.75" spans="1:9">
      <c r="A56" s="16" t="s">
        <v>5</v>
      </c>
      <c r="B56" s="16" t="s">
        <v>58</v>
      </c>
      <c r="C56" s="17" t="s">
        <v>59</v>
      </c>
      <c r="D56" s="18" t="s">
        <v>60</v>
      </c>
      <c r="E56" s="19" t="s">
        <v>61</v>
      </c>
      <c r="F56" t="str">
        <f>'Source Table'!$B$15</f>
        <v>Special Chemical</v>
      </c>
      <c r="G56" t="str">
        <f>'Source Table'!$D$15</f>
        <v>كيمياء خاصة</v>
      </c>
      <c r="H56" s="17">
        <v>143485</v>
      </c>
      <c r="I56" s="17">
        <v>2018</v>
      </c>
    </row>
    <row r="57" ht="15.75" spans="1:9">
      <c r="A57" s="16" t="s">
        <v>5</v>
      </c>
      <c r="B57" s="16" t="s">
        <v>58</v>
      </c>
      <c r="C57" s="17" t="s">
        <v>59</v>
      </c>
      <c r="D57" s="18" t="s">
        <v>60</v>
      </c>
      <c r="E57" s="19" t="s">
        <v>61</v>
      </c>
      <c r="F57" t="str">
        <f>'Source Table'!$B$16</f>
        <v>Other Tests</v>
      </c>
      <c r="G57" t="str">
        <f>'Source Table'!$D$16</f>
        <v>فحوصات أخرى</v>
      </c>
      <c r="H57" s="17">
        <v>144205</v>
      </c>
      <c r="I57" s="17">
        <v>2018</v>
      </c>
    </row>
    <row r="58" ht="15.75" spans="1:9">
      <c r="A58" s="16" t="s">
        <v>5</v>
      </c>
      <c r="B58" s="16" t="s">
        <v>58</v>
      </c>
      <c r="C58" s="17" t="s">
        <v>59</v>
      </c>
      <c r="D58" s="18" t="s">
        <v>60</v>
      </c>
      <c r="E58" s="19" t="s">
        <v>61</v>
      </c>
      <c r="F58" t="str">
        <f>'Source Table'!$B$8</f>
        <v>Bacteriology</v>
      </c>
      <c r="G58" t="str">
        <f>'Source Table'!$D$8</f>
        <v>بكتريولوجي</v>
      </c>
      <c r="H58" s="17">
        <v>226691</v>
      </c>
      <c r="I58" s="17">
        <v>2017</v>
      </c>
    </row>
    <row r="59" ht="15.75" spans="1:9">
      <c r="A59" s="16" t="s">
        <v>5</v>
      </c>
      <c r="B59" s="16" t="s">
        <v>58</v>
      </c>
      <c r="C59" s="17" t="s">
        <v>59</v>
      </c>
      <c r="D59" s="18" t="s">
        <v>60</v>
      </c>
      <c r="E59" s="19" t="s">
        <v>61</v>
      </c>
      <c r="F59" t="str">
        <f>'Source Table'!$B$9</f>
        <v>Urine</v>
      </c>
      <c r="G59" t="str">
        <f>'Source Table'!$D$9</f>
        <v>الإدرار</v>
      </c>
      <c r="H59" s="17">
        <v>1113035</v>
      </c>
      <c r="I59" s="17">
        <v>2017</v>
      </c>
    </row>
    <row r="60" ht="15.75" spans="1:9">
      <c r="A60" s="16" t="s">
        <v>5</v>
      </c>
      <c r="B60" s="16" t="s">
        <v>58</v>
      </c>
      <c r="C60" s="17" t="s">
        <v>59</v>
      </c>
      <c r="D60" s="18" t="s">
        <v>60</v>
      </c>
      <c r="E60" s="19" t="s">
        <v>61</v>
      </c>
      <c r="F60" t="str">
        <f>'Source Table'!$B$10</f>
        <v>Stool</v>
      </c>
      <c r="G60" t="str">
        <f>'Source Table'!$D$10</f>
        <v>غائط</v>
      </c>
      <c r="H60" s="17">
        <v>165224</v>
      </c>
      <c r="I60" s="17">
        <v>2017</v>
      </c>
    </row>
    <row r="61" ht="15.75" spans="1:9">
      <c r="A61" s="16" t="s">
        <v>5</v>
      </c>
      <c r="B61" s="16" t="s">
        <v>58</v>
      </c>
      <c r="C61" s="17" t="s">
        <v>59</v>
      </c>
      <c r="D61" s="18" t="s">
        <v>60</v>
      </c>
      <c r="E61" s="19" t="s">
        <v>61</v>
      </c>
      <c r="F61" t="str">
        <f>'Source Table'!$B$11</f>
        <v>T.B.</v>
      </c>
      <c r="G61" t="str">
        <f>'Source Table'!$D$11</f>
        <v>السل</v>
      </c>
      <c r="H61" s="17">
        <v>1691</v>
      </c>
      <c r="I61" s="17">
        <v>2017</v>
      </c>
    </row>
    <row r="62" ht="15.75" spans="1:9">
      <c r="A62" s="16" t="s">
        <v>5</v>
      </c>
      <c r="B62" s="16" t="s">
        <v>58</v>
      </c>
      <c r="C62" s="17" t="s">
        <v>59</v>
      </c>
      <c r="D62" s="18" t="s">
        <v>60</v>
      </c>
      <c r="E62" s="19" t="s">
        <v>61</v>
      </c>
      <c r="F62" t="str">
        <f>'Source Table'!$B$12</f>
        <v>Blood Test</v>
      </c>
      <c r="G62" t="str">
        <f>'Source Table'!$D$12</f>
        <v>فحص الدم</v>
      </c>
      <c r="H62" s="17">
        <v>14644306</v>
      </c>
      <c r="I62" s="17">
        <v>2017</v>
      </c>
    </row>
    <row r="63" ht="15.75" spans="1:9">
      <c r="A63" s="16" t="s">
        <v>5</v>
      </c>
      <c r="B63" s="16" t="s">
        <v>58</v>
      </c>
      <c r="C63" s="17" t="s">
        <v>59</v>
      </c>
      <c r="D63" s="18" t="s">
        <v>60</v>
      </c>
      <c r="E63" s="19" t="s">
        <v>61</v>
      </c>
      <c r="F63" t="str">
        <f>'Source Table'!$B$13</f>
        <v>Serology</v>
      </c>
      <c r="G63" t="str">
        <f>'Source Table'!$D$13</f>
        <v>تفاعلات مصلية</v>
      </c>
      <c r="H63" s="17">
        <v>917570</v>
      </c>
      <c r="I63" s="17">
        <v>2017</v>
      </c>
    </row>
    <row r="64" ht="15.75" spans="1:9">
      <c r="A64" s="16" t="s">
        <v>5</v>
      </c>
      <c r="B64" s="16" t="s">
        <v>58</v>
      </c>
      <c r="C64" s="17" t="s">
        <v>59</v>
      </c>
      <c r="D64" s="18" t="s">
        <v>60</v>
      </c>
      <c r="E64" s="19" t="s">
        <v>61</v>
      </c>
      <c r="F64" t="str">
        <f>'Source Table'!$B$14</f>
        <v>Bio - chemistry</v>
      </c>
      <c r="G64" t="str">
        <f>'Source Table'!$D$14</f>
        <v>كيمياء حيوية</v>
      </c>
      <c r="H64" s="17">
        <v>14000024</v>
      </c>
      <c r="I64" s="17">
        <v>2017</v>
      </c>
    </row>
    <row r="65" ht="15.75" spans="1:9">
      <c r="A65" s="16" t="s">
        <v>5</v>
      </c>
      <c r="B65" s="16" t="s">
        <v>58</v>
      </c>
      <c r="C65" s="17" t="s">
        <v>59</v>
      </c>
      <c r="D65" s="18" t="s">
        <v>60</v>
      </c>
      <c r="E65" s="19" t="s">
        <v>61</v>
      </c>
      <c r="F65" t="str">
        <f>'Source Table'!$B$15</f>
        <v>Special Chemical</v>
      </c>
      <c r="G65" t="str">
        <f>'Source Table'!$D$15</f>
        <v>كيمياء خاصة</v>
      </c>
      <c r="H65" s="17">
        <v>101483</v>
      </c>
      <c r="I65" s="17">
        <v>2017</v>
      </c>
    </row>
    <row r="66" ht="15.75" spans="1:9">
      <c r="A66" s="16" t="s">
        <v>5</v>
      </c>
      <c r="B66" s="16" t="s">
        <v>58</v>
      </c>
      <c r="C66" s="17" t="s">
        <v>59</v>
      </c>
      <c r="D66" s="18" t="s">
        <v>60</v>
      </c>
      <c r="E66" s="19" t="s">
        <v>61</v>
      </c>
      <c r="F66" t="str">
        <f>'Source Table'!$B$16</f>
        <v>Other Tests</v>
      </c>
      <c r="G66" t="str">
        <f>'Source Table'!$D$16</f>
        <v>فحوصات أخرى</v>
      </c>
      <c r="H66" s="17">
        <v>114060</v>
      </c>
      <c r="I66" s="17">
        <v>2017</v>
      </c>
    </row>
    <row r="67" ht="15.75" spans="1:9">
      <c r="A67" s="16" t="s">
        <v>5</v>
      </c>
      <c r="B67" s="16" t="s">
        <v>58</v>
      </c>
      <c r="C67" s="17" t="s">
        <v>59</v>
      </c>
      <c r="D67" s="18" t="s">
        <v>60</v>
      </c>
      <c r="E67" s="19" t="s">
        <v>61</v>
      </c>
      <c r="F67" t="str">
        <f>'Source Table'!$B$8</f>
        <v>Bacteriology</v>
      </c>
      <c r="G67" t="str">
        <f>'Source Table'!$D$8</f>
        <v>بكتريولوجي</v>
      </c>
      <c r="H67" s="17">
        <v>216956</v>
      </c>
      <c r="I67" s="17">
        <v>2016</v>
      </c>
    </row>
    <row r="68" ht="15.75" spans="1:9">
      <c r="A68" s="16" t="s">
        <v>5</v>
      </c>
      <c r="B68" s="16" t="s">
        <v>58</v>
      </c>
      <c r="C68" s="17" t="s">
        <v>59</v>
      </c>
      <c r="D68" s="18" t="s">
        <v>60</v>
      </c>
      <c r="E68" s="19" t="s">
        <v>61</v>
      </c>
      <c r="F68" t="str">
        <f>'Source Table'!$B$9</f>
        <v>Urine</v>
      </c>
      <c r="G68" t="str">
        <f>'Source Table'!$D$9</f>
        <v>الإدرار</v>
      </c>
      <c r="H68" s="17">
        <v>1083446</v>
      </c>
      <c r="I68" s="17">
        <v>2016</v>
      </c>
    </row>
    <row r="69" ht="15.75" spans="1:9">
      <c r="A69" s="16" t="s">
        <v>5</v>
      </c>
      <c r="B69" s="16" t="s">
        <v>58</v>
      </c>
      <c r="C69" s="17" t="s">
        <v>59</v>
      </c>
      <c r="D69" s="18" t="s">
        <v>60</v>
      </c>
      <c r="E69" s="19" t="s">
        <v>61</v>
      </c>
      <c r="F69" t="str">
        <f>'Source Table'!$B$10</f>
        <v>Stool</v>
      </c>
      <c r="G69" t="str">
        <f>'Source Table'!$D$10</f>
        <v>غائط</v>
      </c>
      <c r="H69" s="17">
        <v>158874</v>
      </c>
      <c r="I69" s="17">
        <v>2016</v>
      </c>
    </row>
    <row r="70" ht="15.75" spans="1:9">
      <c r="A70" s="16" t="s">
        <v>5</v>
      </c>
      <c r="B70" s="16" t="s">
        <v>58</v>
      </c>
      <c r="C70" s="17" t="s">
        <v>59</v>
      </c>
      <c r="D70" s="18" t="s">
        <v>60</v>
      </c>
      <c r="E70" s="19" t="s">
        <v>61</v>
      </c>
      <c r="F70" t="str">
        <f>'Source Table'!$B$11</f>
        <v>T.B.</v>
      </c>
      <c r="G70" t="str">
        <f>'Source Table'!$D$11</f>
        <v>السل</v>
      </c>
      <c r="H70" s="17">
        <v>1934</v>
      </c>
      <c r="I70" s="17">
        <v>2016</v>
      </c>
    </row>
    <row r="71" ht="15.75" spans="1:9">
      <c r="A71" s="16" t="s">
        <v>5</v>
      </c>
      <c r="B71" s="16" t="s">
        <v>58</v>
      </c>
      <c r="C71" s="17" t="s">
        <v>59</v>
      </c>
      <c r="D71" s="18" t="s">
        <v>60</v>
      </c>
      <c r="E71" s="19" t="s">
        <v>61</v>
      </c>
      <c r="F71" t="str">
        <f>'Source Table'!$B$12</f>
        <v>Blood Test</v>
      </c>
      <c r="G71" t="str">
        <f>'Source Table'!$D$12</f>
        <v>فحص الدم</v>
      </c>
      <c r="H71" s="17">
        <v>13379564</v>
      </c>
      <c r="I71" s="17">
        <v>2016</v>
      </c>
    </row>
    <row r="72" ht="15.75" spans="1:9">
      <c r="A72" s="16" t="s">
        <v>5</v>
      </c>
      <c r="B72" s="16" t="s">
        <v>58</v>
      </c>
      <c r="C72" s="17" t="s">
        <v>59</v>
      </c>
      <c r="D72" s="18" t="s">
        <v>60</v>
      </c>
      <c r="E72" s="19" t="s">
        <v>61</v>
      </c>
      <c r="F72" t="str">
        <f>'Source Table'!$B$13</f>
        <v>Serology</v>
      </c>
      <c r="G72" t="str">
        <f>'Source Table'!$D$13</f>
        <v>تفاعلات مصلية</v>
      </c>
      <c r="H72" s="17">
        <v>964802</v>
      </c>
      <c r="I72" s="17">
        <v>2016</v>
      </c>
    </row>
    <row r="73" ht="15.75" spans="1:9">
      <c r="A73" s="16" t="s">
        <v>5</v>
      </c>
      <c r="B73" s="16" t="s">
        <v>58</v>
      </c>
      <c r="C73" s="17" t="s">
        <v>59</v>
      </c>
      <c r="D73" s="18" t="s">
        <v>60</v>
      </c>
      <c r="E73" s="19" t="s">
        <v>61</v>
      </c>
      <c r="F73" t="str">
        <f>'Source Table'!$B$14</f>
        <v>Bio - chemistry</v>
      </c>
      <c r="G73" t="str">
        <f>'Source Table'!$D$14</f>
        <v>كيمياء حيوية</v>
      </c>
      <c r="H73" s="17">
        <v>13261363</v>
      </c>
      <c r="I73" s="17">
        <v>2016</v>
      </c>
    </row>
    <row r="74" ht="15.75" spans="1:9">
      <c r="A74" s="16" t="s">
        <v>5</v>
      </c>
      <c r="B74" s="16" t="s">
        <v>58</v>
      </c>
      <c r="C74" s="17" t="s">
        <v>59</v>
      </c>
      <c r="D74" s="18" t="s">
        <v>60</v>
      </c>
      <c r="E74" s="19" t="s">
        <v>61</v>
      </c>
      <c r="F74" t="str">
        <f>'Source Table'!$B$15</f>
        <v>Special Chemical</v>
      </c>
      <c r="G74" t="str">
        <f>'Source Table'!$D$15</f>
        <v>كيمياء خاصة</v>
      </c>
      <c r="H74" s="17">
        <v>80351</v>
      </c>
      <c r="I74" s="17">
        <v>2016</v>
      </c>
    </row>
    <row r="75" ht="15.75" spans="1:9">
      <c r="A75" s="16" t="s">
        <v>5</v>
      </c>
      <c r="B75" s="16" t="s">
        <v>58</v>
      </c>
      <c r="C75" s="17" t="s">
        <v>59</v>
      </c>
      <c r="D75" s="18" t="s">
        <v>60</v>
      </c>
      <c r="E75" s="19" t="s">
        <v>61</v>
      </c>
      <c r="F75" t="str">
        <f>'Source Table'!$B$16</f>
        <v>Other Tests</v>
      </c>
      <c r="G75" t="str">
        <f>'Source Table'!$D$16</f>
        <v>فحوصات أخرى</v>
      </c>
      <c r="H75" s="17">
        <v>116297</v>
      </c>
      <c r="I75" s="17">
        <v>2016</v>
      </c>
    </row>
    <row r="76" ht="15.75" spans="1:9">
      <c r="A76" s="16" t="s">
        <v>5</v>
      </c>
      <c r="B76" s="16" t="s">
        <v>58</v>
      </c>
      <c r="C76" s="17" t="s">
        <v>59</v>
      </c>
      <c r="D76" s="18" t="s">
        <v>60</v>
      </c>
      <c r="E76" s="19" t="s">
        <v>61</v>
      </c>
      <c r="F76" t="str">
        <f>'Source Table'!$B$8</f>
        <v>Bacteriology</v>
      </c>
      <c r="G76" t="str">
        <f>'Source Table'!$D$8</f>
        <v>بكتريولوجي</v>
      </c>
      <c r="H76" s="17">
        <v>182131</v>
      </c>
      <c r="I76" s="17">
        <v>2015</v>
      </c>
    </row>
    <row r="77" ht="15.75" spans="1:9">
      <c r="A77" s="16" t="s">
        <v>5</v>
      </c>
      <c r="B77" s="16" t="s">
        <v>58</v>
      </c>
      <c r="C77" s="17" t="s">
        <v>59</v>
      </c>
      <c r="D77" s="18" t="s">
        <v>60</v>
      </c>
      <c r="E77" s="19" t="s">
        <v>61</v>
      </c>
      <c r="F77" t="str">
        <f>'Source Table'!$B$9</f>
        <v>Urine</v>
      </c>
      <c r="G77" t="str">
        <f>'Source Table'!$D$9</f>
        <v>الإدرار</v>
      </c>
      <c r="H77" s="17">
        <v>959400</v>
      </c>
      <c r="I77" s="17">
        <v>2015</v>
      </c>
    </row>
    <row r="78" ht="15.75" spans="1:9">
      <c r="A78" s="16" t="s">
        <v>5</v>
      </c>
      <c r="B78" s="16" t="s">
        <v>58</v>
      </c>
      <c r="C78" s="17" t="s">
        <v>59</v>
      </c>
      <c r="D78" s="18" t="s">
        <v>60</v>
      </c>
      <c r="E78" s="19" t="s">
        <v>61</v>
      </c>
      <c r="F78" t="str">
        <f>'Source Table'!$B$10</f>
        <v>Stool</v>
      </c>
      <c r="G78" t="str">
        <f>'Source Table'!$D$10</f>
        <v>غائط</v>
      </c>
      <c r="H78" s="17">
        <v>155423</v>
      </c>
      <c r="I78" s="17">
        <v>2015</v>
      </c>
    </row>
    <row r="79" ht="15.75" spans="1:9">
      <c r="A79" s="16" t="s">
        <v>5</v>
      </c>
      <c r="B79" s="16" t="s">
        <v>58</v>
      </c>
      <c r="C79" s="17" t="s">
        <v>59</v>
      </c>
      <c r="D79" s="18" t="s">
        <v>60</v>
      </c>
      <c r="E79" s="19" t="s">
        <v>61</v>
      </c>
      <c r="F79" t="str">
        <f>'Source Table'!$B$11</f>
        <v>T.B.</v>
      </c>
      <c r="G79" t="str">
        <f>'Source Table'!$D$11</f>
        <v>السل</v>
      </c>
      <c r="H79" s="17">
        <v>1797</v>
      </c>
      <c r="I79" s="17">
        <v>2015</v>
      </c>
    </row>
    <row r="80" ht="15.75" spans="1:9">
      <c r="A80" s="16" t="s">
        <v>5</v>
      </c>
      <c r="B80" s="16" t="s">
        <v>58</v>
      </c>
      <c r="C80" s="17" t="s">
        <v>59</v>
      </c>
      <c r="D80" s="18" t="s">
        <v>60</v>
      </c>
      <c r="E80" s="19" t="s">
        <v>61</v>
      </c>
      <c r="F80" t="str">
        <f>'Source Table'!$B$12</f>
        <v>Blood Test</v>
      </c>
      <c r="G80" t="str">
        <f>'Source Table'!$D$12</f>
        <v>فحص الدم</v>
      </c>
      <c r="H80" s="17">
        <v>11452708</v>
      </c>
      <c r="I80" s="17">
        <v>2015</v>
      </c>
    </row>
    <row r="81" ht="15.75" spans="1:9">
      <c r="A81" s="16" t="s">
        <v>5</v>
      </c>
      <c r="B81" s="16" t="s">
        <v>58</v>
      </c>
      <c r="C81" s="17" t="s">
        <v>59</v>
      </c>
      <c r="D81" s="18" t="s">
        <v>60</v>
      </c>
      <c r="E81" s="19" t="s">
        <v>61</v>
      </c>
      <c r="F81" t="str">
        <f>'Source Table'!$B$13</f>
        <v>Serology</v>
      </c>
      <c r="G81" t="str">
        <f>'Source Table'!$D$13</f>
        <v>تفاعلات مصلية</v>
      </c>
      <c r="H81" s="17">
        <v>908025</v>
      </c>
      <c r="I81" s="17">
        <v>2015</v>
      </c>
    </row>
    <row r="82" ht="15.75" spans="1:9">
      <c r="A82" s="16" t="s">
        <v>5</v>
      </c>
      <c r="B82" s="16" t="s">
        <v>58</v>
      </c>
      <c r="C82" s="17" t="s">
        <v>59</v>
      </c>
      <c r="D82" s="18" t="s">
        <v>60</v>
      </c>
      <c r="E82" s="19" t="s">
        <v>61</v>
      </c>
      <c r="F82" t="str">
        <f>'Source Table'!$B$14</f>
        <v>Bio - chemistry</v>
      </c>
      <c r="G82" t="str">
        <f>'Source Table'!$D$14</f>
        <v>كيمياء حيوية</v>
      </c>
      <c r="H82" s="17">
        <v>10524255</v>
      </c>
      <c r="I82" s="17">
        <v>2015</v>
      </c>
    </row>
    <row r="83" ht="15.75" spans="1:9">
      <c r="A83" s="16" t="s">
        <v>5</v>
      </c>
      <c r="B83" s="16" t="s">
        <v>58</v>
      </c>
      <c r="C83" s="17" t="s">
        <v>59</v>
      </c>
      <c r="D83" s="18" t="s">
        <v>60</v>
      </c>
      <c r="E83" s="19" t="s">
        <v>61</v>
      </c>
      <c r="F83" t="str">
        <f>'Source Table'!$B$15</f>
        <v>Special Chemical</v>
      </c>
      <c r="G83" t="str">
        <f>'Source Table'!$D$15</f>
        <v>كيمياء خاصة</v>
      </c>
      <c r="H83" s="17">
        <v>50031</v>
      </c>
      <c r="I83" s="17">
        <v>2015</v>
      </c>
    </row>
    <row r="84" ht="15.75" spans="1:9">
      <c r="A84" s="16" t="s">
        <v>5</v>
      </c>
      <c r="B84" s="16" t="s">
        <v>58</v>
      </c>
      <c r="C84" s="17" t="s">
        <v>59</v>
      </c>
      <c r="D84" s="18" t="s">
        <v>60</v>
      </c>
      <c r="E84" s="19" t="s">
        <v>61</v>
      </c>
      <c r="F84" t="str">
        <f>'Source Table'!$B$16</f>
        <v>Other Tests</v>
      </c>
      <c r="G84" t="str">
        <f>'Source Table'!$D$16</f>
        <v>فحوصات أخرى</v>
      </c>
      <c r="H84" s="17">
        <v>88946</v>
      </c>
      <c r="I84" s="17">
        <v>2015</v>
      </c>
    </row>
    <row r="85" ht="15.75" spans="1:9">
      <c r="A85" s="16" t="s">
        <v>5</v>
      </c>
      <c r="B85" s="16" t="s">
        <v>58</v>
      </c>
      <c r="C85" s="17" t="s">
        <v>59</v>
      </c>
      <c r="D85" s="18" t="s">
        <v>60</v>
      </c>
      <c r="E85" s="19" t="s">
        <v>61</v>
      </c>
      <c r="F85" t="str">
        <f>'Source Table'!$B$8</f>
        <v>Bacteriology</v>
      </c>
      <c r="G85" t="str">
        <f>'Source Table'!$D$8</f>
        <v>بكتريولوجي</v>
      </c>
      <c r="H85" s="17">
        <v>197594</v>
      </c>
      <c r="I85" s="17">
        <v>2014</v>
      </c>
    </row>
    <row r="86" ht="15.75" spans="1:9">
      <c r="A86" s="16" t="s">
        <v>5</v>
      </c>
      <c r="B86" s="16" t="s">
        <v>58</v>
      </c>
      <c r="C86" s="17" t="s">
        <v>59</v>
      </c>
      <c r="D86" s="18" t="s">
        <v>60</v>
      </c>
      <c r="E86" s="19" t="s">
        <v>61</v>
      </c>
      <c r="F86" t="str">
        <f>'Source Table'!$B$9</f>
        <v>Urine</v>
      </c>
      <c r="G86" t="str">
        <f>'Source Table'!$D$9</f>
        <v>الإدرار</v>
      </c>
      <c r="H86" s="17">
        <v>1100816</v>
      </c>
      <c r="I86" s="17">
        <v>2014</v>
      </c>
    </row>
    <row r="87" ht="15.75" spans="1:9">
      <c r="A87" s="16" t="s">
        <v>5</v>
      </c>
      <c r="B87" s="16" t="s">
        <v>58</v>
      </c>
      <c r="C87" s="17" t="s">
        <v>59</v>
      </c>
      <c r="D87" s="18" t="s">
        <v>60</v>
      </c>
      <c r="E87" s="19" t="s">
        <v>61</v>
      </c>
      <c r="F87" t="str">
        <f>'Source Table'!$B$10</f>
        <v>Stool</v>
      </c>
      <c r="G87" t="str">
        <f>'Source Table'!$D$10</f>
        <v>غائط</v>
      </c>
      <c r="H87" s="17">
        <v>163929</v>
      </c>
      <c r="I87" s="17">
        <v>2014</v>
      </c>
    </row>
    <row r="88" ht="15.75" spans="1:9">
      <c r="A88" s="16" t="s">
        <v>5</v>
      </c>
      <c r="B88" s="16" t="s">
        <v>58</v>
      </c>
      <c r="C88" s="17" t="s">
        <v>59</v>
      </c>
      <c r="D88" s="18" t="s">
        <v>60</v>
      </c>
      <c r="E88" s="19" t="s">
        <v>61</v>
      </c>
      <c r="F88" t="str">
        <f>'Source Table'!$B$11</f>
        <v>T.B.</v>
      </c>
      <c r="G88" t="str">
        <f>'Source Table'!$D$11</f>
        <v>السل</v>
      </c>
      <c r="H88" s="17">
        <v>2319</v>
      </c>
      <c r="I88" s="17">
        <v>2014</v>
      </c>
    </row>
    <row r="89" ht="15.75" spans="1:9">
      <c r="A89" s="16" t="s">
        <v>5</v>
      </c>
      <c r="B89" s="16" t="s">
        <v>58</v>
      </c>
      <c r="C89" s="17" t="s">
        <v>59</v>
      </c>
      <c r="D89" s="18" t="s">
        <v>60</v>
      </c>
      <c r="E89" s="19" t="s">
        <v>61</v>
      </c>
      <c r="F89" t="str">
        <f>'Source Table'!$B$12</f>
        <v>Blood Test</v>
      </c>
      <c r="G89" t="str">
        <f>'Source Table'!$D$12</f>
        <v>فحص الدم</v>
      </c>
      <c r="H89" s="17">
        <v>13363867</v>
      </c>
      <c r="I89" s="17">
        <v>2014</v>
      </c>
    </row>
    <row r="90" ht="15.75" spans="1:9">
      <c r="A90" s="16" t="s">
        <v>5</v>
      </c>
      <c r="B90" s="16" t="s">
        <v>58</v>
      </c>
      <c r="C90" s="17" t="s">
        <v>59</v>
      </c>
      <c r="D90" s="18" t="s">
        <v>60</v>
      </c>
      <c r="E90" s="19" t="s">
        <v>61</v>
      </c>
      <c r="F90" t="str">
        <f>'Source Table'!$B$13</f>
        <v>Serology</v>
      </c>
      <c r="G90" t="str">
        <f>'Source Table'!$D$13</f>
        <v>تفاعلات مصلية</v>
      </c>
      <c r="H90" s="17">
        <v>827371</v>
      </c>
      <c r="I90" s="17">
        <v>2014</v>
      </c>
    </row>
    <row r="91" ht="15.75" spans="1:9">
      <c r="A91" s="16" t="s">
        <v>5</v>
      </c>
      <c r="B91" s="16" t="s">
        <v>58</v>
      </c>
      <c r="C91" s="17" t="s">
        <v>59</v>
      </c>
      <c r="D91" s="18" t="s">
        <v>60</v>
      </c>
      <c r="E91" s="19" t="s">
        <v>61</v>
      </c>
      <c r="F91" t="str">
        <f>'Source Table'!$B$14</f>
        <v>Bio - chemistry</v>
      </c>
      <c r="G91" t="str">
        <f>'Source Table'!$D$14</f>
        <v>كيمياء حيوية</v>
      </c>
      <c r="H91" s="17">
        <v>12682689</v>
      </c>
      <c r="I91" s="17">
        <v>2014</v>
      </c>
    </row>
    <row r="92" ht="15.75" spans="1:9">
      <c r="A92" s="16" t="s">
        <v>5</v>
      </c>
      <c r="B92" s="16" t="s">
        <v>58</v>
      </c>
      <c r="C92" s="17" t="s">
        <v>59</v>
      </c>
      <c r="D92" s="18" t="s">
        <v>60</v>
      </c>
      <c r="E92" s="19" t="s">
        <v>61</v>
      </c>
      <c r="F92" t="str">
        <f>'Source Table'!$B$15</f>
        <v>Special Chemical</v>
      </c>
      <c r="G92" t="str">
        <f>'Source Table'!$D$15</f>
        <v>كيمياء خاصة</v>
      </c>
      <c r="H92" s="17">
        <v>59632</v>
      </c>
      <c r="I92" s="17">
        <v>2014</v>
      </c>
    </row>
    <row r="93" ht="15.75" spans="1:9">
      <c r="A93" s="16" t="s">
        <v>5</v>
      </c>
      <c r="B93" s="16" t="s">
        <v>58</v>
      </c>
      <c r="C93" s="17" t="s">
        <v>59</v>
      </c>
      <c r="D93" s="18" t="s">
        <v>60</v>
      </c>
      <c r="E93" s="19" t="s">
        <v>61</v>
      </c>
      <c r="F93" t="str">
        <f>'Source Table'!$B$16</f>
        <v>Other Tests</v>
      </c>
      <c r="G93" t="str">
        <f>'Source Table'!$D$16</f>
        <v>فحوصات أخرى</v>
      </c>
      <c r="H93" s="17">
        <v>86114</v>
      </c>
      <c r="I93" s="17">
        <v>2014</v>
      </c>
    </row>
    <row r="94" ht="15.75" spans="1:9">
      <c r="A94" s="16" t="s">
        <v>5</v>
      </c>
      <c r="B94" s="16" t="s">
        <v>58</v>
      </c>
      <c r="C94" s="17" t="s">
        <v>59</v>
      </c>
      <c r="D94" s="18" t="s">
        <v>60</v>
      </c>
      <c r="E94" s="19" t="s">
        <v>61</v>
      </c>
      <c r="F94" t="str">
        <f>'Source Table'!$B$8</f>
        <v>Bacteriology</v>
      </c>
      <c r="G94" t="str">
        <f>'Source Table'!$D$8</f>
        <v>بكتريولوجي</v>
      </c>
      <c r="H94" s="17">
        <v>196904</v>
      </c>
      <c r="I94" s="17">
        <v>2013</v>
      </c>
    </row>
    <row r="95" ht="15.75" spans="1:9">
      <c r="A95" s="16" t="s">
        <v>5</v>
      </c>
      <c r="B95" s="16" t="s">
        <v>58</v>
      </c>
      <c r="C95" s="17" t="s">
        <v>59</v>
      </c>
      <c r="D95" s="18" t="s">
        <v>60</v>
      </c>
      <c r="E95" s="19" t="s">
        <v>61</v>
      </c>
      <c r="F95" t="str">
        <f>'Source Table'!$B$9</f>
        <v>Urine</v>
      </c>
      <c r="G95" t="str">
        <f>'Source Table'!$D$9</f>
        <v>الإدرار</v>
      </c>
      <c r="H95" s="17">
        <v>1097610</v>
      </c>
      <c r="I95" s="17">
        <v>2013</v>
      </c>
    </row>
    <row r="96" ht="15.75" spans="1:9">
      <c r="A96" s="16" t="s">
        <v>5</v>
      </c>
      <c r="B96" s="16" t="s">
        <v>58</v>
      </c>
      <c r="C96" s="17" t="s">
        <v>59</v>
      </c>
      <c r="D96" s="18" t="s">
        <v>60</v>
      </c>
      <c r="E96" s="19" t="s">
        <v>61</v>
      </c>
      <c r="F96" t="str">
        <f>'Source Table'!$B$10</f>
        <v>Stool</v>
      </c>
      <c r="G96" t="str">
        <f>'Source Table'!$D$10</f>
        <v>غائط</v>
      </c>
      <c r="H96" s="17">
        <v>161477</v>
      </c>
      <c r="I96" s="17">
        <v>2013</v>
      </c>
    </row>
    <row r="97" ht="15.75" spans="1:9">
      <c r="A97" s="16" t="s">
        <v>5</v>
      </c>
      <c r="B97" s="16" t="s">
        <v>58</v>
      </c>
      <c r="C97" s="17" t="s">
        <v>59</v>
      </c>
      <c r="D97" s="18" t="s">
        <v>60</v>
      </c>
      <c r="E97" s="19" t="s">
        <v>61</v>
      </c>
      <c r="F97" t="str">
        <f>'Source Table'!$B$11</f>
        <v>T.B.</v>
      </c>
      <c r="G97" t="str">
        <f>'Source Table'!$D$11</f>
        <v>السل</v>
      </c>
      <c r="H97" s="17">
        <v>2006</v>
      </c>
      <c r="I97" s="17">
        <v>2013</v>
      </c>
    </row>
    <row r="98" ht="15.75" spans="1:9">
      <c r="A98" s="16" t="s">
        <v>5</v>
      </c>
      <c r="B98" s="16" t="s">
        <v>58</v>
      </c>
      <c r="C98" s="17" t="s">
        <v>59</v>
      </c>
      <c r="D98" s="18" t="s">
        <v>60</v>
      </c>
      <c r="E98" s="19" t="s">
        <v>61</v>
      </c>
      <c r="F98" t="str">
        <f>'Source Table'!$B$12</f>
        <v>Blood Test</v>
      </c>
      <c r="G98" t="str">
        <f>'Source Table'!$D$12</f>
        <v>فحص الدم</v>
      </c>
      <c r="H98" s="17">
        <v>12763182</v>
      </c>
      <c r="I98" s="17">
        <v>2013</v>
      </c>
    </row>
    <row r="99" ht="15.75" spans="1:9">
      <c r="A99" s="16" t="s">
        <v>5</v>
      </c>
      <c r="B99" s="16" t="s">
        <v>58</v>
      </c>
      <c r="C99" s="17" t="s">
        <v>59</v>
      </c>
      <c r="D99" s="18" t="s">
        <v>60</v>
      </c>
      <c r="E99" s="19" t="s">
        <v>61</v>
      </c>
      <c r="F99" t="str">
        <f>'Source Table'!$B$13</f>
        <v>Serology</v>
      </c>
      <c r="G99" t="str">
        <f>'Source Table'!$D$13</f>
        <v>تفاعلات مصلية</v>
      </c>
      <c r="H99" s="17">
        <v>787802</v>
      </c>
      <c r="I99" s="17">
        <v>2013</v>
      </c>
    </row>
    <row r="100" ht="15.75" spans="1:9">
      <c r="A100" s="16" t="s">
        <v>5</v>
      </c>
      <c r="B100" s="16" t="s">
        <v>58</v>
      </c>
      <c r="C100" s="17" t="s">
        <v>59</v>
      </c>
      <c r="D100" s="18" t="s">
        <v>60</v>
      </c>
      <c r="E100" s="19" t="s">
        <v>61</v>
      </c>
      <c r="F100" t="str">
        <f>'Source Table'!$B$14</f>
        <v>Bio - chemistry</v>
      </c>
      <c r="G100" t="str">
        <f>'Source Table'!$D$14</f>
        <v>كيمياء حيوية</v>
      </c>
      <c r="H100" s="17">
        <v>12082171</v>
      </c>
      <c r="I100" s="17">
        <v>2013</v>
      </c>
    </row>
    <row r="101" ht="15.75" spans="1:9">
      <c r="A101" s="16" t="s">
        <v>5</v>
      </c>
      <c r="B101" s="16" t="s">
        <v>58</v>
      </c>
      <c r="C101" s="17" t="s">
        <v>59</v>
      </c>
      <c r="D101" s="18" t="s">
        <v>60</v>
      </c>
      <c r="E101" s="19" t="s">
        <v>61</v>
      </c>
      <c r="F101" t="str">
        <f>'Source Table'!$B$15</f>
        <v>Special Chemical</v>
      </c>
      <c r="G101" t="str">
        <f>'Source Table'!$D$15</f>
        <v>كيمياء خاصة</v>
      </c>
      <c r="H101" s="17">
        <v>38266</v>
      </c>
      <c r="I101" s="17">
        <v>2013</v>
      </c>
    </row>
    <row r="102" ht="15.75" spans="1:9">
      <c r="A102" s="16" t="s">
        <v>5</v>
      </c>
      <c r="B102" s="16" t="s">
        <v>58</v>
      </c>
      <c r="C102" s="17" t="s">
        <v>59</v>
      </c>
      <c r="D102" s="18" t="s">
        <v>60</v>
      </c>
      <c r="E102" s="19" t="s">
        <v>61</v>
      </c>
      <c r="F102" t="str">
        <f>'Source Table'!$B$16</f>
        <v>Other Tests</v>
      </c>
      <c r="G102" t="str">
        <f>'Source Table'!$D$16</f>
        <v>فحوصات أخرى</v>
      </c>
      <c r="H102" s="17">
        <v>61483</v>
      </c>
      <c r="I102" s="17">
        <v>2013</v>
      </c>
    </row>
    <row r="103" ht="15.75" spans="1:9">
      <c r="A103" s="16" t="s">
        <v>5</v>
      </c>
      <c r="B103" s="16" t="s">
        <v>58</v>
      </c>
      <c r="C103" s="17" t="s">
        <v>59</v>
      </c>
      <c r="D103" s="18" t="s">
        <v>60</v>
      </c>
      <c r="E103" s="19" t="s">
        <v>61</v>
      </c>
      <c r="F103" t="str">
        <f>'Source Table'!$B$8</f>
        <v>Bacteriology</v>
      </c>
      <c r="G103" t="str">
        <f>'Source Table'!$D$8</f>
        <v>بكتريولوجي</v>
      </c>
      <c r="H103" s="17">
        <v>204467</v>
      </c>
      <c r="I103" s="17">
        <v>2012</v>
      </c>
    </row>
    <row r="104" ht="15.75" spans="1:9">
      <c r="A104" s="16" t="s">
        <v>5</v>
      </c>
      <c r="B104" s="16" t="s">
        <v>58</v>
      </c>
      <c r="C104" s="17" t="s">
        <v>59</v>
      </c>
      <c r="D104" s="18" t="s">
        <v>60</v>
      </c>
      <c r="E104" s="19" t="s">
        <v>61</v>
      </c>
      <c r="F104" t="str">
        <f>'Source Table'!$B$9</f>
        <v>Urine</v>
      </c>
      <c r="G104" t="str">
        <f>'Source Table'!$D$9</f>
        <v>الإدرار</v>
      </c>
      <c r="H104" s="17">
        <v>1014083</v>
      </c>
      <c r="I104" s="17">
        <v>2012</v>
      </c>
    </row>
    <row r="105" ht="15.75" spans="1:9">
      <c r="A105" s="16" t="s">
        <v>5</v>
      </c>
      <c r="B105" s="16" t="s">
        <v>58</v>
      </c>
      <c r="C105" s="17" t="s">
        <v>59</v>
      </c>
      <c r="D105" s="18" t="s">
        <v>60</v>
      </c>
      <c r="E105" s="19" t="s">
        <v>61</v>
      </c>
      <c r="F105" t="str">
        <f>'Source Table'!$B$10</f>
        <v>Stool</v>
      </c>
      <c r="G105" t="str">
        <f>'Source Table'!$D$10</f>
        <v>غائط</v>
      </c>
      <c r="H105" s="17">
        <v>164750</v>
      </c>
      <c r="I105" s="17">
        <v>2012</v>
      </c>
    </row>
    <row r="106" ht="15.75" spans="1:9">
      <c r="A106" s="16" t="s">
        <v>5</v>
      </c>
      <c r="B106" s="16" t="s">
        <v>58</v>
      </c>
      <c r="C106" s="17" t="s">
        <v>59</v>
      </c>
      <c r="D106" s="18" t="s">
        <v>60</v>
      </c>
      <c r="E106" s="19" t="s">
        <v>61</v>
      </c>
      <c r="F106" t="str">
        <f>'Source Table'!$B$11</f>
        <v>T.B.</v>
      </c>
      <c r="G106" t="str">
        <f>'Source Table'!$D$11</f>
        <v>السل</v>
      </c>
      <c r="H106" s="17">
        <v>2399</v>
      </c>
      <c r="I106" s="17">
        <v>2012</v>
      </c>
    </row>
    <row r="107" ht="15.75" spans="1:9">
      <c r="A107" s="16" t="s">
        <v>5</v>
      </c>
      <c r="B107" s="16" t="s">
        <v>58</v>
      </c>
      <c r="C107" s="17" t="s">
        <v>59</v>
      </c>
      <c r="D107" s="18" t="s">
        <v>60</v>
      </c>
      <c r="E107" s="19" t="s">
        <v>61</v>
      </c>
      <c r="F107" t="str">
        <f>'Source Table'!$B$12</f>
        <v>Blood Test</v>
      </c>
      <c r="G107" t="str">
        <f>'Source Table'!$D$12</f>
        <v>فحص الدم</v>
      </c>
      <c r="H107" s="17">
        <v>12314422</v>
      </c>
      <c r="I107" s="17">
        <v>2012</v>
      </c>
    </row>
    <row r="108" ht="15.75" spans="1:9">
      <c r="A108" s="16" t="s">
        <v>5</v>
      </c>
      <c r="B108" s="16" t="s">
        <v>58</v>
      </c>
      <c r="C108" s="17" t="s">
        <v>59</v>
      </c>
      <c r="D108" s="18" t="s">
        <v>60</v>
      </c>
      <c r="E108" s="19" t="s">
        <v>61</v>
      </c>
      <c r="F108" t="str">
        <f>'Source Table'!$B$13</f>
        <v>Serology</v>
      </c>
      <c r="G108" t="str">
        <f>'Source Table'!$D$13</f>
        <v>تفاعلات مصلية</v>
      </c>
      <c r="H108" s="17">
        <v>783286</v>
      </c>
      <c r="I108" s="17">
        <v>2012</v>
      </c>
    </row>
    <row r="109" ht="15.75" spans="1:9">
      <c r="A109" s="16" t="s">
        <v>5</v>
      </c>
      <c r="B109" s="16" t="s">
        <v>58</v>
      </c>
      <c r="C109" s="17" t="s">
        <v>59</v>
      </c>
      <c r="D109" s="18" t="s">
        <v>60</v>
      </c>
      <c r="E109" s="19" t="s">
        <v>61</v>
      </c>
      <c r="F109" t="str">
        <f>'Source Table'!$B$14</f>
        <v>Bio - chemistry</v>
      </c>
      <c r="G109" t="str">
        <f>'Source Table'!$D$14</f>
        <v>كيمياء حيوية</v>
      </c>
      <c r="H109" s="17">
        <v>11749239</v>
      </c>
      <c r="I109" s="17">
        <v>2012</v>
      </c>
    </row>
    <row r="110" ht="15.75" spans="1:9">
      <c r="A110" s="16" t="s">
        <v>5</v>
      </c>
      <c r="B110" s="16" t="s">
        <v>58</v>
      </c>
      <c r="C110" s="17" t="s">
        <v>59</v>
      </c>
      <c r="D110" s="18" t="s">
        <v>60</v>
      </c>
      <c r="E110" s="19" t="s">
        <v>61</v>
      </c>
      <c r="F110" t="str">
        <f>'Source Table'!$B$15</f>
        <v>Special Chemical</v>
      </c>
      <c r="G110" t="str">
        <f>'Source Table'!$D$15</f>
        <v>كيمياء خاصة</v>
      </c>
      <c r="H110" s="17">
        <v>51442</v>
      </c>
      <c r="I110" s="17">
        <v>2012</v>
      </c>
    </row>
    <row r="111" ht="15.75" spans="1:9">
      <c r="A111" s="16" t="s">
        <v>5</v>
      </c>
      <c r="B111" s="16" t="s">
        <v>58</v>
      </c>
      <c r="C111" s="17" t="s">
        <v>59</v>
      </c>
      <c r="D111" s="18" t="s">
        <v>60</v>
      </c>
      <c r="E111" s="19" t="s">
        <v>61</v>
      </c>
      <c r="F111" t="str">
        <f>'Source Table'!$B$16</f>
        <v>Other Tests</v>
      </c>
      <c r="G111" t="str">
        <f>'Source Table'!$D$16</f>
        <v>فحوصات أخرى</v>
      </c>
      <c r="H111" s="17">
        <v>74341</v>
      </c>
      <c r="I111" s="17">
        <v>2012</v>
      </c>
    </row>
    <row r="112" ht="15.75" spans="1:9">
      <c r="A112" s="16" t="s">
        <v>5</v>
      </c>
      <c r="B112" s="16" t="s">
        <v>58</v>
      </c>
      <c r="C112" s="17" t="s">
        <v>59</v>
      </c>
      <c r="D112" s="18" t="s">
        <v>60</v>
      </c>
      <c r="E112" s="19" t="s">
        <v>61</v>
      </c>
      <c r="F112" t="str">
        <f>'Source Table'!$B$8</f>
        <v>Bacteriology</v>
      </c>
      <c r="G112" t="str">
        <f>'Source Table'!$D$8</f>
        <v>بكتريولوجي</v>
      </c>
      <c r="H112" s="17">
        <v>187656</v>
      </c>
      <c r="I112" s="17">
        <v>2011</v>
      </c>
    </row>
    <row r="113" ht="15.75" spans="1:9">
      <c r="A113" s="16" t="s">
        <v>5</v>
      </c>
      <c r="B113" s="16" t="s">
        <v>58</v>
      </c>
      <c r="C113" s="17" t="s">
        <v>59</v>
      </c>
      <c r="D113" s="18" t="s">
        <v>60</v>
      </c>
      <c r="E113" s="19" t="s">
        <v>61</v>
      </c>
      <c r="F113" t="str">
        <f>'Source Table'!$B$9</f>
        <v>Urine</v>
      </c>
      <c r="G113" t="str">
        <f>'Source Table'!$D$9</f>
        <v>الإدرار</v>
      </c>
      <c r="H113" s="17">
        <v>999345</v>
      </c>
      <c r="I113" s="17">
        <v>2011</v>
      </c>
    </row>
    <row r="114" ht="15.75" spans="1:9">
      <c r="A114" s="16" t="s">
        <v>5</v>
      </c>
      <c r="B114" s="16" t="s">
        <v>58</v>
      </c>
      <c r="C114" s="17" t="s">
        <v>59</v>
      </c>
      <c r="D114" s="18" t="s">
        <v>60</v>
      </c>
      <c r="E114" s="19" t="s">
        <v>61</v>
      </c>
      <c r="F114" t="str">
        <f>'Source Table'!$B$10</f>
        <v>Stool</v>
      </c>
      <c r="G114" t="str">
        <f>'Source Table'!$D$10</f>
        <v>غائط</v>
      </c>
      <c r="H114" s="17">
        <v>159486</v>
      </c>
      <c r="I114" s="17">
        <v>2011</v>
      </c>
    </row>
    <row r="115" ht="15.75" spans="1:9">
      <c r="A115" s="16" t="s">
        <v>5</v>
      </c>
      <c r="B115" s="16" t="s">
        <v>58</v>
      </c>
      <c r="C115" s="17" t="s">
        <v>59</v>
      </c>
      <c r="D115" s="18" t="s">
        <v>60</v>
      </c>
      <c r="E115" s="19" t="s">
        <v>61</v>
      </c>
      <c r="F115" t="str">
        <f>'Source Table'!$B$11</f>
        <v>T.B.</v>
      </c>
      <c r="G115" t="str">
        <f>'Source Table'!$D$11</f>
        <v>السل</v>
      </c>
      <c r="H115" s="17">
        <v>2419</v>
      </c>
      <c r="I115" s="17">
        <v>2011</v>
      </c>
    </row>
    <row r="116" ht="15.75" spans="1:9">
      <c r="A116" s="16" t="s">
        <v>5</v>
      </c>
      <c r="B116" s="16" t="s">
        <v>58</v>
      </c>
      <c r="C116" s="17" t="s">
        <v>59</v>
      </c>
      <c r="D116" s="18" t="s">
        <v>60</v>
      </c>
      <c r="E116" s="19" t="s">
        <v>61</v>
      </c>
      <c r="F116" t="str">
        <f>'Source Table'!$B$12</f>
        <v>Blood Test</v>
      </c>
      <c r="G116" t="str">
        <f>'Source Table'!$D$12</f>
        <v>فحص الدم</v>
      </c>
      <c r="H116" s="17">
        <v>10473141</v>
      </c>
      <c r="I116" s="17">
        <v>2011</v>
      </c>
    </row>
    <row r="117" ht="15.75" spans="1:9">
      <c r="A117" s="16" t="s">
        <v>5</v>
      </c>
      <c r="B117" s="16" t="s">
        <v>58</v>
      </c>
      <c r="C117" s="17" t="s">
        <v>59</v>
      </c>
      <c r="D117" s="18" t="s">
        <v>60</v>
      </c>
      <c r="E117" s="19" t="s">
        <v>61</v>
      </c>
      <c r="F117" t="str">
        <f>'Source Table'!$B$13</f>
        <v>Serology</v>
      </c>
      <c r="G117" t="str">
        <f>'Source Table'!$D$13</f>
        <v>تفاعلات مصلية</v>
      </c>
      <c r="H117" s="17">
        <v>746745</v>
      </c>
      <c r="I117" s="17">
        <v>2011</v>
      </c>
    </row>
    <row r="118" ht="15.75" spans="1:9">
      <c r="A118" s="16" t="s">
        <v>5</v>
      </c>
      <c r="B118" s="16" t="s">
        <v>58</v>
      </c>
      <c r="C118" s="17" t="s">
        <v>59</v>
      </c>
      <c r="D118" s="18" t="s">
        <v>60</v>
      </c>
      <c r="E118" s="19" t="s">
        <v>61</v>
      </c>
      <c r="F118" t="str">
        <f>'Source Table'!$B$14</f>
        <v>Bio - chemistry</v>
      </c>
      <c r="G118" t="str">
        <f>'Source Table'!$D$14</f>
        <v>كيمياء حيوية</v>
      </c>
      <c r="H118" s="17">
        <v>10380905</v>
      </c>
      <c r="I118" s="17">
        <v>2011</v>
      </c>
    </row>
    <row r="119" ht="15.75" spans="1:9">
      <c r="A119" s="16" t="s">
        <v>5</v>
      </c>
      <c r="B119" s="16" t="s">
        <v>58</v>
      </c>
      <c r="C119" s="17" t="s">
        <v>59</v>
      </c>
      <c r="D119" s="18" t="s">
        <v>60</v>
      </c>
      <c r="E119" s="19" t="s">
        <v>61</v>
      </c>
      <c r="F119" t="str">
        <f>'Source Table'!$B$15</f>
        <v>Special Chemical</v>
      </c>
      <c r="G119" t="str">
        <f>'Source Table'!$D$15</f>
        <v>كيمياء خاصة</v>
      </c>
      <c r="H119" s="17">
        <v>27861</v>
      </c>
      <c r="I119" s="17">
        <v>2011</v>
      </c>
    </row>
    <row r="120" ht="15.75" spans="1:9">
      <c r="A120" s="16" t="s">
        <v>5</v>
      </c>
      <c r="B120" s="16" t="s">
        <v>58</v>
      </c>
      <c r="C120" s="17" t="s">
        <v>59</v>
      </c>
      <c r="D120" s="18" t="s">
        <v>60</v>
      </c>
      <c r="E120" s="19" t="s">
        <v>61</v>
      </c>
      <c r="F120" t="str">
        <f>'Source Table'!$B$16</f>
        <v>Other Tests</v>
      </c>
      <c r="G120" t="str">
        <f>'Source Table'!$D$16</f>
        <v>فحوصات أخرى</v>
      </c>
      <c r="H120" s="17">
        <v>60568</v>
      </c>
      <c r="I120" s="17">
        <v>2011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zoomScale="70" zoomScaleNormal="70" workbookViewId="0">
      <selection activeCell="B9" sqref="B9"/>
    </sheetView>
  </sheetViews>
  <sheetFormatPr defaultColWidth="9" defaultRowHeight="14.25" outlineLevelRow="4"/>
  <cols>
    <col min="1" max="14" width="24.5" customWidth="1"/>
    <col min="15" max="16" width="15" customWidth="1"/>
    <col min="17" max="17" width="8.75" customWidth="1"/>
    <col min="18" max="18" width="11.5" customWidth="1"/>
    <col min="19" max="19" width="12" customWidth="1"/>
    <col min="20" max="20" width="9.875" customWidth="1"/>
    <col min="21" max="21" width="7.5" customWidth="1"/>
  </cols>
  <sheetData>
    <row r="1" ht="15" spans="1:2">
      <c r="A1" s="11" t="s">
        <v>62</v>
      </c>
      <c r="B1" s="12">
        <f>DATE(B2,B3,1)</f>
        <v>45292</v>
      </c>
    </row>
    <row r="2" ht="15" spans="1:4">
      <c r="A2" s="11" t="s">
        <v>16</v>
      </c>
      <c r="B2">
        <v>2024</v>
      </c>
      <c r="D2" s="12"/>
    </row>
    <row r="3" ht="15" spans="1:2">
      <c r="A3" s="11" t="s">
        <v>63</v>
      </c>
      <c r="B3">
        <v>1</v>
      </c>
    </row>
    <row r="4" s="10" customFormat="1" ht="18" customHeight="1" spans="1:14">
      <c r="A4" s="13" t="s">
        <v>39</v>
      </c>
      <c r="B4" s="13" t="s">
        <v>40</v>
      </c>
      <c r="C4" s="13" t="s">
        <v>41</v>
      </c>
      <c r="D4" s="13" t="s">
        <v>42</v>
      </c>
      <c r="E4" s="13" t="s">
        <v>43</v>
      </c>
      <c r="F4" s="14" t="s">
        <v>44</v>
      </c>
      <c r="G4" s="14" t="s">
        <v>45</v>
      </c>
      <c r="H4" s="13" t="s">
        <v>46</v>
      </c>
      <c r="I4" s="13" t="s">
        <v>47</v>
      </c>
      <c r="J4" s="13" t="s">
        <v>48</v>
      </c>
      <c r="K4" s="13" t="s">
        <v>47</v>
      </c>
      <c r="L4" s="13" t="s">
        <v>48</v>
      </c>
      <c r="M4" s="13" t="s">
        <v>47</v>
      </c>
      <c r="N4" s="13" t="s">
        <v>48</v>
      </c>
    </row>
    <row r="5" s="10" customFormat="1" ht="18" customHeight="1" spans="1:14">
      <c r="A5" s="13" t="s">
        <v>49</v>
      </c>
      <c r="B5" s="13" t="s">
        <v>50</v>
      </c>
      <c r="C5" s="13" t="s">
        <v>51</v>
      </c>
      <c r="D5" s="13" t="s">
        <v>52</v>
      </c>
      <c r="E5" s="13" t="s">
        <v>53</v>
      </c>
      <c r="F5" s="14" t="s">
        <v>54</v>
      </c>
      <c r="G5" s="14" t="s">
        <v>19</v>
      </c>
      <c r="H5" s="13" t="s">
        <v>55</v>
      </c>
      <c r="I5" s="13" t="s">
        <v>56</v>
      </c>
      <c r="J5" s="13" t="s">
        <v>57</v>
      </c>
      <c r="K5" s="13" t="s">
        <v>56</v>
      </c>
      <c r="L5" s="13" t="s">
        <v>57</v>
      </c>
      <c r="M5" s="13" t="s">
        <v>56</v>
      </c>
      <c r="N5" s="13" t="s">
        <v>57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7" workbookViewId="0">
      <selection activeCell="B9" sqref="B9"/>
    </sheetView>
  </sheetViews>
  <sheetFormatPr defaultColWidth="8.875" defaultRowHeight="14.25" outlineLevelCol="2"/>
  <cols>
    <col min="1" max="1" width="90" style="1" customWidth="1"/>
    <col min="2" max="2" width="2.5" style="2" customWidth="1"/>
    <col min="3" max="3" width="87.375" style="3" customWidth="1"/>
    <col min="4" max="16384" width="8.875" style="4"/>
  </cols>
  <sheetData>
    <row r="2" ht="17.25" spans="1:3">
      <c r="A2" s="5" t="s">
        <v>64</v>
      </c>
      <c r="C2" s="6" t="s">
        <v>65</v>
      </c>
    </row>
    <row r="3" spans="1:1">
      <c r="A3" s="7"/>
    </row>
    <row r="4" ht="28.5" spans="1:3">
      <c r="A4" s="7" t="s">
        <v>66</v>
      </c>
      <c r="C4" s="3" t="s">
        <v>67</v>
      </c>
    </row>
    <row r="6" ht="17.25" spans="1:3">
      <c r="A6" s="5" t="s">
        <v>68</v>
      </c>
      <c r="C6" s="6" t="s">
        <v>69</v>
      </c>
    </row>
    <row r="7" spans="1:1">
      <c r="A7" s="7"/>
    </row>
    <row r="8" ht="30" spans="1:3">
      <c r="A8" s="8" t="s">
        <v>70</v>
      </c>
      <c r="C8" s="3" t="s">
        <v>71</v>
      </c>
    </row>
    <row r="10" ht="17.25" spans="1:3">
      <c r="A10" s="5" t="s">
        <v>72</v>
      </c>
      <c r="C10" s="6" t="s">
        <v>73</v>
      </c>
    </row>
    <row r="11" spans="1:1">
      <c r="A11" s="7"/>
    </row>
    <row r="12" spans="1:3">
      <c r="A12" s="7" t="s">
        <v>74</v>
      </c>
      <c r="C12" s="3" t="s">
        <v>75</v>
      </c>
    </row>
    <row r="13" ht="15" spans="1:3">
      <c r="A13" s="8" t="s">
        <v>76</v>
      </c>
      <c r="C13" s="9" t="s">
        <v>77</v>
      </c>
    </row>
    <row r="14" ht="29.25" spans="1:3">
      <c r="A14" s="8" t="s">
        <v>78</v>
      </c>
      <c r="C14" s="9" t="s">
        <v>79</v>
      </c>
    </row>
    <row r="15" ht="15" spans="1:3">
      <c r="A15" s="8" t="s">
        <v>80</v>
      </c>
      <c r="C15" s="9" t="s">
        <v>81</v>
      </c>
    </row>
    <row r="16" ht="15" spans="1:3">
      <c r="A16" s="8" t="s">
        <v>82</v>
      </c>
      <c r="C16" s="9" t="s">
        <v>83</v>
      </c>
    </row>
    <row r="17" ht="15" spans="1:3">
      <c r="A17" s="8" t="s">
        <v>84</v>
      </c>
      <c r="C17" s="9" t="s">
        <v>85</v>
      </c>
    </row>
    <row r="18" spans="1:3">
      <c r="A18" s="7" t="s">
        <v>86</v>
      </c>
      <c r="C18" s="3" t="s">
        <v>87</v>
      </c>
    </row>
    <row r="19" spans="1:3">
      <c r="A19" s="7" t="s">
        <v>88</v>
      </c>
      <c r="C19" s="3" t="s">
        <v>89</v>
      </c>
    </row>
    <row r="20" ht="29.25" spans="1:3">
      <c r="A20" s="8" t="s">
        <v>90</v>
      </c>
      <c r="C20" s="9" t="s">
        <v>91</v>
      </c>
    </row>
    <row r="22" ht="17.25" spans="1:3">
      <c r="A22" s="5" t="s">
        <v>92</v>
      </c>
      <c r="C22" s="6" t="s">
        <v>93</v>
      </c>
    </row>
    <row r="23" spans="1:1">
      <c r="A23" s="7"/>
    </row>
    <row r="24" ht="29.25" spans="1:3">
      <c r="A24" s="7" t="s">
        <v>94</v>
      </c>
      <c r="C24" s="3" t="s">
        <v>95</v>
      </c>
    </row>
    <row r="25" ht="30" spans="1:3">
      <c r="A25" s="7" t="s">
        <v>96</v>
      </c>
      <c r="C25" s="3" t="s">
        <v>97</v>
      </c>
    </row>
    <row r="27" ht="17.25" spans="1:3">
      <c r="A27" s="5" t="s">
        <v>98</v>
      </c>
      <c r="C27" s="6" t="s">
        <v>99</v>
      </c>
    </row>
    <row r="28" spans="1:1">
      <c r="A28" s="7"/>
    </row>
    <row r="29" ht="15" spans="1:3">
      <c r="A29" s="7" t="s">
        <v>100</v>
      </c>
      <c r="C29" s="3" t="s">
        <v>101</v>
      </c>
    </row>
    <row r="30" spans="1:3">
      <c r="A30" s="7" t="s">
        <v>102</v>
      </c>
      <c r="C30" s="3" t="s">
        <v>103</v>
      </c>
    </row>
    <row r="32" ht="17.25" spans="1:3">
      <c r="A32" s="5" t="s">
        <v>104</v>
      </c>
      <c r="C32" s="6" t="s">
        <v>105</v>
      </c>
    </row>
    <row r="33" spans="1:1">
      <c r="A33" s="7"/>
    </row>
    <row r="34" ht="15" spans="1:3">
      <c r="A34" s="8" t="s">
        <v>106</v>
      </c>
      <c r="C34" s="3" t="s">
        <v>107</v>
      </c>
    </row>
    <row r="36" ht="17.25" spans="1:3">
      <c r="A36" s="5" t="s">
        <v>108</v>
      </c>
      <c r="C36" s="6" t="s">
        <v>109</v>
      </c>
    </row>
    <row r="37" spans="1:1">
      <c r="A37" s="7"/>
    </row>
    <row r="38" spans="1:3">
      <c r="A38" s="7" t="s">
        <v>110</v>
      </c>
      <c r="C38" s="3" t="s">
        <v>111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6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CEFB3727-0098-41DB-9DEB-08A099D40A76}">
  <ds:schemaRefs/>
</ds:datastoreItem>
</file>

<file path=customXml/itemProps3.xml><?xml version="1.0" encoding="utf-8"?>
<ds:datastoreItem xmlns:ds="http://schemas.openxmlformats.org/officeDocument/2006/customXml" ds:itemID="{2B69E51F-8050-470A-8899-CD75CA9C3B53}">
  <ds:schemaRefs/>
</ds:datastoreItem>
</file>

<file path=customXml/itemProps4.xml><?xml version="1.0" encoding="utf-8"?>
<ds:datastoreItem xmlns:ds="http://schemas.openxmlformats.org/officeDocument/2006/customXml" ds:itemID="{376B0781-3F54-40BC-A068-7F5A2310EC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 Page</vt:lpstr>
      <vt:lpstr>Source Table</vt:lpstr>
      <vt:lpstr>Relational DB</vt:lpstr>
      <vt:lpstr>Template Data</vt:lpstr>
      <vt:lpstr>Help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zaid aburashead</cp:lastModifiedBy>
  <dcterms:created xsi:type="dcterms:W3CDTF">2024-08-13T06:49:00Z</dcterms:created>
  <dcterms:modified xsi:type="dcterms:W3CDTF">2025-01-26T11:36:53Z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0x0101000B85009966E43949B185D693F3D86775</vt:lpwstr>
  </property>
  <property fmtid="{D5CDD505-2E9C-101B-9397-08002B2CF9AE}" pid="3" name="MediaServiceImageTags">
    <vt:lpwstr/>
  </property>
  <property fmtid="{D5CDD505-2E9C-101B-9397-08002B2CF9AE}" pid="4" name="ICV">
    <vt:lpwstr>F7A31A8716754454B5889FF50E07C575_13</vt:lpwstr>
  </property>
  <property fmtid="{D5CDD505-2E9C-101B-9397-08002B2CF9AE}" pid="5" name="KSOProductBuildVer">
    <vt:lpwstr>1033-12.2.0.19805</vt:lpwstr>
  </property>
</Properties>
</file>