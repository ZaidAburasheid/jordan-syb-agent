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500"/>
  </bookViews>
  <sheets>
    <sheet name="Cover Page" sheetId="1" r:id="rId1"/>
    <sheet name="Source Table" sheetId="2" r:id="rId2"/>
    <sheet name="Relational DB" sheetId="3" r:id="rId3"/>
    <sheet name="Template Data" sheetId="4" r:id="rId4"/>
    <sheet name="Help" sheetId="6" r:id="rId5"/>
  </sheets>
  <definedNames>
    <definedName name="_Toc175810429" localSheetId="1">'Source Table'!$D$9</definedName>
    <definedName name="_Toc175810434" localSheetId="1">'Source Table'!#REF!</definedName>
    <definedName name="_Toc175810435" localSheetId="1">'Source Table'!$D$10</definedName>
    <definedName name="_Toc175810440" localSheetId="1">'Source Table'!#REF!</definedName>
    <definedName name="_Toc175810441" localSheetId="1">'Source Table'!$D$11</definedName>
    <definedName name="_Toc175810446" localSheetId="1">'Source Table'!#REF!</definedName>
    <definedName name="_Toc175810447" localSheetId="1">'Source Table'!$D$12</definedName>
    <definedName name="_Toc175810452" localSheetId="1">'Source Table'!#REF!</definedName>
    <definedName name="_Toc175810453" localSheetId="1">'Source Table'!$D$13</definedName>
    <definedName name="_Toc175810458" localSheetId="1">'Source Table'!#REF!</definedName>
    <definedName name="_Toc175810459" localSheetId="1">'Source Table'!$D$14</definedName>
    <definedName name="_Toc175810464" localSheetId="1">'Source Table'!#REF!</definedName>
    <definedName name="_Toc175810465" localSheetId="1">'Source Table'!$D$15</definedName>
    <definedName name="_Toc175810470" localSheetId="1">'Source Table'!#REF!</definedName>
    <definedName name="_Toc175810471" localSheetId="1">'Source Table'!$D$16</definedName>
    <definedName name="_Toc175810476" localSheetId="1">'Source Table'!#REF!</definedName>
    <definedName name="_Toc175810484" localSheetId="1">'Source Table'!#REF!</definedName>
    <definedName name="_Toc175810487" localSheetId="1">'Source Table'!$D$20</definedName>
    <definedName name="_Toc175810492" localSheetId="1">'Source Table'!#REF!</definedName>
    <definedName name="_Toc175810493" localSheetId="1">'Source Table'!$D$21</definedName>
    <definedName name="_Toc175810498" localSheetId="1">'Source Table'!#REF!</definedName>
    <definedName name="_Toc175810499" localSheetId="1">'Source Table'!$D$22</definedName>
    <definedName name="_Toc175810504" localSheetId="1">'Source Table'!#REF!</definedName>
    <definedName name="_xlnm.Print_Area" localSheetId="1">'Source Table'!$B$2:$D$22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<sst xmlns="http://schemas.openxmlformats.org/spreadsheetml/2006/main" count="574" uniqueCount="122">
  <si>
    <t>Code</t>
  </si>
  <si>
    <t>SYB_14_6</t>
  </si>
  <si>
    <t>Version</t>
  </si>
  <si>
    <t>V1</t>
  </si>
  <si>
    <t>اسم القالب</t>
  </si>
  <si>
    <t>خدمات الصحة المدرسية</t>
  </si>
  <si>
    <t>Template Name</t>
  </si>
  <si>
    <t>School Health Services</t>
  </si>
  <si>
    <t>دورية البيانات</t>
  </si>
  <si>
    <t>سنوي</t>
  </si>
  <si>
    <t>Data Frequency</t>
  </si>
  <si>
    <t>Yearly</t>
  </si>
  <si>
    <t>الجهة المصدرية</t>
  </si>
  <si>
    <t>وزارة الصحة</t>
  </si>
  <si>
    <t>Data Source</t>
  </si>
  <si>
    <t>Ministry of Health</t>
  </si>
  <si>
    <t>Year</t>
  </si>
  <si>
    <t>السنة</t>
  </si>
  <si>
    <t xml:space="preserve">Particulars </t>
  </si>
  <si>
    <t>التفاصيل</t>
  </si>
  <si>
    <t>Comprehensive Periodical
 Medical Examination</t>
  </si>
  <si>
    <t>الكشف الطبي الدوري الشامل</t>
  </si>
  <si>
    <t xml:space="preserve">No. of  Tested Students   </t>
  </si>
  <si>
    <t>عدد الطلبة المفحوصين</t>
  </si>
  <si>
    <t>No. of  Tested Schools</t>
  </si>
  <si>
    <t>عدد المدارس التي فحص طلابها</t>
  </si>
  <si>
    <t>No. of  Discovered Diseases</t>
  </si>
  <si>
    <t>عدد الحالات المرضية المكتشفة</t>
  </si>
  <si>
    <t>Internal</t>
  </si>
  <si>
    <t>باطنية</t>
  </si>
  <si>
    <t>Ophthal</t>
  </si>
  <si>
    <t>عيون</t>
  </si>
  <si>
    <t>Ear, Nose and Throat</t>
  </si>
  <si>
    <t>أذن وأنف وحنجرة</t>
  </si>
  <si>
    <t>Dermatology</t>
  </si>
  <si>
    <t>جلدية</t>
  </si>
  <si>
    <t>Spinal Column</t>
  </si>
  <si>
    <t>العمود الفقري</t>
  </si>
  <si>
    <t>Teeth Treatment</t>
  </si>
  <si>
    <t>معالجات الأسنان</t>
  </si>
  <si>
    <t>Dental Protections</t>
  </si>
  <si>
    <t>وقاية الأسنان بالفلورايد</t>
  </si>
  <si>
    <t>Health Awareness</t>
  </si>
  <si>
    <t>التوعية الصحية</t>
  </si>
  <si>
    <t>No. of  Lectures</t>
  </si>
  <si>
    <t>عدد المحاضرات</t>
  </si>
  <si>
    <t>No. of  Films</t>
  </si>
  <si>
    <t>عدد الأفلام</t>
  </si>
  <si>
    <t>No. of  Pamphlets and Posters</t>
  </si>
  <si>
    <t>عدد النشرات والملصقات</t>
  </si>
  <si>
    <t>Relational Sheet</t>
  </si>
  <si>
    <t>Measure_Name_Ar</t>
  </si>
  <si>
    <t>Measure_Name_En</t>
  </si>
  <si>
    <t>Measure_ID</t>
  </si>
  <si>
    <t>Unit_EN</t>
  </si>
  <si>
    <t>Unit_AR</t>
  </si>
  <si>
    <t>CL_SCHOOL_HEALTH_SERVICES_EN_V1</t>
  </si>
  <si>
    <t>CL_SCHOOL_HEALTH_SERVICES_AR_V1</t>
  </si>
  <si>
    <t>Obs_Value</t>
  </si>
  <si>
    <t>Time_Period_Y</t>
  </si>
  <si>
    <t>Time_Period_M</t>
  </si>
  <si>
    <t xml:space="preserve">اسم المؤشر </t>
  </si>
  <si>
    <t xml:space="preserve">Measure Name </t>
  </si>
  <si>
    <t>رمز المؤشر</t>
  </si>
  <si>
    <t>Unit</t>
  </si>
  <si>
    <t xml:space="preserve">الوحدة </t>
  </si>
  <si>
    <t>قيمة المؤشر</t>
  </si>
  <si>
    <t>سنة فترة القياس</t>
  </si>
  <si>
    <t>شهر فترة القياس</t>
  </si>
  <si>
    <t>M1</t>
  </si>
  <si>
    <t>Number</t>
  </si>
  <si>
    <t>عدد</t>
  </si>
  <si>
    <t>Date</t>
  </si>
  <si>
    <t>Month</t>
  </si>
  <si>
    <t>Step 1: Cover Page</t>
  </si>
  <si>
    <t>الخطوة 1: Cover Page</t>
  </si>
  <si>
    <t>Update the template information, to ensure that any meta-information about the template, such as the title, version, and description, is accurate and up-to-date.</t>
  </si>
  <si>
    <t>قم بتحديث معلومات القالب للتأكد من أن أي معلومات وصفية حول القالب، مثل العنوان والإصدار والوصف، دقيقة ومحدثة.</t>
  </si>
  <si>
    <t>Step 2: Source Table</t>
  </si>
  <si>
    <t>الخطوة 2: Source Table</t>
  </si>
  <si>
    <r>
      <rPr>
        <sz val="11"/>
        <color theme="1"/>
        <rFont val="Aptos Narrow"/>
        <charset val="134"/>
        <scheme val="minor"/>
      </rPr>
      <t xml:space="preserve">Design your template, ensuring that the time period is mapped correctly to the date information in rows 1-3 of the </t>
    </r>
    <r>
      <rPr>
        <b/>
        <sz val="11"/>
        <color theme="1"/>
        <rFont val="Aptos Narrow"/>
        <charset val="134"/>
        <scheme val="minor"/>
      </rPr>
      <t>Template Data Sheet</t>
    </r>
    <r>
      <rPr>
        <sz val="11"/>
        <color theme="1"/>
        <rFont val="Aptos Narrow"/>
        <charset val="134"/>
        <scheme val="minor"/>
      </rPr>
      <t>.</t>
    </r>
  </si>
  <si>
    <r>
      <rPr>
        <sz val="11"/>
        <color theme="1"/>
        <rFont val="Aptos Narrow"/>
        <charset val="134"/>
        <scheme val="minor"/>
      </rPr>
      <t>قم بتصميم القالب الخاص بك، مع التأكد من أن فترة الوقت مرتبطة بشكل صحيح مع معلومات التاريخ في الصفوف 1-3 في ورقة</t>
    </r>
    <r>
      <rPr>
        <b/>
        <sz val="11"/>
        <color theme="1"/>
        <rFont val="Aptos Narrow"/>
        <charset val="134"/>
        <scheme val="minor"/>
      </rPr>
      <t xml:space="preserve"> Template Data</t>
    </r>
    <r>
      <rPr>
        <sz val="11"/>
        <color theme="1"/>
        <rFont val="Aptos Narrow"/>
        <charset val="134"/>
        <scheme val="minor"/>
      </rPr>
      <t>.</t>
    </r>
  </si>
  <si>
    <t>Step 3: Relational Sheet</t>
  </si>
  <si>
    <t>الخطوة 3: Relational Sheet</t>
  </si>
  <si>
    <t>Unpivot the data in the source table into a flat format. Follow these guidelines:</t>
  </si>
  <si>
    <t>قم بتحويل البيانات في جدول المصدر إلى تنسيق مسطح. اتبع هذه الإرشادات:</t>
  </si>
  <si>
    <r>
      <rPr>
        <b/>
        <sz val="11"/>
        <color theme="1"/>
        <rFont val="Aptos Narrow"/>
        <charset val="134"/>
        <scheme val="minor"/>
      </rPr>
      <t>1. Blue Columns</t>
    </r>
    <r>
      <rPr>
        <sz val="11"/>
        <color theme="1"/>
        <rFont val="Aptos Narrow"/>
        <charset val="134"/>
        <scheme val="minor"/>
      </rPr>
      <t>: Do not change the names of the blue columns. Update the data as per the current template.</t>
    </r>
  </si>
  <si>
    <r>
      <rPr>
        <b/>
        <sz val="11"/>
        <color theme="1"/>
        <rFont val="Aptos Narrow"/>
        <charset val="134"/>
        <scheme val="minor"/>
      </rPr>
      <t>1. الأعمدة الزرقاء</t>
    </r>
    <r>
      <rPr>
        <sz val="11"/>
        <color theme="1"/>
        <rFont val="Aptos Narrow"/>
        <charset val="134"/>
        <scheme val="minor"/>
      </rPr>
      <t>: لا تقم بتغيير أسماء الأعمدة الزرقاء. قم بتحديث البيانات وفقًا للقالب الحالي.</t>
    </r>
  </si>
  <si>
    <r>
      <rPr>
        <b/>
        <sz val="11"/>
        <color theme="1"/>
        <rFont val="Aptos Narrow"/>
        <charset val="134"/>
        <scheme val="minor"/>
      </rPr>
      <t>2. Code Lists</t>
    </r>
    <r>
      <rPr>
        <sz val="11"/>
        <color theme="1"/>
        <rFont val="Aptos Narrow"/>
        <charset val="134"/>
        <scheme val="minor"/>
      </rPr>
      <t xml:space="preserve">: Use the naming convention </t>
    </r>
    <r>
      <rPr>
        <sz val="10"/>
        <color theme="1"/>
        <rFont val="Arial Unicode MS"/>
        <charset val="134"/>
      </rPr>
      <t>CL_XXX_EN_V#</t>
    </r>
    <r>
      <rPr>
        <sz val="11"/>
        <color theme="1"/>
        <rFont val="Aptos Narrow"/>
        <charset val="134"/>
        <scheme val="minor"/>
      </rPr>
      <t xml:space="preserve"> for code lists, where </t>
    </r>
    <r>
      <rPr>
        <sz val="10"/>
        <color theme="1"/>
        <rFont val="Arial Unicode MS"/>
        <charset val="134"/>
      </rPr>
      <t>XXX</t>
    </r>
    <r>
      <rPr>
        <sz val="11"/>
        <color theme="1"/>
        <rFont val="Aptos Narrow"/>
        <charset val="134"/>
        <scheme val="minor"/>
      </rPr>
      <t xml:space="preserve"> is the name, and </t>
    </r>
    <r>
      <rPr>
        <sz val="10"/>
        <color theme="1"/>
        <rFont val="Arial Unicode MS"/>
        <charset val="134"/>
      </rPr>
      <t>V#</t>
    </r>
    <r>
      <rPr>
        <sz val="11"/>
        <color theme="1"/>
        <rFont val="Aptos Narrow"/>
        <charset val="134"/>
        <scheme val="minor"/>
      </rPr>
      <t xml:space="preserve"> is the version, conforming with the definitions in the data dictionary.</t>
    </r>
  </si>
  <si>
    <r>
      <rPr>
        <b/>
        <sz val="11"/>
        <color theme="1"/>
        <rFont val="Aptos Narrow"/>
        <charset val="134"/>
        <scheme val="minor"/>
      </rPr>
      <t>2. قوائم الرموز</t>
    </r>
    <r>
      <rPr>
        <sz val="11"/>
        <color theme="1"/>
        <rFont val="Aptos Narrow"/>
        <charset val="134"/>
        <scheme val="minor"/>
      </rPr>
      <t xml:space="preserve">: استخدم قاعدة التسمية </t>
    </r>
    <r>
      <rPr>
        <sz val="10"/>
        <color theme="1"/>
        <rFont val="Arial Unicode MS"/>
        <charset val="134"/>
      </rPr>
      <t xml:space="preserve">CL_XXX_EN_V# </t>
    </r>
    <r>
      <rPr>
        <sz val="11"/>
        <color theme="1"/>
        <rFont val="Aptos Narrow"/>
        <charset val="134"/>
        <scheme val="minor"/>
      </rPr>
      <t xml:space="preserve">لقوائم الرموز، حيث أن </t>
    </r>
    <r>
      <rPr>
        <sz val="10"/>
        <color theme="1"/>
        <rFont val="Arial Unicode MS"/>
        <charset val="134"/>
      </rPr>
      <t>XXX</t>
    </r>
    <r>
      <rPr>
        <sz val="11"/>
        <color theme="1"/>
        <rFont val="Aptos Narrow"/>
        <charset val="134"/>
        <scheme val="minor"/>
      </rPr>
      <t xml:space="preserve"> هو الاسم و </t>
    </r>
    <r>
      <rPr>
        <sz val="10"/>
        <color theme="1"/>
        <rFont val="Arial Unicode MS"/>
        <charset val="134"/>
      </rPr>
      <t>V#</t>
    </r>
    <r>
      <rPr>
        <sz val="11"/>
        <color theme="1"/>
        <rFont val="Aptos Narrow"/>
        <charset val="134"/>
        <scheme val="minor"/>
      </rPr>
      <t xml:space="preserve"> هو الإصدار، وفقًا للتعريفات في قاموس البيانات.</t>
    </r>
  </si>
  <si>
    <r>
      <rPr>
        <b/>
        <sz val="11"/>
        <color theme="1"/>
        <rFont val="Aptos Narrow"/>
        <charset val="134"/>
        <scheme val="minor"/>
      </rPr>
      <t>3. Code List Values</t>
    </r>
    <r>
      <rPr>
        <sz val="11"/>
        <color theme="1"/>
        <rFont val="Aptos Narrow"/>
        <charset val="134"/>
        <scheme val="minor"/>
      </rPr>
      <t>: Ensure the code list values match the definitions in the data dictionary.</t>
    </r>
  </si>
  <si>
    <r>
      <rPr>
        <b/>
        <sz val="11"/>
        <color theme="1"/>
        <rFont val="Aptos Narrow"/>
        <charset val="134"/>
        <scheme val="minor"/>
      </rPr>
      <t>3. قيم قائمة الرموز</t>
    </r>
    <r>
      <rPr>
        <sz val="11"/>
        <color theme="1"/>
        <rFont val="Aptos Narrow"/>
        <charset val="134"/>
        <scheme val="minor"/>
      </rPr>
      <t>: تأكد من أن قيم قائمة الرموز تتوافق مع التعريفات في قاموس البيانات.</t>
    </r>
  </si>
  <si>
    <r>
      <rPr>
        <b/>
        <sz val="11"/>
        <color theme="1"/>
        <rFont val="Aptos Narrow"/>
        <charset val="134"/>
        <scheme val="minor"/>
      </rPr>
      <t>4. Time_Period_M</t>
    </r>
    <r>
      <rPr>
        <sz val="11"/>
        <color theme="1"/>
        <rFont val="Aptos Narrow"/>
        <charset val="134"/>
        <scheme val="minor"/>
      </rPr>
      <t>: Leave empty if the data frequency is yearly.</t>
    </r>
  </si>
  <si>
    <r>
      <rPr>
        <b/>
        <sz val="11"/>
        <color theme="1"/>
        <rFont val="Aptos Narrow"/>
        <charset val="134"/>
        <scheme val="minor"/>
      </rPr>
      <t>4. Time_Period_M</t>
    </r>
    <r>
      <rPr>
        <sz val="11"/>
        <color theme="1"/>
        <rFont val="Aptos Narrow"/>
        <charset val="134"/>
        <scheme val="minor"/>
      </rPr>
      <t>: اتركها فارغة إذا كانت دورية البيانات سنوية.</t>
    </r>
  </si>
  <si>
    <r>
      <rPr>
        <b/>
        <sz val="11"/>
        <color theme="1"/>
        <rFont val="Aptos Narrow"/>
        <charset val="134"/>
        <scheme val="minor"/>
      </rPr>
      <t>5. Time_Period_M Format</t>
    </r>
    <r>
      <rPr>
        <sz val="11"/>
        <color theme="1"/>
        <rFont val="Aptos Narrow"/>
        <charset val="134"/>
        <scheme val="minor"/>
      </rPr>
      <t>: Use one of these formats:</t>
    </r>
  </si>
  <si>
    <r>
      <rPr>
        <b/>
        <sz val="11"/>
        <color theme="1"/>
        <rFont val="Aptos Narrow"/>
        <charset val="134"/>
        <scheme val="minor"/>
      </rPr>
      <t>5. تنسيق Time_Period_M</t>
    </r>
    <r>
      <rPr>
        <sz val="11"/>
        <color theme="1"/>
        <rFont val="Aptos Narrow"/>
        <charset val="134"/>
        <scheme val="minor"/>
      </rPr>
      <t>: استخدم أحد التنسيقات التالية:</t>
    </r>
  </si>
  <si>
    <r>
      <rPr>
        <sz val="11"/>
        <color theme="1"/>
        <rFont val="Aptos Narrow"/>
        <charset val="134"/>
        <scheme val="minor"/>
      </rPr>
      <t xml:space="preserve">Numeric: </t>
    </r>
    <r>
      <rPr>
        <sz val="10"/>
        <color theme="1"/>
        <rFont val="Arial Unicode MS"/>
        <charset val="134"/>
      </rPr>
      <t>(1, 2, 3, ..., 12)</t>
    </r>
    <r>
      <rPr>
        <sz val="11"/>
        <color theme="1"/>
        <rFont val="Aptos Narrow"/>
        <charset val="134"/>
        <scheme val="minor"/>
      </rPr>
      <t xml:space="preserve"> for months.</t>
    </r>
  </si>
  <si>
    <t>رقمي: (1، 2، 3، ...، 12) للأشهر.</t>
  </si>
  <si>
    <r>
      <rPr>
        <sz val="11"/>
        <color theme="1"/>
        <rFont val="Aptos Narrow"/>
        <charset val="134"/>
        <scheme val="minor"/>
      </rPr>
      <t xml:space="preserve">Text: </t>
    </r>
    <r>
      <rPr>
        <sz val="10"/>
        <color theme="1"/>
        <rFont val="Arial Unicode MS"/>
        <charset val="134"/>
      </rPr>
      <t>(Jan, Feb, Mar, ..., Dec)</t>
    </r>
    <r>
      <rPr>
        <sz val="11"/>
        <color theme="1"/>
        <rFont val="Aptos Narrow"/>
        <charset val="134"/>
        <scheme val="minor"/>
      </rPr>
      <t>.</t>
    </r>
  </si>
  <si>
    <t>نصي:(Jan, Feb, Mar, ..., Dec)</t>
  </si>
  <si>
    <r>
      <rPr>
        <b/>
        <sz val="11"/>
        <color theme="1"/>
        <rFont val="Aptos Narrow"/>
        <charset val="134"/>
        <scheme val="minor"/>
      </rPr>
      <t>6. Obs_Value</t>
    </r>
    <r>
      <rPr>
        <sz val="11"/>
        <color theme="1"/>
        <rFont val="Aptos Narrow"/>
        <charset val="134"/>
        <scheme val="minor"/>
      </rPr>
      <t>: It is recommended to use the formula =IF('Source Table'!XX="","",'Source Table'!XX) to handle empty data values correctly.</t>
    </r>
  </si>
  <si>
    <r>
      <rPr>
        <b/>
        <sz val="11"/>
        <color theme="1"/>
        <rFont val="Aptos Narrow"/>
        <charset val="134"/>
        <scheme val="minor"/>
      </rPr>
      <t xml:space="preserve">6. Obs_Value: </t>
    </r>
    <r>
      <rPr>
        <sz val="11"/>
        <color theme="1"/>
        <rFont val="Aptos Narrow"/>
        <charset val="134"/>
        <scheme val="minor"/>
      </rPr>
      <t>يُوصى باستخدام الصيغة =IF('Source Table'!XX="","",'Source Table'!XX) للتعامل بشكل صحيح مع القيم الفارغة في البيانات.</t>
    </r>
  </si>
  <si>
    <t>Step 4: Template Data</t>
  </si>
  <si>
    <t>الخطوة 4: Template Data</t>
  </si>
  <si>
    <r>
      <rPr>
        <sz val="11"/>
        <color theme="1"/>
        <rFont val="Aptos Narrow"/>
        <charset val="134"/>
        <scheme val="minor"/>
      </rPr>
      <t xml:space="preserve">Copy rows 2 and 3 from the </t>
    </r>
    <r>
      <rPr>
        <b/>
        <sz val="11"/>
        <color theme="1"/>
        <rFont val="Aptos Narrow"/>
        <charset val="134"/>
        <scheme val="minor"/>
      </rPr>
      <t>Relational DB</t>
    </r>
    <r>
      <rPr>
        <sz val="11"/>
        <color theme="1"/>
        <rFont val="Aptos Narrow"/>
        <charset val="134"/>
        <scheme val="minor"/>
      </rPr>
      <t xml:space="preserve"> sheet and paste them into rows 4 and 5 of the </t>
    </r>
    <r>
      <rPr>
        <b/>
        <sz val="11"/>
        <color theme="1"/>
        <rFont val="Aptos Narrow"/>
        <charset val="134"/>
        <scheme val="minor"/>
      </rPr>
      <t>Template Data</t>
    </r>
    <r>
      <rPr>
        <sz val="11"/>
        <color theme="1"/>
        <rFont val="Aptos Narrow"/>
        <charset val="134"/>
        <scheme val="minor"/>
      </rPr>
      <t xml:space="preserve"> sheet.</t>
    </r>
  </si>
  <si>
    <t>قم بنسخ الصفوف 2 و 3 من ورقة Relational DB والصقها في الصفوف 4 و 5 من ورقة Template Data.</t>
  </si>
  <si>
    <r>
      <rPr>
        <sz val="11"/>
        <color theme="1"/>
        <rFont val="Aptos Narrow"/>
        <charset val="134"/>
        <scheme val="minor"/>
      </rPr>
      <t xml:space="preserve">The system will update this sheet with data from the previous data upload, which can be used in the </t>
    </r>
    <r>
      <rPr>
        <b/>
        <sz val="11"/>
        <color theme="1"/>
        <rFont val="Aptos Narrow"/>
        <charset val="134"/>
        <scheme val="minor"/>
      </rPr>
      <t>Source Table</t>
    </r>
    <r>
      <rPr>
        <sz val="11"/>
        <color theme="1"/>
        <rFont val="Aptos Narrow"/>
        <charset val="134"/>
        <scheme val="minor"/>
      </rPr>
      <t xml:space="preserve"> sheet.</t>
    </r>
  </si>
  <si>
    <t>سيقوم النظام بتحديث هذه الورقة بالبيانات من التحميل السابق للبيانات، والتي يمكن استخدامها في ورقة Source Table.</t>
  </si>
  <si>
    <t>Step 5: Source Table Formatting</t>
  </si>
  <si>
    <t>الخطوة 5: Source Table Formatting</t>
  </si>
  <si>
    <r>
      <rPr>
        <sz val="11"/>
        <color theme="1"/>
        <rFont val="Aptos Narrow"/>
        <charset val="134"/>
        <scheme val="minor"/>
      </rPr>
      <t xml:space="preserve">1. Format individual cells in the </t>
    </r>
    <r>
      <rPr>
        <b/>
        <sz val="11"/>
        <color theme="1"/>
        <rFont val="Aptos Narrow"/>
        <charset val="134"/>
        <scheme val="minor"/>
      </rPr>
      <t>Source Table</t>
    </r>
    <r>
      <rPr>
        <sz val="11"/>
        <color theme="1"/>
        <rFont val="Aptos Narrow"/>
        <charset val="134"/>
        <scheme val="minor"/>
      </rPr>
      <t xml:space="preserve"> sheet to protect cells that are not dedicated to data entry.</t>
    </r>
  </si>
  <si>
    <t>1. قم بتنسيق الخلايا الفردية في ورقة Source Table لحماية الخلايا التي ليست مخصصة لإدخال البيانات.</t>
  </si>
  <si>
    <t>2. Protect the sheet to prevent any accidental changes to protected cells.</t>
  </si>
  <si>
    <t>2. قم بحماية الورقة لمنع أي تغييرات غير مقصودة على الخلايا المحمية.</t>
  </si>
  <si>
    <t>Step 6: Hide Sheets</t>
  </si>
  <si>
    <t>الخطوة 6: Hide Sheets</t>
  </si>
  <si>
    <r>
      <rPr>
        <sz val="11"/>
        <color theme="1"/>
        <rFont val="Aptos Narrow"/>
        <charset val="134"/>
        <scheme val="minor"/>
      </rPr>
      <t xml:space="preserve">Hide all sheets except for the </t>
    </r>
    <r>
      <rPr>
        <b/>
        <sz val="11"/>
        <color theme="1"/>
        <rFont val="Aptos Narrow"/>
        <charset val="134"/>
        <scheme val="minor"/>
      </rPr>
      <t>Source Table</t>
    </r>
    <r>
      <rPr>
        <sz val="11"/>
        <color theme="1"/>
        <rFont val="Aptos Narrow"/>
        <charset val="134"/>
        <scheme val="minor"/>
      </rPr>
      <t xml:space="preserve"> sheet.</t>
    </r>
  </si>
  <si>
    <t>قم بإخفاء جميع الأوراق باستثناء ورقة Source Table.</t>
  </si>
  <si>
    <t>Step 7: Protect Workbook</t>
  </si>
  <si>
    <t>الخطوة 7: Protect Workbook</t>
  </si>
  <si>
    <t>Protect the entire workbook to prevent unauthorized or accidental changes to the structure of the file.</t>
  </si>
  <si>
    <t>قم بحماية الكتاب بأكمله لمنع التغييرات غير المصرح بها أو غير المقصودة على هيكل الملف.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</si>
</sst>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44">
    <font>
      <sz val="11"/>
      <color theme="1"/>
      <name val="Aptos Narrow"/>
      <charset val="134"/>
      <scheme val="minor"/>
    </font>
    <font>
      <b/>
      <sz val="13.5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1"/>
      <color theme="0"/>
      <name val="Aptos Narrow"/>
      <charset val="134"/>
      <scheme val="minor"/>
    </font>
    <font>
      <b/>
      <sz val="11"/>
      <color rgb="FF0776AD"/>
      <name val="Aptos Narrow"/>
      <charset val="134"/>
      <scheme val="minor"/>
    </font>
    <font>
      <sz val="11"/>
      <color rgb="FFFFFFFF"/>
      <name val="Aptos Narrow"/>
      <charset val="134"/>
      <scheme val="minor"/>
    </font>
    <font>
      <sz val="11"/>
      <color rgb="FF0776AD"/>
      <name val="Aptos Narrow"/>
      <charset val="134"/>
      <scheme val="minor"/>
    </font>
    <font>
      <sz val="16"/>
      <color rgb="FF0776AD"/>
      <name val="Aptos Narrow"/>
      <charset val="134"/>
      <scheme val="minor"/>
    </font>
    <font>
      <sz val="12"/>
      <color theme="1"/>
      <name val="Times New Roman"/>
      <charset val="134"/>
    </font>
    <font>
      <sz val="11"/>
      <color indexed="8"/>
      <name val="Aptos Narrow"/>
      <charset val="134"/>
    </font>
    <font>
      <sz val="11"/>
      <color indexed="8"/>
      <name val="Calibri"/>
      <charset val="134"/>
    </font>
    <font>
      <b/>
      <sz val="14"/>
      <color theme="0"/>
      <name val="Aptos"/>
      <charset val="134"/>
    </font>
    <font>
      <b/>
      <sz val="14"/>
      <color theme="7" tint="-0.249977111117893"/>
      <name val="Aptos"/>
      <charset val="134"/>
    </font>
    <font>
      <b/>
      <sz val="14"/>
      <color rgb="FF0C769E"/>
      <name val="Aptos"/>
      <charset val="134"/>
    </font>
    <font>
      <b/>
      <sz val="14"/>
      <color theme="7" tint="-0.249977111117893"/>
      <name val="Arial"/>
      <charset val="134"/>
    </font>
    <font>
      <sz val="12"/>
      <color theme="7" tint="-0.249977111117893"/>
      <name val="Aptos"/>
      <charset val="134"/>
    </font>
    <font>
      <sz val="16"/>
      <color rgb="FFFFFFFF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sz val="10"/>
      <name val="Arial"/>
      <charset val="134"/>
    </font>
    <font>
      <b/>
      <sz val="14"/>
      <color indexed="12"/>
      <name val="Arial"/>
      <charset val="134"/>
    </font>
    <font>
      <b/>
      <sz val="12"/>
      <color indexed="12"/>
      <name val="Arial"/>
      <charset val="134"/>
    </font>
    <font>
      <b/>
      <sz val="12"/>
      <name val="Arial"/>
      <charset val="178"/>
    </font>
    <font>
      <b/>
      <sz val="11"/>
      <name val="Arial"/>
      <charset val="178"/>
    </font>
    <font>
      <b/>
      <sz val="8"/>
      <name val="Arial"/>
      <charset val="134"/>
    </font>
    <font>
      <b/>
      <sz val="12"/>
      <name val="Arial"/>
      <charset val="134"/>
    </font>
    <font>
      <sz val="10"/>
      <color theme="1"/>
      <name val="Arial Unicode MS"/>
      <charset val="134"/>
    </font>
  </fonts>
  <fills count="4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776AD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theme="3" tint="0.899899288918729"/>
        <bgColor rgb="FF000000"/>
      </patternFill>
    </fill>
    <fill>
      <patternFill patternType="solid">
        <fgColor theme="2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3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theme="7" tint="-0.499984740745262"/>
      </top>
      <bottom style="thin">
        <color theme="7" tint="-0.499984740745262"/>
      </bottom>
      <diagonal/>
    </border>
    <border>
      <left/>
      <right/>
      <top style="thin">
        <color theme="7" tint="-0.499984740745262"/>
      </top>
      <bottom/>
      <diagonal/>
    </border>
    <border>
      <left style="thin">
        <color rgb="FF074F69"/>
      </left>
      <right/>
      <top style="thin">
        <color rgb="FF074F69"/>
      </top>
      <bottom style="thin">
        <color rgb="FF074F69"/>
      </bottom>
      <diagonal/>
    </border>
    <border>
      <left style="thin">
        <color theme="7" tint="-0.499984740745262"/>
      </left>
      <right style="thin">
        <color theme="7" tint="-0.499984740745262"/>
      </right>
      <top style="thin">
        <color theme="7" tint="-0.499984740745262"/>
      </top>
      <bottom/>
      <diagonal/>
    </border>
    <border>
      <left style="thin">
        <color auto="1"/>
      </left>
      <right style="thin">
        <color theme="7" tint="-0.499984740745262"/>
      </right>
      <top style="thin">
        <color rgb="FF074F69"/>
      </top>
      <bottom/>
      <diagonal/>
    </border>
    <border>
      <left style="thin">
        <color theme="7" tint="-0.499984740745262"/>
      </left>
      <right style="thin">
        <color theme="7" tint="-0.499984740745262"/>
      </right>
      <top/>
      <bottom/>
      <diagonal/>
    </border>
    <border>
      <left style="thin">
        <color auto="1"/>
      </left>
      <right style="thin">
        <color theme="7" tint="-0.499984740745262"/>
      </right>
      <top/>
      <bottom/>
      <diagonal/>
    </border>
    <border>
      <left style="thin">
        <color theme="7" tint="-0.499984740745262"/>
      </left>
      <right style="thin">
        <color theme="7" tint="-0.499984740745262"/>
      </right>
      <top/>
      <bottom style="thin">
        <color theme="7" tint="-0.499984740745262"/>
      </bottom>
      <diagonal/>
    </border>
    <border>
      <left/>
      <right/>
      <top/>
      <bottom style="thin">
        <color theme="7" tint="-0.499984740745262"/>
      </bottom>
      <diagonal/>
    </border>
    <border>
      <left style="thin">
        <color auto="1"/>
      </left>
      <right style="thin">
        <color theme="7" tint="-0.499984740745262"/>
      </right>
      <top/>
      <bottom style="thin">
        <color theme="7" tint="-0.499984740745262"/>
      </bottom>
      <diagonal/>
    </border>
    <border>
      <left style="thin">
        <color theme="7" tint="-0.499984740745262"/>
      </left>
      <right style="thin">
        <color theme="7" tint="-0.499984740745262"/>
      </right>
      <top style="thin">
        <color theme="7" tint="-0.499984740745262"/>
      </top>
      <bottom style="thin">
        <color theme="7" tint="-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0"/>
      </left>
      <right style="medium">
        <color indexed="60"/>
      </right>
      <top style="medium">
        <color indexed="60"/>
      </top>
      <bottom style="medium">
        <color indexed="60"/>
      </bottom>
      <diagonal/>
    </border>
  </borders>
  <cellStyleXfs count="66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11" borderId="12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12" borderId="15" applyNumberFormat="0" applyAlignment="0" applyProtection="0">
      <alignment vertical="center"/>
    </xf>
    <xf numFmtId="0" fontId="26" fillId="13" borderId="16" applyNumberFormat="0" applyAlignment="0" applyProtection="0">
      <alignment vertical="center"/>
    </xf>
    <xf numFmtId="0" fontId="27" fillId="13" borderId="15" applyNumberFormat="0" applyAlignment="0" applyProtection="0">
      <alignment vertical="center"/>
    </xf>
    <xf numFmtId="0" fontId="28" fillId="14" borderId="17" applyNumberFormat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30" fillId="0" borderId="19" applyNumberFormat="0" applyFill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6" fillId="0" borderId="0"/>
    <xf numFmtId="0" fontId="36" fillId="0" borderId="0"/>
    <xf numFmtId="0" fontId="37" fillId="0" borderId="0">
      <alignment horizontal="centerContinuous" vertical="center"/>
    </xf>
    <xf numFmtId="0" fontId="38" fillId="0" borderId="0">
      <alignment horizontal="centerContinuous" vertical="center"/>
    </xf>
    <xf numFmtId="1" fontId="39" fillId="42" borderId="20">
      <alignment horizontal="center" vertical="center"/>
    </xf>
    <xf numFmtId="0" fontId="40" fillId="42" borderId="20">
      <alignment horizontal="center" vertical="center" wrapText="1"/>
    </xf>
    <xf numFmtId="0" fontId="41" fillId="42" borderId="20">
      <alignment horizontal="center" vertical="center" wrapText="1"/>
    </xf>
    <xf numFmtId="0" fontId="36" fillId="0" borderId="0"/>
    <xf numFmtId="0" fontId="36" fillId="0" borderId="0"/>
    <xf numFmtId="0" fontId="0" fillId="0" borderId="0"/>
    <xf numFmtId="0" fontId="0" fillId="0" borderId="0"/>
    <xf numFmtId="0" fontId="36" fillId="0" borderId="0"/>
    <xf numFmtId="0" fontId="0" fillId="0" borderId="0"/>
    <xf numFmtId="9" fontId="0" fillId="0" borderId="0"/>
    <xf numFmtId="9" fontId="0" fillId="0" borderId="0"/>
    <xf numFmtId="0" fontId="42" fillId="0" borderId="0">
      <alignment horizontal="right" vertical="center"/>
    </xf>
    <xf numFmtId="0" fontId="36" fillId="0" borderId="0">
      <alignment horizontal="left" vertical="center"/>
    </xf>
  </cellStyleXfs>
  <cellXfs count="43">
    <xf numFmtId="0" fontId="0" fillId="0" borderId="0" xfId="0"/>
    <xf numFmtId="0" fontId="0" fillId="2" borderId="0" xfId="0" applyFill="1" applyAlignment="1">
      <alignment vertical="center" wrapText="1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right" vertical="center" wrapText="1" readingOrder="2"/>
    </xf>
    <xf numFmtId="0" fontId="0" fillId="2" borderId="0" xfId="0" applyFill="1"/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right" vertical="center" wrapText="1" readingOrder="2"/>
    </xf>
    <xf numFmtId="0" fontId="0" fillId="2" borderId="0" xfId="0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right" vertical="center" wrapText="1" readingOrder="2"/>
    </xf>
    <xf numFmtId="0" fontId="3" fillId="0" borderId="0" xfId="0" applyFont="1"/>
    <xf numFmtId="0" fontId="4" fillId="0" borderId="0" xfId="0" applyFont="1" applyAlignment="1">
      <alignment horizontal="center"/>
    </xf>
    <xf numFmtId="14" fontId="0" fillId="0" borderId="0" xfId="0" applyNumberFormat="1"/>
    <xf numFmtId="0" fontId="5" fillId="3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8" fillId="0" borderId="0" xfId="0" applyFont="1" applyAlignment="1">
      <alignment vertical="center"/>
    </xf>
    <xf numFmtId="0" fontId="0" fillId="0" borderId="0" xfId="0" applyAlignment="1">
      <alignment horizontal="center"/>
    </xf>
    <xf numFmtId="0" fontId="9" fillId="0" borderId="0" xfId="0" applyNumberFormat="1" applyFont="1" applyFill="1" applyBorder="1" applyAlignment="1" applyProtection="1">
      <alignment horizontal="center"/>
    </xf>
    <xf numFmtId="0" fontId="10" fillId="0" borderId="0" xfId="0" applyNumberFormat="1" applyFont="1" applyFill="1" applyBorder="1" applyAlignment="1" applyProtection="1">
      <alignment horizontal="center" readingOrder="2"/>
    </xf>
    <xf numFmtId="0" fontId="0" fillId="0" borderId="0" xfId="0" applyBorder="1" applyAlignment="1">
      <alignment horizontal="center" vertical="center"/>
    </xf>
    <xf numFmtId="0" fontId="11" fillId="6" borderId="0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3" fillId="7" borderId="3" xfId="0" applyFont="1" applyFill="1" applyBorder="1" applyAlignment="1">
      <alignment horizontal="center" vertical="center" readingOrder="2"/>
    </xf>
    <xf numFmtId="0" fontId="12" fillId="8" borderId="4" xfId="0" applyFont="1" applyFill="1" applyBorder="1" applyAlignment="1">
      <alignment horizontal="center" vertical="center" readingOrder="2"/>
    </xf>
    <xf numFmtId="0" fontId="12" fillId="2" borderId="0" xfId="0" applyFont="1" applyFill="1" applyBorder="1" applyAlignment="1">
      <alignment horizontal="center" vertical="center"/>
    </xf>
    <xf numFmtId="0" fontId="14" fillId="8" borderId="5" xfId="0" applyFont="1" applyFill="1" applyBorder="1" applyAlignment="1">
      <alignment horizontal="center" vertical="center" readingOrder="2"/>
    </xf>
    <xf numFmtId="0" fontId="12" fillId="8" borderId="6" xfId="0" applyFont="1" applyFill="1" applyBorder="1" applyAlignment="1">
      <alignment horizontal="center" vertical="center" readingOrder="2"/>
    </xf>
    <xf numFmtId="0" fontId="14" fillId="8" borderId="7" xfId="0" applyFont="1" applyFill="1" applyBorder="1" applyAlignment="1">
      <alignment horizontal="center" vertical="center" readingOrder="2"/>
    </xf>
    <xf numFmtId="0" fontId="12" fillId="8" borderId="8" xfId="0" applyFont="1" applyFill="1" applyBorder="1" applyAlignment="1">
      <alignment horizontal="center" vertical="center" readingOrder="2"/>
    </xf>
    <xf numFmtId="0" fontId="12" fillId="2" borderId="9" xfId="0" applyFont="1" applyFill="1" applyBorder="1" applyAlignment="1">
      <alignment horizontal="center" vertical="center"/>
    </xf>
    <xf numFmtId="0" fontId="14" fillId="8" borderId="10" xfId="0" applyFont="1" applyFill="1" applyBorder="1" applyAlignment="1">
      <alignment horizontal="center" vertical="center" readingOrder="2"/>
    </xf>
    <xf numFmtId="0" fontId="12" fillId="8" borderId="11" xfId="0" applyFont="1" applyFill="1" applyBorder="1" applyAlignment="1">
      <alignment vertical="center" wrapText="1" readingOrder="2"/>
    </xf>
    <xf numFmtId="0" fontId="12" fillId="9" borderId="11" xfId="0" applyFont="1" applyFill="1" applyBorder="1" applyAlignment="1">
      <alignment vertical="center" wrapText="1" readingOrder="2"/>
    </xf>
    <xf numFmtId="0" fontId="15" fillId="8" borderId="11" xfId="0" applyFont="1" applyFill="1" applyBorder="1" applyAlignment="1">
      <alignment horizontal="left" vertical="center" indent="2" readingOrder="2"/>
    </xf>
    <xf numFmtId="0" fontId="15" fillId="10" borderId="11" xfId="0" applyFont="1" applyFill="1" applyBorder="1" applyAlignment="1">
      <alignment horizontal="left" vertical="center" indent="2" readingOrder="2"/>
    </xf>
    <xf numFmtId="0" fontId="12" fillId="10" borderId="11" xfId="0" applyFont="1" applyFill="1" applyBorder="1" applyAlignment="1">
      <alignment vertical="center" wrapText="1" readingOrder="2"/>
    </xf>
    <xf numFmtId="0" fontId="16" fillId="3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/>
    </xf>
    <xf numFmtId="0" fontId="7" fillId="5" borderId="0" xfId="0" applyFont="1" applyFill="1" applyAlignment="1">
      <alignment horizontal="center" wrapText="1"/>
    </xf>
    <xf numFmtId="0" fontId="7" fillId="7" borderId="0" xfId="0" applyFont="1" applyFill="1" applyAlignment="1">
      <alignment horizontal="center" readingOrder="2"/>
    </xf>
    <xf numFmtId="0" fontId="7" fillId="7" borderId="0" xfId="0" applyFont="1" applyFill="1" applyAlignment="1">
      <alignment horizontal="center" vertical="center"/>
    </xf>
  </cellXfs>
  <cellStyles count="66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‏_x001d_ً'_x000c_ï‏÷_x000c__x001c_" xfId="49"/>
    <cellStyle name="‏_x001d_ً'_x000c_ï‏÷_x000c__x001c_ 2" xfId="50"/>
    <cellStyle name="H1" xfId="51"/>
    <cellStyle name="H2" xfId="52"/>
    <cellStyle name="Had1" xfId="53"/>
    <cellStyle name="Had2" xfId="54"/>
    <cellStyle name="Had3" xfId="55"/>
    <cellStyle name="Normal 2" xfId="56"/>
    <cellStyle name="Normal 3" xfId="57"/>
    <cellStyle name="Normal 4" xfId="58"/>
    <cellStyle name="Normal 4 2" xfId="59"/>
    <cellStyle name="Normal 5" xfId="60"/>
    <cellStyle name="Normal 6" xfId="61"/>
    <cellStyle name="Percent 2" xfId="62"/>
    <cellStyle name="Percent 2 2" xfId="63"/>
    <cellStyle name="T1" xfId="64"/>
    <cellStyle name="T2" xfId="65"/>
  </cellStyles>
  <tableStyles count="0" defaultTableStyle="TableStyleMedium2" defaultPivotStyle="PivotStyleLight16"/>
  <colors>
    <mruColors>
      <color rgb="000776AD"/>
      <color rgb="00BCE7FC"/>
      <color rgb="00098BC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4.xml"/><Relationship Id="rId8" Type="http://schemas.openxmlformats.org/officeDocument/2006/relationships/customXml" Target="../customXml/item3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tabSelected="1" workbookViewId="0">
      <selection activeCell="B3" sqref="B3"/>
    </sheetView>
  </sheetViews>
  <sheetFormatPr defaultColWidth="9" defaultRowHeight="14.25" outlineLevelRow="7" outlineLevelCol="1"/>
  <cols>
    <col min="1" max="1" width="32.5" customWidth="1"/>
    <col min="2" max="2" width="107" customWidth="1"/>
  </cols>
  <sheetData>
    <row r="1" ht="21" customHeight="1" spans="1:2">
      <c r="A1" s="38" t="s">
        <v>0</v>
      </c>
      <c r="B1" s="15" t="s">
        <v>1</v>
      </c>
    </row>
    <row r="2" ht="21" customHeight="1" spans="1:2">
      <c r="A2" s="38" t="s">
        <v>2</v>
      </c>
      <c r="B2" s="15" t="s">
        <v>3</v>
      </c>
    </row>
    <row r="3" ht="21" customHeight="1" spans="1:2">
      <c r="A3" s="38" t="s">
        <v>4</v>
      </c>
      <c r="B3" s="39" t="s">
        <v>5</v>
      </c>
    </row>
    <row r="4" ht="21" customHeight="1" spans="1:2">
      <c r="A4" s="38" t="s">
        <v>6</v>
      </c>
      <c r="B4" s="40" t="s">
        <v>7</v>
      </c>
    </row>
    <row r="5" ht="21" customHeight="1" spans="1:2">
      <c r="A5" s="38" t="s">
        <v>8</v>
      </c>
      <c r="B5" s="41" t="s">
        <v>9</v>
      </c>
    </row>
    <row r="6" ht="21" customHeight="1" spans="1:2">
      <c r="A6" s="38" t="s">
        <v>10</v>
      </c>
      <c r="B6" s="41" t="s">
        <v>11</v>
      </c>
    </row>
    <row r="7" ht="21" customHeight="1" spans="1:2">
      <c r="A7" s="38" t="s">
        <v>12</v>
      </c>
      <c r="B7" s="42" t="s">
        <v>13</v>
      </c>
    </row>
    <row r="8" ht="21" customHeight="1" spans="1:2">
      <c r="A8" s="38" t="s">
        <v>14</v>
      </c>
      <c r="B8" s="42" t="s">
        <v>15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D22"/>
  <sheetViews>
    <sheetView view="pageBreakPreview" zoomScale="70" zoomScaleNormal="100" workbookViewId="0">
      <selection activeCell="B2" sqref="B2:D2"/>
    </sheetView>
  </sheetViews>
  <sheetFormatPr defaultColWidth="16.75" defaultRowHeight="14.25" outlineLevelCol="3"/>
  <cols>
    <col min="2" max="3" width="39.75" customWidth="1"/>
    <col min="4" max="4" width="39.375" customWidth="1"/>
    <col min="5" max="5" width="25.75" customWidth="1"/>
  </cols>
  <sheetData>
    <row r="2" ht="28.15" customHeight="1" spans="2:4">
      <c r="B2" s="21" t="str">
        <f>'Cover Page'!B4</f>
        <v>School Health Services</v>
      </c>
      <c r="C2" s="21"/>
      <c r="D2" s="21"/>
    </row>
    <row r="3" ht="28.15" customHeight="1" spans="2:4">
      <c r="B3" s="21" t="str">
        <f>'Cover Page'!B3</f>
        <v>خدمات الصحة المدرسية</v>
      </c>
      <c r="C3" s="21"/>
      <c r="D3" s="21"/>
    </row>
    <row r="4" ht="28.15" customHeight="1" spans="2:4">
      <c r="B4" s="22" t="s">
        <v>16</v>
      </c>
      <c r="C4" s="23">
        <f>YEAR('Template Data'!B1)</f>
        <v>2024</v>
      </c>
      <c r="D4" s="24" t="s">
        <v>17</v>
      </c>
    </row>
    <row r="5" ht="28.15" customHeight="1" spans="2:4">
      <c r="B5" s="25" t="s">
        <v>18</v>
      </c>
      <c r="C5" s="26"/>
      <c r="D5" s="27" t="s">
        <v>19</v>
      </c>
    </row>
    <row r="6" ht="19.9" customHeight="1" spans="2:4">
      <c r="B6" s="28"/>
      <c r="C6" s="26"/>
      <c r="D6" s="29"/>
    </row>
    <row r="7" ht="19.9" customHeight="1" spans="2:4">
      <c r="B7" s="30"/>
      <c r="C7" s="31"/>
      <c r="D7" s="32"/>
    </row>
    <row r="8" ht="19.9" customHeight="1" spans="2:4">
      <c r="B8" s="33" t="s">
        <v>20</v>
      </c>
      <c r="C8" s="34"/>
      <c r="D8" s="33" t="s">
        <v>21</v>
      </c>
    </row>
    <row r="9" ht="22.15" customHeight="1" spans="2:4">
      <c r="B9" s="35" t="s">
        <v>22</v>
      </c>
      <c r="C9" s="36"/>
      <c r="D9" s="35" t="s">
        <v>23</v>
      </c>
    </row>
    <row r="10" ht="22.15" customHeight="1" spans="2:4">
      <c r="B10" s="35" t="s">
        <v>24</v>
      </c>
      <c r="C10" s="37"/>
      <c r="D10" s="35" t="s">
        <v>25</v>
      </c>
    </row>
    <row r="11" ht="22.15" customHeight="1" spans="2:4">
      <c r="B11" s="35" t="s">
        <v>26</v>
      </c>
      <c r="C11" s="36"/>
      <c r="D11" s="35" t="s">
        <v>27</v>
      </c>
    </row>
    <row r="12" ht="22.15" customHeight="1" spans="2:4">
      <c r="B12" s="35" t="s">
        <v>28</v>
      </c>
      <c r="C12" s="37"/>
      <c r="D12" s="35" t="s">
        <v>29</v>
      </c>
    </row>
    <row r="13" ht="22.15" customHeight="1" spans="2:4">
      <c r="B13" s="35" t="s">
        <v>30</v>
      </c>
      <c r="C13" s="36"/>
      <c r="D13" s="35" t="s">
        <v>31</v>
      </c>
    </row>
    <row r="14" ht="22.15" customHeight="1" spans="2:4">
      <c r="B14" s="35" t="s">
        <v>32</v>
      </c>
      <c r="C14" s="37"/>
      <c r="D14" s="35" t="s">
        <v>33</v>
      </c>
    </row>
    <row r="15" ht="22.15" customHeight="1" spans="2:4">
      <c r="B15" s="35" t="s">
        <v>34</v>
      </c>
      <c r="C15" s="36"/>
      <c r="D15" s="35" t="s">
        <v>35</v>
      </c>
    </row>
    <row r="16" ht="22.15" customHeight="1" spans="2:4">
      <c r="B16" s="35" t="s">
        <v>36</v>
      </c>
      <c r="C16" s="37"/>
      <c r="D16" s="35" t="s">
        <v>37</v>
      </c>
    </row>
    <row r="17" ht="22.15" customHeight="1" spans="2:4">
      <c r="B17" s="33" t="s">
        <v>38</v>
      </c>
      <c r="C17" s="34"/>
      <c r="D17" s="33" t="s">
        <v>39</v>
      </c>
    </row>
    <row r="18" ht="18" spans="2:4">
      <c r="B18" s="35" t="s">
        <v>40</v>
      </c>
      <c r="C18" s="37"/>
      <c r="D18" s="35" t="s">
        <v>41</v>
      </c>
    </row>
    <row r="19" ht="18" spans="2:4">
      <c r="B19" s="33" t="s">
        <v>42</v>
      </c>
      <c r="C19" s="34"/>
      <c r="D19" s="33" t="s">
        <v>43</v>
      </c>
    </row>
    <row r="20" ht="18" spans="2:4">
      <c r="B20" s="35" t="s">
        <v>44</v>
      </c>
      <c r="C20" s="37"/>
      <c r="D20" s="35" t="s">
        <v>45</v>
      </c>
    </row>
    <row r="21" ht="15" spans="2:4">
      <c r="B21" s="35" t="s">
        <v>46</v>
      </c>
      <c r="C21" s="36"/>
      <c r="D21" s="35" t="s">
        <v>47</v>
      </c>
    </row>
    <row r="22" ht="18" spans="2:4">
      <c r="B22" s="35" t="s">
        <v>48</v>
      </c>
      <c r="C22" s="37"/>
      <c r="D22" s="35" t="s">
        <v>49</v>
      </c>
    </row>
  </sheetData>
  <protectedRanges>
    <protectedRange sqref="C9:C16 C18 C20:C22" name="Range1"/>
  </protectedRanges>
  <mergeCells count="5">
    <mergeCell ref="B2:D2"/>
    <mergeCell ref="B3:D3"/>
    <mergeCell ref="B5:B7"/>
    <mergeCell ref="C4:C7"/>
    <mergeCell ref="D5:D7"/>
  </mergeCells>
  <pageMargins left="0.7" right="0.7" top="0.75" bottom="0.75" header="0.3" footer="0.3"/>
  <pageSetup paperSize="1" scale="4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7"/>
  <sheetViews>
    <sheetView zoomScale="70" zoomScaleNormal="70" topLeftCell="B2" workbookViewId="0">
      <selection activeCell="I14" sqref="I14"/>
    </sheetView>
  </sheetViews>
  <sheetFormatPr defaultColWidth="9" defaultRowHeight="14.25"/>
  <cols>
    <col min="1" max="1" width="46.25" customWidth="1"/>
    <col min="2" max="2" width="72.5" customWidth="1"/>
    <col min="3" max="3" width="9.75" customWidth="1"/>
    <col min="4" max="5" width="18.125" customWidth="1"/>
    <col min="6" max="6" width="40.625" customWidth="1"/>
    <col min="7" max="7" width="24.75" customWidth="1"/>
    <col min="8" max="8" width="23.375" customWidth="1"/>
    <col min="9" max="9" width="36.5" customWidth="1"/>
    <col min="10" max="12" width="15.5" customWidth="1"/>
  </cols>
  <sheetData>
    <row r="1" ht="20.25" spans="1:1">
      <c r="A1" s="15" t="s">
        <v>50</v>
      </c>
    </row>
    <row r="2" s="10" customFormat="1" ht="18" customHeight="1" spans="1:10">
      <c r="A2" s="13" t="s">
        <v>51</v>
      </c>
      <c r="B2" s="13" t="s">
        <v>52</v>
      </c>
      <c r="C2" s="13" t="s">
        <v>53</v>
      </c>
      <c r="D2" s="13" t="s">
        <v>54</v>
      </c>
      <c r="E2" s="13" t="s">
        <v>55</v>
      </c>
      <c r="F2" s="14" t="s">
        <v>56</v>
      </c>
      <c r="G2" s="14" t="s">
        <v>57</v>
      </c>
      <c r="H2" s="13" t="s">
        <v>58</v>
      </c>
      <c r="I2" s="13" t="s">
        <v>59</v>
      </c>
      <c r="J2" s="13" t="s">
        <v>60</v>
      </c>
    </row>
    <row r="3" s="10" customFormat="1" ht="18" customHeight="1" spans="1:10">
      <c r="A3" s="13" t="s">
        <v>61</v>
      </c>
      <c r="B3" s="13" t="s">
        <v>62</v>
      </c>
      <c r="C3" s="13" t="s">
        <v>63</v>
      </c>
      <c r="D3" s="13" t="s">
        <v>64</v>
      </c>
      <c r="E3" s="13" t="s">
        <v>65</v>
      </c>
      <c r="F3" s="14" t="s">
        <v>7</v>
      </c>
      <c r="G3" s="14" t="s">
        <v>5</v>
      </c>
      <c r="H3" s="13" t="s">
        <v>66</v>
      </c>
      <c r="I3" s="13" t="s">
        <v>67</v>
      </c>
      <c r="J3" s="13" t="s">
        <v>68</v>
      </c>
    </row>
    <row r="4" ht="15.75" spans="1:9">
      <c r="A4" s="16" t="str">
        <f>'Source Table'!$B$3</f>
        <v>خدمات الصحة المدرسية</v>
      </c>
      <c r="B4" s="16" t="str">
        <f>'Source Table'!$B$2</f>
        <v>School Health Services</v>
      </c>
      <c r="C4" s="17" t="s">
        <v>69</v>
      </c>
      <c r="D4" s="18" t="s">
        <v>70</v>
      </c>
      <c r="E4" s="19" t="s">
        <v>71</v>
      </c>
      <c r="F4" t="str">
        <f>'Source Table'!$B$9</f>
        <v>No. of  Tested Students   </v>
      </c>
      <c r="G4" t="str">
        <f>'Source Table'!$D$9</f>
        <v>عدد الطلبة المفحوصين</v>
      </c>
      <c r="H4" s="20">
        <v>453493</v>
      </c>
      <c r="I4" s="20">
        <v>2023</v>
      </c>
    </row>
    <row r="5" ht="15.75" spans="1:9">
      <c r="A5" s="16" t="str">
        <f>'Source Table'!$B$3</f>
        <v>خدمات الصحة المدرسية</v>
      </c>
      <c r="B5" s="16" t="str">
        <f>'Source Table'!$B$2</f>
        <v>School Health Services</v>
      </c>
      <c r="C5" s="17" t="s">
        <v>69</v>
      </c>
      <c r="D5" s="18" t="s">
        <v>70</v>
      </c>
      <c r="E5" s="19" t="s">
        <v>71</v>
      </c>
      <c r="F5" t="str">
        <f>'Source Table'!$B$10</f>
        <v>No. of  Tested Schools</v>
      </c>
      <c r="G5" t="str">
        <f>'Source Table'!$D$10</f>
        <v>عدد المدارس التي فحص طلابها</v>
      </c>
      <c r="H5" s="20">
        <v>3740</v>
      </c>
      <c r="I5" s="20">
        <v>2023</v>
      </c>
    </row>
    <row r="6" ht="15.75" spans="1:9">
      <c r="A6" s="16" t="str">
        <f>'Source Table'!$B$3</f>
        <v>خدمات الصحة المدرسية</v>
      </c>
      <c r="B6" s="16" t="str">
        <f>'Source Table'!$B$2</f>
        <v>School Health Services</v>
      </c>
      <c r="C6" s="17" t="s">
        <v>69</v>
      </c>
      <c r="D6" s="18" t="s">
        <v>70</v>
      </c>
      <c r="E6" s="19" t="s">
        <v>71</v>
      </c>
      <c r="F6" t="str">
        <f>'Source Table'!$B$11</f>
        <v>No. of  Discovered Diseases</v>
      </c>
      <c r="G6" t="str">
        <f>'Source Table'!$D$11</f>
        <v>عدد الحالات المرضية المكتشفة</v>
      </c>
      <c r="H6" s="20">
        <v>45189</v>
      </c>
      <c r="I6" s="20">
        <v>2023</v>
      </c>
    </row>
    <row r="7" ht="15.75" spans="1:9">
      <c r="A7" s="16" t="str">
        <f>'Source Table'!$B$3</f>
        <v>خدمات الصحة المدرسية</v>
      </c>
      <c r="B7" s="16" t="str">
        <f>'Source Table'!$B$2</f>
        <v>School Health Services</v>
      </c>
      <c r="C7" s="17" t="s">
        <v>69</v>
      </c>
      <c r="D7" s="18" t="s">
        <v>70</v>
      </c>
      <c r="E7" s="19" t="s">
        <v>71</v>
      </c>
      <c r="F7" t="str">
        <f>'Source Table'!$B$12</f>
        <v>Internal</v>
      </c>
      <c r="G7" t="str">
        <f>'Source Table'!$D$12</f>
        <v>باطنية</v>
      </c>
      <c r="H7" s="20">
        <v>9990</v>
      </c>
      <c r="I7" s="20">
        <v>2023</v>
      </c>
    </row>
    <row r="8" ht="15.75" spans="1:9">
      <c r="A8" s="16" t="str">
        <f>'Source Table'!$B$3</f>
        <v>خدمات الصحة المدرسية</v>
      </c>
      <c r="B8" s="16" t="str">
        <f>'Source Table'!$B$2</f>
        <v>School Health Services</v>
      </c>
      <c r="C8" s="17" t="s">
        <v>69</v>
      </c>
      <c r="D8" s="18" t="s">
        <v>70</v>
      </c>
      <c r="E8" s="19" t="s">
        <v>71</v>
      </c>
      <c r="F8" t="str">
        <f>'Source Table'!$B$13</f>
        <v>Ophthal</v>
      </c>
      <c r="G8" t="str">
        <f>'Source Table'!$D$13</f>
        <v>عيون</v>
      </c>
      <c r="H8" s="20">
        <v>12270</v>
      </c>
      <c r="I8" s="20">
        <v>2023</v>
      </c>
    </row>
    <row r="9" ht="15.75" spans="1:9">
      <c r="A9" s="16" t="str">
        <f>'Source Table'!$B$3</f>
        <v>خدمات الصحة المدرسية</v>
      </c>
      <c r="B9" s="16" t="str">
        <f>'Source Table'!$B$2</f>
        <v>School Health Services</v>
      </c>
      <c r="C9" s="17" t="s">
        <v>69</v>
      </c>
      <c r="D9" s="18" t="s">
        <v>70</v>
      </c>
      <c r="E9" s="19" t="s">
        <v>71</v>
      </c>
      <c r="F9" t="str">
        <f>'Source Table'!$B$14</f>
        <v>Ear, Nose and Throat</v>
      </c>
      <c r="G9" t="str">
        <f>'Source Table'!$D$14</f>
        <v>أذن وأنف وحنجرة</v>
      </c>
      <c r="H9" s="20">
        <v>13342</v>
      </c>
      <c r="I9" s="20">
        <v>2023</v>
      </c>
    </row>
    <row r="10" ht="15.75" spans="1:9">
      <c r="A10" s="16" t="str">
        <f>'Source Table'!$B$3</f>
        <v>خدمات الصحة المدرسية</v>
      </c>
      <c r="B10" s="16" t="str">
        <f>'Source Table'!$B$2</f>
        <v>School Health Services</v>
      </c>
      <c r="C10" s="17" t="s">
        <v>69</v>
      </c>
      <c r="D10" s="18" t="s">
        <v>70</v>
      </c>
      <c r="E10" s="19" t="s">
        <v>71</v>
      </c>
      <c r="F10" t="str">
        <f>'Source Table'!$B$15</f>
        <v>Dermatology</v>
      </c>
      <c r="G10" t="str">
        <f>'Source Table'!$D$15</f>
        <v>جلدية</v>
      </c>
      <c r="H10" s="20">
        <v>9356</v>
      </c>
      <c r="I10" s="20">
        <v>2023</v>
      </c>
    </row>
    <row r="11" ht="15.75" spans="1:9">
      <c r="A11" s="16" t="str">
        <f>'Source Table'!$B$3</f>
        <v>خدمات الصحة المدرسية</v>
      </c>
      <c r="B11" s="16" t="str">
        <f>'Source Table'!$B$2</f>
        <v>School Health Services</v>
      </c>
      <c r="C11" s="17" t="s">
        <v>69</v>
      </c>
      <c r="D11" s="18" t="s">
        <v>70</v>
      </c>
      <c r="E11" s="19" t="s">
        <v>71</v>
      </c>
      <c r="F11" t="str">
        <f>'Source Table'!$B$16</f>
        <v>Spinal Column</v>
      </c>
      <c r="G11" t="str">
        <f>'Source Table'!$D$16</f>
        <v>العمود الفقري</v>
      </c>
      <c r="H11" s="20">
        <v>231</v>
      </c>
      <c r="I11" s="20">
        <v>2023</v>
      </c>
    </row>
    <row r="12" ht="15.75" spans="1:9">
      <c r="A12" s="16" t="str">
        <f>'Source Table'!$B$3</f>
        <v>خدمات الصحة المدرسية</v>
      </c>
      <c r="B12" s="16" t="str">
        <f>'Source Table'!$B$2</f>
        <v>School Health Services</v>
      </c>
      <c r="C12" s="17" t="s">
        <v>69</v>
      </c>
      <c r="D12" s="18" t="s">
        <v>70</v>
      </c>
      <c r="E12" s="19" t="s">
        <v>71</v>
      </c>
      <c r="F12" t="str">
        <f>'Source Table'!$B$18</f>
        <v>Dental Protections</v>
      </c>
      <c r="G12" t="str">
        <f>'Source Table'!$D$18</f>
        <v>وقاية الأسنان بالفلورايد</v>
      </c>
      <c r="H12" s="20"/>
      <c r="I12" s="20">
        <v>2023</v>
      </c>
    </row>
    <row r="13" ht="15.75" spans="1:9">
      <c r="A13" s="16" t="str">
        <f>'Source Table'!$B$3</f>
        <v>خدمات الصحة المدرسية</v>
      </c>
      <c r="B13" s="16" t="str">
        <f>'Source Table'!$B$2</f>
        <v>School Health Services</v>
      </c>
      <c r="C13" s="17" t="s">
        <v>69</v>
      </c>
      <c r="D13" s="18" t="s">
        <v>70</v>
      </c>
      <c r="E13" s="19" t="s">
        <v>71</v>
      </c>
      <c r="F13" t="str">
        <f>'Source Table'!$B$20</f>
        <v>No. of  Lectures</v>
      </c>
      <c r="G13" t="str">
        <f>'Source Table'!$D$20</f>
        <v>عدد المحاضرات</v>
      </c>
      <c r="H13" s="20">
        <v>5408</v>
      </c>
      <c r="I13" s="20">
        <v>2023</v>
      </c>
    </row>
    <row r="14" ht="15.75" spans="1:9">
      <c r="A14" s="16" t="str">
        <f>'Source Table'!$B$3</f>
        <v>خدمات الصحة المدرسية</v>
      </c>
      <c r="B14" s="16" t="str">
        <f>'Source Table'!$B$2</f>
        <v>School Health Services</v>
      </c>
      <c r="C14" s="17" t="s">
        <v>69</v>
      </c>
      <c r="D14" s="18" t="s">
        <v>70</v>
      </c>
      <c r="E14" s="19" t="s">
        <v>71</v>
      </c>
      <c r="F14" t="str">
        <f>'Source Table'!$B$21</f>
        <v>No. of  Films</v>
      </c>
      <c r="G14" t="str">
        <f>'Source Table'!$D$21</f>
        <v>عدد الأفلام</v>
      </c>
      <c r="H14" s="20"/>
      <c r="I14" s="20">
        <v>2023</v>
      </c>
    </row>
    <row r="15" ht="15.75" spans="1:9">
      <c r="A15" s="16" t="str">
        <f>'Source Table'!$B$3</f>
        <v>خدمات الصحة المدرسية</v>
      </c>
      <c r="B15" s="16" t="str">
        <f>'Source Table'!$B$2</f>
        <v>School Health Services</v>
      </c>
      <c r="C15" s="17" t="s">
        <v>69</v>
      </c>
      <c r="D15" s="18" t="s">
        <v>70</v>
      </c>
      <c r="E15" s="19" t="s">
        <v>71</v>
      </c>
      <c r="F15" t="str">
        <f>'Source Table'!$B$22</f>
        <v>No. of  Pamphlets and Posters</v>
      </c>
      <c r="G15" t="str">
        <f>'Source Table'!$D$22</f>
        <v>عدد النشرات والملصقات</v>
      </c>
      <c r="H15" s="20">
        <v>37354</v>
      </c>
      <c r="I15" s="20">
        <v>2023</v>
      </c>
    </row>
    <row r="16" ht="15.75" spans="1:9">
      <c r="A16" s="16" t="str">
        <f>'Source Table'!$B$3</f>
        <v>خدمات الصحة المدرسية</v>
      </c>
      <c r="B16" s="16" t="str">
        <f>'Source Table'!$B$2</f>
        <v>School Health Services</v>
      </c>
      <c r="C16" s="17" t="s">
        <v>69</v>
      </c>
      <c r="D16" s="18" t="s">
        <v>70</v>
      </c>
      <c r="E16" s="19" t="s">
        <v>71</v>
      </c>
      <c r="F16" t="str">
        <f>'Source Table'!$B$9</f>
        <v>No. of  Tested Students   </v>
      </c>
      <c r="G16" t="str">
        <f>'Source Table'!$D$9</f>
        <v>عدد الطلبة المفحوصين</v>
      </c>
      <c r="H16" s="20">
        <v>455799</v>
      </c>
      <c r="I16" s="20">
        <v>2022</v>
      </c>
    </row>
    <row r="17" ht="15.75" spans="1:9">
      <c r="A17" s="16" t="str">
        <f>'Source Table'!$B$3</f>
        <v>خدمات الصحة المدرسية</v>
      </c>
      <c r="B17" s="16" t="str">
        <f>'Source Table'!$B$2</f>
        <v>School Health Services</v>
      </c>
      <c r="C17" s="17" t="s">
        <v>69</v>
      </c>
      <c r="D17" s="18" t="s">
        <v>70</v>
      </c>
      <c r="E17" s="19" t="s">
        <v>71</v>
      </c>
      <c r="F17" t="str">
        <f>'Source Table'!$B$10</f>
        <v>No. of  Tested Schools</v>
      </c>
      <c r="G17" t="str">
        <f>'Source Table'!$D$10</f>
        <v>عدد المدارس التي فحص طلابها</v>
      </c>
      <c r="H17" s="20">
        <v>3790</v>
      </c>
      <c r="I17" s="20">
        <v>2022</v>
      </c>
    </row>
    <row r="18" ht="15.75" spans="1:9">
      <c r="A18" s="16" t="str">
        <f>'Source Table'!$B$3</f>
        <v>خدمات الصحة المدرسية</v>
      </c>
      <c r="B18" s="16" t="str">
        <f>'Source Table'!$B$2</f>
        <v>School Health Services</v>
      </c>
      <c r="C18" s="17" t="s">
        <v>69</v>
      </c>
      <c r="D18" s="18" t="s">
        <v>70</v>
      </c>
      <c r="E18" s="19" t="s">
        <v>71</v>
      </c>
      <c r="F18" t="str">
        <f>'Source Table'!$B$11</f>
        <v>No. of  Discovered Diseases</v>
      </c>
      <c r="G18" t="str">
        <f>'Source Table'!$D$11</f>
        <v>عدد الحالات المرضية المكتشفة</v>
      </c>
      <c r="H18" s="20">
        <v>39045</v>
      </c>
      <c r="I18" s="20">
        <v>2022</v>
      </c>
    </row>
    <row r="19" ht="15.75" spans="1:9">
      <c r="A19" s="16" t="str">
        <f>'Source Table'!$B$3</f>
        <v>خدمات الصحة المدرسية</v>
      </c>
      <c r="B19" s="16" t="str">
        <f>'Source Table'!$B$2</f>
        <v>School Health Services</v>
      </c>
      <c r="C19" s="17" t="s">
        <v>69</v>
      </c>
      <c r="D19" s="18" t="s">
        <v>70</v>
      </c>
      <c r="E19" s="19" t="s">
        <v>71</v>
      </c>
      <c r="F19" t="str">
        <f>'Source Table'!$B$12</f>
        <v>Internal</v>
      </c>
      <c r="G19" t="str">
        <f>'Source Table'!$D$12</f>
        <v>باطنية</v>
      </c>
      <c r="H19" s="20">
        <v>8981</v>
      </c>
      <c r="I19" s="20">
        <v>2022</v>
      </c>
    </row>
    <row r="20" ht="15.75" spans="1:9">
      <c r="A20" s="16" t="str">
        <f>'Source Table'!$B$3</f>
        <v>خدمات الصحة المدرسية</v>
      </c>
      <c r="B20" s="16" t="str">
        <f>'Source Table'!$B$2</f>
        <v>School Health Services</v>
      </c>
      <c r="C20" s="17" t="s">
        <v>69</v>
      </c>
      <c r="D20" s="18" t="s">
        <v>70</v>
      </c>
      <c r="E20" s="19" t="s">
        <v>71</v>
      </c>
      <c r="F20" t="str">
        <f>'Source Table'!$B$13</f>
        <v>Ophthal</v>
      </c>
      <c r="G20" t="str">
        <f>'Source Table'!$D$13</f>
        <v>عيون</v>
      </c>
      <c r="H20" s="20">
        <v>10861</v>
      </c>
      <c r="I20" s="20">
        <v>2022</v>
      </c>
    </row>
    <row r="21" ht="15.75" spans="1:9">
      <c r="A21" s="16" t="str">
        <f>'Source Table'!$B$3</f>
        <v>خدمات الصحة المدرسية</v>
      </c>
      <c r="B21" s="16" t="str">
        <f>'Source Table'!$B$2</f>
        <v>School Health Services</v>
      </c>
      <c r="C21" s="17" t="s">
        <v>69</v>
      </c>
      <c r="D21" s="18" t="s">
        <v>70</v>
      </c>
      <c r="E21" s="19" t="s">
        <v>71</v>
      </c>
      <c r="F21" t="str">
        <f>'Source Table'!$B$14</f>
        <v>Ear, Nose and Throat</v>
      </c>
      <c r="G21" t="str">
        <f>'Source Table'!$D$14</f>
        <v>أذن وأنف وحنجرة</v>
      </c>
      <c r="H21" s="20">
        <v>12135</v>
      </c>
      <c r="I21" s="20">
        <v>2022</v>
      </c>
    </row>
    <row r="22" ht="15.75" spans="1:9">
      <c r="A22" s="16" t="str">
        <f>'Source Table'!$B$3</f>
        <v>خدمات الصحة المدرسية</v>
      </c>
      <c r="B22" s="16" t="str">
        <f>'Source Table'!$B$2</f>
        <v>School Health Services</v>
      </c>
      <c r="C22" s="17" t="s">
        <v>69</v>
      </c>
      <c r="D22" s="18" t="s">
        <v>70</v>
      </c>
      <c r="E22" s="19" t="s">
        <v>71</v>
      </c>
      <c r="F22" t="str">
        <f>'Source Table'!$B$15</f>
        <v>Dermatology</v>
      </c>
      <c r="G22" t="str">
        <f>'Source Table'!$D$15</f>
        <v>جلدية</v>
      </c>
      <c r="H22" s="20">
        <v>6904</v>
      </c>
      <c r="I22" s="20">
        <v>2022</v>
      </c>
    </row>
    <row r="23" ht="15.75" spans="1:9">
      <c r="A23" s="16" t="str">
        <f>'Source Table'!$B$3</f>
        <v>خدمات الصحة المدرسية</v>
      </c>
      <c r="B23" s="16" t="str">
        <f>'Source Table'!$B$2</f>
        <v>School Health Services</v>
      </c>
      <c r="C23" s="17" t="s">
        <v>69</v>
      </c>
      <c r="D23" s="18" t="s">
        <v>70</v>
      </c>
      <c r="E23" s="19" t="s">
        <v>71</v>
      </c>
      <c r="F23" t="str">
        <f>'Source Table'!$B$16</f>
        <v>Spinal Column</v>
      </c>
      <c r="G23" t="str">
        <f>'Source Table'!$D$16</f>
        <v>العمود الفقري</v>
      </c>
      <c r="H23" s="20">
        <v>164</v>
      </c>
      <c r="I23" s="20">
        <v>2022</v>
      </c>
    </row>
    <row r="24" ht="15.75" spans="1:9">
      <c r="A24" s="16" t="str">
        <f>'Source Table'!$B$3</f>
        <v>خدمات الصحة المدرسية</v>
      </c>
      <c r="B24" s="16" t="str">
        <f>'Source Table'!$B$2</f>
        <v>School Health Services</v>
      </c>
      <c r="C24" s="17" t="s">
        <v>69</v>
      </c>
      <c r="D24" s="18" t="s">
        <v>70</v>
      </c>
      <c r="E24" s="19" t="s">
        <v>71</v>
      </c>
      <c r="F24" t="str">
        <f>'Source Table'!$B$18</f>
        <v>Dental Protections</v>
      </c>
      <c r="G24" t="str">
        <f>'Source Table'!$D$18</f>
        <v>وقاية الأسنان بالفلورايد</v>
      </c>
      <c r="H24" s="20"/>
      <c r="I24" s="20">
        <v>2022</v>
      </c>
    </row>
    <row r="25" ht="15.75" spans="1:9">
      <c r="A25" s="16" t="str">
        <f>'Source Table'!$B$3</f>
        <v>خدمات الصحة المدرسية</v>
      </c>
      <c r="B25" s="16" t="str">
        <f>'Source Table'!$B$2</f>
        <v>School Health Services</v>
      </c>
      <c r="C25" s="17" t="s">
        <v>69</v>
      </c>
      <c r="D25" s="18" t="s">
        <v>70</v>
      </c>
      <c r="E25" s="19" t="s">
        <v>71</v>
      </c>
      <c r="F25" t="str">
        <f>'Source Table'!$B$20</f>
        <v>No. of  Lectures</v>
      </c>
      <c r="G25" t="str">
        <f>'Source Table'!$D$20</f>
        <v>عدد المحاضرات</v>
      </c>
      <c r="H25" s="20">
        <v>5408</v>
      </c>
      <c r="I25" s="20">
        <v>2022</v>
      </c>
    </row>
    <row r="26" ht="15.75" spans="1:9">
      <c r="A26" s="16" t="str">
        <f>'Source Table'!$B$3</f>
        <v>خدمات الصحة المدرسية</v>
      </c>
      <c r="B26" s="16" t="str">
        <f>'Source Table'!$B$2</f>
        <v>School Health Services</v>
      </c>
      <c r="C26" s="17" t="s">
        <v>69</v>
      </c>
      <c r="D26" s="18" t="s">
        <v>70</v>
      </c>
      <c r="E26" s="19" t="s">
        <v>71</v>
      </c>
      <c r="F26" t="str">
        <f>'Source Table'!$B$21</f>
        <v>No. of  Films</v>
      </c>
      <c r="G26" t="str">
        <f>'Source Table'!$D$21</f>
        <v>عدد الأفلام</v>
      </c>
      <c r="H26" s="20"/>
      <c r="I26" s="20">
        <v>2022</v>
      </c>
    </row>
    <row r="27" ht="15.75" spans="1:9">
      <c r="A27" s="16" t="str">
        <f>'Source Table'!$B$3</f>
        <v>خدمات الصحة المدرسية</v>
      </c>
      <c r="B27" s="16" t="str">
        <f>'Source Table'!$B$2</f>
        <v>School Health Services</v>
      </c>
      <c r="C27" s="17" t="s">
        <v>69</v>
      </c>
      <c r="D27" s="18" t="s">
        <v>70</v>
      </c>
      <c r="E27" s="19" t="s">
        <v>71</v>
      </c>
      <c r="F27" t="str">
        <f>'Source Table'!$B$22</f>
        <v>No. of  Pamphlets and Posters</v>
      </c>
      <c r="G27" t="str">
        <f>'Source Table'!$D$22</f>
        <v>عدد النشرات والملصقات</v>
      </c>
      <c r="H27" s="20">
        <v>37354</v>
      </c>
      <c r="I27" s="20">
        <v>2022</v>
      </c>
    </row>
    <row r="28" ht="15.75" spans="1:9">
      <c r="A28" s="16" t="str">
        <f>'Source Table'!$B$3</f>
        <v>خدمات الصحة المدرسية</v>
      </c>
      <c r="B28" s="16" t="str">
        <f>'Source Table'!$B$2</f>
        <v>School Health Services</v>
      </c>
      <c r="C28" s="17" t="s">
        <v>69</v>
      </c>
      <c r="D28" s="18" t="s">
        <v>70</v>
      </c>
      <c r="E28" s="19" t="s">
        <v>71</v>
      </c>
      <c r="F28" t="str">
        <f>'Source Table'!$B$9</f>
        <v>No. of  Tested Students   </v>
      </c>
      <c r="G28" t="str">
        <f>'Source Table'!$D$9</f>
        <v>عدد الطلبة المفحوصين</v>
      </c>
      <c r="H28" s="20">
        <v>180431</v>
      </c>
      <c r="I28" s="20">
        <v>2021</v>
      </c>
    </row>
    <row r="29" ht="15.75" spans="1:9">
      <c r="A29" s="16" t="str">
        <f>'Source Table'!$B$3</f>
        <v>خدمات الصحة المدرسية</v>
      </c>
      <c r="B29" s="16" t="str">
        <f>'Source Table'!$B$2</f>
        <v>School Health Services</v>
      </c>
      <c r="C29" s="17" t="s">
        <v>69</v>
      </c>
      <c r="D29" s="18" t="s">
        <v>70</v>
      </c>
      <c r="E29" s="19" t="s">
        <v>71</v>
      </c>
      <c r="F29" t="str">
        <f>'Source Table'!$B$10</f>
        <v>No. of  Tested Schools</v>
      </c>
      <c r="G29" t="str">
        <f>'Source Table'!$D$10</f>
        <v>عدد المدارس التي فحص طلابها</v>
      </c>
      <c r="H29" s="20">
        <v>3678</v>
      </c>
      <c r="I29" s="20">
        <v>2021</v>
      </c>
    </row>
    <row r="30" ht="15.75" spans="1:9">
      <c r="A30" s="16" t="str">
        <f>'Source Table'!$B$3</f>
        <v>خدمات الصحة المدرسية</v>
      </c>
      <c r="B30" s="16" t="str">
        <f>'Source Table'!$B$2</f>
        <v>School Health Services</v>
      </c>
      <c r="C30" s="17" t="s">
        <v>69</v>
      </c>
      <c r="D30" s="18" t="s">
        <v>70</v>
      </c>
      <c r="E30" s="19" t="s">
        <v>71</v>
      </c>
      <c r="F30" t="str">
        <f>'Source Table'!$B$11</f>
        <v>No. of  Discovered Diseases</v>
      </c>
      <c r="G30" t="str">
        <f>'Source Table'!$D$11</f>
        <v>عدد الحالات المرضية المكتشفة</v>
      </c>
      <c r="H30" s="20">
        <v>12674</v>
      </c>
      <c r="I30" s="20">
        <v>2021</v>
      </c>
    </row>
    <row r="31" ht="15.75" spans="1:9">
      <c r="A31" s="16" t="str">
        <f>'Source Table'!$B$3</f>
        <v>خدمات الصحة المدرسية</v>
      </c>
      <c r="B31" s="16" t="str">
        <f>'Source Table'!$B$2</f>
        <v>School Health Services</v>
      </c>
      <c r="C31" s="17" t="s">
        <v>69</v>
      </c>
      <c r="D31" s="18" t="s">
        <v>70</v>
      </c>
      <c r="E31" s="19" t="s">
        <v>71</v>
      </c>
      <c r="F31" t="str">
        <f>'Source Table'!$B$12</f>
        <v>Internal</v>
      </c>
      <c r="G31" t="str">
        <f>'Source Table'!$D$12</f>
        <v>باطنية</v>
      </c>
      <c r="H31" s="20">
        <v>3336</v>
      </c>
      <c r="I31" s="20">
        <v>2021</v>
      </c>
    </row>
    <row r="32" ht="15.75" spans="1:9">
      <c r="A32" s="16" t="str">
        <f>'Source Table'!$B$3</f>
        <v>خدمات الصحة المدرسية</v>
      </c>
      <c r="B32" s="16" t="str">
        <f>'Source Table'!$B$2</f>
        <v>School Health Services</v>
      </c>
      <c r="C32" s="17" t="s">
        <v>69</v>
      </c>
      <c r="D32" s="18" t="s">
        <v>70</v>
      </c>
      <c r="E32" s="19" t="s">
        <v>71</v>
      </c>
      <c r="F32" t="str">
        <f>'Source Table'!$B$13</f>
        <v>Ophthal</v>
      </c>
      <c r="G32" t="str">
        <f>'Source Table'!$D$13</f>
        <v>عيون</v>
      </c>
      <c r="H32" s="20">
        <v>3076</v>
      </c>
      <c r="I32" s="20">
        <v>2021</v>
      </c>
    </row>
    <row r="33" ht="15.75" spans="1:9">
      <c r="A33" s="16" t="str">
        <f>'Source Table'!$B$3</f>
        <v>خدمات الصحة المدرسية</v>
      </c>
      <c r="B33" s="16" t="str">
        <f>'Source Table'!$B$2</f>
        <v>School Health Services</v>
      </c>
      <c r="C33" s="17" t="s">
        <v>69</v>
      </c>
      <c r="D33" s="18" t="s">
        <v>70</v>
      </c>
      <c r="E33" s="19" t="s">
        <v>71</v>
      </c>
      <c r="F33" t="str">
        <f>'Source Table'!$B$14</f>
        <v>Ear, Nose and Throat</v>
      </c>
      <c r="G33" t="str">
        <f>'Source Table'!$D$14</f>
        <v>أذن وأنف وحنجرة</v>
      </c>
      <c r="H33" s="20">
        <v>2975</v>
      </c>
      <c r="I33" s="20">
        <v>2021</v>
      </c>
    </row>
    <row r="34" ht="15.75" spans="1:9">
      <c r="A34" s="16" t="str">
        <f>'Source Table'!$B$3</f>
        <v>خدمات الصحة المدرسية</v>
      </c>
      <c r="B34" s="16" t="str">
        <f>'Source Table'!$B$2</f>
        <v>School Health Services</v>
      </c>
      <c r="C34" s="17" t="s">
        <v>69</v>
      </c>
      <c r="D34" s="18" t="s">
        <v>70</v>
      </c>
      <c r="E34" s="19" t="s">
        <v>71</v>
      </c>
      <c r="F34" t="str">
        <f>'Source Table'!$B$15</f>
        <v>Dermatology</v>
      </c>
      <c r="G34" t="str">
        <f>'Source Table'!$D$15</f>
        <v>جلدية</v>
      </c>
      <c r="H34" s="20">
        <v>3261</v>
      </c>
      <c r="I34" s="20">
        <v>2021</v>
      </c>
    </row>
    <row r="35" ht="15.75" spans="1:9">
      <c r="A35" s="16" t="str">
        <f>'Source Table'!$B$3</f>
        <v>خدمات الصحة المدرسية</v>
      </c>
      <c r="B35" s="16" t="str">
        <f>'Source Table'!$B$2</f>
        <v>School Health Services</v>
      </c>
      <c r="C35" s="17" t="s">
        <v>69</v>
      </c>
      <c r="D35" s="18" t="s">
        <v>70</v>
      </c>
      <c r="E35" s="19" t="s">
        <v>71</v>
      </c>
      <c r="F35" t="str">
        <f>'Source Table'!$B$16</f>
        <v>Spinal Column</v>
      </c>
      <c r="G35" t="str">
        <f>'Source Table'!$D$16</f>
        <v>العمود الفقري</v>
      </c>
      <c r="H35" s="20">
        <v>26</v>
      </c>
      <c r="I35" s="20">
        <v>2021</v>
      </c>
    </row>
    <row r="36" ht="15.75" spans="1:9">
      <c r="A36" s="16" t="str">
        <f>'Source Table'!$B$3</f>
        <v>خدمات الصحة المدرسية</v>
      </c>
      <c r="B36" s="16" t="str">
        <f>'Source Table'!$B$2</f>
        <v>School Health Services</v>
      </c>
      <c r="C36" s="17" t="s">
        <v>69</v>
      </c>
      <c r="D36" s="18" t="s">
        <v>70</v>
      </c>
      <c r="E36" s="19" t="s">
        <v>71</v>
      </c>
      <c r="F36" t="str">
        <f>'Source Table'!$B$18</f>
        <v>Dental Protections</v>
      </c>
      <c r="G36" t="str">
        <f>'Source Table'!$D$18</f>
        <v>وقاية الأسنان بالفلورايد</v>
      </c>
      <c r="H36" s="20"/>
      <c r="I36" s="20">
        <v>2021</v>
      </c>
    </row>
    <row r="37" ht="15.75" spans="1:9">
      <c r="A37" s="16" t="str">
        <f>'Source Table'!$B$3</f>
        <v>خدمات الصحة المدرسية</v>
      </c>
      <c r="B37" s="16" t="str">
        <f>'Source Table'!$B$2</f>
        <v>School Health Services</v>
      </c>
      <c r="C37" s="17" t="s">
        <v>69</v>
      </c>
      <c r="D37" s="18" t="s">
        <v>70</v>
      </c>
      <c r="E37" s="19" t="s">
        <v>71</v>
      </c>
      <c r="F37" t="str">
        <f>'Source Table'!$B$20</f>
        <v>No. of  Lectures</v>
      </c>
      <c r="G37" t="str">
        <f>'Source Table'!$D$20</f>
        <v>عدد المحاضرات</v>
      </c>
      <c r="H37" s="20">
        <v>2170</v>
      </c>
      <c r="I37" s="20">
        <v>2021</v>
      </c>
    </row>
    <row r="38" ht="15.75" spans="1:9">
      <c r="A38" s="16" t="str">
        <f>'Source Table'!$B$3</f>
        <v>خدمات الصحة المدرسية</v>
      </c>
      <c r="B38" s="16" t="str">
        <f>'Source Table'!$B$2</f>
        <v>School Health Services</v>
      </c>
      <c r="C38" s="17" t="s">
        <v>69</v>
      </c>
      <c r="D38" s="18" t="s">
        <v>70</v>
      </c>
      <c r="E38" s="19" t="s">
        <v>71</v>
      </c>
      <c r="F38" t="str">
        <f>'Source Table'!$B$21</f>
        <v>No. of  Films</v>
      </c>
      <c r="G38" t="str">
        <f>'Source Table'!$D$21</f>
        <v>عدد الأفلام</v>
      </c>
      <c r="H38" s="20"/>
      <c r="I38" s="20">
        <v>2021</v>
      </c>
    </row>
    <row r="39" ht="15.75" spans="1:9">
      <c r="A39" s="16" t="str">
        <f>'Source Table'!$B$3</f>
        <v>خدمات الصحة المدرسية</v>
      </c>
      <c r="B39" s="16" t="str">
        <f>'Source Table'!$B$2</f>
        <v>School Health Services</v>
      </c>
      <c r="C39" s="17" t="s">
        <v>69</v>
      </c>
      <c r="D39" s="18" t="s">
        <v>70</v>
      </c>
      <c r="E39" s="19" t="s">
        <v>71</v>
      </c>
      <c r="F39" t="str">
        <f>'Source Table'!$B$22</f>
        <v>No. of  Pamphlets and Posters</v>
      </c>
      <c r="G39" t="str">
        <f>'Source Table'!$D$22</f>
        <v>عدد النشرات والملصقات</v>
      </c>
      <c r="H39" s="20">
        <v>61619</v>
      </c>
      <c r="I39" s="20">
        <v>2021</v>
      </c>
    </row>
    <row r="40" ht="15.75" spans="1:9">
      <c r="A40" s="16" t="str">
        <f>'Source Table'!$B$3</f>
        <v>خدمات الصحة المدرسية</v>
      </c>
      <c r="B40" s="16" t="str">
        <f>'Source Table'!$B$2</f>
        <v>School Health Services</v>
      </c>
      <c r="C40" s="17" t="s">
        <v>69</v>
      </c>
      <c r="D40" s="18" t="s">
        <v>70</v>
      </c>
      <c r="E40" s="19" t="s">
        <v>71</v>
      </c>
      <c r="F40" t="str">
        <f>'Source Table'!$B$9</f>
        <v>No. of  Tested Students   </v>
      </c>
      <c r="G40" t="str">
        <f>'Source Table'!$D$9</f>
        <v>عدد الطلبة المفحوصين</v>
      </c>
      <c r="H40" s="20">
        <v>292119</v>
      </c>
      <c r="I40" s="20">
        <v>2020</v>
      </c>
    </row>
    <row r="41" ht="15.75" spans="1:9">
      <c r="A41" s="16" t="str">
        <f>'Source Table'!$B$3</f>
        <v>خدمات الصحة المدرسية</v>
      </c>
      <c r="B41" s="16" t="str">
        <f>'Source Table'!$B$2</f>
        <v>School Health Services</v>
      </c>
      <c r="C41" s="17" t="s">
        <v>69</v>
      </c>
      <c r="D41" s="18" t="s">
        <v>70</v>
      </c>
      <c r="E41" s="19" t="s">
        <v>71</v>
      </c>
      <c r="F41" t="str">
        <f>'Source Table'!$B$10</f>
        <v>No. of  Tested Schools</v>
      </c>
      <c r="G41" t="str">
        <f>'Source Table'!$D$10</f>
        <v>عدد المدارس التي فحص طلابها</v>
      </c>
      <c r="H41" s="20">
        <v>3691</v>
      </c>
      <c r="I41" s="20">
        <v>2020</v>
      </c>
    </row>
    <row r="42" ht="15.75" spans="1:9">
      <c r="A42" s="16" t="str">
        <f>'Source Table'!$B$3</f>
        <v>خدمات الصحة المدرسية</v>
      </c>
      <c r="B42" s="16" t="str">
        <f>'Source Table'!$B$2</f>
        <v>School Health Services</v>
      </c>
      <c r="C42" s="17" t="s">
        <v>69</v>
      </c>
      <c r="D42" s="18" t="s">
        <v>70</v>
      </c>
      <c r="E42" s="19" t="s">
        <v>71</v>
      </c>
      <c r="F42" t="str">
        <f>'Source Table'!$B$11</f>
        <v>No. of  Discovered Diseases</v>
      </c>
      <c r="G42" t="str">
        <f>'Source Table'!$D$11</f>
        <v>عدد الحالات المرضية المكتشفة</v>
      </c>
      <c r="H42" s="20">
        <v>27258</v>
      </c>
      <c r="I42" s="20">
        <v>2020</v>
      </c>
    </row>
    <row r="43" ht="15.75" spans="1:9">
      <c r="A43" s="16" t="str">
        <f>'Source Table'!$B$3</f>
        <v>خدمات الصحة المدرسية</v>
      </c>
      <c r="B43" s="16" t="str">
        <f>'Source Table'!$B$2</f>
        <v>School Health Services</v>
      </c>
      <c r="C43" s="17" t="s">
        <v>69</v>
      </c>
      <c r="D43" s="18" t="s">
        <v>70</v>
      </c>
      <c r="E43" s="19" t="s">
        <v>71</v>
      </c>
      <c r="F43" t="str">
        <f>'Source Table'!$B$12</f>
        <v>Internal</v>
      </c>
      <c r="G43" t="str">
        <f>'Source Table'!$D$12</f>
        <v>باطنية</v>
      </c>
      <c r="H43" s="20">
        <v>5763</v>
      </c>
      <c r="I43" s="20">
        <v>2020</v>
      </c>
    </row>
    <row r="44" ht="15.75" spans="1:9">
      <c r="A44" s="16" t="str">
        <f>'Source Table'!$B$3</f>
        <v>خدمات الصحة المدرسية</v>
      </c>
      <c r="B44" s="16" t="str">
        <f>'Source Table'!$B$2</f>
        <v>School Health Services</v>
      </c>
      <c r="C44" s="17" t="s">
        <v>69</v>
      </c>
      <c r="D44" s="18" t="s">
        <v>70</v>
      </c>
      <c r="E44" s="19" t="s">
        <v>71</v>
      </c>
      <c r="F44" t="str">
        <f>'Source Table'!$B$13</f>
        <v>Ophthal</v>
      </c>
      <c r="G44" t="str">
        <f>'Source Table'!$D$13</f>
        <v>عيون</v>
      </c>
      <c r="H44" s="20">
        <v>6436</v>
      </c>
      <c r="I44" s="20">
        <v>2020</v>
      </c>
    </row>
    <row r="45" ht="15.75" spans="1:9">
      <c r="A45" s="16" t="str">
        <f>'Source Table'!$B$3</f>
        <v>خدمات الصحة المدرسية</v>
      </c>
      <c r="B45" s="16" t="str">
        <f>'Source Table'!$B$2</f>
        <v>School Health Services</v>
      </c>
      <c r="C45" s="17" t="s">
        <v>69</v>
      </c>
      <c r="D45" s="18" t="s">
        <v>70</v>
      </c>
      <c r="E45" s="19" t="s">
        <v>71</v>
      </c>
      <c r="F45" t="str">
        <f>'Source Table'!$B$14</f>
        <v>Ear, Nose and Throat</v>
      </c>
      <c r="G45" t="str">
        <f>'Source Table'!$D$14</f>
        <v>أذن وأنف وحنجرة</v>
      </c>
      <c r="H45" s="20">
        <v>7896</v>
      </c>
      <c r="I45" s="20">
        <v>2020</v>
      </c>
    </row>
    <row r="46" ht="15.75" spans="1:9">
      <c r="A46" s="16" t="str">
        <f>'Source Table'!$B$3</f>
        <v>خدمات الصحة المدرسية</v>
      </c>
      <c r="B46" s="16" t="str">
        <f>'Source Table'!$B$2</f>
        <v>School Health Services</v>
      </c>
      <c r="C46" s="17" t="s">
        <v>69</v>
      </c>
      <c r="D46" s="18" t="s">
        <v>70</v>
      </c>
      <c r="E46" s="19" t="s">
        <v>71</v>
      </c>
      <c r="F46" t="str">
        <f>'Source Table'!$B$15</f>
        <v>Dermatology</v>
      </c>
      <c r="G46" t="str">
        <f>'Source Table'!$D$15</f>
        <v>جلدية</v>
      </c>
      <c r="H46" s="20">
        <v>7054</v>
      </c>
      <c r="I46" s="20">
        <v>2020</v>
      </c>
    </row>
    <row r="47" ht="15.75" spans="1:9">
      <c r="A47" s="16" t="str">
        <f>'Source Table'!$B$3</f>
        <v>خدمات الصحة المدرسية</v>
      </c>
      <c r="B47" s="16" t="str">
        <f>'Source Table'!$B$2</f>
        <v>School Health Services</v>
      </c>
      <c r="C47" s="17" t="s">
        <v>69</v>
      </c>
      <c r="D47" s="18" t="s">
        <v>70</v>
      </c>
      <c r="E47" s="19" t="s">
        <v>71</v>
      </c>
      <c r="F47" t="str">
        <f>'Source Table'!$B$16</f>
        <v>Spinal Column</v>
      </c>
      <c r="G47" t="str">
        <f>'Source Table'!$D$16</f>
        <v>العمود الفقري</v>
      </c>
      <c r="H47" s="20">
        <v>109</v>
      </c>
      <c r="I47" s="20">
        <v>2020</v>
      </c>
    </row>
    <row r="48" ht="15.75" spans="1:9">
      <c r="A48" s="16" t="str">
        <f>'Source Table'!$B$3</f>
        <v>خدمات الصحة المدرسية</v>
      </c>
      <c r="B48" s="16" t="str">
        <f>'Source Table'!$B$2</f>
        <v>School Health Services</v>
      </c>
      <c r="C48" s="17" t="s">
        <v>69</v>
      </c>
      <c r="D48" s="18" t="s">
        <v>70</v>
      </c>
      <c r="E48" s="19" t="s">
        <v>71</v>
      </c>
      <c r="F48" t="str">
        <f>'Source Table'!$B$18</f>
        <v>Dental Protections</v>
      </c>
      <c r="G48" t="str">
        <f>'Source Table'!$D$18</f>
        <v>وقاية الأسنان بالفلورايد</v>
      </c>
      <c r="H48" s="20"/>
      <c r="I48" s="20">
        <v>2020</v>
      </c>
    </row>
    <row r="49" ht="15.75" spans="1:9">
      <c r="A49" s="16" t="str">
        <f>'Source Table'!$B$3</f>
        <v>خدمات الصحة المدرسية</v>
      </c>
      <c r="B49" s="16" t="str">
        <f>'Source Table'!$B$2</f>
        <v>School Health Services</v>
      </c>
      <c r="C49" s="17" t="s">
        <v>69</v>
      </c>
      <c r="D49" s="18" t="s">
        <v>70</v>
      </c>
      <c r="E49" s="19" t="s">
        <v>71</v>
      </c>
      <c r="F49" t="str">
        <f>'Source Table'!$B$20</f>
        <v>No. of  Lectures</v>
      </c>
      <c r="G49" t="str">
        <f>'Source Table'!$D$20</f>
        <v>عدد المحاضرات</v>
      </c>
      <c r="H49" s="20">
        <v>5164</v>
      </c>
      <c r="I49" s="20">
        <v>2020</v>
      </c>
    </row>
    <row r="50" ht="15.75" spans="1:9">
      <c r="A50" s="16" t="str">
        <f>'Source Table'!$B$3</f>
        <v>خدمات الصحة المدرسية</v>
      </c>
      <c r="B50" s="16" t="str">
        <f>'Source Table'!$B$2</f>
        <v>School Health Services</v>
      </c>
      <c r="C50" s="17" t="s">
        <v>69</v>
      </c>
      <c r="D50" s="18" t="s">
        <v>70</v>
      </c>
      <c r="E50" s="19" t="s">
        <v>71</v>
      </c>
      <c r="F50" t="str">
        <f>'Source Table'!$B$21</f>
        <v>No. of  Films</v>
      </c>
      <c r="G50" t="str">
        <f>'Source Table'!$D$21</f>
        <v>عدد الأفلام</v>
      </c>
      <c r="H50" s="20"/>
      <c r="I50" s="20">
        <v>2020</v>
      </c>
    </row>
    <row r="51" ht="15.75" spans="1:9">
      <c r="A51" s="16" t="str">
        <f>'Source Table'!$B$3</f>
        <v>خدمات الصحة المدرسية</v>
      </c>
      <c r="B51" s="16" t="str">
        <f>'Source Table'!$B$2</f>
        <v>School Health Services</v>
      </c>
      <c r="C51" s="17" t="s">
        <v>69</v>
      </c>
      <c r="D51" s="18" t="s">
        <v>70</v>
      </c>
      <c r="E51" s="19" t="s">
        <v>71</v>
      </c>
      <c r="F51" t="str">
        <f>'Source Table'!$B$22</f>
        <v>No. of  Pamphlets and Posters</v>
      </c>
      <c r="G51" t="str">
        <f>'Source Table'!$D$22</f>
        <v>عدد النشرات والملصقات</v>
      </c>
      <c r="H51" s="20">
        <v>86776</v>
      </c>
      <c r="I51" s="20">
        <v>2020</v>
      </c>
    </row>
    <row r="52" ht="15.75" spans="1:9">
      <c r="A52" s="16" t="str">
        <f>'Source Table'!$B$3</f>
        <v>خدمات الصحة المدرسية</v>
      </c>
      <c r="B52" s="16" t="str">
        <f>'Source Table'!$B$2</f>
        <v>School Health Services</v>
      </c>
      <c r="C52" s="17" t="s">
        <v>69</v>
      </c>
      <c r="D52" s="18" t="s">
        <v>70</v>
      </c>
      <c r="E52" s="19" t="s">
        <v>71</v>
      </c>
      <c r="F52" t="str">
        <f>'Source Table'!$B$9</f>
        <v>No. of  Tested Students   </v>
      </c>
      <c r="G52" t="str">
        <f>'Source Table'!$D$9</f>
        <v>عدد الطلبة المفحوصين</v>
      </c>
      <c r="H52" s="20">
        <v>420855</v>
      </c>
      <c r="I52" s="20">
        <v>2019</v>
      </c>
    </row>
    <row r="53" ht="15.75" spans="1:9">
      <c r="A53" s="16" t="str">
        <f>'Source Table'!$B$3</f>
        <v>خدمات الصحة المدرسية</v>
      </c>
      <c r="B53" s="16" t="str">
        <f>'Source Table'!$B$2</f>
        <v>School Health Services</v>
      </c>
      <c r="C53" s="17" t="s">
        <v>69</v>
      </c>
      <c r="D53" s="18" t="s">
        <v>70</v>
      </c>
      <c r="E53" s="19" t="s">
        <v>71</v>
      </c>
      <c r="F53" t="str">
        <f>'Source Table'!$B$10</f>
        <v>No. of  Tested Schools</v>
      </c>
      <c r="G53" t="str">
        <f>'Source Table'!$D$10</f>
        <v>عدد المدارس التي فحص طلابها</v>
      </c>
      <c r="H53" s="20">
        <v>3626</v>
      </c>
      <c r="I53" s="20">
        <v>2019</v>
      </c>
    </row>
    <row r="54" ht="15.75" spans="1:9">
      <c r="A54" s="16" t="str">
        <f>'Source Table'!$B$3</f>
        <v>خدمات الصحة المدرسية</v>
      </c>
      <c r="B54" s="16" t="str">
        <f>'Source Table'!$B$2</f>
        <v>School Health Services</v>
      </c>
      <c r="C54" s="17" t="s">
        <v>69</v>
      </c>
      <c r="D54" s="18" t="s">
        <v>70</v>
      </c>
      <c r="E54" s="19" t="s">
        <v>71</v>
      </c>
      <c r="F54" t="str">
        <f>'Source Table'!$B$11</f>
        <v>No. of  Discovered Diseases</v>
      </c>
      <c r="G54" t="str">
        <f>'Source Table'!$D$11</f>
        <v>عدد الحالات المرضية المكتشفة</v>
      </c>
      <c r="H54" s="20">
        <v>46531</v>
      </c>
      <c r="I54" s="20">
        <v>2019</v>
      </c>
    </row>
    <row r="55" ht="15.75" spans="1:9">
      <c r="A55" s="16" t="str">
        <f>'Source Table'!$B$3</f>
        <v>خدمات الصحة المدرسية</v>
      </c>
      <c r="B55" s="16" t="str">
        <f>'Source Table'!$B$2</f>
        <v>School Health Services</v>
      </c>
      <c r="C55" s="17" t="s">
        <v>69</v>
      </c>
      <c r="D55" s="18" t="s">
        <v>70</v>
      </c>
      <c r="E55" s="19" t="s">
        <v>71</v>
      </c>
      <c r="F55" t="str">
        <f>'Source Table'!$B$12</f>
        <v>Internal</v>
      </c>
      <c r="G55" t="str">
        <f>'Source Table'!$D$12</f>
        <v>باطنية</v>
      </c>
      <c r="H55" s="20">
        <v>8277</v>
      </c>
      <c r="I55" s="20">
        <v>2019</v>
      </c>
    </row>
    <row r="56" ht="15.75" spans="1:9">
      <c r="A56" s="16" t="str">
        <f>'Source Table'!$B$3</f>
        <v>خدمات الصحة المدرسية</v>
      </c>
      <c r="B56" s="16" t="str">
        <f>'Source Table'!$B$2</f>
        <v>School Health Services</v>
      </c>
      <c r="C56" s="17" t="s">
        <v>69</v>
      </c>
      <c r="D56" s="18" t="s">
        <v>70</v>
      </c>
      <c r="E56" s="19" t="s">
        <v>71</v>
      </c>
      <c r="F56" t="str">
        <f>'Source Table'!$B$13</f>
        <v>Ophthal</v>
      </c>
      <c r="G56" t="str">
        <f>'Source Table'!$D$13</f>
        <v>عيون</v>
      </c>
      <c r="H56" s="20">
        <v>11522</v>
      </c>
      <c r="I56" s="20">
        <v>2019</v>
      </c>
    </row>
    <row r="57" ht="15.75" spans="1:9">
      <c r="A57" s="16" t="str">
        <f>'Source Table'!$B$3</f>
        <v>خدمات الصحة المدرسية</v>
      </c>
      <c r="B57" s="16" t="str">
        <f>'Source Table'!$B$2</f>
        <v>School Health Services</v>
      </c>
      <c r="C57" s="17" t="s">
        <v>69</v>
      </c>
      <c r="D57" s="18" t="s">
        <v>70</v>
      </c>
      <c r="E57" s="19" t="s">
        <v>71</v>
      </c>
      <c r="F57" t="str">
        <f>'Source Table'!$B$14</f>
        <v>Ear, Nose and Throat</v>
      </c>
      <c r="G57" t="str">
        <f>'Source Table'!$D$14</f>
        <v>أذن وأنف وحنجرة</v>
      </c>
      <c r="H57" s="20">
        <v>14480</v>
      </c>
      <c r="I57" s="20">
        <v>2019</v>
      </c>
    </row>
    <row r="58" ht="15.75" spans="1:9">
      <c r="A58" s="16" t="str">
        <f>'Source Table'!$B$3</f>
        <v>خدمات الصحة المدرسية</v>
      </c>
      <c r="B58" s="16" t="str">
        <f>'Source Table'!$B$2</f>
        <v>School Health Services</v>
      </c>
      <c r="C58" s="17" t="s">
        <v>69</v>
      </c>
      <c r="D58" s="18" t="s">
        <v>70</v>
      </c>
      <c r="E58" s="19" t="s">
        <v>71</v>
      </c>
      <c r="F58" t="str">
        <f>'Source Table'!$B$15</f>
        <v>Dermatology</v>
      </c>
      <c r="G58" t="str">
        <f>'Source Table'!$D$15</f>
        <v>جلدية</v>
      </c>
      <c r="H58" s="20">
        <v>12172</v>
      </c>
      <c r="I58" s="20">
        <v>2019</v>
      </c>
    </row>
    <row r="59" ht="15.75" spans="1:9">
      <c r="A59" s="16" t="str">
        <f>'Source Table'!$B$3</f>
        <v>خدمات الصحة المدرسية</v>
      </c>
      <c r="B59" s="16" t="str">
        <f>'Source Table'!$B$2</f>
        <v>School Health Services</v>
      </c>
      <c r="C59" s="17" t="s">
        <v>69</v>
      </c>
      <c r="D59" s="18" t="s">
        <v>70</v>
      </c>
      <c r="E59" s="19" t="s">
        <v>71</v>
      </c>
      <c r="F59" t="str">
        <f>'Source Table'!$B$16</f>
        <v>Spinal Column</v>
      </c>
      <c r="G59" t="str">
        <f>'Source Table'!$D$16</f>
        <v>العمود الفقري</v>
      </c>
      <c r="H59" s="20">
        <v>80</v>
      </c>
      <c r="I59" s="20">
        <v>2019</v>
      </c>
    </row>
    <row r="60" ht="15.75" spans="1:9">
      <c r="A60" s="16" t="str">
        <f>'Source Table'!$B$3</f>
        <v>خدمات الصحة المدرسية</v>
      </c>
      <c r="B60" s="16" t="str">
        <f>'Source Table'!$B$2</f>
        <v>School Health Services</v>
      </c>
      <c r="C60" s="17" t="s">
        <v>69</v>
      </c>
      <c r="D60" s="18" t="s">
        <v>70</v>
      </c>
      <c r="E60" s="19" t="s">
        <v>71</v>
      </c>
      <c r="F60" t="str">
        <f>'Source Table'!$B$18</f>
        <v>Dental Protections</v>
      </c>
      <c r="G60" t="str">
        <f>'Source Table'!$D$18</f>
        <v>وقاية الأسنان بالفلورايد</v>
      </c>
      <c r="H60" s="20"/>
      <c r="I60" s="20">
        <v>2019</v>
      </c>
    </row>
    <row r="61" ht="15.75" spans="1:9">
      <c r="A61" s="16" t="str">
        <f>'Source Table'!$B$3</f>
        <v>خدمات الصحة المدرسية</v>
      </c>
      <c r="B61" s="16" t="str">
        <f>'Source Table'!$B$2</f>
        <v>School Health Services</v>
      </c>
      <c r="C61" s="17" t="s">
        <v>69</v>
      </c>
      <c r="D61" s="18" t="s">
        <v>70</v>
      </c>
      <c r="E61" s="19" t="s">
        <v>71</v>
      </c>
      <c r="F61" t="str">
        <f>'Source Table'!$B$20</f>
        <v>No. of  Lectures</v>
      </c>
      <c r="G61" t="str">
        <f>'Source Table'!$D$20</f>
        <v>عدد المحاضرات</v>
      </c>
      <c r="H61" s="20">
        <v>6401</v>
      </c>
      <c r="I61" s="20">
        <v>2019</v>
      </c>
    </row>
    <row r="62" ht="15.75" spans="1:9">
      <c r="A62" s="16" t="str">
        <f>'Source Table'!$B$3</f>
        <v>خدمات الصحة المدرسية</v>
      </c>
      <c r="B62" s="16" t="str">
        <f>'Source Table'!$B$2</f>
        <v>School Health Services</v>
      </c>
      <c r="C62" s="17" t="s">
        <v>69</v>
      </c>
      <c r="D62" s="18" t="s">
        <v>70</v>
      </c>
      <c r="E62" s="19" t="s">
        <v>71</v>
      </c>
      <c r="F62" t="str">
        <f>'Source Table'!$B$21</f>
        <v>No. of  Films</v>
      </c>
      <c r="G62" t="str">
        <f>'Source Table'!$D$21</f>
        <v>عدد الأفلام</v>
      </c>
      <c r="H62" s="20"/>
      <c r="I62" s="20">
        <v>2019</v>
      </c>
    </row>
    <row r="63" ht="15.75" spans="1:9">
      <c r="A63" s="16" t="str">
        <f>'Source Table'!$B$3</f>
        <v>خدمات الصحة المدرسية</v>
      </c>
      <c r="B63" s="16" t="str">
        <f>'Source Table'!$B$2</f>
        <v>School Health Services</v>
      </c>
      <c r="C63" s="17" t="s">
        <v>69</v>
      </c>
      <c r="D63" s="18" t="s">
        <v>70</v>
      </c>
      <c r="E63" s="19" t="s">
        <v>71</v>
      </c>
      <c r="F63" t="str">
        <f>'Source Table'!$B$22</f>
        <v>No. of  Pamphlets and Posters</v>
      </c>
      <c r="G63" t="str">
        <f>'Source Table'!$D$22</f>
        <v>عدد النشرات والملصقات</v>
      </c>
      <c r="H63" s="20">
        <v>47764</v>
      </c>
      <c r="I63" s="20">
        <v>2019</v>
      </c>
    </row>
    <row r="64" ht="15.75" spans="1:9">
      <c r="A64" s="16" t="str">
        <f>'Source Table'!$B$3</f>
        <v>خدمات الصحة المدرسية</v>
      </c>
      <c r="B64" s="16" t="str">
        <f>'Source Table'!$B$2</f>
        <v>School Health Services</v>
      </c>
      <c r="C64" s="17" t="s">
        <v>69</v>
      </c>
      <c r="D64" s="18" t="s">
        <v>70</v>
      </c>
      <c r="E64" s="19" t="s">
        <v>71</v>
      </c>
      <c r="F64" t="str">
        <f>'Source Table'!$B$9</f>
        <v>No. of  Tested Students   </v>
      </c>
      <c r="G64" t="str">
        <f>'Source Table'!$D$9</f>
        <v>عدد الطلبة المفحوصين</v>
      </c>
      <c r="H64" s="20">
        <v>427344</v>
      </c>
      <c r="I64" s="20">
        <v>2018</v>
      </c>
    </row>
    <row r="65" ht="15.75" spans="1:9">
      <c r="A65" s="16" t="str">
        <f>'Source Table'!$B$3</f>
        <v>خدمات الصحة المدرسية</v>
      </c>
      <c r="B65" s="16" t="str">
        <f>'Source Table'!$B$2</f>
        <v>School Health Services</v>
      </c>
      <c r="C65" s="17" t="s">
        <v>69</v>
      </c>
      <c r="D65" s="18" t="s">
        <v>70</v>
      </c>
      <c r="E65" s="19" t="s">
        <v>71</v>
      </c>
      <c r="F65" t="str">
        <f>'Source Table'!$B$10</f>
        <v>No. of  Tested Schools</v>
      </c>
      <c r="G65" t="str">
        <f>'Source Table'!$D$10</f>
        <v>عدد المدارس التي فحص طلابها</v>
      </c>
      <c r="H65" s="20">
        <v>3675</v>
      </c>
      <c r="I65" s="20">
        <v>2018</v>
      </c>
    </row>
    <row r="66" ht="15.75" spans="1:9">
      <c r="A66" s="16" t="str">
        <f>'Source Table'!$B$3</f>
        <v>خدمات الصحة المدرسية</v>
      </c>
      <c r="B66" s="16" t="str">
        <f>'Source Table'!$B$2</f>
        <v>School Health Services</v>
      </c>
      <c r="C66" s="17" t="s">
        <v>69</v>
      </c>
      <c r="D66" s="18" t="s">
        <v>70</v>
      </c>
      <c r="E66" s="19" t="s">
        <v>71</v>
      </c>
      <c r="F66" t="str">
        <f>'Source Table'!$B$11</f>
        <v>No. of  Discovered Diseases</v>
      </c>
      <c r="G66" t="str">
        <f>'Source Table'!$D$11</f>
        <v>عدد الحالات المرضية المكتشفة</v>
      </c>
      <c r="H66" s="20">
        <v>43138</v>
      </c>
      <c r="I66" s="20">
        <v>2018</v>
      </c>
    </row>
    <row r="67" ht="15.75" spans="1:9">
      <c r="A67" s="16" t="str">
        <f>'Source Table'!$B$3</f>
        <v>خدمات الصحة المدرسية</v>
      </c>
      <c r="B67" s="16" t="str">
        <f>'Source Table'!$B$2</f>
        <v>School Health Services</v>
      </c>
      <c r="C67" s="17" t="s">
        <v>69</v>
      </c>
      <c r="D67" s="18" t="s">
        <v>70</v>
      </c>
      <c r="E67" s="19" t="s">
        <v>71</v>
      </c>
      <c r="F67" t="str">
        <f>'Source Table'!$B$12</f>
        <v>Internal</v>
      </c>
      <c r="G67" t="str">
        <f>'Source Table'!$D$12</f>
        <v>باطنية</v>
      </c>
      <c r="H67" s="20">
        <v>7883</v>
      </c>
      <c r="I67" s="20">
        <v>2018</v>
      </c>
    </row>
    <row r="68" ht="15.75" spans="1:9">
      <c r="A68" s="16" t="str">
        <f>'Source Table'!$B$3</f>
        <v>خدمات الصحة المدرسية</v>
      </c>
      <c r="B68" s="16" t="str">
        <f>'Source Table'!$B$2</f>
        <v>School Health Services</v>
      </c>
      <c r="C68" s="17" t="s">
        <v>69</v>
      </c>
      <c r="D68" s="18" t="s">
        <v>70</v>
      </c>
      <c r="E68" s="19" t="s">
        <v>71</v>
      </c>
      <c r="F68" t="str">
        <f>'Source Table'!$B$13</f>
        <v>Ophthal</v>
      </c>
      <c r="G68" t="str">
        <f>'Source Table'!$D$13</f>
        <v>عيون</v>
      </c>
      <c r="H68" s="20">
        <v>9254</v>
      </c>
      <c r="I68" s="20">
        <v>2018</v>
      </c>
    </row>
    <row r="69" ht="15.75" spans="1:9">
      <c r="A69" s="16" t="str">
        <f>'Source Table'!$B$3</f>
        <v>خدمات الصحة المدرسية</v>
      </c>
      <c r="B69" s="16" t="str">
        <f>'Source Table'!$B$2</f>
        <v>School Health Services</v>
      </c>
      <c r="C69" s="17" t="s">
        <v>69</v>
      </c>
      <c r="D69" s="18" t="s">
        <v>70</v>
      </c>
      <c r="E69" s="19" t="s">
        <v>71</v>
      </c>
      <c r="F69" t="str">
        <f>'Source Table'!$B$14</f>
        <v>Ear, Nose and Throat</v>
      </c>
      <c r="G69" t="str">
        <f>'Source Table'!$D$14</f>
        <v>أذن وأنف وحنجرة</v>
      </c>
      <c r="H69" s="20">
        <v>14550</v>
      </c>
      <c r="I69" s="20">
        <v>2018</v>
      </c>
    </row>
    <row r="70" ht="15.75" spans="1:9">
      <c r="A70" s="16" t="str">
        <f>'Source Table'!$B$3</f>
        <v>خدمات الصحة المدرسية</v>
      </c>
      <c r="B70" s="16" t="str">
        <f>'Source Table'!$B$2</f>
        <v>School Health Services</v>
      </c>
      <c r="C70" s="17" t="s">
        <v>69</v>
      </c>
      <c r="D70" s="18" t="s">
        <v>70</v>
      </c>
      <c r="E70" s="19" t="s">
        <v>71</v>
      </c>
      <c r="F70" t="str">
        <f>'Source Table'!$B$15</f>
        <v>Dermatology</v>
      </c>
      <c r="G70" t="str">
        <f>'Source Table'!$D$15</f>
        <v>جلدية</v>
      </c>
      <c r="H70" s="20">
        <v>11314</v>
      </c>
      <c r="I70" s="20">
        <v>2018</v>
      </c>
    </row>
    <row r="71" ht="15.75" spans="1:9">
      <c r="A71" s="16" t="str">
        <f>'Source Table'!$B$3</f>
        <v>خدمات الصحة المدرسية</v>
      </c>
      <c r="B71" s="16" t="str">
        <f>'Source Table'!$B$2</f>
        <v>School Health Services</v>
      </c>
      <c r="C71" s="17" t="s">
        <v>69</v>
      </c>
      <c r="D71" s="18" t="s">
        <v>70</v>
      </c>
      <c r="E71" s="19" t="s">
        <v>71</v>
      </c>
      <c r="F71" t="str">
        <f>'Source Table'!$B$16</f>
        <v>Spinal Column</v>
      </c>
      <c r="G71" t="str">
        <f>'Source Table'!$D$16</f>
        <v>العمود الفقري</v>
      </c>
      <c r="H71" s="20">
        <v>137</v>
      </c>
      <c r="I71" s="20">
        <v>2018</v>
      </c>
    </row>
    <row r="72" ht="15.75" spans="1:9">
      <c r="A72" s="16" t="str">
        <f>'Source Table'!$B$3</f>
        <v>خدمات الصحة المدرسية</v>
      </c>
      <c r="B72" s="16" t="str">
        <f>'Source Table'!$B$2</f>
        <v>School Health Services</v>
      </c>
      <c r="C72" s="17" t="s">
        <v>69</v>
      </c>
      <c r="D72" s="18" t="s">
        <v>70</v>
      </c>
      <c r="E72" s="19" t="s">
        <v>71</v>
      </c>
      <c r="F72" t="str">
        <f>'Source Table'!$B$18</f>
        <v>Dental Protections</v>
      </c>
      <c r="G72" t="str">
        <f>'Source Table'!$D$18</f>
        <v>وقاية الأسنان بالفلورايد</v>
      </c>
      <c r="H72" s="20">
        <v>138013</v>
      </c>
      <c r="I72" s="20">
        <v>2018</v>
      </c>
    </row>
    <row r="73" ht="15.75" spans="1:9">
      <c r="A73" s="16" t="str">
        <f>'Source Table'!$B$3</f>
        <v>خدمات الصحة المدرسية</v>
      </c>
      <c r="B73" s="16" t="str">
        <f>'Source Table'!$B$2</f>
        <v>School Health Services</v>
      </c>
      <c r="C73" s="17" t="s">
        <v>69</v>
      </c>
      <c r="D73" s="18" t="s">
        <v>70</v>
      </c>
      <c r="E73" s="19" t="s">
        <v>71</v>
      </c>
      <c r="F73" t="str">
        <f>'Source Table'!$B$20</f>
        <v>No. of  Lectures</v>
      </c>
      <c r="G73" t="str">
        <f>'Source Table'!$D$20</f>
        <v>عدد المحاضرات</v>
      </c>
      <c r="H73" s="20">
        <v>8145</v>
      </c>
      <c r="I73" s="20">
        <v>2018</v>
      </c>
    </row>
    <row r="74" ht="15.75" spans="1:9">
      <c r="A74" s="16" t="str">
        <f>'Source Table'!$B$3</f>
        <v>خدمات الصحة المدرسية</v>
      </c>
      <c r="B74" s="16" t="str">
        <f>'Source Table'!$B$2</f>
        <v>School Health Services</v>
      </c>
      <c r="C74" s="17" t="s">
        <v>69</v>
      </c>
      <c r="D74" s="18" t="s">
        <v>70</v>
      </c>
      <c r="E74" s="19" t="s">
        <v>71</v>
      </c>
      <c r="F74" t="str">
        <f>'Source Table'!$B$21</f>
        <v>No. of  Films</v>
      </c>
      <c r="G74" t="str">
        <f>'Source Table'!$D$21</f>
        <v>عدد الأفلام</v>
      </c>
      <c r="H74" s="20"/>
      <c r="I74" s="20">
        <v>2018</v>
      </c>
    </row>
    <row r="75" ht="15.75" spans="1:9">
      <c r="A75" s="16" t="str">
        <f>'Source Table'!$B$3</f>
        <v>خدمات الصحة المدرسية</v>
      </c>
      <c r="B75" s="16" t="str">
        <f>'Source Table'!$B$2</f>
        <v>School Health Services</v>
      </c>
      <c r="C75" s="17" t="s">
        <v>69</v>
      </c>
      <c r="D75" s="18" t="s">
        <v>70</v>
      </c>
      <c r="E75" s="19" t="s">
        <v>71</v>
      </c>
      <c r="F75" t="str">
        <f>'Source Table'!$B$22</f>
        <v>No. of  Pamphlets and Posters</v>
      </c>
      <c r="G75" t="str">
        <f>'Source Table'!$D$22</f>
        <v>عدد النشرات والملصقات</v>
      </c>
      <c r="H75" s="20">
        <v>30715</v>
      </c>
      <c r="I75" s="20">
        <v>2018</v>
      </c>
    </row>
    <row r="76" ht="15.75" spans="1:9">
      <c r="A76" s="16" t="str">
        <f>'Source Table'!$B$3</f>
        <v>خدمات الصحة المدرسية</v>
      </c>
      <c r="B76" s="16" t="str">
        <f>'Source Table'!$B$2</f>
        <v>School Health Services</v>
      </c>
      <c r="C76" s="17" t="s">
        <v>69</v>
      </c>
      <c r="D76" s="18" t="s">
        <v>70</v>
      </c>
      <c r="E76" s="19" t="s">
        <v>71</v>
      </c>
      <c r="F76" t="str">
        <f>'Source Table'!$B$9</f>
        <v>No. of  Tested Students   </v>
      </c>
      <c r="G76" t="str">
        <f>'Source Table'!$D$9</f>
        <v>عدد الطلبة المفحوصين</v>
      </c>
      <c r="H76" s="20">
        <v>425008</v>
      </c>
      <c r="I76" s="20">
        <v>2017</v>
      </c>
    </row>
    <row r="77" ht="15.75" spans="1:9">
      <c r="A77" s="16" t="str">
        <f>'Source Table'!$B$3</f>
        <v>خدمات الصحة المدرسية</v>
      </c>
      <c r="B77" s="16" t="str">
        <f>'Source Table'!$B$2</f>
        <v>School Health Services</v>
      </c>
      <c r="C77" s="17" t="s">
        <v>69</v>
      </c>
      <c r="D77" s="18" t="s">
        <v>70</v>
      </c>
      <c r="E77" s="19" t="s">
        <v>71</v>
      </c>
      <c r="F77" t="str">
        <f>'Source Table'!$B$10</f>
        <v>No. of  Tested Schools</v>
      </c>
      <c r="G77" t="str">
        <f>'Source Table'!$D$10</f>
        <v>عدد المدارس التي فحص طلابها</v>
      </c>
      <c r="H77" s="20">
        <v>3654</v>
      </c>
      <c r="I77" s="20">
        <v>2017</v>
      </c>
    </row>
    <row r="78" ht="15.75" spans="1:9">
      <c r="A78" s="16" t="str">
        <f>'Source Table'!$B$3</f>
        <v>خدمات الصحة المدرسية</v>
      </c>
      <c r="B78" s="16" t="str">
        <f>'Source Table'!$B$2</f>
        <v>School Health Services</v>
      </c>
      <c r="C78" s="17" t="s">
        <v>69</v>
      </c>
      <c r="D78" s="18" t="s">
        <v>70</v>
      </c>
      <c r="E78" s="19" t="s">
        <v>71</v>
      </c>
      <c r="F78" t="str">
        <f>'Source Table'!$B$11</f>
        <v>No. of  Discovered Diseases</v>
      </c>
      <c r="G78" t="str">
        <f>'Source Table'!$D$11</f>
        <v>عدد الحالات المرضية المكتشفة</v>
      </c>
      <c r="H78" s="20">
        <v>34429</v>
      </c>
      <c r="I78" s="20">
        <v>2017</v>
      </c>
    </row>
    <row r="79" ht="15.75" spans="1:9">
      <c r="A79" s="16" t="str">
        <f>'Source Table'!$B$3</f>
        <v>خدمات الصحة المدرسية</v>
      </c>
      <c r="B79" s="16" t="str">
        <f>'Source Table'!$B$2</f>
        <v>School Health Services</v>
      </c>
      <c r="C79" s="17" t="s">
        <v>69</v>
      </c>
      <c r="D79" s="18" t="s">
        <v>70</v>
      </c>
      <c r="E79" s="19" t="s">
        <v>71</v>
      </c>
      <c r="F79" t="str">
        <f>'Source Table'!$B$12</f>
        <v>Internal</v>
      </c>
      <c r="G79" t="str">
        <f>'Source Table'!$D$12</f>
        <v>باطنية</v>
      </c>
      <c r="H79" s="20">
        <v>7279</v>
      </c>
      <c r="I79" s="20">
        <v>2017</v>
      </c>
    </row>
    <row r="80" ht="15.75" spans="1:9">
      <c r="A80" s="16" t="str">
        <f>'Source Table'!$B$3</f>
        <v>خدمات الصحة المدرسية</v>
      </c>
      <c r="B80" s="16" t="str">
        <f>'Source Table'!$B$2</f>
        <v>School Health Services</v>
      </c>
      <c r="C80" s="17" t="s">
        <v>69</v>
      </c>
      <c r="D80" s="18" t="s">
        <v>70</v>
      </c>
      <c r="E80" s="19" t="s">
        <v>71</v>
      </c>
      <c r="F80" t="str">
        <f>'Source Table'!$B$13</f>
        <v>Ophthal</v>
      </c>
      <c r="G80" t="str">
        <f>'Source Table'!$D$13</f>
        <v>عيون</v>
      </c>
      <c r="H80" s="20">
        <v>6850</v>
      </c>
      <c r="I80" s="20">
        <v>2017</v>
      </c>
    </row>
    <row r="81" ht="15.75" spans="1:9">
      <c r="A81" s="16" t="str">
        <f>'Source Table'!$B$3</f>
        <v>خدمات الصحة المدرسية</v>
      </c>
      <c r="B81" s="16" t="str">
        <f>'Source Table'!$B$2</f>
        <v>School Health Services</v>
      </c>
      <c r="C81" s="17" t="s">
        <v>69</v>
      </c>
      <c r="D81" s="18" t="s">
        <v>70</v>
      </c>
      <c r="E81" s="19" t="s">
        <v>71</v>
      </c>
      <c r="F81" t="str">
        <f>'Source Table'!$B$14</f>
        <v>Ear, Nose and Throat</v>
      </c>
      <c r="G81" t="str">
        <f>'Source Table'!$D$14</f>
        <v>أذن وأنف وحنجرة</v>
      </c>
      <c r="H81" s="20">
        <v>11582</v>
      </c>
      <c r="I81" s="20">
        <v>2017</v>
      </c>
    </row>
    <row r="82" ht="15.75" spans="1:9">
      <c r="A82" s="16" t="str">
        <f>'Source Table'!$B$3</f>
        <v>خدمات الصحة المدرسية</v>
      </c>
      <c r="B82" s="16" t="str">
        <f>'Source Table'!$B$2</f>
        <v>School Health Services</v>
      </c>
      <c r="C82" s="17" t="s">
        <v>69</v>
      </c>
      <c r="D82" s="18" t="s">
        <v>70</v>
      </c>
      <c r="E82" s="19" t="s">
        <v>71</v>
      </c>
      <c r="F82" t="str">
        <f>'Source Table'!$B$15</f>
        <v>Dermatology</v>
      </c>
      <c r="G82" t="str">
        <f>'Source Table'!$D$15</f>
        <v>جلدية</v>
      </c>
      <c r="H82" s="20">
        <v>8629</v>
      </c>
      <c r="I82" s="20">
        <v>2017</v>
      </c>
    </row>
    <row r="83" ht="15.75" spans="1:9">
      <c r="A83" s="16" t="str">
        <f>'Source Table'!$B$3</f>
        <v>خدمات الصحة المدرسية</v>
      </c>
      <c r="B83" s="16" t="str">
        <f>'Source Table'!$B$2</f>
        <v>School Health Services</v>
      </c>
      <c r="C83" s="17" t="s">
        <v>69</v>
      </c>
      <c r="D83" s="18" t="s">
        <v>70</v>
      </c>
      <c r="E83" s="19" t="s">
        <v>71</v>
      </c>
      <c r="F83" t="str">
        <f>'Source Table'!$B$16</f>
        <v>Spinal Column</v>
      </c>
      <c r="G83" t="str">
        <f>'Source Table'!$D$16</f>
        <v>العمود الفقري</v>
      </c>
      <c r="H83" s="20">
        <v>89</v>
      </c>
      <c r="I83" s="20">
        <v>2017</v>
      </c>
    </row>
    <row r="84" ht="15.75" spans="1:9">
      <c r="A84" s="16" t="str">
        <f>'Source Table'!$B$3</f>
        <v>خدمات الصحة المدرسية</v>
      </c>
      <c r="B84" s="16" t="str">
        <f>'Source Table'!$B$2</f>
        <v>School Health Services</v>
      </c>
      <c r="C84" s="17" t="s">
        <v>69</v>
      </c>
      <c r="D84" s="18" t="s">
        <v>70</v>
      </c>
      <c r="E84" s="19" t="s">
        <v>71</v>
      </c>
      <c r="F84" t="str">
        <f>'Source Table'!$B$18</f>
        <v>Dental Protections</v>
      </c>
      <c r="G84" t="str">
        <f>'Source Table'!$D$18</f>
        <v>وقاية الأسنان بالفلورايد</v>
      </c>
      <c r="H84" s="20">
        <v>530197</v>
      </c>
      <c r="I84" s="20">
        <v>2017</v>
      </c>
    </row>
    <row r="85" ht="15.75" spans="1:9">
      <c r="A85" s="16" t="str">
        <f>'Source Table'!$B$3</f>
        <v>خدمات الصحة المدرسية</v>
      </c>
      <c r="B85" s="16" t="str">
        <f>'Source Table'!$B$2</f>
        <v>School Health Services</v>
      </c>
      <c r="C85" s="17" t="s">
        <v>69</v>
      </c>
      <c r="D85" s="18" t="s">
        <v>70</v>
      </c>
      <c r="E85" s="19" t="s">
        <v>71</v>
      </c>
      <c r="F85" t="str">
        <f>'Source Table'!$B$20</f>
        <v>No. of  Lectures</v>
      </c>
      <c r="G85" t="str">
        <f>'Source Table'!$D$20</f>
        <v>عدد المحاضرات</v>
      </c>
      <c r="H85" s="20">
        <v>7092</v>
      </c>
      <c r="I85" s="20">
        <v>2017</v>
      </c>
    </row>
    <row r="86" ht="15.75" spans="1:9">
      <c r="A86" s="16" t="str">
        <f>'Source Table'!$B$3</f>
        <v>خدمات الصحة المدرسية</v>
      </c>
      <c r="B86" s="16" t="str">
        <f>'Source Table'!$B$2</f>
        <v>School Health Services</v>
      </c>
      <c r="C86" s="17" t="s">
        <v>69</v>
      </c>
      <c r="D86" s="18" t="s">
        <v>70</v>
      </c>
      <c r="E86" s="19" t="s">
        <v>71</v>
      </c>
      <c r="F86" t="str">
        <f>'Source Table'!$B$21</f>
        <v>No. of  Films</v>
      </c>
      <c r="G86" t="str">
        <f>'Source Table'!$D$21</f>
        <v>عدد الأفلام</v>
      </c>
      <c r="H86" s="20"/>
      <c r="I86" s="20">
        <v>2017</v>
      </c>
    </row>
    <row r="87" ht="15.75" spans="1:9">
      <c r="A87" s="16" t="str">
        <f>'Source Table'!$B$3</f>
        <v>خدمات الصحة المدرسية</v>
      </c>
      <c r="B87" s="16" t="str">
        <f>'Source Table'!$B$2</f>
        <v>School Health Services</v>
      </c>
      <c r="C87" s="17" t="s">
        <v>69</v>
      </c>
      <c r="D87" s="18" t="s">
        <v>70</v>
      </c>
      <c r="E87" s="19" t="s">
        <v>71</v>
      </c>
      <c r="F87" t="str">
        <f>'Source Table'!$B$22</f>
        <v>No. of  Pamphlets and Posters</v>
      </c>
      <c r="G87" t="str">
        <f>'Source Table'!$D$22</f>
        <v>عدد النشرات والملصقات</v>
      </c>
      <c r="H87" s="20">
        <v>30534</v>
      </c>
      <c r="I87" s="20">
        <v>2017</v>
      </c>
    </row>
    <row r="88" ht="15.75" spans="1:9">
      <c r="A88" s="16" t="str">
        <f>'Source Table'!$B$3</f>
        <v>خدمات الصحة المدرسية</v>
      </c>
      <c r="B88" s="16" t="str">
        <f>'Source Table'!$B$2</f>
        <v>School Health Services</v>
      </c>
      <c r="C88" s="17" t="s">
        <v>69</v>
      </c>
      <c r="D88" s="18" t="s">
        <v>70</v>
      </c>
      <c r="E88" s="19" t="s">
        <v>71</v>
      </c>
      <c r="F88" t="str">
        <f>'Source Table'!$B$9</f>
        <v>No. of  Tested Students   </v>
      </c>
      <c r="G88" t="str">
        <f>'Source Table'!$D$9</f>
        <v>عدد الطلبة المفحوصين</v>
      </c>
      <c r="H88" s="20">
        <v>410308</v>
      </c>
      <c r="I88" s="20">
        <v>2016</v>
      </c>
    </row>
    <row r="89" ht="15.75" spans="1:9">
      <c r="A89" s="16" t="str">
        <f>'Source Table'!$B$3</f>
        <v>خدمات الصحة المدرسية</v>
      </c>
      <c r="B89" s="16" t="str">
        <f>'Source Table'!$B$2</f>
        <v>School Health Services</v>
      </c>
      <c r="C89" s="17" t="s">
        <v>69</v>
      </c>
      <c r="D89" s="18" t="s">
        <v>70</v>
      </c>
      <c r="E89" s="19" t="s">
        <v>71</v>
      </c>
      <c r="F89" t="str">
        <f>'Source Table'!$B$10</f>
        <v>No. of  Tested Schools</v>
      </c>
      <c r="G89" t="str">
        <f>'Source Table'!$D$10</f>
        <v>عدد المدارس التي فحص طلابها</v>
      </c>
      <c r="H89" s="20">
        <v>31452</v>
      </c>
      <c r="I89" s="20">
        <v>2016</v>
      </c>
    </row>
    <row r="90" ht="15.75" spans="1:9">
      <c r="A90" s="16" t="str">
        <f>'Source Table'!$B$3</f>
        <v>خدمات الصحة المدرسية</v>
      </c>
      <c r="B90" s="16" t="str">
        <f>'Source Table'!$B$2</f>
        <v>School Health Services</v>
      </c>
      <c r="C90" s="17" t="s">
        <v>69</v>
      </c>
      <c r="D90" s="18" t="s">
        <v>70</v>
      </c>
      <c r="E90" s="19" t="s">
        <v>71</v>
      </c>
      <c r="F90" t="str">
        <f>'Source Table'!$B$11</f>
        <v>No. of  Discovered Diseases</v>
      </c>
      <c r="G90" t="str">
        <f>'Source Table'!$D$11</f>
        <v>عدد الحالات المرضية المكتشفة</v>
      </c>
      <c r="H90" s="20">
        <v>6899</v>
      </c>
      <c r="I90" s="20">
        <v>2016</v>
      </c>
    </row>
    <row r="91" ht="15.75" spans="1:9">
      <c r="A91" s="16" t="str">
        <f>'Source Table'!$B$3</f>
        <v>خدمات الصحة المدرسية</v>
      </c>
      <c r="B91" s="16" t="str">
        <f>'Source Table'!$B$2</f>
        <v>School Health Services</v>
      </c>
      <c r="C91" s="17" t="s">
        <v>69</v>
      </c>
      <c r="D91" s="18" t="s">
        <v>70</v>
      </c>
      <c r="E91" s="19" t="s">
        <v>71</v>
      </c>
      <c r="F91" t="str">
        <f>'Source Table'!$B$12</f>
        <v>Internal</v>
      </c>
      <c r="G91" t="str">
        <f>'Source Table'!$D$12</f>
        <v>باطنية</v>
      </c>
      <c r="H91" s="20">
        <v>7265</v>
      </c>
      <c r="I91" s="20">
        <v>2016</v>
      </c>
    </row>
    <row r="92" ht="15.75" spans="1:9">
      <c r="A92" s="16" t="str">
        <f>'Source Table'!$B$3</f>
        <v>خدمات الصحة المدرسية</v>
      </c>
      <c r="B92" s="16" t="str">
        <f>'Source Table'!$B$2</f>
        <v>School Health Services</v>
      </c>
      <c r="C92" s="17" t="s">
        <v>69</v>
      </c>
      <c r="D92" s="18" t="s">
        <v>70</v>
      </c>
      <c r="E92" s="19" t="s">
        <v>71</v>
      </c>
      <c r="F92" t="str">
        <f>'Source Table'!$B$13</f>
        <v>Ophthal</v>
      </c>
      <c r="G92" t="str">
        <f>'Source Table'!$D$13</f>
        <v>عيون</v>
      </c>
      <c r="H92" s="20">
        <v>10133</v>
      </c>
      <c r="I92" s="20">
        <v>2016</v>
      </c>
    </row>
    <row r="93" ht="15.75" spans="1:9">
      <c r="A93" s="16" t="str">
        <f>'Source Table'!$B$3</f>
        <v>خدمات الصحة المدرسية</v>
      </c>
      <c r="B93" s="16" t="str">
        <f>'Source Table'!$B$2</f>
        <v>School Health Services</v>
      </c>
      <c r="C93" s="17" t="s">
        <v>69</v>
      </c>
      <c r="D93" s="18" t="s">
        <v>70</v>
      </c>
      <c r="E93" s="19" t="s">
        <v>71</v>
      </c>
      <c r="F93" t="str">
        <f>'Source Table'!$B$14</f>
        <v>Ear, Nose and Throat</v>
      </c>
      <c r="G93" t="str">
        <f>'Source Table'!$D$14</f>
        <v>أذن وأنف وحنجرة</v>
      </c>
      <c r="H93" s="20">
        <v>7029</v>
      </c>
      <c r="I93" s="20">
        <v>2016</v>
      </c>
    </row>
    <row r="94" ht="15.75" spans="1:9">
      <c r="A94" s="16" t="str">
        <f>'Source Table'!$B$3</f>
        <v>خدمات الصحة المدرسية</v>
      </c>
      <c r="B94" s="16" t="str">
        <f>'Source Table'!$B$2</f>
        <v>School Health Services</v>
      </c>
      <c r="C94" s="17" t="s">
        <v>69</v>
      </c>
      <c r="D94" s="18" t="s">
        <v>70</v>
      </c>
      <c r="E94" s="19" t="s">
        <v>71</v>
      </c>
      <c r="F94" t="str">
        <f>'Source Table'!$B$15</f>
        <v>Dermatology</v>
      </c>
      <c r="G94" t="str">
        <f>'Source Table'!$D$15</f>
        <v>جلدية</v>
      </c>
      <c r="H94" s="20">
        <v>126</v>
      </c>
      <c r="I94" s="20">
        <v>2016</v>
      </c>
    </row>
    <row r="95" ht="15.75" spans="1:9">
      <c r="A95" s="16" t="str">
        <f>'Source Table'!$B$3</f>
        <v>خدمات الصحة المدرسية</v>
      </c>
      <c r="B95" s="16" t="str">
        <f>'Source Table'!$B$2</f>
        <v>School Health Services</v>
      </c>
      <c r="C95" s="17" t="s">
        <v>69</v>
      </c>
      <c r="D95" s="18" t="s">
        <v>70</v>
      </c>
      <c r="E95" s="19" t="s">
        <v>71</v>
      </c>
      <c r="F95" t="str">
        <f>'Source Table'!$B$16</f>
        <v>Spinal Column</v>
      </c>
      <c r="G95" t="str">
        <f>'Source Table'!$D$16</f>
        <v>العمود الفقري</v>
      </c>
      <c r="H95" s="20">
        <v>31452</v>
      </c>
      <c r="I95" s="20">
        <v>2016</v>
      </c>
    </row>
    <row r="96" ht="15.75" spans="1:9">
      <c r="A96" s="16" t="str">
        <f>'Source Table'!$B$3</f>
        <v>خدمات الصحة المدرسية</v>
      </c>
      <c r="B96" s="16" t="str">
        <f>'Source Table'!$B$2</f>
        <v>School Health Services</v>
      </c>
      <c r="C96" s="17" t="s">
        <v>69</v>
      </c>
      <c r="D96" s="18" t="s">
        <v>70</v>
      </c>
      <c r="E96" s="19" t="s">
        <v>71</v>
      </c>
      <c r="F96" t="str">
        <f>'Source Table'!$B$18</f>
        <v>Dental Protections</v>
      </c>
      <c r="G96" t="str">
        <f>'Source Table'!$D$18</f>
        <v>وقاية الأسنان بالفلورايد</v>
      </c>
      <c r="H96" s="20">
        <v>537679</v>
      </c>
      <c r="I96" s="20">
        <v>2016</v>
      </c>
    </row>
    <row r="97" ht="15.75" spans="1:9">
      <c r="A97" s="16" t="str">
        <f>'Source Table'!$B$3</f>
        <v>خدمات الصحة المدرسية</v>
      </c>
      <c r="B97" s="16" t="str">
        <f>'Source Table'!$B$2</f>
        <v>School Health Services</v>
      </c>
      <c r="C97" s="17" t="s">
        <v>69</v>
      </c>
      <c r="D97" s="18" t="s">
        <v>70</v>
      </c>
      <c r="E97" s="19" t="s">
        <v>71</v>
      </c>
      <c r="F97" t="str">
        <f>'Source Table'!$B$20</f>
        <v>No. of  Lectures</v>
      </c>
      <c r="G97" t="str">
        <f>'Source Table'!$D$20</f>
        <v>عدد المحاضرات</v>
      </c>
      <c r="H97" s="20">
        <v>8385</v>
      </c>
      <c r="I97" s="20">
        <v>2016</v>
      </c>
    </row>
    <row r="98" ht="15.75" spans="1:9">
      <c r="A98" s="16" t="str">
        <f>'Source Table'!$B$3</f>
        <v>خدمات الصحة المدرسية</v>
      </c>
      <c r="B98" s="16" t="str">
        <f>'Source Table'!$B$2</f>
        <v>School Health Services</v>
      </c>
      <c r="C98" s="17" t="s">
        <v>69</v>
      </c>
      <c r="D98" s="18" t="s">
        <v>70</v>
      </c>
      <c r="E98" s="19" t="s">
        <v>71</v>
      </c>
      <c r="F98" t="str">
        <f>'Source Table'!$B$21</f>
        <v>No. of  Films</v>
      </c>
      <c r="G98" t="str">
        <f>'Source Table'!$D$21</f>
        <v>عدد الأفلام</v>
      </c>
      <c r="H98" s="20"/>
      <c r="I98" s="20">
        <v>2016</v>
      </c>
    </row>
    <row r="99" ht="15.75" spans="1:9">
      <c r="A99" s="16" t="str">
        <f>'Source Table'!$B$3</f>
        <v>خدمات الصحة المدرسية</v>
      </c>
      <c r="B99" s="16" t="str">
        <f>'Source Table'!$B$2</f>
        <v>School Health Services</v>
      </c>
      <c r="C99" s="17" t="s">
        <v>69</v>
      </c>
      <c r="D99" s="18" t="s">
        <v>70</v>
      </c>
      <c r="E99" s="19" t="s">
        <v>71</v>
      </c>
      <c r="F99" t="str">
        <f>'Source Table'!$B$22</f>
        <v>No. of  Pamphlets and Posters</v>
      </c>
      <c r="G99" t="str">
        <f>'Source Table'!$D$22</f>
        <v>عدد النشرات والملصقات</v>
      </c>
      <c r="H99" s="20">
        <v>89992</v>
      </c>
      <c r="I99" s="20">
        <v>2016</v>
      </c>
    </row>
    <row r="100" ht="15.75" spans="1:9">
      <c r="A100" s="16" t="str">
        <f>'Source Table'!$B$3</f>
        <v>خدمات الصحة المدرسية</v>
      </c>
      <c r="B100" s="16" t="str">
        <f>'Source Table'!$B$2</f>
        <v>School Health Services</v>
      </c>
      <c r="C100" s="17" t="s">
        <v>69</v>
      </c>
      <c r="D100" s="18" t="s">
        <v>70</v>
      </c>
      <c r="E100" s="19" t="s">
        <v>71</v>
      </c>
      <c r="F100" t="str">
        <f>'Source Table'!$B$9</f>
        <v>No. of  Tested Students   </v>
      </c>
      <c r="G100" t="str">
        <f>'Source Table'!$D$9</f>
        <v>عدد الطلبة المفحوصين</v>
      </c>
      <c r="H100" s="20">
        <v>413646</v>
      </c>
      <c r="I100" s="20">
        <v>2015</v>
      </c>
    </row>
    <row r="101" ht="15.75" spans="1:9">
      <c r="A101" s="16" t="str">
        <f>'Source Table'!$B$3</f>
        <v>خدمات الصحة المدرسية</v>
      </c>
      <c r="B101" s="16" t="str">
        <f>'Source Table'!$B$2</f>
        <v>School Health Services</v>
      </c>
      <c r="C101" s="17" t="s">
        <v>69</v>
      </c>
      <c r="D101" s="18" t="s">
        <v>70</v>
      </c>
      <c r="E101" s="19" t="s">
        <v>71</v>
      </c>
      <c r="F101" t="str">
        <f>'Source Table'!$B$10</f>
        <v>No. of  Tested Schools</v>
      </c>
      <c r="G101" t="str">
        <f>'Source Table'!$D$10</f>
        <v>عدد المدارس التي فحص طلابها</v>
      </c>
      <c r="H101" s="20">
        <v>3863</v>
      </c>
      <c r="I101" s="20">
        <v>2015</v>
      </c>
    </row>
    <row r="102" ht="15.75" spans="1:9">
      <c r="A102" s="16" t="str">
        <f>'Source Table'!$B$3</f>
        <v>خدمات الصحة المدرسية</v>
      </c>
      <c r="B102" s="16" t="str">
        <f>'Source Table'!$B$2</f>
        <v>School Health Services</v>
      </c>
      <c r="C102" s="17" t="s">
        <v>69</v>
      </c>
      <c r="D102" s="18" t="s">
        <v>70</v>
      </c>
      <c r="E102" s="19" t="s">
        <v>71</v>
      </c>
      <c r="F102" t="str">
        <f>'Source Table'!$B$11</f>
        <v>No. of  Discovered Diseases</v>
      </c>
      <c r="G102" t="str">
        <f>'Source Table'!$D$11</f>
        <v>عدد الحالات المرضية المكتشفة</v>
      </c>
      <c r="H102" s="20">
        <v>29244</v>
      </c>
      <c r="I102" s="20">
        <v>2015</v>
      </c>
    </row>
    <row r="103" ht="15.75" spans="1:9">
      <c r="A103" s="16" t="str">
        <f>'Source Table'!$B$3</f>
        <v>خدمات الصحة المدرسية</v>
      </c>
      <c r="B103" s="16" t="str">
        <f>'Source Table'!$B$2</f>
        <v>School Health Services</v>
      </c>
      <c r="C103" s="17" t="s">
        <v>69</v>
      </c>
      <c r="D103" s="18" t="s">
        <v>70</v>
      </c>
      <c r="E103" s="19" t="s">
        <v>71</v>
      </c>
      <c r="F103" t="str">
        <f>'Source Table'!$B$12</f>
        <v>Internal</v>
      </c>
      <c r="G103" t="str">
        <f>'Source Table'!$D$12</f>
        <v>باطنية</v>
      </c>
      <c r="H103" s="20">
        <v>5482</v>
      </c>
      <c r="I103" s="20">
        <v>2015</v>
      </c>
    </row>
    <row r="104" ht="15.75" spans="1:9">
      <c r="A104" s="16" t="str">
        <f>'Source Table'!$B$3</f>
        <v>خدمات الصحة المدرسية</v>
      </c>
      <c r="B104" s="16" t="str">
        <f>'Source Table'!$B$2</f>
        <v>School Health Services</v>
      </c>
      <c r="C104" s="17" t="s">
        <v>69</v>
      </c>
      <c r="D104" s="18" t="s">
        <v>70</v>
      </c>
      <c r="E104" s="19" t="s">
        <v>71</v>
      </c>
      <c r="F104" t="str">
        <f>'Source Table'!$B$13</f>
        <v>Ophthal</v>
      </c>
      <c r="G104" t="str">
        <f>'Source Table'!$D$13</f>
        <v>عيون</v>
      </c>
      <c r="H104" s="20">
        <v>5440</v>
      </c>
      <c r="I104" s="20">
        <v>2015</v>
      </c>
    </row>
    <row r="105" ht="15.75" spans="1:9">
      <c r="A105" s="16" t="str">
        <f>'Source Table'!$B$3</f>
        <v>خدمات الصحة المدرسية</v>
      </c>
      <c r="B105" s="16" t="str">
        <f>'Source Table'!$B$2</f>
        <v>School Health Services</v>
      </c>
      <c r="C105" s="17" t="s">
        <v>69</v>
      </c>
      <c r="D105" s="18" t="s">
        <v>70</v>
      </c>
      <c r="E105" s="19" t="s">
        <v>71</v>
      </c>
      <c r="F105" t="str">
        <f>'Source Table'!$B$14</f>
        <v>Ear, Nose and Throat</v>
      </c>
      <c r="G105" t="str">
        <f>'Source Table'!$D$14</f>
        <v>أذن وأنف وحنجرة</v>
      </c>
      <c r="H105" s="20">
        <v>9877</v>
      </c>
      <c r="I105" s="20">
        <v>2015</v>
      </c>
    </row>
    <row r="106" ht="15.75" spans="1:9">
      <c r="A106" s="16" t="str">
        <f>'Source Table'!$B$3</f>
        <v>خدمات الصحة المدرسية</v>
      </c>
      <c r="B106" s="16" t="str">
        <f>'Source Table'!$B$2</f>
        <v>School Health Services</v>
      </c>
      <c r="C106" s="17" t="s">
        <v>69</v>
      </c>
      <c r="D106" s="18" t="s">
        <v>70</v>
      </c>
      <c r="E106" s="19" t="s">
        <v>71</v>
      </c>
      <c r="F106" t="str">
        <f>'Source Table'!$B$15</f>
        <v>Dermatology</v>
      </c>
      <c r="G106" t="str">
        <f>'Source Table'!$D$15</f>
        <v>جلدية</v>
      </c>
      <c r="H106" s="20">
        <v>8323</v>
      </c>
      <c r="I106" s="20">
        <v>2015</v>
      </c>
    </row>
    <row r="107" ht="15.75" spans="1:9">
      <c r="A107" s="16" t="str">
        <f>'Source Table'!$B$3</f>
        <v>خدمات الصحة المدرسية</v>
      </c>
      <c r="B107" s="16" t="str">
        <f>'Source Table'!$B$2</f>
        <v>School Health Services</v>
      </c>
      <c r="C107" s="17" t="s">
        <v>69</v>
      </c>
      <c r="D107" s="18" t="s">
        <v>70</v>
      </c>
      <c r="E107" s="19" t="s">
        <v>71</v>
      </c>
      <c r="F107" t="str">
        <f>'Source Table'!$B$16</f>
        <v>Spinal Column</v>
      </c>
      <c r="G107" t="str">
        <f>'Source Table'!$D$16</f>
        <v>العمود الفقري</v>
      </c>
      <c r="H107" s="20">
        <v>122</v>
      </c>
      <c r="I107" s="20">
        <v>2015</v>
      </c>
    </row>
    <row r="108" ht="15.75" spans="1:9">
      <c r="A108" s="16" t="str">
        <f>'Source Table'!$B$3</f>
        <v>خدمات الصحة المدرسية</v>
      </c>
      <c r="B108" s="16" t="str">
        <f>'Source Table'!$B$2</f>
        <v>School Health Services</v>
      </c>
      <c r="C108" s="17" t="s">
        <v>69</v>
      </c>
      <c r="D108" s="18" t="s">
        <v>70</v>
      </c>
      <c r="E108" s="19" t="s">
        <v>71</v>
      </c>
      <c r="F108" t="str">
        <f>'Source Table'!$B$18</f>
        <v>Dental Protections</v>
      </c>
      <c r="G108" t="str">
        <f>'Source Table'!$D$18</f>
        <v>وقاية الأسنان بالفلورايد</v>
      </c>
      <c r="H108" s="20">
        <v>514480</v>
      </c>
      <c r="I108" s="20">
        <v>2015</v>
      </c>
    </row>
    <row r="109" ht="15.75" spans="1:9">
      <c r="A109" s="16" t="str">
        <f>'Source Table'!$B$3</f>
        <v>خدمات الصحة المدرسية</v>
      </c>
      <c r="B109" s="16" t="str">
        <f>'Source Table'!$B$2</f>
        <v>School Health Services</v>
      </c>
      <c r="C109" s="17" t="s">
        <v>69</v>
      </c>
      <c r="D109" s="18" t="s">
        <v>70</v>
      </c>
      <c r="E109" s="19" t="s">
        <v>71</v>
      </c>
      <c r="F109" t="str">
        <f>'Source Table'!$B$20</f>
        <v>No. of  Lectures</v>
      </c>
      <c r="G109" t="str">
        <f>'Source Table'!$D$20</f>
        <v>عدد المحاضرات</v>
      </c>
      <c r="H109" s="20">
        <v>8101</v>
      </c>
      <c r="I109" s="20">
        <v>2015</v>
      </c>
    </row>
    <row r="110" ht="15.75" spans="1:9">
      <c r="A110" s="16" t="str">
        <f>'Source Table'!$B$3</f>
        <v>خدمات الصحة المدرسية</v>
      </c>
      <c r="B110" s="16" t="str">
        <f>'Source Table'!$B$2</f>
        <v>School Health Services</v>
      </c>
      <c r="C110" s="17" t="s">
        <v>69</v>
      </c>
      <c r="D110" s="18" t="s">
        <v>70</v>
      </c>
      <c r="E110" s="19" t="s">
        <v>71</v>
      </c>
      <c r="F110" t="str">
        <f>'Source Table'!$B$21</f>
        <v>No. of  Films</v>
      </c>
      <c r="G110" t="str">
        <f>'Source Table'!$D$21</f>
        <v>عدد الأفلام</v>
      </c>
      <c r="H110" s="20"/>
      <c r="I110" s="20">
        <v>2015</v>
      </c>
    </row>
    <row r="111" ht="15.75" spans="1:9">
      <c r="A111" s="16" t="str">
        <f>'Source Table'!$B$3</f>
        <v>خدمات الصحة المدرسية</v>
      </c>
      <c r="B111" s="16" t="str">
        <f>'Source Table'!$B$2</f>
        <v>School Health Services</v>
      </c>
      <c r="C111" s="17" t="s">
        <v>69</v>
      </c>
      <c r="D111" s="18" t="s">
        <v>70</v>
      </c>
      <c r="E111" s="19" t="s">
        <v>71</v>
      </c>
      <c r="F111" t="str">
        <f>'Source Table'!$B$22</f>
        <v>No. of  Pamphlets and Posters</v>
      </c>
      <c r="G111" t="str">
        <f>'Source Table'!$D$22</f>
        <v>عدد النشرات والملصقات</v>
      </c>
      <c r="H111" s="20">
        <v>21346</v>
      </c>
      <c r="I111" s="20">
        <v>2015</v>
      </c>
    </row>
    <row r="112" ht="15.75" spans="1:9">
      <c r="A112" s="16" t="str">
        <f>'Source Table'!$B$3</f>
        <v>خدمات الصحة المدرسية</v>
      </c>
      <c r="B112" s="16" t="str">
        <f>'Source Table'!$B$2</f>
        <v>School Health Services</v>
      </c>
      <c r="C112" s="17" t="s">
        <v>69</v>
      </c>
      <c r="D112" s="18" t="s">
        <v>70</v>
      </c>
      <c r="E112" s="19" t="s">
        <v>71</v>
      </c>
      <c r="F112" t="str">
        <f>'Source Table'!$B$9</f>
        <v>No. of  Tested Students   </v>
      </c>
      <c r="G112" t="str">
        <f>'Source Table'!$D$9</f>
        <v>عدد الطلبة المفحوصين</v>
      </c>
      <c r="H112" s="20">
        <v>422388</v>
      </c>
      <c r="I112" s="20">
        <v>2014</v>
      </c>
    </row>
    <row r="113" ht="15.75" spans="1:9">
      <c r="A113" s="16" t="str">
        <f>'Source Table'!$B$3</f>
        <v>خدمات الصحة المدرسية</v>
      </c>
      <c r="B113" s="16" t="str">
        <f>'Source Table'!$B$2</f>
        <v>School Health Services</v>
      </c>
      <c r="C113" s="17" t="s">
        <v>69</v>
      </c>
      <c r="D113" s="18" t="s">
        <v>70</v>
      </c>
      <c r="E113" s="19" t="s">
        <v>71</v>
      </c>
      <c r="F113" t="str">
        <f>'Source Table'!$B$10</f>
        <v>No. of  Tested Schools</v>
      </c>
      <c r="G113" t="str">
        <f>'Source Table'!$D$10</f>
        <v>عدد المدارس التي فحص طلابها</v>
      </c>
      <c r="H113" s="20">
        <v>3605</v>
      </c>
      <c r="I113" s="20">
        <v>2014</v>
      </c>
    </row>
    <row r="114" ht="15.75" spans="1:9">
      <c r="A114" s="16" t="str">
        <f>'Source Table'!$B$3</f>
        <v>خدمات الصحة المدرسية</v>
      </c>
      <c r="B114" s="16" t="str">
        <f>'Source Table'!$B$2</f>
        <v>School Health Services</v>
      </c>
      <c r="C114" s="17" t="s">
        <v>69</v>
      </c>
      <c r="D114" s="18" t="s">
        <v>70</v>
      </c>
      <c r="E114" s="19" t="s">
        <v>71</v>
      </c>
      <c r="F114" t="str">
        <f>'Source Table'!$B$11</f>
        <v>No. of  Discovered Diseases</v>
      </c>
      <c r="G114" t="str">
        <f>'Source Table'!$D$11</f>
        <v>عدد الحالات المرضية المكتشفة</v>
      </c>
      <c r="H114" s="20">
        <v>28587</v>
      </c>
      <c r="I114" s="20">
        <v>2014</v>
      </c>
    </row>
    <row r="115" ht="15.75" spans="1:9">
      <c r="A115" s="16" t="str">
        <f>'Source Table'!$B$3</f>
        <v>خدمات الصحة المدرسية</v>
      </c>
      <c r="B115" s="16" t="str">
        <f>'Source Table'!$B$2</f>
        <v>School Health Services</v>
      </c>
      <c r="C115" s="17" t="s">
        <v>69</v>
      </c>
      <c r="D115" s="18" t="s">
        <v>70</v>
      </c>
      <c r="E115" s="19" t="s">
        <v>71</v>
      </c>
      <c r="F115" t="str">
        <f>'Source Table'!$B$12</f>
        <v>Internal</v>
      </c>
      <c r="G115" t="str">
        <f>'Source Table'!$D$12</f>
        <v>باطنية</v>
      </c>
      <c r="H115" s="20">
        <v>5817</v>
      </c>
      <c r="I115" s="20">
        <v>2014</v>
      </c>
    </row>
    <row r="116" ht="15.75" spans="1:9">
      <c r="A116" s="16" t="str">
        <f>'Source Table'!$B$3</f>
        <v>خدمات الصحة المدرسية</v>
      </c>
      <c r="B116" s="16" t="str">
        <f>'Source Table'!$B$2</f>
        <v>School Health Services</v>
      </c>
      <c r="C116" s="17" t="s">
        <v>69</v>
      </c>
      <c r="D116" s="18" t="s">
        <v>70</v>
      </c>
      <c r="E116" s="19" t="s">
        <v>71</v>
      </c>
      <c r="F116" t="str">
        <f>'Source Table'!$B$13</f>
        <v>Ophthal</v>
      </c>
      <c r="G116" t="str">
        <f>'Source Table'!$D$13</f>
        <v>عيون</v>
      </c>
      <c r="H116" s="20">
        <v>5313</v>
      </c>
      <c r="I116" s="20">
        <v>2014</v>
      </c>
    </row>
    <row r="117" ht="15.75" spans="1:9">
      <c r="A117" s="16" t="str">
        <f>'Source Table'!$B$3</f>
        <v>خدمات الصحة المدرسية</v>
      </c>
      <c r="B117" s="16" t="str">
        <f>'Source Table'!$B$2</f>
        <v>School Health Services</v>
      </c>
      <c r="C117" s="17" t="s">
        <v>69</v>
      </c>
      <c r="D117" s="18" t="s">
        <v>70</v>
      </c>
      <c r="E117" s="19" t="s">
        <v>71</v>
      </c>
      <c r="F117" t="str">
        <f>'Source Table'!$B$14</f>
        <v>Ear, Nose and Throat</v>
      </c>
      <c r="G117" t="str">
        <f>'Source Table'!$D$14</f>
        <v>أذن وأنف وحنجرة</v>
      </c>
      <c r="H117" s="20">
        <v>8443</v>
      </c>
      <c r="I117" s="20">
        <v>2014</v>
      </c>
    </row>
    <row r="118" ht="15.75" spans="1:9">
      <c r="A118" s="16" t="str">
        <f>'Source Table'!$B$3</f>
        <v>خدمات الصحة المدرسية</v>
      </c>
      <c r="B118" s="16" t="str">
        <f>'Source Table'!$B$2</f>
        <v>School Health Services</v>
      </c>
      <c r="C118" s="17" t="s">
        <v>69</v>
      </c>
      <c r="D118" s="18" t="s">
        <v>70</v>
      </c>
      <c r="E118" s="19" t="s">
        <v>71</v>
      </c>
      <c r="F118" t="str">
        <f>'Source Table'!$B$15</f>
        <v>Dermatology</v>
      </c>
      <c r="G118" t="str">
        <f>'Source Table'!$D$15</f>
        <v>جلدية</v>
      </c>
      <c r="H118" s="20">
        <v>8935</v>
      </c>
      <c r="I118" s="20">
        <v>2014</v>
      </c>
    </row>
    <row r="119" ht="15.75" spans="1:9">
      <c r="A119" s="16" t="str">
        <f>'Source Table'!$B$3</f>
        <v>خدمات الصحة المدرسية</v>
      </c>
      <c r="B119" s="16" t="str">
        <f>'Source Table'!$B$2</f>
        <v>School Health Services</v>
      </c>
      <c r="C119" s="17" t="s">
        <v>69</v>
      </c>
      <c r="D119" s="18" t="s">
        <v>70</v>
      </c>
      <c r="E119" s="19" t="s">
        <v>71</v>
      </c>
      <c r="F119" t="str">
        <f>'Source Table'!$B$16</f>
        <v>Spinal Column</v>
      </c>
      <c r="G119" t="str">
        <f>'Source Table'!$D$16</f>
        <v>العمود الفقري</v>
      </c>
      <c r="H119" s="20">
        <v>79</v>
      </c>
      <c r="I119" s="20">
        <v>2014</v>
      </c>
    </row>
    <row r="120" ht="15.75" spans="1:9">
      <c r="A120" s="16" t="str">
        <f>'Source Table'!$B$3</f>
        <v>خدمات الصحة المدرسية</v>
      </c>
      <c r="B120" s="16" t="str">
        <f>'Source Table'!$B$2</f>
        <v>School Health Services</v>
      </c>
      <c r="C120" s="17" t="s">
        <v>69</v>
      </c>
      <c r="D120" s="18" t="s">
        <v>70</v>
      </c>
      <c r="E120" s="19" t="s">
        <v>71</v>
      </c>
      <c r="F120" t="str">
        <f>'Source Table'!$B$18</f>
        <v>Dental Protections</v>
      </c>
      <c r="G120" t="str">
        <f>'Source Table'!$D$18</f>
        <v>وقاية الأسنان بالفلورايد</v>
      </c>
      <c r="H120" s="20">
        <v>471747</v>
      </c>
      <c r="I120" s="20">
        <v>2014</v>
      </c>
    </row>
    <row r="121" ht="15.75" spans="1:9">
      <c r="A121" s="16" t="str">
        <f>'Source Table'!$B$3</f>
        <v>خدمات الصحة المدرسية</v>
      </c>
      <c r="B121" s="16" t="str">
        <f>'Source Table'!$B$2</f>
        <v>School Health Services</v>
      </c>
      <c r="C121" s="17" t="s">
        <v>69</v>
      </c>
      <c r="D121" s="18" t="s">
        <v>70</v>
      </c>
      <c r="E121" s="19" t="s">
        <v>71</v>
      </c>
      <c r="F121" t="str">
        <f>'Source Table'!$B$20</f>
        <v>No. of  Lectures</v>
      </c>
      <c r="G121" t="str">
        <f>'Source Table'!$D$20</f>
        <v>عدد المحاضرات</v>
      </c>
      <c r="H121" s="20">
        <v>6158</v>
      </c>
      <c r="I121" s="20">
        <v>2014</v>
      </c>
    </row>
    <row r="122" ht="15.75" spans="1:9">
      <c r="A122" s="16" t="str">
        <f>'Source Table'!$B$3</f>
        <v>خدمات الصحة المدرسية</v>
      </c>
      <c r="B122" s="16" t="str">
        <f>'Source Table'!$B$2</f>
        <v>School Health Services</v>
      </c>
      <c r="C122" s="17" t="s">
        <v>69</v>
      </c>
      <c r="D122" s="18" t="s">
        <v>70</v>
      </c>
      <c r="E122" s="19" t="s">
        <v>71</v>
      </c>
      <c r="F122" t="str">
        <f>'Source Table'!$B$21</f>
        <v>No. of  Films</v>
      </c>
      <c r="G122" t="str">
        <f>'Source Table'!$D$21</f>
        <v>عدد الأفلام</v>
      </c>
      <c r="H122" s="20"/>
      <c r="I122" s="20">
        <v>2014</v>
      </c>
    </row>
    <row r="123" ht="15.75" spans="1:9">
      <c r="A123" s="16" t="str">
        <f>'Source Table'!$B$3</f>
        <v>خدمات الصحة المدرسية</v>
      </c>
      <c r="B123" s="16" t="str">
        <f>'Source Table'!$B$2</f>
        <v>School Health Services</v>
      </c>
      <c r="C123" s="17" t="s">
        <v>69</v>
      </c>
      <c r="D123" s="18" t="s">
        <v>70</v>
      </c>
      <c r="E123" s="19" t="s">
        <v>71</v>
      </c>
      <c r="F123" t="str">
        <f>'Source Table'!$B$22</f>
        <v>No. of  Pamphlets and Posters</v>
      </c>
      <c r="G123" t="str">
        <f>'Source Table'!$D$22</f>
        <v>عدد النشرات والملصقات</v>
      </c>
      <c r="H123" s="20">
        <v>18277</v>
      </c>
      <c r="I123" s="20">
        <v>2014</v>
      </c>
    </row>
    <row r="124" ht="15.75" spans="1:9">
      <c r="A124" s="16" t="str">
        <f>'Source Table'!$B$3</f>
        <v>خدمات الصحة المدرسية</v>
      </c>
      <c r="B124" s="16" t="str">
        <f>'Source Table'!$B$2</f>
        <v>School Health Services</v>
      </c>
      <c r="C124" s="17" t="s">
        <v>69</v>
      </c>
      <c r="D124" s="18" t="s">
        <v>70</v>
      </c>
      <c r="E124" s="19" t="s">
        <v>71</v>
      </c>
      <c r="F124" t="str">
        <f>'Source Table'!$B$9</f>
        <v>No. of  Tested Students   </v>
      </c>
      <c r="G124" t="str">
        <f>'Source Table'!$D$9</f>
        <v>عدد الطلبة المفحوصين</v>
      </c>
      <c r="H124" s="20">
        <v>399278</v>
      </c>
      <c r="I124" s="20">
        <v>2013</v>
      </c>
    </row>
    <row r="125" ht="15.75" spans="1:9">
      <c r="A125" s="16" t="str">
        <f>'Source Table'!$B$3</f>
        <v>خدمات الصحة المدرسية</v>
      </c>
      <c r="B125" s="16" t="str">
        <f>'Source Table'!$B$2</f>
        <v>School Health Services</v>
      </c>
      <c r="C125" s="17" t="s">
        <v>69</v>
      </c>
      <c r="D125" s="18" t="s">
        <v>70</v>
      </c>
      <c r="E125" s="19" t="s">
        <v>71</v>
      </c>
      <c r="F125" t="str">
        <f>'Source Table'!$B$10</f>
        <v>No. of  Tested Schools</v>
      </c>
      <c r="G125" t="str">
        <f>'Source Table'!$D$10</f>
        <v>عدد المدارس التي فحص طلابها</v>
      </c>
      <c r="H125" s="20">
        <v>3366</v>
      </c>
      <c r="I125" s="20">
        <v>2013</v>
      </c>
    </row>
    <row r="126" ht="15.75" spans="1:9">
      <c r="A126" s="16" t="str">
        <f>'Source Table'!$B$3</f>
        <v>خدمات الصحة المدرسية</v>
      </c>
      <c r="B126" s="16" t="str">
        <f>'Source Table'!$B$2</f>
        <v>School Health Services</v>
      </c>
      <c r="C126" s="17" t="s">
        <v>69</v>
      </c>
      <c r="D126" s="18" t="s">
        <v>70</v>
      </c>
      <c r="E126" s="19" t="s">
        <v>71</v>
      </c>
      <c r="F126" t="str">
        <f>'Source Table'!$B$11</f>
        <v>No. of  Discovered Diseases</v>
      </c>
      <c r="G126" t="str">
        <f>'Source Table'!$D$11</f>
        <v>عدد الحالات المرضية المكتشفة</v>
      </c>
      <c r="H126" s="20">
        <v>27393</v>
      </c>
      <c r="I126" s="20">
        <v>2013</v>
      </c>
    </row>
    <row r="127" ht="15.75" spans="1:9">
      <c r="A127" s="16" t="str">
        <f>'Source Table'!$B$3</f>
        <v>خدمات الصحة المدرسية</v>
      </c>
      <c r="B127" s="16" t="str">
        <f>'Source Table'!$B$2</f>
        <v>School Health Services</v>
      </c>
      <c r="C127" s="17" t="s">
        <v>69</v>
      </c>
      <c r="D127" s="18" t="s">
        <v>70</v>
      </c>
      <c r="E127" s="19" t="s">
        <v>71</v>
      </c>
      <c r="F127" t="str">
        <f>'Source Table'!$B$12</f>
        <v>Internal</v>
      </c>
      <c r="G127" t="str">
        <f>'Source Table'!$D$12</f>
        <v>باطنية</v>
      </c>
      <c r="H127" s="20">
        <v>5607</v>
      </c>
      <c r="I127" s="20">
        <v>2013</v>
      </c>
    </row>
    <row r="128" ht="15.75" spans="1:9">
      <c r="A128" s="16" t="str">
        <f>'Source Table'!$B$3</f>
        <v>خدمات الصحة المدرسية</v>
      </c>
      <c r="B128" s="16" t="str">
        <f>'Source Table'!$B$2</f>
        <v>School Health Services</v>
      </c>
      <c r="C128" s="17" t="s">
        <v>69</v>
      </c>
      <c r="D128" s="18" t="s">
        <v>70</v>
      </c>
      <c r="E128" s="19" t="s">
        <v>71</v>
      </c>
      <c r="F128" t="str">
        <f>'Source Table'!$B$13</f>
        <v>Ophthal</v>
      </c>
      <c r="G128" t="str">
        <f>'Source Table'!$D$13</f>
        <v>عيون</v>
      </c>
      <c r="H128" s="20">
        <v>4504</v>
      </c>
      <c r="I128" s="20">
        <v>2013</v>
      </c>
    </row>
    <row r="129" ht="15.75" spans="1:9">
      <c r="A129" s="16" t="str">
        <f>'Source Table'!$B$3</f>
        <v>خدمات الصحة المدرسية</v>
      </c>
      <c r="B129" s="16" t="str">
        <f>'Source Table'!$B$2</f>
        <v>School Health Services</v>
      </c>
      <c r="C129" s="17" t="s">
        <v>69</v>
      </c>
      <c r="D129" s="18" t="s">
        <v>70</v>
      </c>
      <c r="E129" s="19" t="s">
        <v>71</v>
      </c>
      <c r="F129" t="str">
        <f>'Source Table'!$B$14</f>
        <v>Ear, Nose and Throat</v>
      </c>
      <c r="G129" t="str">
        <f>'Source Table'!$D$14</f>
        <v>أذن وأنف وحنجرة</v>
      </c>
      <c r="H129" s="20">
        <v>7736</v>
      </c>
      <c r="I129" s="20">
        <v>2013</v>
      </c>
    </row>
    <row r="130" ht="15.75" spans="1:9">
      <c r="A130" s="16" t="str">
        <f>'Source Table'!$B$3</f>
        <v>خدمات الصحة المدرسية</v>
      </c>
      <c r="B130" s="16" t="str">
        <f>'Source Table'!$B$2</f>
        <v>School Health Services</v>
      </c>
      <c r="C130" s="17" t="s">
        <v>69</v>
      </c>
      <c r="D130" s="18" t="s">
        <v>70</v>
      </c>
      <c r="E130" s="19" t="s">
        <v>71</v>
      </c>
      <c r="F130" t="str">
        <f>'Source Table'!$B$15</f>
        <v>Dermatology</v>
      </c>
      <c r="G130" t="str">
        <f>'Source Table'!$D$15</f>
        <v>جلدية</v>
      </c>
      <c r="H130" s="20">
        <v>9409</v>
      </c>
      <c r="I130" s="20">
        <v>2013</v>
      </c>
    </row>
    <row r="131" ht="15.75" spans="1:9">
      <c r="A131" s="16" t="str">
        <f>'Source Table'!$B$3</f>
        <v>خدمات الصحة المدرسية</v>
      </c>
      <c r="B131" s="16" t="str">
        <f>'Source Table'!$B$2</f>
        <v>School Health Services</v>
      </c>
      <c r="C131" s="17" t="s">
        <v>69</v>
      </c>
      <c r="D131" s="18" t="s">
        <v>70</v>
      </c>
      <c r="E131" s="19" t="s">
        <v>71</v>
      </c>
      <c r="F131" t="str">
        <f>'Source Table'!$B$16</f>
        <v>Spinal Column</v>
      </c>
      <c r="G131" t="str">
        <f>'Source Table'!$D$16</f>
        <v>العمود الفقري</v>
      </c>
      <c r="H131" s="20">
        <v>137</v>
      </c>
      <c r="I131" s="20">
        <v>2013</v>
      </c>
    </row>
    <row r="132" ht="15.75" spans="1:9">
      <c r="A132" s="16" t="str">
        <f>'Source Table'!$B$3</f>
        <v>خدمات الصحة المدرسية</v>
      </c>
      <c r="B132" s="16" t="str">
        <f>'Source Table'!$B$2</f>
        <v>School Health Services</v>
      </c>
      <c r="C132" s="17" t="s">
        <v>69</v>
      </c>
      <c r="D132" s="18" t="s">
        <v>70</v>
      </c>
      <c r="E132" s="19" t="s">
        <v>71</v>
      </c>
      <c r="F132" t="str">
        <f>'Source Table'!$B$18</f>
        <v>Dental Protections</v>
      </c>
      <c r="G132" t="str">
        <f>'Source Table'!$D$18</f>
        <v>وقاية الأسنان بالفلورايد</v>
      </c>
      <c r="H132" s="20">
        <v>458475</v>
      </c>
      <c r="I132" s="20">
        <v>2013</v>
      </c>
    </row>
    <row r="133" ht="15.75" spans="1:9">
      <c r="A133" s="16" t="str">
        <f>'Source Table'!$B$3</f>
        <v>خدمات الصحة المدرسية</v>
      </c>
      <c r="B133" s="16" t="str">
        <f>'Source Table'!$B$2</f>
        <v>School Health Services</v>
      </c>
      <c r="C133" s="17" t="s">
        <v>69</v>
      </c>
      <c r="D133" s="18" t="s">
        <v>70</v>
      </c>
      <c r="E133" s="19" t="s">
        <v>71</v>
      </c>
      <c r="F133" t="str">
        <f>'Source Table'!$B$20</f>
        <v>No. of  Lectures</v>
      </c>
      <c r="G133" t="str">
        <f>'Source Table'!$D$20</f>
        <v>عدد المحاضرات</v>
      </c>
      <c r="H133" s="20">
        <v>8635</v>
      </c>
      <c r="I133" s="20">
        <v>2013</v>
      </c>
    </row>
    <row r="134" ht="15.75" spans="1:9">
      <c r="A134" s="16" t="str">
        <f>'Source Table'!$B$3</f>
        <v>خدمات الصحة المدرسية</v>
      </c>
      <c r="B134" s="16" t="str">
        <f>'Source Table'!$B$2</f>
        <v>School Health Services</v>
      </c>
      <c r="C134" s="17" t="s">
        <v>69</v>
      </c>
      <c r="D134" s="18" t="s">
        <v>70</v>
      </c>
      <c r="E134" s="19" t="s">
        <v>71</v>
      </c>
      <c r="F134" t="str">
        <f>'Source Table'!$B$21</f>
        <v>No. of  Films</v>
      </c>
      <c r="G134" t="str">
        <f>'Source Table'!$D$21</f>
        <v>عدد الأفلام</v>
      </c>
      <c r="H134" s="20"/>
      <c r="I134" s="20">
        <v>2013</v>
      </c>
    </row>
    <row r="135" ht="15.75" spans="1:9">
      <c r="A135" s="16" t="str">
        <f>'Source Table'!$B$3</f>
        <v>خدمات الصحة المدرسية</v>
      </c>
      <c r="B135" s="16" t="str">
        <f>'Source Table'!$B$2</f>
        <v>School Health Services</v>
      </c>
      <c r="C135" s="17" t="s">
        <v>69</v>
      </c>
      <c r="D135" s="18" t="s">
        <v>70</v>
      </c>
      <c r="E135" s="19" t="s">
        <v>71</v>
      </c>
      <c r="F135" t="str">
        <f>'Source Table'!$B$22</f>
        <v>No. of  Pamphlets and Posters</v>
      </c>
      <c r="G135" t="str">
        <f>'Source Table'!$D$22</f>
        <v>عدد النشرات والملصقات</v>
      </c>
      <c r="H135" s="20">
        <v>20519</v>
      </c>
      <c r="I135" s="20">
        <v>2013</v>
      </c>
    </row>
    <row r="136" ht="15.75" spans="1:9">
      <c r="A136" s="16" t="str">
        <f>'Source Table'!$B$3</f>
        <v>خدمات الصحة المدرسية</v>
      </c>
      <c r="B136" s="16" t="str">
        <f>'Source Table'!$B$2</f>
        <v>School Health Services</v>
      </c>
      <c r="C136" s="17" t="s">
        <v>69</v>
      </c>
      <c r="D136" s="18" t="s">
        <v>70</v>
      </c>
      <c r="E136" s="19" t="s">
        <v>71</v>
      </c>
      <c r="F136" t="str">
        <f>'Source Table'!$B$9</f>
        <v>No. of  Tested Students   </v>
      </c>
      <c r="G136" t="str">
        <f>'Source Table'!$D$9</f>
        <v>عدد الطلبة المفحوصين</v>
      </c>
      <c r="H136" s="20">
        <v>386673</v>
      </c>
      <c r="I136" s="20">
        <v>2012</v>
      </c>
    </row>
    <row r="137" ht="15.75" spans="1:9">
      <c r="A137" s="16" t="str">
        <f>'Source Table'!$B$3</f>
        <v>خدمات الصحة المدرسية</v>
      </c>
      <c r="B137" s="16" t="str">
        <f>'Source Table'!$B$2</f>
        <v>School Health Services</v>
      </c>
      <c r="C137" s="17" t="s">
        <v>69</v>
      </c>
      <c r="D137" s="18" t="s">
        <v>70</v>
      </c>
      <c r="E137" s="19" t="s">
        <v>71</v>
      </c>
      <c r="F137" t="str">
        <f>'Source Table'!$B$10</f>
        <v>No. of  Tested Schools</v>
      </c>
      <c r="G137" t="str">
        <f>'Source Table'!$D$10</f>
        <v>عدد المدارس التي فحص طلابها</v>
      </c>
      <c r="H137" s="20">
        <v>4790</v>
      </c>
      <c r="I137" s="20">
        <v>2012</v>
      </c>
    </row>
    <row r="138" ht="15.75" spans="1:9">
      <c r="A138" s="16" t="str">
        <f>'Source Table'!$B$3</f>
        <v>خدمات الصحة المدرسية</v>
      </c>
      <c r="B138" s="16" t="str">
        <f>'Source Table'!$B$2</f>
        <v>School Health Services</v>
      </c>
      <c r="C138" s="17" t="s">
        <v>69</v>
      </c>
      <c r="D138" s="18" t="s">
        <v>70</v>
      </c>
      <c r="E138" s="19" t="s">
        <v>71</v>
      </c>
      <c r="F138" t="str">
        <f>'Source Table'!$B$11</f>
        <v>No. of  Discovered Diseases</v>
      </c>
      <c r="G138" t="str">
        <f>'Source Table'!$D$11</f>
        <v>عدد الحالات المرضية المكتشفة</v>
      </c>
      <c r="H138" s="20">
        <v>36317</v>
      </c>
      <c r="I138" s="20">
        <v>2012</v>
      </c>
    </row>
    <row r="139" ht="15.75" spans="1:9">
      <c r="A139" s="16" t="str">
        <f>'Source Table'!$B$3</f>
        <v>خدمات الصحة المدرسية</v>
      </c>
      <c r="B139" s="16" t="str">
        <f>'Source Table'!$B$2</f>
        <v>School Health Services</v>
      </c>
      <c r="C139" s="17" t="s">
        <v>69</v>
      </c>
      <c r="D139" s="18" t="s">
        <v>70</v>
      </c>
      <c r="E139" s="19" t="s">
        <v>71</v>
      </c>
      <c r="F139" t="str">
        <f>'Source Table'!$B$12</f>
        <v>Internal</v>
      </c>
      <c r="G139" t="str">
        <f>'Source Table'!$D$12</f>
        <v>باطنية</v>
      </c>
      <c r="H139" s="20">
        <v>11781</v>
      </c>
      <c r="I139" s="20">
        <v>2012</v>
      </c>
    </row>
    <row r="140" ht="15.75" spans="1:9">
      <c r="A140" s="16" t="str">
        <f>'Source Table'!$B$3</f>
        <v>خدمات الصحة المدرسية</v>
      </c>
      <c r="B140" s="16" t="str">
        <f>'Source Table'!$B$2</f>
        <v>School Health Services</v>
      </c>
      <c r="C140" s="17" t="s">
        <v>69</v>
      </c>
      <c r="D140" s="18" t="s">
        <v>70</v>
      </c>
      <c r="E140" s="19" t="s">
        <v>71</v>
      </c>
      <c r="F140" t="str">
        <f>'Source Table'!$B$13</f>
        <v>Ophthal</v>
      </c>
      <c r="G140" t="str">
        <f>'Source Table'!$D$13</f>
        <v>عيون</v>
      </c>
      <c r="H140" s="20">
        <v>6200</v>
      </c>
      <c r="I140" s="20">
        <v>2012</v>
      </c>
    </row>
    <row r="141" ht="15.75" spans="1:9">
      <c r="A141" s="16" t="str">
        <f>'Source Table'!$B$3</f>
        <v>خدمات الصحة المدرسية</v>
      </c>
      <c r="B141" s="16" t="str">
        <f>'Source Table'!$B$2</f>
        <v>School Health Services</v>
      </c>
      <c r="C141" s="17" t="s">
        <v>69</v>
      </c>
      <c r="D141" s="18" t="s">
        <v>70</v>
      </c>
      <c r="E141" s="19" t="s">
        <v>71</v>
      </c>
      <c r="F141" t="str">
        <f>'Source Table'!$B$14</f>
        <v>Ear, Nose and Throat</v>
      </c>
      <c r="G141" t="str">
        <f>'Source Table'!$D$14</f>
        <v>أذن وأنف وحنجرة</v>
      </c>
      <c r="H141" s="20">
        <v>8204</v>
      </c>
      <c r="I141" s="20">
        <v>2012</v>
      </c>
    </row>
    <row r="142" ht="15.75" spans="1:9">
      <c r="A142" s="16" t="str">
        <f>'Source Table'!$B$3</f>
        <v>خدمات الصحة المدرسية</v>
      </c>
      <c r="B142" s="16" t="str">
        <f>'Source Table'!$B$2</f>
        <v>School Health Services</v>
      </c>
      <c r="C142" s="17" t="s">
        <v>69</v>
      </c>
      <c r="D142" s="18" t="s">
        <v>70</v>
      </c>
      <c r="E142" s="19" t="s">
        <v>71</v>
      </c>
      <c r="F142" t="str">
        <f>'Source Table'!$B$15</f>
        <v>Dermatology</v>
      </c>
      <c r="G142" t="str">
        <f>'Source Table'!$D$15</f>
        <v>جلدية</v>
      </c>
      <c r="H142" s="20">
        <v>9698</v>
      </c>
      <c r="I142" s="20">
        <v>2012</v>
      </c>
    </row>
    <row r="143" ht="15.75" spans="1:9">
      <c r="A143" s="16" t="str">
        <f>'Source Table'!$B$3</f>
        <v>خدمات الصحة المدرسية</v>
      </c>
      <c r="B143" s="16" t="str">
        <f>'Source Table'!$B$2</f>
        <v>School Health Services</v>
      </c>
      <c r="C143" s="17" t="s">
        <v>69</v>
      </c>
      <c r="D143" s="18" t="s">
        <v>70</v>
      </c>
      <c r="E143" s="19" t="s">
        <v>71</v>
      </c>
      <c r="F143" t="str">
        <f>'Source Table'!$B$16</f>
        <v>Spinal Column</v>
      </c>
      <c r="G143" t="str">
        <f>'Source Table'!$D$16</f>
        <v>العمود الفقري</v>
      </c>
      <c r="H143" s="20">
        <v>434</v>
      </c>
      <c r="I143" s="20">
        <v>2012</v>
      </c>
    </row>
    <row r="144" ht="15.75" spans="1:9">
      <c r="A144" s="16" t="str">
        <f>'Source Table'!$B$3</f>
        <v>خدمات الصحة المدرسية</v>
      </c>
      <c r="B144" s="16" t="str">
        <f>'Source Table'!$B$2</f>
        <v>School Health Services</v>
      </c>
      <c r="C144" s="17" t="s">
        <v>69</v>
      </c>
      <c r="D144" s="18" t="s">
        <v>70</v>
      </c>
      <c r="E144" s="19" t="s">
        <v>71</v>
      </c>
      <c r="F144" t="str">
        <f>'Source Table'!$B$18</f>
        <v>Dental Protections</v>
      </c>
      <c r="G144" t="str">
        <f>'Source Table'!$D$18</f>
        <v>وقاية الأسنان بالفلورايد</v>
      </c>
      <c r="H144" s="20">
        <v>471221</v>
      </c>
      <c r="I144" s="20">
        <v>2012</v>
      </c>
    </row>
    <row r="145" ht="15.75" spans="1:9">
      <c r="A145" s="16" t="str">
        <f>'Source Table'!$B$3</f>
        <v>خدمات الصحة المدرسية</v>
      </c>
      <c r="B145" s="16" t="str">
        <f>'Source Table'!$B$2</f>
        <v>School Health Services</v>
      </c>
      <c r="C145" s="17" t="s">
        <v>69</v>
      </c>
      <c r="D145" s="18" t="s">
        <v>70</v>
      </c>
      <c r="E145" s="19" t="s">
        <v>71</v>
      </c>
      <c r="F145" t="str">
        <f>'Source Table'!$B$20</f>
        <v>No. of  Lectures</v>
      </c>
      <c r="G145" t="str">
        <f>'Source Table'!$D$20</f>
        <v>عدد المحاضرات</v>
      </c>
      <c r="H145" s="20">
        <v>5630</v>
      </c>
      <c r="I145" s="20">
        <v>2012</v>
      </c>
    </row>
    <row r="146" ht="15.75" spans="1:9">
      <c r="A146" s="16" t="str">
        <f>'Source Table'!$B$3</f>
        <v>خدمات الصحة المدرسية</v>
      </c>
      <c r="B146" s="16" t="str">
        <f>'Source Table'!$B$2</f>
        <v>School Health Services</v>
      </c>
      <c r="C146" s="17" t="s">
        <v>69</v>
      </c>
      <c r="D146" s="18" t="s">
        <v>70</v>
      </c>
      <c r="E146" s="19" t="s">
        <v>71</v>
      </c>
      <c r="F146" t="str">
        <f>'Source Table'!$B$21</f>
        <v>No. of  Films</v>
      </c>
      <c r="G146" t="str">
        <f>'Source Table'!$D$21</f>
        <v>عدد الأفلام</v>
      </c>
      <c r="H146" s="20">
        <v>86</v>
      </c>
      <c r="I146" s="20">
        <v>2012</v>
      </c>
    </row>
    <row r="147" ht="15.75" spans="1:9">
      <c r="A147" s="16" t="str">
        <f>'Source Table'!$B$3</f>
        <v>خدمات الصحة المدرسية</v>
      </c>
      <c r="B147" s="16" t="str">
        <f>'Source Table'!$B$2</f>
        <v>School Health Services</v>
      </c>
      <c r="C147" s="17" t="s">
        <v>69</v>
      </c>
      <c r="D147" s="18" t="s">
        <v>70</v>
      </c>
      <c r="E147" s="19" t="s">
        <v>71</v>
      </c>
      <c r="F147" t="str">
        <f>'Source Table'!$B$22</f>
        <v>No. of  Pamphlets and Posters</v>
      </c>
      <c r="G147" t="str">
        <f>'Source Table'!$D$22</f>
        <v>عدد النشرات والملصقات</v>
      </c>
      <c r="H147" s="20">
        <v>17308</v>
      </c>
      <c r="I147" s="20">
        <v>2012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"/>
  <sheetViews>
    <sheetView zoomScale="70" zoomScaleNormal="70" workbookViewId="0">
      <selection activeCell="F4" sqref="F4:G5"/>
    </sheetView>
  </sheetViews>
  <sheetFormatPr defaultColWidth="9" defaultRowHeight="14.25" outlineLevelRow="4"/>
  <cols>
    <col min="1" max="10" width="24.5" customWidth="1"/>
    <col min="11" max="12" width="15" customWidth="1"/>
    <col min="13" max="13" width="8.75" customWidth="1"/>
    <col min="14" max="14" width="11.5" customWidth="1"/>
    <col min="15" max="15" width="12" customWidth="1"/>
    <col min="16" max="16" width="9.875" customWidth="1"/>
    <col min="17" max="17" width="7.5" customWidth="1"/>
  </cols>
  <sheetData>
    <row r="1" ht="15" spans="1:2">
      <c r="A1" s="11" t="s">
        <v>72</v>
      </c>
      <c r="B1" s="12">
        <f>DATE(B2,B3,1)</f>
        <v>45292</v>
      </c>
    </row>
    <row r="2" ht="15" spans="1:4">
      <c r="A2" s="11" t="s">
        <v>16</v>
      </c>
      <c r="B2">
        <v>2024</v>
      </c>
      <c r="D2" s="12"/>
    </row>
    <row r="3" ht="15" spans="1:2">
      <c r="A3" s="11" t="s">
        <v>73</v>
      </c>
      <c r="B3">
        <v>1</v>
      </c>
    </row>
    <row r="4" s="10" customFormat="1" ht="18" customHeight="1" spans="1:10">
      <c r="A4" s="13" t="s">
        <v>51</v>
      </c>
      <c r="B4" s="13" t="s">
        <v>52</v>
      </c>
      <c r="C4" s="13" t="s">
        <v>53</v>
      </c>
      <c r="D4" s="13" t="s">
        <v>54</v>
      </c>
      <c r="E4" s="13" t="s">
        <v>55</v>
      </c>
      <c r="F4" s="14" t="s">
        <v>56</v>
      </c>
      <c r="G4" s="14" t="s">
        <v>57</v>
      </c>
      <c r="H4" s="13" t="s">
        <v>58</v>
      </c>
      <c r="I4" s="13" t="s">
        <v>59</v>
      </c>
      <c r="J4" s="13" t="s">
        <v>60</v>
      </c>
    </row>
    <row r="5" s="10" customFormat="1" ht="18" customHeight="1" spans="1:10">
      <c r="A5" s="13" t="s">
        <v>61</v>
      </c>
      <c r="B5" s="13" t="s">
        <v>62</v>
      </c>
      <c r="C5" s="13" t="s">
        <v>63</v>
      </c>
      <c r="D5" s="13" t="s">
        <v>64</v>
      </c>
      <c r="E5" s="13" t="s">
        <v>65</v>
      </c>
      <c r="F5" s="14" t="s">
        <v>7</v>
      </c>
      <c r="G5" s="14" t="s">
        <v>5</v>
      </c>
      <c r="H5" s="13" t="s">
        <v>66</v>
      </c>
      <c r="I5" s="13" t="s">
        <v>67</v>
      </c>
      <c r="J5" s="13" t="s">
        <v>68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38"/>
  <sheetViews>
    <sheetView topLeftCell="A17" workbookViewId="0">
      <selection activeCell="A36" sqref="A36"/>
    </sheetView>
  </sheetViews>
  <sheetFormatPr defaultColWidth="8.875" defaultRowHeight="14.25" outlineLevelCol="2"/>
  <cols>
    <col min="1" max="1" width="90" style="1" customWidth="1"/>
    <col min="2" max="2" width="2.5" style="2" customWidth="1"/>
    <col min="3" max="3" width="87.375" style="3" customWidth="1"/>
    <col min="4" max="16384" width="8.875" style="4"/>
  </cols>
  <sheetData>
    <row r="2" ht="17.25" spans="1:3">
      <c r="A2" s="5" t="s">
        <v>74</v>
      </c>
      <c r="C2" s="6" t="s">
        <v>75</v>
      </c>
    </row>
    <row r="3" spans="1:1">
      <c r="A3" s="7"/>
    </row>
    <row r="4" ht="28.5" spans="1:3">
      <c r="A4" s="7" t="s">
        <v>76</v>
      </c>
      <c r="C4" s="3" t="s">
        <v>77</v>
      </c>
    </row>
    <row r="6" ht="17.25" spans="1:3">
      <c r="A6" s="5" t="s">
        <v>78</v>
      </c>
      <c r="C6" s="6" t="s">
        <v>79</v>
      </c>
    </row>
    <row r="7" spans="1:1">
      <c r="A7" s="7"/>
    </row>
    <row r="8" ht="30" spans="1:3">
      <c r="A8" s="8" t="s">
        <v>80</v>
      </c>
      <c r="C8" s="3" t="s">
        <v>81</v>
      </c>
    </row>
    <row r="10" ht="17.25" spans="1:3">
      <c r="A10" s="5" t="s">
        <v>82</v>
      </c>
      <c r="C10" s="6" t="s">
        <v>83</v>
      </c>
    </row>
    <row r="11" spans="1:1">
      <c r="A11" s="7"/>
    </row>
    <row r="12" spans="1:3">
      <c r="A12" s="7" t="s">
        <v>84</v>
      </c>
      <c r="C12" s="3" t="s">
        <v>85</v>
      </c>
    </row>
    <row r="13" ht="15" spans="1:3">
      <c r="A13" s="8" t="s">
        <v>86</v>
      </c>
      <c r="C13" s="9" t="s">
        <v>87</v>
      </c>
    </row>
    <row r="14" ht="29.25" spans="1:3">
      <c r="A14" s="8" t="s">
        <v>88</v>
      </c>
      <c r="C14" s="9" t="s">
        <v>89</v>
      </c>
    </row>
    <row r="15" ht="15" spans="1:3">
      <c r="A15" s="8" t="s">
        <v>90</v>
      </c>
      <c r="C15" s="9" t="s">
        <v>91</v>
      </c>
    </row>
    <row r="16" ht="15" spans="1:3">
      <c r="A16" s="8" t="s">
        <v>92</v>
      </c>
      <c r="C16" s="9" t="s">
        <v>93</v>
      </c>
    </row>
    <row r="17" ht="15" spans="1:3">
      <c r="A17" s="8" t="s">
        <v>94</v>
      </c>
      <c r="C17" s="9" t="s">
        <v>95</v>
      </c>
    </row>
    <row r="18" spans="1:3">
      <c r="A18" s="7" t="s">
        <v>96</v>
      </c>
      <c r="C18" s="3" t="s">
        <v>97</v>
      </c>
    </row>
    <row r="19" spans="1:3">
      <c r="A19" s="7" t="s">
        <v>98</v>
      </c>
      <c r="C19" s="3" t="s">
        <v>99</v>
      </c>
    </row>
    <row r="20" ht="29.25" spans="1:3">
      <c r="A20" s="8" t="s">
        <v>100</v>
      </c>
      <c r="C20" s="9" t="s">
        <v>101</v>
      </c>
    </row>
    <row r="22" ht="17.25" spans="1:3">
      <c r="A22" s="5" t="s">
        <v>102</v>
      </c>
      <c r="C22" s="6" t="s">
        <v>103</v>
      </c>
    </row>
    <row r="23" spans="1:1">
      <c r="A23" s="7"/>
    </row>
    <row r="24" ht="29.25" spans="1:3">
      <c r="A24" s="7" t="s">
        <v>104</v>
      </c>
      <c r="C24" s="3" t="s">
        <v>105</v>
      </c>
    </row>
    <row r="25" ht="30" spans="1:3">
      <c r="A25" s="7" t="s">
        <v>106</v>
      </c>
      <c r="C25" s="3" t="s">
        <v>107</v>
      </c>
    </row>
    <row r="27" ht="17.25" spans="1:3">
      <c r="A27" s="5" t="s">
        <v>108</v>
      </c>
      <c r="C27" s="6" t="s">
        <v>109</v>
      </c>
    </row>
    <row r="28" spans="1:1">
      <c r="A28" s="7"/>
    </row>
    <row r="29" ht="15" spans="1:3">
      <c r="A29" s="7" t="s">
        <v>110</v>
      </c>
      <c r="C29" s="3" t="s">
        <v>111</v>
      </c>
    </row>
    <row r="30" spans="1:3">
      <c r="A30" s="7" t="s">
        <v>112</v>
      </c>
      <c r="C30" s="3" t="s">
        <v>113</v>
      </c>
    </row>
    <row r="32" ht="17.25" spans="1:3">
      <c r="A32" s="5" t="s">
        <v>114</v>
      </c>
      <c r="C32" s="6" t="s">
        <v>115</v>
      </c>
    </row>
    <row r="33" spans="1:1">
      <c r="A33" s="7"/>
    </row>
    <row r="34" ht="15" spans="1:3">
      <c r="A34" s="8" t="s">
        <v>116</v>
      </c>
      <c r="C34" s="3" t="s">
        <v>117</v>
      </c>
    </row>
    <row r="36" ht="17.25" spans="1:3">
      <c r="A36" s="5" t="s">
        <v>118</v>
      </c>
      <c r="C36" s="6" t="s">
        <v>119</v>
      </c>
    </row>
    <row r="37" spans="1:1">
      <c r="A37" s="7"/>
    </row>
    <row r="38" spans="1:3">
      <c r="A38" s="7" t="s">
        <v>120</v>
      </c>
      <c r="C38" s="3" t="s">
        <v>121</v>
      </c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>
    <arrUserId title="Range1" rangeCreator="" othersAccessPermission="edit"/>
  </rangeList>
  <rangeList sheetStid="3" master="" otherUserPermission="visible"/>
  <rangeList sheetStid="4" master="" otherUserPermission="visible"/>
  <rangeList sheetStid="6" master="" otherUserPermission="visible"/>
</allowEditUser>
</file>

<file path=customXml/item2.xml>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CEFB3727-0098-41DB-9DEB-08A099D40A76}">
  <ds:schemaRefs/>
</ds:datastoreItem>
</file>

<file path=customXml/itemProps3.xml><?xml version="1.0" encoding="utf-8"?>
<ds:datastoreItem xmlns:ds="http://schemas.openxmlformats.org/officeDocument/2006/customXml" ds:itemID="{376B0781-3F54-40BC-A068-7F5A2310ECAB}">
  <ds:schemaRefs/>
</ds:datastoreItem>
</file>

<file path=customXml/itemProps4.xml><?xml version="1.0" encoding="utf-8"?>
<ds:datastoreItem xmlns:ds="http://schemas.openxmlformats.org/officeDocument/2006/customXml" ds:itemID="{2B69E51F-8050-470A-8899-CD75CA9C3B5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Cover Page</vt:lpstr>
      <vt:lpstr>Source Table</vt:lpstr>
      <vt:lpstr>Relational DB</vt:lpstr>
      <vt:lpstr>Template Data</vt:lpstr>
      <vt:lpstr>Help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Mihyar</dc:creator>
  <cp:lastModifiedBy>zaid aburashead</cp:lastModifiedBy>
  <dcterms:created xsi:type="dcterms:W3CDTF">2024-08-13T06:49:00Z</dcterms:created>
  <dcterms:modified xsi:type="dcterms:W3CDTF">2025-01-27T10:32:29Z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0x0101000B85009966E43949B185D693F3D86775</vt:lpwstr>
  </property>
  <property fmtid="{D5CDD505-2E9C-101B-9397-08002B2CF9AE}" pid="3" name="MediaServiceImageTags">
    <vt:lpwstr/>
  </property>
  <property fmtid="{D5CDD505-2E9C-101B-9397-08002B2CF9AE}" pid="4" name="ICV">
    <vt:lpwstr>9D5F78967C214BF8868A332E4428C7E5_13</vt:lpwstr>
  </property>
  <property fmtid="{D5CDD505-2E9C-101B-9397-08002B2CF9AE}" pid="5" name="KSOProductBuildVer">
    <vt:lpwstr>1033-12.2.0.19805</vt:lpwstr>
  </property>
</Properties>
</file>