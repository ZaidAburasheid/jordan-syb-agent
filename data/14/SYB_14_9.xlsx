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Tabels\His\14\"/>
    </mc:Choice>
  </mc:AlternateContent>
  <bookViews>
    <workbookView xWindow="0" yWindow="0" windowWidth="19635" windowHeight="7500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state="hidden" r:id="rId5"/>
  </sheets>
  <definedNames>
    <definedName name="_xlnm.Print_Area" localSheetId="1">'Source Table'!$B$2:$D$26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0" i="3" l="1"/>
  <c r="F250" i="3"/>
  <c r="G249" i="3"/>
  <c r="F249" i="3"/>
  <c r="G248" i="3"/>
  <c r="F248" i="3"/>
  <c r="G247" i="3"/>
  <c r="F247" i="3"/>
  <c r="G246" i="3"/>
  <c r="F246" i="3"/>
  <c r="G245" i="3"/>
  <c r="F245" i="3"/>
  <c r="G244" i="3"/>
  <c r="F244" i="3"/>
  <c r="G243" i="3"/>
  <c r="F243" i="3"/>
  <c r="G242" i="3"/>
  <c r="F242" i="3"/>
  <c r="G241" i="3"/>
  <c r="F241" i="3"/>
  <c r="G240" i="3"/>
  <c r="F240" i="3"/>
  <c r="G239" i="3"/>
  <c r="F239" i="3"/>
  <c r="G238" i="3"/>
  <c r="F238" i="3"/>
  <c r="G237" i="3"/>
  <c r="F237" i="3"/>
  <c r="G236" i="3"/>
  <c r="F236" i="3"/>
  <c r="G235" i="3"/>
  <c r="F235" i="3"/>
  <c r="G234" i="3"/>
  <c r="F234" i="3"/>
  <c r="G233" i="3"/>
  <c r="F233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G209" i="3"/>
  <c r="F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B1" i="4" l="1"/>
  <c r="C4" i="2" s="1"/>
  <c r="B3" i="2"/>
  <c r="B2" i="2"/>
</calcChain>
</file>

<file path=xl/sharedStrings.xml><?xml version="1.0" encoding="utf-8"?>
<sst xmlns="http://schemas.openxmlformats.org/spreadsheetml/2006/main" count="1385" uniqueCount="132">
  <si>
    <t>Code</t>
  </si>
  <si>
    <t>Version</t>
  </si>
  <si>
    <t>V1</t>
  </si>
  <si>
    <t>اسم القالب</t>
  </si>
  <si>
    <t>Template Name</t>
  </si>
  <si>
    <t>دورية البيانات</t>
  </si>
  <si>
    <t>سنوي</t>
  </si>
  <si>
    <t>Data Frequency</t>
  </si>
  <si>
    <t>Yearly</t>
  </si>
  <si>
    <t>الجهة المصدرية</t>
  </si>
  <si>
    <t>Data Source</t>
  </si>
  <si>
    <t>Year</t>
  </si>
  <si>
    <t>السنة</t>
  </si>
  <si>
    <t>Relational Sheet</t>
  </si>
  <si>
    <t>Measure_Name_Ar</t>
  </si>
  <si>
    <t>Measure_Name_En</t>
  </si>
  <si>
    <t>Measure_ID</t>
  </si>
  <si>
    <t>Unit_EN</t>
  </si>
  <si>
    <t>Unit_AR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</si>
  <si>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</si>
  <si>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</si>
  <si>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</si>
  <si>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</si>
  <si>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</si>
  <si>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</si>
  <si>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</si>
  <si>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</si>
  <si>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</si>
  <si>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</si>
  <si>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</si>
  <si>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>M1</t>
  </si>
  <si>
    <t>Number</t>
  </si>
  <si>
    <t>عدد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</si>
  <si>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</si>
  <si>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</si>
  <si>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</si>
  <si>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</si>
  <si>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</si>
  <si>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</si>
  <si>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</si>
  <si>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</si>
  <si>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</si>
  <si>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</si>
  <si>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</si>
  <si>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</si>
  <si>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</si>
  <si>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</si>
  <si>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</si>
  <si>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</si>
  <si>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</si>
  <si>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</si>
  <si>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</si>
  <si>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</si>
  <si>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</si>
  <si>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</si>
  <si>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</si>
  <si>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</si>
  <si>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</si>
  <si>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</si>
  <si>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</si>
  <si>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</si>
  <si>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</si>
  <si>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</si>
  <si>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</si>
  <si>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</si>
  <si>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</si>
  <si>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</si>
  <si>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</si>
  <si>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</si>
  <si>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</si>
  <si>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</si>
  <si>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</si>
  <si>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</si>
  <si>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</si>
  <si>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</si>
  <si>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</si>
  <si>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</si>
  <si>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</si>
  <si>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</si>
  <si>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</si>
  <si>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</si>
  <si>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</si>
  <si>
    <t>وزارة الصحة</t>
  </si>
  <si>
    <t>Ministry of Health</t>
  </si>
  <si>
    <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</si>
  <si>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t>إصابات الأمراض السارية المبلغ عنها</t>
  </si>
  <si>
    <t>Reported Infections of Epidemic Diseases</t>
  </si>
  <si>
    <t>SYB_14_9</t>
  </si>
  <si>
    <t>المرض</t>
  </si>
  <si>
    <t>Disease</t>
  </si>
  <si>
    <t>تيفوئيد وبارا تيفوئيد</t>
  </si>
  <si>
    <t>Typhoid Fever &amp;para Typhoid</t>
  </si>
  <si>
    <t>ديزينتري</t>
  </si>
  <si>
    <t>Dysentery</t>
  </si>
  <si>
    <t>التهاب الكبد المصلي ب</t>
  </si>
  <si>
    <t>Hepatitis  B</t>
  </si>
  <si>
    <t>التهاب الكبد الوبائي ا</t>
  </si>
  <si>
    <t>Hepatitis  A</t>
  </si>
  <si>
    <t>حصبة</t>
  </si>
  <si>
    <t>Measles</t>
  </si>
  <si>
    <t>جدري مائي</t>
  </si>
  <si>
    <t>Chicken pox</t>
  </si>
  <si>
    <t>نكاف ( ابو كعب )</t>
  </si>
  <si>
    <t>Mumps</t>
  </si>
  <si>
    <t>سعال ديكي</t>
  </si>
  <si>
    <t>Whooping Cough</t>
  </si>
  <si>
    <t>التهاب السحايا الوبائي</t>
  </si>
  <si>
    <t>M. Meningitis</t>
  </si>
  <si>
    <t>التهاب السحايا غير الوبائي</t>
  </si>
  <si>
    <t>Non M. Meningitis</t>
  </si>
  <si>
    <t>حمى قرمزية</t>
  </si>
  <si>
    <t>Scarlet Fever</t>
  </si>
  <si>
    <t>حمى مالطية</t>
  </si>
  <si>
    <t>Brucellosiss</t>
  </si>
  <si>
    <t>حصبة المانية مشتبهة</t>
  </si>
  <si>
    <t>German Measles</t>
  </si>
  <si>
    <t>كزاز كبار</t>
  </si>
  <si>
    <t>adult tetanus</t>
  </si>
  <si>
    <t>قرع</t>
  </si>
  <si>
    <t>Ringworm</t>
  </si>
  <si>
    <t>لشمانيا جلدية</t>
  </si>
  <si>
    <t>Leshmania</t>
  </si>
  <si>
    <t>جرب</t>
  </si>
  <si>
    <t>Scabies</t>
  </si>
  <si>
    <t>الامراض التناسلية</t>
  </si>
  <si>
    <t>Venereology</t>
  </si>
  <si>
    <t>الاكياس المائية</t>
  </si>
  <si>
    <t>Hydrated Cyst</t>
  </si>
  <si>
    <t>CL_EPIDEMIC_DISEASE _EN_V1</t>
  </si>
  <si>
    <t>CL_EPIDEMIC_DISEASE _AR_V1</t>
  </si>
  <si>
    <t>المرض الساري</t>
  </si>
  <si>
    <t>Epidemic 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</si>
</sst>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indexed="8"/>
      <name val="Aptos Narrow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4"/>
      <color rgb="FF0C769E"/>
      <name val="Aptos"/>
      <charset val="134"/>
    </font>
    <font>
      <sz val="14"/>
      <color theme="1"/>
      <name val="Aptos"/>
      <charset val="134"/>
    </font>
    <font>
      <sz val="16"/>
      <color rgb="FFFFFFFF"/>
      <name val="Aptos Narrow"/>
      <charset val="134"/>
      <scheme val="minor"/>
    </font>
    <font>
      <sz val="10"/>
      <name val="Arial"/>
      <family val="2"/>
    </font>
    <font>
      <b/>
      <sz val="14"/>
      <color indexed="12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color theme="1"/>
      <name val="Arial Unicode MS"/>
      <charset val="134"/>
    </font>
    <font>
      <sz val="11"/>
      <color theme="1"/>
      <name val="Aptos Narrow"/>
      <charset val="134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92980742820516"/>
        <bgColor rgb="FF000000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auto="1"/>
      </left>
      <right style="thin">
        <color auto="1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rgb="FF074F69"/>
      </left>
      <right/>
      <top style="thin">
        <color rgb="FF074F69"/>
      </top>
      <bottom style="thin">
        <color rgb="FF074F69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auto="1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/>
      <right/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7" tint="-0.499984740745262"/>
      </right>
      <top/>
      <bottom/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</borders>
  <cellStyleXfs count="18">
    <xf numFmtId="0" fontId="0" fillId="0" borderId="0"/>
    <xf numFmtId="0" fontId="14" fillId="0" borderId="0"/>
    <xf numFmtId="0" fontId="14" fillId="0" borderId="0"/>
    <xf numFmtId="0" fontId="15" fillId="0" borderId="0">
      <alignment horizontal="centerContinuous" vertical="center"/>
    </xf>
    <xf numFmtId="0" fontId="16" fillId="0" borderId="0">
      <alignment horizontal="centerContinuous" vertical="center"/>
    </xf>
    <xf numFmtId="1" fontId="17" fillId="9" borderId="9">
      <alignment horizontal="center" vertical="center"/>
    </xf>
    <xf numFmtId="0" fontId="18" fillId="9" borderId="9">
      <alignment horizontal="center" vertical="center" wrapText="1"/>
    </xf>
    <xf numFmtId="0" fontId="19" fillId="9" borderId="9">
      <alignment horizontal="center" vertical="center" wrapText="1"/>
    </xf>
    <xf numFmtId="0" fontId="14" fillId="0" borderId="0"/>
    <xf numFmtId="0" fontId="14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9" fontId="22" fillId="0" borderId="0"/>
    <xf numFmtId="9" fontId="22" fillId="0" borderId="0"/>
    <xf numFmtId="0" fontId="20" fillId="0" borderId="0">
      <alignment horizontal="right" vertical="center"/>
    </xf>
    <xf numFmtId="0" fontId="14" fillId="0" borderId="0">
      <alignment horizontal="left" vertical="center"/>
    </xf>
  </cellStyleXfs>
  <cellXfs count="39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NumberFormat="1" applyFont="1" applyFill="1" applyBorder="1" applyAlignment="1" applyProtection="1">
      <alignment horizontal="center"/>
    </xf>
    <xf numFmtId="0" fontId="10" fillId="5" borderId="5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 readingOrder="2"/>
    </xf>
    <xf numFmtId="0" fontId="12" fillId="0" borderId="7" xfId="0" applyFont="1" applyBorder="1" applyAlignment="1" applyProtection="1">
      <alignment horizontal="center" vertical="center"/>
      <protection locked="0"/>
    </xf>
    <xf numFmtId="0" fontId="13" fillId="3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readingOrder="2"/>
    </xf>
    <xf numFmtId="0" fontId="7" fillId="7" borderId="0" xfId="0" applyFont="1" applyFill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NumberFormat="1" applyFont="1" applyFill="1" applyBorder="1" applyAlignment="1" applyProtection="1">
      <alignment horizontal="center" readingOrder="2"/>
    </xf>
    <xf numFmtId="0" fontId="10" fillId="8" borderId="7" xfId="0" applyFont="1" applyFill="1" applyBorder="1" applyAlignment="1">
      <alignment vertical="center" readingOrder="2"/>
    </xf>
    <xf numFmtId="0" fontId="0" fillId="0" borderId="0" xfId="0" applyAlignment="1">
      <alignment readingOrder="2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 readingOrder="2"/>
    </xf>
    <xf numFmtId="0" fontId="10" fillId="8" borderId="12" xfId="0" applyFont="1" applyFill="1" applyBorder="1" applyAlignment="1">
      <alignment horizontal="center" vertical="center" readingOrder="2"/>
    </xf>
    <xf numFmtId="0" fontId="10" fillId="8" borderId="13" xfId="0" applyFont="1" applyFill="1" applyBorder="1" applyAlignment="1">
      <alignment horizontal="center" vertical="center" readingOrder="2"/>
    </xf>
    <xf numFmtId="0" fontId="10" fillId="8" borderId="8" xfId="0" applyFont="1" applyFill="1" applyBorder="1" applyAlignment="1">
      <alignment horizontal="center" vertical="center" readingOrder="2"/>
    </xf>
    <xf numFmtId="0" fontId="10" fillId="2" borderId="1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</cellXfs>
  <cellStyles count="18">
    <cellStyle name="‏_x001d_ً'_x000c_ï‏÷_x000c__x001c_" xfId="1"/>
    <cellStyle name="‏_x001d_ً'_x000c_ï‏÷_x000c__x001c_ 2" xfId="2"/>
    <cellStyle name="H1" xfId="3"/>
    <cellStyle name="H2" xfId="4"/>
    <cellStyle name="Had1" xfId="5"/>
    <cellStyle name="Had2" xfId="6"/>
    <cellStyle name="Had3" xfId="7"/>
    <cellStyle name="Normal" xfId="0" builtinId="0"/>
    <cellStyle name="Normal 2" xfId="8"/>
    <cellStyle name="Normal 3" xfId="9"/>
    <cellStyle name="Normal 4" xfId="10"/>
    <cellStyle name="Normal 4 2" xfId="11"/>
    <cellStyle name="Normal 5" xfId="12"/>
    <cellStyle name="Normal 6" xfId="13"/>
    <cellStyle name="Percent 2" xfId="14"/>
    <cellStyle name="Percent 2 2" xfId="15"/>
    <cellStyle name="T1" xfId="16"/>
    <cellStyle name="T2" xfId="17"/>
  </cellStyles>
  <dxfs count="0"/>
  <tableStyles count="0" defaultTableStyle="TableStyleMedium2" defaultPivotStyle="PivotStyleLight16"/>
  <colors>
    <mruColors>
      <color rgb="FF0776AD"/>
      <color rgb="FFBCE7FC"/>
      <color rgb="FF098B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3" sqref="B3"/>
    </sheetView>
  </sheetViews>
  <sheetFormatPr defaultColWidth="9" defaultRowHeight="13.5"/>
  <cols>
    <col min="1" max="1" width="32.5" customWidth="1"/>
    <col min="2" max="2" width="107" customWidth="1"/>
  </cols>
  <sheetData>
    <row r="1" spans="1:2" ht="21" customHeight="1">
      <c r="A1" s="21" t="s">
        <v>0</v>
      </c>
      <c r="B1" s="15" t="s">
        <v>87</v>
      </c>
    </row>
    <row r="2" spans="1:2" ht="21" customHeight="1">
      <c r="A2" s="21" t="s">
        <v>1</v>
      </c>
      <c r="B2" s="15" t="s">
        <v>2</v>
      </c>
    </row>
    <row r="3" spans="1:2" ht="21" customHeight="1">
      <c r="A3" s="21" t="s">
        <v>3</v>
      </c>
      <c r="B3" s="15" t="s">
        <v>85</v>
      </c>
    </row>
    <row r="4" spans="1:2" ht="21" customHeight="1">
      <c r="A4" s="21" t="s">
        <v>4</v>
      </c>
      <c r="B4" s="15" t="s">
        <v>86</v>
      </c>
    </row>
    <row r="5" spans="1:2" ht="21" customHeight="1">
      <c r="A5" s="21" t="s">
        <v>5</v>
      </c>
      <c r="B5" s="22" t="s">
        <v>6</v>
      </c>
    </row>
    <row r="6" spans="1:2" ht="21" customHeight="1">
      <c r="A6" s="21" t="s">
        <v>7</v>
      </c>
      <c r="B6" s="22" t="s">
        <v>8</v>
      </c>
    </row>
    <row r="7" spans="1:2" ht="21" customHeight="1">
      <c r="A7" s="21" t="s">
        <v>9</v>
      </c>
      <c r="B7" s="23" t="s">
        <v>82</v>
      </c>
    </row>
    <row r="8" spans="1:2" ht="21" customHeight="1">
      <c r="A8" s="21" t="s">
        <v>10</v>
      </c>
      <c r="B8" s="23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7"/>
  <sheetViews>
    <sheetView view="pageBreakPreview" zoomScale="70" zoomScaleNormal="100" workbookViewId="0">
      <selection activeCell="B12" sqref="B12"/>
    </sheetView>
  </sheetViews>
  <sheetFormatPr defaultColWidth="16.75" defaultRowHeight="13.5"/>
  <cols>
    <col min="2" max="2" width="41.25" bestFit="1" customWidth="1"/>
    <col min="3" max="5" width="25.75" customWidth="1"/>
  </cols>
  <sheetData>
    <row r="2" spans="2:4" ht="28.15" customHeight="1">
      <c r="B2" s="28" t="str">
        <f>'Cover Page'!B4</f>
        <v>Reported Infections of Epidemic Diseases</v>
      </c>
      <c r="C2" s="29"/>
      <c r="D2" s="29"/>
    </row>
    <row r="3" spans="2:4" ht="28.15" customHeight="1">
      <c r="B3" s="30" t="str">
        <f>'Cover Page'!B3</f>
        <v>إصابات الأمراض السارية المبلغ عنها</v>
      </c>
      <c r="C3" s="31"/>
      <c r="D3" s="31"/>
    </row>
    <row r="4" spans="2:4" ht="28.15" customHeight="1">
      <c r="B4" s="18" t="s">
        <v>11</v>
      </c>
      <c r="C4" s="36">
        <f>YEAR('Template Data'!B1)</f>
        <v>2024</v>
      </c>
      <c r="D4" s="19" t="s">
        <v>12</v>
      </c>
    </row>
    <row r="5" spans="2:4" ht="28.15" customHeight="1">
      <c r="B5" s="32" t="s">
        <v>89</v>
      </c>
      <c r="C5" s="37"/>
      <c r="D5" s="35" t="s">
        <v>88</v>
      </c>
    </row>
    <row r="6" spans="2:4" ht="19.899999999999999" customHeight="1">
      <c r="B6" s="33"/>
      <c r="C6" s="37"/>
      <c r="D6" s="35"/>
    </row>
    <row r="7" spans="2:4" ht="19.899999999999999" customHeight="1">
      <c r="B7" s="34"/>
      <c r="C7" s="38"/>
      <c r="D7" s="35"/>
    </row>
    <row r="8" spans="2:4" ht="22.15" customHeight="1">
      <c r="B8" s="26" t="s">
        <v>91</v>
      </c>
      <c r="C8" s="20"/>
      <c r="D8" s="26" t="s">
        <v>90</v>
      </c>
    </row>
    <row r="9" spans="2:4" ht="22.15" customHeight="1">
      <c r="B9" s="26" t="s">
        <v>93</v>
      </c>
      <c r="C9" s="20"/>
      <c r="D9" s="26" t="s">
        <v>92</v>
      </c>
    </row>
    <row r="10" spans="2:4" ht="22.15" customHeight="1">
      <c r="B10" s="26" t="s">
        <v>95</v>
      </c>
      <c r="C10" s="20"/>
      <c r="D10" s="26" t="s">
        <v>94</v>
      </c>
    </row>
    <row r="11" spans="2:4" ht="22.15" customHeight="1">
      <c r="B11" s="26" t="s">
        <v>97</v>
      </c>
      <c r="C11" s="20"/>
      <c r="D11" s="26" t="s">
        <v>96</v>
      </c>
    </row>
    <row r="12" spans="2:4" ht="22.15" customHeight="1">
      <c r="B12" s="26" t="s">
        <v>99</v>
      </c>
      <c r="C12" s="20"/>
      <c r="D12" s="26" t="s">
        <v>98</v>
      </c>
    </row>
    <row r="13" spans="2:4" ht="22.15" customHeight="1">
      <c r="B13" s="26" t="s">
        <v>101</v>
      </c>
      <c r="C13" s="20"/>
      <c r="D13" s="26" t="s">
        <v>100</v>
      </c>
    </row>
    <row r="14" spans="2:4" ht="22.15" customHeight="1">
      <c r="B14" s="26" t="s">
        <v>103</v>
      </c>
      <c r="C14" s="20"/>
      <c r="D14" s="26" t="s">
        <v>102</v>
      </c>
    </row>
    <row r="15" spans="2:4" ht="22.15" customHeight="1">
      <c r="B15" s="26" t="s">
        <v>105</v>
      </c>
      <c r="C15" s="20"/>
      <c r="D15" s="26" t="s">
        <v>104</v>
      </c>
    </row>
    <row r="16" spans="2:4" ht="22.15" customHeight="1">
      <c r="B16" s="26" t="s">
        <v>107</v>
      </c>
      <c r="C16" s="20"/>
      <c r="D16" s="26" t="s">
        <v>106</v>
      </c>
    </row>
    <row r="17" spans="2:4" ht="22.15" customHeight="1">
      <c r="B17" s="26" t="s">
        <v>109</v>
      </c>
      <c r="C17" s="20"/>
      <c r="D17" s="26" t="s">
        <v>108</v>
      </c>
    </row>
    <row r="18" spans="2:4" ht="22.15" customHeight="1">
      <c r="B18" s="26" t="s">
        <v>111</v>
      </c>
      <c r="C18" s="20"/>
      <c r="D18" s="26" t="s">
        <v>110</v>
      </c>
    </row>
    <row r="19" spans="2:4" ht="22.15" customHeight="1">
      <c r="B19" s="26" t="s">
        <v>113</v>
      </c>
      <c r="C19" s="20"/>
      <c r="D19" s="26" t="s">
        <v>112</v>
      </c>
    </row>
    <row r="20" spans="2:4" ht="22.15" customHeight="1">
      <c r="B20" s="26" t="s">
        <v>115</v>
      </c>
      <c r="C20" s="20"/>
      <c r="D20" s="26" t="s">
        <v>114</v>
      </c>
    </row>
    <row r="21" spans="2:4" ht="22.15" customHeight="1">
      <c r="B21" s="26" t="s">
        <v>117</v>
      </c>
      <c r="C21" s="20"/>
      <c r="D21" s="26" t="s">
        <v>116</v>
      </c>
    </row>
    <row r="22" spans="2:4" ht="22.15" customHeight="1">
      <c r="B22" s="26" t="s">
        <v>119</v>
      </c>
      <c r="C22" s="20"/>
      <c r="D22" s="26" t="s">
        <v>118</v>
      </c>
    </row>
    <row r="23" spans="2:4" ht="22.15" customHeight="1">
      <c r="B23" s="26" t="s">
        <v>121</v>
      </c>
      <c r="C23" s="20"/>
      <c r="D23" s="26" t="s">
        <v>120</v>
      </c>
    </row>
    <row r="24" spans="2:4" ht="22.15" customHeight="1">
      <c r="B24" s="26" t="s">
        <v>123</v>
      </c>
      <c r="C24" s="20"/>
      <c r="D24" s="26" t="s">
        <v>122</v>
      </c>
    </row>
    <row r="25" spans="2:4" ht="22.15" customHeight="1">
      <c r="B25" s="26" t="s">
        <v>125</v>
      </c>
      <c r="C25" s="20"/>
      <c r="D25" s="26" t="s">
        <v>124</v>
      </c>
    </row>
    <row r="26" spans="2:4" ht="22.15" customHeight="1">
      <c r="B26" s="26" t="s">
        <v>127</v>
      </c>
      <c r="C26" s="20"/>
      <c r="D26" s="26" t="s">
        <v>126</v>
      </c>
    </row>
    <row r="27" spans="2:4" ht="22.15" customHeight="1"/>
  </sheetData>
  <mergeCells count="5">
    <mergeCell ref="B2:D2"/>
    <mergeCell ref="B3:D3"/>
    <mergeCell ref="B5:B7"/>
    <mergeCell ref="D5:D7"/>
    <mergeCell ref="C4:C7"/>
  </mergeCells>
  <pageMargins left="0.7" right="0.7" top="0.75" bottom="0.75" header="0.3" footer="0.3"/>
  <pageSetup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0"/>
  <sheetViews>
    <sheetView topLeftCell="D1" zoomScale="70" zoomScaleNormal="70" workbookViewId="0">
      <selection activeCell="H130" sqref="H130"/>
    </sheetView>
  </sheetViews>
  <sheetFormatPr defaultColWidth="9" defaultRowHeight="13.5"/>
  <cols>
    <col min="1" max="1" width="46.25" customWidth="1"/>
    <col min="2" max="2" width="35.875" customWidth="1"/>
    <col min="3" max="3" width="9.75" customWidth="1"/>
    <col min="4" max="5" width="18.125" customWidth="1"/>
    <col min="6" max="6" width="23.875" customWidth="1"/>
    <col min="7" max="7" width="24.75" customWidth="1"/>
    <col min="8" max="8" width="23.375" customWidth="1"/>
    <col min="9" max="9" width="36.5" customWidth="1"/>
    <col min="10" max="12" width="15.5" customWidth="1"/>
  </cols>
  <sheetData>
    <row r="1" spans="1:10" ht="20.25">
      <c r="A1" s="15" t="s">
        <v>13</v>
      </c>
    </row>
    <row r="2" spans="1:10" s="10" customFormat="1" ht="18" customHeight="1">
      <c r="A2" s="13" t="s">
        <v>14</v>
      </c>
      <c r="B2" s="13" t="s">
        <v>15</v>
      </c>
      <c r="C2" s="13" t="s">
        <v>16</v>
      </c>
      <c r="D2" s="13" t="s">
        <v>17</v>
      </c>
      <c r="E2" s="13" t="s">
        <v>18</v>
      </c>
      <c r="F2" s="14" t="s">
        <v>128</v>
      </c>
      <c r="G2" s="14" t="s">
        <v>129</v>
      </c>
      <c r="H2" s="13" t="s">
        <v>19</v>
      </c>
      <c r="I2" s="13" t="s">
        <v>20</v>
      </c>
      <c r="J2" s="13" t="s">
        <v>21</v>
      </c>
    </row>
    <row r="3" spans="1:10" s="10" customFormat="1" ht="18" customHeight="1">
      <c r="A3" s="13" t="s">
        <v>22</v>
      </c>
      <c r="B3" s="13" t="s">
        <v>23</v>
      </c>
      <c r="C3" s="13" t="s">
        <v>24</v>
      </c>
      <c r="D3" s="13" t="s">
        <v>25</v>
      </c>
      <c r="E3" s="13" t="s">
        <v>26</v>
      </c>
      <c r="F3" s="14" t="s">
        <v>131</v>
      </c>
      <c r="G3" s="14" t="s">
        <v>130</v>
      </c>
      <c r="H3" s="13" t="s">
        <v>27</v>
      </c>
      <c r="I3" s="13" t="s">
        <v>28</v>
      </c>
      <c r="J3" s="13" t="s">
        <v>29</v>
      </c>
    </row>
    <row r="4" spans="1:10" ht="15.75">
      <c r="A4" s="24" t="s">
        <v>85</v>
      </c>
      <c r="B4" s="24" t="s">
        <v>86</v>
      </c>
      <c r="C4" s="16" t="s">
        <v>30</v>
      </c>
      <c r="D4" s="17" t="s">
        <v>31</v>
      </c>
      <c r="E4" s="25" t="s">
        <v>32</v>
      </c>
      <c r="F4" s="27" t="str">
        <f>'Source Table'!$B$8</f>
        <v>Typhoid Fever &amp;para Typhoid</v>
      </c>
      <c r="G4" t="str">
        <f>'Source Table'!$D$8</f>
        <v>تيفوئيد وبارا تيفوئيد</v>
      </c>
      <c r="H4">
        <v>1</v>
      </c>
      <c r="I4">
        <v>2023</v>
      </c>
    </row>
    <row r="5" spans="1:10" ht="15.75">
      <c r="A5" s="24" t="s">
        <v>85</v>
      </c>
      <c r="B5" s="24" t="s">
        <v>86</v>
      </c>
      <c r="C5" s="16" t="s">
        <v>30</v>
      </c>
      <c r="D5" s="17" t="s">
        <v>31</v>
      </c>
      <c r="E5" s="25" t="s">
        <v>32</v>
      </c>
      <c r="F5" s="27" t="str">
        <f>'Source Table'!$B$9</f>
        <v>Dysentery</v>
      </c>
      <c r="G5" t="str">
        <f>'Source Table'!$D$9</f>
        <v>ديزينتري</v>
      </c>
      <c r="H5">
        <v>212</v>
      </c>
      <c r="I5">
        <v>2023</v>
      </c>
    </row>
    <row r="6" spans="1:10" ht="15.75">
      <c r="A6" s="24" t="s">
        <v>85</v>
      </c>
      <c r="B6" s="24" t="s">
        <v>86</v>
      </c>
      <c r="C6" s="16" t="s">
        <v>30</v>
      </c>
      <c r="D6" s="17" t="s">
        <v>31</v>
      </c>
      <c r="E6" s="25" t="s">
        <v>32</v>
      </c>
      <c r="F6" s="27" t="str">
        <f>'Source Table'!$B$10</f>
        <v>Hepatitis  B</v>
      </c>
      <c r="G6" t="str">
        <f>'Source Table'!$D$10</f>
        <v>التهاب الكبد المصلي ب</v>
      </c>
      <c r="H6">
        <v>1</v>
      </c>
      <c r="I6">
        <v>2023</v>
      </c>
    </row>
    <row r="7" spans="1:10" ht="15.75">
      <c r="A7" s="24" t="s">
        <v>85</v>
      </c>
      <c r="B7" s="24" t="s">
        <v>86</v>
      </c>
      <c r="C7" s="16" t="s">
        <v>30</v>
      </c>
      <c r="D7" s="17" t="s">
        <v>31</v>
      </c>
      <c r="E7" s="25" t="s">
        <v>32</v>
      </c>
      <c r="F7" s="27" t="str">
        <f>'Source Table'!$B$11</f>
        <v>Hepatitis  A</v>
      </c>
      <c r="G7" t="str">
        <f>'Source Table'!$D$11</f>
        <v>التهاب الكبد الوبائي ا</v>
      </c>
      <c r="H7">
        <v>117</v>
      </c>
      <c r="I7">
        <v>2023</v>
      </c>
    </row>
    <row r="8" spans="1:10" ht="15.75">
      <c r="A8" s="24" t="s">
        <v>85</v>
      </c>
      <c r="B8" s="24" t="s">
        <v>86</v>
      </c>
      <c r="C8" s="16" t="s">
        <v>30</v>
      </c>
      <c r="D8" s="17" t="s">
        <v>31</v>
      </c>
      <c r="E8" s="25" t="s">
        <v>32</v>
      </c>
      <c r="F8" s="27" t="str">
        <f>'Source Table'!$B$12</f>
        <v>Measles</v>
      </c>
      <c r="G8" t="str">
        <f>'Source Table'!$D$12</f>
        <v>حصبة</v>
      </c>
      <c r="H8">
        <v>1360</v>
      </c>
      <c r="I8">
        <v>2023</v>
      </c>
    </row>
    <row r="9" spans="1:10" ht="15.75">
      <c r="A9" s="24" t="s">
        <v>85</v>
      </c>
      <c r="B9" s="24" t="s">
        <v>86</v>
      </c>
      <c r="C9" s="16" t="s">
        <v>30</v>
      </c>
      <c r="D9" s="17" t="s">
        <v>31</v>
      </c>
      <c r="E9" s="25" t="s">
        <v>32</v>
      </c>
      <c r="F9" s="27" t="str">
        <f>'Source Table'!$B$13</f>
        <v>Chicken pox</v>
      </c>
      <c r="G9" t="str">
        <f>'Source Table'!$D$13</f>
        <v>جدري مائي</v>
      </c>
      <c r="H9">
        <v>19223</v>
      </c>
      <c r="I9">
        <v>2023</v>
      </c>
    </row>
    <row r="10" spans="1:10" ht="15.75">
      <c r="A10" s="24" t="s">
        <v>85</v>
      </c>
      <c r="B10" s="24" t="s">
        <v>86</v>
      </c>
      <c r="C10" s="16" t="s">
        <v>30</v>
      </c>
      <c r="D10" s="17" t="s">
        <v>31</v>
      </c>
      <c r="E10" s="25" t="s">
        <v>32</v>
      </c>
      <c r="F10" s="27" t="str">
        <f>'Source Table'!$B$14</f>
        <v>Mumps</v>
      </c>
      <c r="G10" t="str">
        <f>'Source Table'!$D$14</f>
        <v>نكاف ( ابو كعب )</v>
      </c>
      <c r="H10">
        <v>87</v>
      </c>
      <c r="I10">
        <v>2023</v>
      </c>
    </row>
    <row r="11" spans="1:10" ht="15.75">
      <c r="A11" s="24" t="s">
        <v>85</v>
      </c>
      <c r="B11" s="24" t="s">
        <v>86</v>
      </c>
      <c r="C11" s="16" t="s">
        <v>30</v>
      </c>
      <c r="D11" s="17" t="s">
        <v>31</v>
      </c>
      <c r="E11" s="25" t="s">
        <v>32</v>
      </c>
      <c r="F11" s="27" t="str">
        <f>'Source Table'!$B$15</f>
        <v>Whooping Cough</v>
      </c>
      <c r="G11" t="str">
        <f>'Source Table'!$D$15</f>
        <v>سعال ديكي</v>
      </c>
      <c r="H11">
        <v>5</v>
      </c>
      <c r="I11">
        <v>2023</v>
      </c>
    </row>
    <row r="12" spans="1:10" ht="15.75">
      <c r="A12" s="24" t="s">
        <v>85</v>
      </c>
      <c r="B12" s="24" t="s">
        <v>86</v>
      </c>
      <c r="C12" s="16" t="s">
        <v>30</v>
      </c>
      <c r="D12" s="17" t="s">
        <v>31</v>
      </c>
      <c r="E12" s="25" t="s">
        <v>32</v>
      </c>
      <c r="F12" s="27" t="str">
        <f>'Source Table'!$B$16</f>
        <v>M. Meningitis</v>
      </c>
      <c r="G12" t="str">
        <f>'Source Table'!$D$16</f>
        <v>التهاب السحايا الوبائي</v>
      </c>
      <c r="H12">
        <v>2</v>
      </c>
      <c r="I12">
        <v>2023</v>
      </c>
    </row>
    <row r="13" spans="1:10" ht="15.75">
      <c r="A13" s="24" t="s">
        <v>85</v>
      </c>
      <c r="B13" s="24" t="s">
        <v>86</v>
      </c>
      <c r="C13" s="16" t="s">
        <v>30</v>
      </c>
      <c r="D13" s="17" t="s">
        <v>31</v>
      </c>
      <c r="E13" s="25" t="s">
        <v>32</v>
      </c>
      <c r="F13" s="27" t="str">
        <f>'Source Table'!$B$17</f>
        <v>Non M. Meningitis</v>
      </c>
      <c r="G13" t="str">
        <f>'Source Table'!$D$17</f>
        <v>التهاب السحايا غير الوبائي</v>
      </c>
      <c r="H13">
        <v>627</v>
      </c>
      <c r="I13">
        <v>2023</v>
      </c>
    </row>
    <row r="14" spans="1:10" ht="15.75">
      <c r="A14" s="24" t="s">
        <v>85</v>
      </c>
      <c r="B14" s="24" t="s">
        <v>86</v>
      </c>
      <c r="C14" s="16" t="s">
        <v>30</v>
      </c>
      <c r="D14" s="17" t="s">
        <v>31</v>
      </c>
      <c r="E14" s="25" t="s">
        <v>32</v>
      </c>
      <c r="F14" s="27" t="str">
        <f>'Source Table'!$B$18</f>
        <v>Scarlet Fever</v>
      </c>
      <c r="G14" t="str">
        <f>'Source Table'!$D$18</f>
        <v>حمى قرمزية</v>
      </c>
      <c r="H14">
        <v>1</v>
      </c>
      <c r="I14">
        <v>2023</v>
      </c>
    </row>
    <row r="15" spans="1:10" ht="15.75">
      <c r="A15" s="24" t="s">
        <v>85</v>
      </c>
      <c r="B15" s="24" t="s">
        <v>86</v>
      </c>
      <c r="C15" s="16" t="s">
        <v>30</v>
      </c>
      <c r="D15" s="17" t="s">
        <v>31</v>
      </c>
      <c r="E15" s="25" t="s">
        <v>32</v>
      </c>
      <c r="F15" s="27" t="str">
        <f>'Source Table'!$B$19</f>
        <v>Brucellosiss</v>
      </c>
      <c r="G15" t="str">
        <f>'Source Table'!$D$19</f>
        <v>حمى مالطية</v>
      </c>
      <c r="H15">
        <v>299</v>
      </c>
      <c r="I15">
        <v>2023</v>
      </c>
    </row>
    <row r="16" spans="1:10" ht="15.75">
      <c r="A16" s="24" t="s">
        <v>85</v>
      </c>
      <c r="B16" s="24" t="s">
        <v>86</v>
      </c>
      <c r="C16" s="16" t="s">
        <v>30</v>
      </c>
      <c r="D16" s="17" t="s">
        <v>31</v>
      </c>
      <c r="E16" s="25" t="s">
        <v>32</v>
      </c>
      <c r="F16" s="27" t="str">
        <f>'Source Table'!$B$20</f>
        <v>German Measles</v>
      </c>
      <c r="G16" t="str">
        <f>'Source Table'!$D$20</f>
        <v>حصبة المانية مشتبهة</v>
      </c>
      <c r="H16">
        <v>6</v>
      </c>
      <c r="I16">
        <v>2023</v>
      </c>
    </row>
    <row r="17" spans="1:9" ht="15.75">
      <c r="A17" s="24" t="s">
        <v>85</v>
      </c>
      <c r="B17" s="24" t="s">
        <v>86</v>
      </c>
      <c r="C17" s="16" t="s">
        <v>30</v>
      </c>
      <c r="D17" s="17" t="s">
        <v>31</v>
      </c>
      <c r="E17" s="25" t="s">
        <v>32</v>
      </c>
      <c r="F17" s="27" t="str">
        <f>'Source Table'!$B$21</f>
        <v>adult tetanus</v>
      </c>
      <c r="G17" t="str">
        <f>'Source Table'!$D$21</f>
        <v>كزاز كبار</v>
      </c>
      <c r="H17">
        <v>0</v>
      </c>
      <c r="I17">
        <v>2023</v>
      </c>
    </row>
    <row r="18" spans="1:9" ht="15.75">
      <c r="A18" s="24" t="s">
        <v>85</v>
      </c>
      <c r="B18" s="24" t="s">
        <v>86</v>
      </c>
      <c r="C18" s="16" t="s">
        <v>30</v>
      </c>
      <c r="D18" s="17" t="s">
        <v>31</v>
      </c>
      <c r="E18" s="25" t="s">
        <v>32</v>
      </c>
      <c r="F18" s="27" t="str">
        <f>'Source Table'!$B$22</f>
        <v>Ringworm</v>
      </c>
      <c r="G18" t="str">
        <f>'Source Table'!$D$22</f>
        <v>قرع</v>
      </c>
      <c r="H18">
        <v>0</v>
      </c>
      <c r="I18">
        <v>2023</v>
      </c>
    </row>
    <row r="19" spans="1:9" ht="15.75">
      <c r="A19" s="24" t="s">
        <v>85</v>
      </c>
      <c r="B19" s="24" t="s">
        <v>86</v>
      </c>
      <c r="C19" s="16" t="s">
        <v>30</v>
      </c>
      <c r="D19" s="17" t="s">
        <v>31</v>
      </c>
      <c r="E19" s="25" t="s">
        <v>32</v>
      </c>
      <c r="F19" s="27" t="str">
        <f>'Source Table'!$B$23</f>
        <v>Leshmania</v>
      </c>
      <c r="G19" t="str">
        <f>'Source Table'!$D$23</f>
        <v>لشمانيا جلدية</v>
      </c>
      <c r="H19">
        <v>89</v>
      </c>
      <c r="I19">
        <v>2023</v>
      </c>
    </row>
    <row r="20" spans="1:9" ht="15.75">
      <c r="A20" s="24" t="s">
        <v>85</v>
      </c>
      <c r="B20" s="24" t="s">
        <v>86</v>
      </c>
      <c r="C20" s="16" t="s">
        <v>30</v>
      </c>
      <c r="D20" s="17" t="s">
        <v>31</v>
      </c>
      <c r="E20" s="25" t="s">
        <v>32</v>
      </c>
      <c r="F20" s="27" t="str">
        <f>'Source Table'!$B$24</f>
        <v>Scabies</v>
      </c>
      <c r="G20" t="str">
        <f>'Source Table'!$D$24</f>
        <v>جرب</v>
      </c>
      <c r="H20">
        <v>1296</v>
      </c>
      <c r="I20">
        <v>2023</v>
      </c>
    </row>
    <row r="21" spans="1:9" ht="15.75">
      <c r="A21" s="24" t="s">
        <v>85</v>
      </c>
      <c r="B21" s="24" t="s">
        <v>86</v>
      </c>
      <c r="C21" s="16" t="s">
        <v>30</v>
      </c>
      <c r="D21" s="17" t="s">
        <v>31</v>
      </c>
      <c r="E21" s="25" t="s">
        <v>32</v>
      </c>
      <c r="F21" s="27" t="str">
        <f>'Source Table'!$B$25</f>
        <v>Venereology</v>
      </c>
      <c r="G21" t="str">
        <f>'Source Table'!$D$25</f>
        <v>الامراض التناسلية</v>
      </c>
      <c r="H21">
        <v>1</v>
      </c>
      <c r="I21">
        <v>2023</v>
      </c>
    </row>
    <row r="22" spans="1:9" ht="15.75">
      <c r="A22" s="24" t="s">
        <v>85</v>
      </c>
      <c r="B22" s="24" t="s">
        <v>86</v>
      </c>
      <c r="C22" s="16" t="s">
        <v>30</v>
      </c>
      <c r="D22" s="17" t="s">
        <v>31</v>
      </c>
      <c r="E22" s="25" t="s">
        <v>32</v>
      </c>
      <c r="F22" s="27" t="str">
        <f>'Source Table'!$B$26</f>
        <v>Hydrated Cyst</v>
      </c>
      <c r="G22" t="str">
        <f>'Source Table'!$D$26</f>
        <v>الاكياس المائية</v>
      </c>
      <c r="H22">
        <v>15</v>
      </c>
      <c r="I22">
        <v>2023</v>
      </c>
    </row>
    <row r="23" spans="1:9" ht="15.75">
      <c r="A23" s="24" t="s">
        <v>85</v>
      </c>
      <c r="B23" s="24" t="s">
        <v>86</v>
      </c>
      <c r="C23" s="16" t="s">
        <v>30</v>
      </c>
      <c r="D23" s="17" t="s">
        <v>31</v>
      </c>
      <c r="E23" s="25" t="s">
        <v>32</v>
      </c>
      <c r="F23" s="27" t="str">
        <f>'Source Table'!$B$8</f>
        <v>Typhoid Fever &amp;para Typhoid</v>
      </c>
      <c r="G23" t="str">
        <f>'Source Table'!$D$8</f>
        <v>تيفوئيد وبارا تيفوئيد</v>
      </c>
      <c r="H23">
        <v>4</v>
      </c>
      <c r="I23">
        <v>2022</v>
      </c>
    </row>
    <row r="24" spans="1:9" ht="15.75">
      <c r="A24" s="24" t="s">
        <v>85</v>
      </c>
      <c r="B24" s="24" t="s">
        <v>86</v>
      </c>
      <c r="C24" s="16" t="s">
        <v>30</v>
      </c>
      <c r="D24" s="17" t="s">
        <v>31</v>
      </c>
      <c r="E24" s="25" t="s">
        <v>32</v>
      </c>
      <c r="F24" s="27" t="str">
        <f>'Source Table'!$B$9</f>
        <v>Dysentery</v>
      </c>
      <c r="G24" t="str">
        <f>'Source Table'!$D$9</f>
        <v>ديزينتري</v>
      </c>
      <c r="H24">
        <v>18</v>
      </c>
      <c r="I24">
        <v>2022</v>
      </c>
    </row>
    <row r="25" spans="1:9" ht="15.75">
      <c r="A25" s="24" t="s">
        <v>85</v>
      </c>
      <c r="B25" s="24" t="s">
        <v>86</v>
      </c>
      <c r="C25" s="16" t="s">
        <v>30</v>
      </c>
      <c r="D25" s="17" t="s">
        <v>31</v>
      </c>
      <c r="E25" s="25" t="s">
        <v>32</v>
      </c>
      <c r="F25" s="27" t="str">
        <f>'Source Table'!$B$10</f>
        <v>Hepatitis  B</v>
      </c>
      <c r="G25" t="str">
        <f>'Source Table'!$D$10</f>
        <v>التهاب الكبد المصلي ب</v>
      </c>
      <c r="H25">
        <v>3</v>
      </c>
      <c r="I25">
        <v>2022</v>
      </c>
    </row>
    <row r="26" spans="1:9" ht="15.75">
      <c r="A26" s="24" t="s">
        <v>85</v>
      </c>
      <c r="B26" s="24" t="s">
        <v>86</v>
      </c>
      <c r="C26" s="16" t="s">
        <v>30</v>
      </c>
      <c r="D26" s="17" t="s">
        <v>31</v>
      </c>
      <c r="E26" s="25" t="s">
        <v>32</v>
      </c>
      <c r="F26" s="27" t="str">
        <f>'Source Table'!$B$11</f>
        <v>Hepatitis  A</v>
      </c>
      <c r="G26" t="str">
        <f>'Source Table'!$D$11</f>
        <v>التهاب الكبد الوبائي ا</v>
      </c>
      <c r="H26">
        <v>38</v>
      </c>
      <c r="I26">
        <v>2022</v>
      </c>
    </row>
    <row r="27" spans="1:9" ht="15.75">
      <c r="A27" s="24" t="s">
        <v>85</v>
      </c>
      <c r="B27" s="24" t="s">
        <v>86</v>
      </c>
      <c r="C27" s="16" t="s">
        <v>30</v>
      </c>
      <c r="D27" s="17" t="s">
        <v>31</v>
      </c>
      <c r="E27" s="25" t="s">
        <v>32</v>
      </c>
      <c r="F27" s="27" t="str">
        <f>'Source Table'!$B$12</f>
        <v>Measles</v>
      </c>
      <c r="G27" t="str">
        <f>'Source Table'!$D$12</f>
        <v>حصبة</v>
      </c>
      <c r="H27">
        <v>457</v>
      </c>
      <c r="I27">
        <v>2022</v>
      </c>
    </row>
    <row r="28" spans="1:9" ht="15.75">
      <c r="A28" s="24" t="s">
        <v>85</v>
      </c>
      <c r="B28" s="24" t="s">
        <v>86</v>
      </c>
      <c r="C28" s="16" t="s">
        <v>30</v>
      </c>
      <c r="D28" s="17" t="s">
        <v>31</v>
      </c>
      <c r="E28" s="25" t="s">
        <v>32</v>
      </c>
      <c r="F28" s="27" t="str">
        <f>'Source Table'!$B$13</f>
        <v>Chicken pox</v>
      </c>
      <c r="G28" t="str">
        <f>'Source Table'!$D$13</f>
        <v>جدري مائي</v>
      </c>
      <c r="H28">
        <v>6912</v>
      </c>
      <c r="I28">
        <v>2022</v>
      </c>
    </row>
    <row r="29" spans="1:9" ht="15.75">
      <c r="A29" s="24" t="s">
        <v>85</v>
      </c>
      <c r="B29" s="24" t="s">
        <v>86</v>
      </c>
      <c r="C29" s="16" t="s">
        <v>30</v>
      </c>
      <c r="D29" s="17" t="s">
        <v>31</v>
      </c>
      <c r="E29" s="25" t="s">
        <v>32</v>
      </c>
      <c r="F29" s="27" t="str">
        <f>'Source Table'!$B$14</f>
        <v>Mumps</v>
      </c>
      <c r="G29" t="str">
        <f>'Source Table'!$D$14</f>
        <v>نكاف ( ابو كعب )</v>
      </c>
      <c r="H29">
        <v>48</v>
      </c>
      <c r="I29">
        <v>2022</v>
      </c>
    </row>
    <row r="30" spans="1:9" ht="15.75">
      <c r="A30" s="24" t="s">
        <v>85</v>
      </c>
      <c r="B30" s="24" t="s">
        <v>86</v>
      </c>
      <c r="C30" s="16" t="s">
        <v>30</v>
      </c>
      <c r="D30" s="17" t="s">
        <v>31</v>
      </c>
      <c r="E30" s="25" t="s">
        <v>32</v>
      </c>
      <c r="F30" s="27" t="str">
        <f>'Source Table'!$B$15</f>
        <v>Whooping Cough</v>
      </c>
      <c r="G30" t="str">
        <f>'Source Table'!$D$15</f>
        <v>سعال ديكي</v>
      </c>
      <c r="H30">
        <v>5</v>
      </c>
      <c r="I30">
        <v>2022</v>
      </c>
    </row>
    <row r="31" spans="1:9" ht="15.75">
      <c r="A31" s="24" t="s">
        <v>85</v>
      </c>
      <c r="B31" s="24" t="s">
        <v>86</v>
      </c>
      <c r="C31" s="16" t="s">
        <v>30</v>
      </c>
      <c r="D31" s="17" t="s">
        <v>31</v>
      </c>
      <c r="E31" s="25" t="s">
        <v>32</v>
      </c>
      <c r="F31" s="27" t="str">
        <f>'Source Table'!$B$16</f>
        <v>M. Meningitis</v>
      </c>
      <c r="G31" t="str">
        <f>'Source Table'!$D$16</f>
        <v>التهاب السحايا الوبائي</v>
      </c>
      <c r="H31">
        <v>1</v>
      </c>
      <c r="I31">
        <v>2022</v>
      </c>
    </row>
    <row r="32" spans="1:9" ht="15.75">
      <c r="A32" s="24" t="s">
        <v>85</v>
      </c>
      <c r="B32" s="24" t="s">
        <v>86</v>
      </c>
      <c r="C32" s="16" t="s">
        <v>30</v>
      </c>
      <c r="D32" s="17" t="s">
        <v>31</v>
      </c>
      <c r="E32" s="25" t="s">
        <v>32</v>
      </c>
      <c r="F32" s="27" t="str">
        <f>'Source Table'!$B$17</f>
        <v>Non M. Meningitis</v>
      </c>
      <c r="G32" t="str">
        <f>'Source Table'!$D$17</f>
        <v>التهاب السحايا غير الوبائي</v>
      </c>
      <c r="H32">
        <v>368</v>
      </c>
      <c r="I32">
        <v>2022</v>
      </c>
    </row>
    <row r="33" spans="1:9" ht="15.75">
      <c r="A33" s="24" t="s">
        <v>85</v>
      </c>
      <c r="B33" s="24" t="s">
        <v>86</v>
      </c>
      <c r="C33" s="16" t="s">
        <v>30</v>
      </c>
      <c r="D33" s="17" t="s">
        <v>31</v>
      </c>
      <c r="E33" s="25" t="s">
        <v>32</v>
      </c>
      <c r="F33" s="27" t="str">
        <f>'Source Table'!$B$18</f>
        <v>Scarlet Fever</v>
      </c>
      <c r="G33" t="str">
        <f>'Source Table'!$D$18</f>
        <v>حمى قرمزية</v>
      </c>
      <c r="H33">
        <v>0</v>
      </c>
      <c r="I33">
        <v>2022</v>
      </c>
    </row>
    <row r="34" spans="1:9" ht="15.75">
      <c r="A34" s="24" t="s">
        <v>85</v>
      </c>
      <c r="B34" s="24" t="s">
        <v>86</v>
      </c>
      <c r="C34" s="16" t="s">
        <v>30</v>
      </c>
      <c r="D34" s="17" t="s">
        <v>31</v>
      </c>
      <c r="E34" s="25" t="s">
        <v>32</v>
      </c>
      <c r="F34" s="27" t="str">
        <f>'Source Table'!$B$19</f>
        <v>Brucellosiss</v>
      </c>
      <c r="G34" t="str">
        <f>'Source Table'!$D$19</f>
        <v>حمى مالطية</v>
      </c>
      <c r="H34">
        <v>437</v>
      </c>
      <c r="I34">
        <v>2022</v>
      </c>
    </row>
    <row r="35" spans="1:9" ht="15.75">
      <c r="A35" s="24" t="s">
        <v>85</v>
      </c>
      <c r="B35" s="24" t="s">
        <v>86</v>
      </c>
      <c r="C35" s="16" t="s">
        <v>30</v>
      </c>
      <c r="D35" s="17" t="s">
        <v>31</v>
      </c>
      <c r="E35" s="25" t="s">
        <v>32</v>
      </c>
      <c r="F35" s="27" t="str">
        <f>'Source Table'!$B$20</f>
        <v>German Measles</v>
      </c>
      <c r="G35" t="str">
        <f>'Source Table'!$D$20</f>
        <v>حصبة المانية مشتبهة</v>
      </c>
      <c r="H35">
        <v>12</v>
      </c>
      <c r="I35">
        <v>2022</v>
      </c>
    </row>
    <row r="36" spans="1:9" ht="15.75">
      <c r="A36" s="24" t="s">
        <v>85</v>
      </c>
      <c r="B36" s="24" t="s">
        <v>86</v>
      </c>
      <c r="C36" s="16" t="s">
        <v>30</v>
      </c>
      <c r="D36" s="17" t="s">
        <v>31</v>
      </c>
      <c r="E36" s="25" t="s">
        <v>32</v>
      </c>
      <c r="F36" s="27" t="str">
        <f>'Source Table'!$B$21</f>
        <v>adult tetanus</v>
      </c>
      <c r="G36" t="str">
        <f>'Source Table'!$D$21</f>
        <v>كزاز كبار</v>
      </c>
      <c r="H36">
        <v>0</v>
      </c>
      <c r="I36">
        <v>2022</v>
      </c>
    </row>
    <row r="37" spans="1:9" ht="15.75">
      <c r="A37" s="24" t="s">
        <v>85</v>
      </c>
      <c r="B37" s="24" t="s">
        <v>86</v>
      </c>
      <c r="C37" s="16" t="s">
        <v>30</v>
      </c>
      <c r="D37" s="17" t="s">
        <v>31</v>
      </c>
      <c r="E37" s="25" t="s">
        <v>32</v>
      </c>
      <c r="F37" s="27" t="str">
        <f>'Source Table'!$B$22</f>
        <v>Ringworm</v>
      </c>
      <c r="G37" t="str">
        <f>'Source Table'!$D$22</f>
        <v>قرع</v>
      </c>
      <c r="H37">
        <v>0</v>
      </c>
      <c r="I37">
        <v>2022</v>
      </c>
    </row>
    <row r="38" spans="1:9" ht="15.75">
      <c r="A38" s="24" t="s">
        <v>85</v>
      </c>
      <c r="B38" s="24" t="s">
        <v>86</v>
      </c>
      <c r="C38" s="16" t="s">
        <v>30</v>
      </c>
      <c r="D38" s="17" t="s">
        <v>31</v>
      </c>
      <c r="E38" s="25" t="s">
        <v>32</v>
      </c>
      <c r="F38" s="27" t="str">
        <f>'Source Table'!$B$23</f>
        <v>Leshmania</v>
      </c>
      <c r="G38" t="str">
        <f>'Source Table'!$D$23</f>
        <v>لشمانيا جلدية</v>
      </c>
      <c r="H38">
        <v>38</v>
      </c>
      <c r="I38">
        <v>2022</v>
      </c>
    </row>
    <row r="39" spans="1:9" ht="15.75">
      <c r="A39" s="24" t="s">
        <v>85</v>
      </c>
      <c r="B39" s="24" t="s">
        <v>86</v>
      </c>
      <c r="C39" s="16" t="s">
        <v>30</v>
      </c>
      <c r="D39" s="17" t="s">
        <v>31</v>
      </c>
      <c r="E39" s="25" t="s">
        <v>32</v>
      </c>
      <c r="F39" s="27" t="str">
        <f>'Source Table'!$B$24</f>
        <v>Scabies</v>
      </c>
      <c r="G39" t="str">
        <f>'Source Table'!$D$24</f>
        <v>جرب</v>
      </c>
      <c r="H39">
        <v>655</v>
      </c>
      <c r="I39">
        <v>2022</v>
      </c>
    </row>
    <row r="40" spans="1:9" ht="15.75">
      <c r="A40" s="24" t="s">
        <v>85</v>
      </c>
      <c r="B40" s="24" t="s">
        <v>86</v>
      </c>
      <c r="C40" s="16" t="s">
        <v>30</v>
      </c>
      <c r="D40" s="17" t="s">
        <v>31</v>
      </c>
      <c r="E40" s="25" t="s">
        <v>32</v>
      </c>
      <c r="F40" s="27" t="str">
        <f>'Source Table'!$B$25</f>
        <v>Venereology</v>
      </c>
      <c r="G40" t="str">
        <f>'Source Table'!$D$25</f>
        <v>الامراض التناسلية</v>
      </c>
      <c r="H40">
        <v>0</v>
      </c>
      <c r="I40">
        <v>2022</v>
      </c>
    </row>
    <row r="41" spans="1:9" ht="15.75">
      <c r="A41" s="24" t="s">
        <v>85</v>
      </c>
      <c r="B41" s="24" t="s">
        <v>86</v>
      </c>
      <c r="C41" s="16" t="s">
        <v>30</v>
      </c>
      <c r="D41" s="17" t="s">
        <v>31</v>
      </c>
      <c r="E41" s="25" t="s">
        <v>32</v>
      </c>
      <c r="F41" s="27" t="str">
        <f>'Source Table'!$B$26</f>
        <v>Hydrated Cyst</v>
      </c>
      <c r="G41" t="str">
        <f>'Source Table'!$D$26</f>
        <v>الاكياس المائية</v>
      </c>
      <c r="H41">
        <v>4</v>
      </c>
      <c r="I41">
        <v>2022</v>
      </c>
    </row>
    <row r="42" spans="1:9" ht="15.75">
      <c r="A42" s="24" t="s">
        <v>85</v>
      </c>
      <c r="B42" s="24" t="s">
        <v>86</v>
      </c>
      <c r="C42" s="16" t="s">
        <v>30</v>
      </c>
      <c r="D42" s="17" t="s">
        <v>31</v>
      </c>
      <c r="E42" s="25" t="s">
        <v>32</v>
      </c>
      <c r="F42" s="27" t="str">
        <f>'Source Table'!$B$8</f>
        <v>Typhoid Fever &amp;para Typhoid</v>
      </c>
      <c r="G42" t="str">
        <f>'Source Table'!$D$8</f>
        <v>تيفوئيد وبارا تيفوئيد</v>
      </c>
      <c r="H42">
        <v>0</v>
      </c>
      <c r="I42">
        <v>2021</v>
      </c>
    </row>
    <row r="43" spans="1:9" ht="15.75">
      <c r="A43" s="24" t="s">
        <v>85</v>
      </c>
      <c r="B43" s="24" t="s">
        <v>86</v>
      </c>
      <c r="C43" s="16" t="s">
        <v>30</v>
      </c>
      <c r="D43" s="17" t="s">
        <v>31</v>
      </c>
      <c r="E43" s="25" t="s">
        <v>32</v>
      </c>
      <c r="F43" s="27" t="str">
        <f>'Source Table'!$B$9</f>
        <v>Dysentery</v>
      </c>
      <c r="G43" t="str">
        <f>'Source Table'!$D$9</f>
        <v>ديزينتري</v>
      </c>
      <c r="H43">
        <v>36</v>
      </c>
      <c r="I43">
        <v>2021</v>
      </c>
    </row>
    <row r="44" spans="1:9" ht="15.75">
      <c r="A44" s="24" t="s">
        <v>85</v>
      </c>
      <c r="B44" s="24" t="s">
        <v>86</v>
      </c>
      <c r="C44" s="16" t="s">
        <v>30</v>
      </c>
      <c r="D44" s="17" t="s">
        <v>31</v>
      </c>
      <c r="E44" s="25" t="s">
        <v>32</v>
      </c>
      <c r="F44" s="27" t="str">
        <f>'Source Table'!$B$10</f>
        <v>Hepatitis  B</v>
      </c>
      <c r="G44" t="str">
        <f>'Source Table'!$D$10</f>
        <v>التهاب الكبد المصلي ب</v>
      </c>
      <c r="H44">
        <v>2</v>
      </c>
      <c r="I44">
        <v>2021</v>
      </c>
    </row>
    <row r="45" spans="1:9" ht="15.75">
      <c r="A45" s="24" t="s">
        <v>85</v>
      </c>
      <c r="B45" s="24" t="s">
        <v>86</v>
      </c>
      <c r="C45" s="16" t="s">
        <v>30</v>
      </c>
      <c r="D45" s="17" t="s">
        <v>31</v>
      </c>
      <c r="E45" s="25" t="s">
        <v>32</v>
      </c>
      <c r="F45" s="27" t="str">
        <f>'Source Table'!$B$11</f>
        <v>Hepatitis  A</v>
      </c>
      <c r="G45" t="str">
        <f>'Source Table'!$D$11</f>
        <v>التهاب الكبد الوبائي ا</v>
      </c>
      <c r="H45">
        <v>217</v>
      </c>
      <c r="I45">
        <v>2021</v>
      </c>
    </row>
    <row r="46" spans="1:9" ht="15.75">
      <c r="A46" s="24" t="s">
        <v>85</v>
      </c>
      <c r="B46" s="24" t="s">
        <v>86</v>
      </c>
      <c r="C46" s="16" t="s">
        <v>30</v>
      </c>
      <c r="D46" s="17" t="s">
        <v>31</v>
      </c>
      <c r="E46" s="25" t="s">
        <v>32</v>
      </c>
      <c r="F46" s="27" t="str">
        <f>'Source Table'!$B$12</f>
        <v>Measles</v>
      </c>
      <c r="G46" t="str">
        <f>'Source Table'!$D$12</f>
        <v>حصبة</v>
      </c>
      <c r="H46">
        <v>50</v>
      </c>
      <c r="I46">
        <v>2021</v>
      </c>
    </row>
    <row r="47" spans="1:9" ht="15.75">
      <c r="A47" s="24" t="s">
        <v>85</v>
      </c>
      <c r="B47" s="24" t="s">
        <v>86</v>
      </c>
      <c r="C47" s="16" t="s">
        <v>30</v>
      </c>
      <c r="D47" s="17" t="s">
        <v>31</v>
      </c>
      <c r="E47" s="25" t="s">
        <v>32</v>
      </c>
      <c r="F47" s="27" t="str">
        <f>'Source Table'!$B$13</f>
        <v>Chicken pox</v>
      </c>
      <c r="G47" t="str">
        <f>'Source Table'!$D$13</f>
        <v>جدري مائي</v>
      </c>
      <c r="H47">
        <v>1732</v>
      </c>
      <c r="I47">
        <v>2021</v>
      </c>
    </row>
    <row r="48" spans="1:9" ht="15.75">
      <c r="A48" s="24" t="s">
        <v>85</v>
      </c>
      <c r="B48" s="24" t="s">
        <v>86</v>
      </c>
      <c r="C48" s="16" t="s">
        <v>30</v>
      </c>
      <c r="D48" s="17" t="s">
        <v>31</v>
      </c>
      <c r="E48" s="25" t="s">
        <v>32</v>
      </c>
      <c r="F48" s="27" t="str">
        <f>'Source Table'!$B$14</f>
        <v>Mumps</v>
      </c>
      <c r="G48" t="str">
        <f>'Source Table'!$D$14</f>
        <v>نكاف ( ابو كعب )</v>
      </c>
      <c r="H48">
        <v>11</v>
      </c>
      <c r="I48">
        <v>2021</v>
      </c>
    </row>
    <row r="49" spans="1:9" ht="15.75">
      <c r="A49" s="24" t="s">
        <v>85</v>
      </c>
      <c r="B49" s="24" t="s">
        <v>86</v>
      </c>
      <c r="C49" s="16" t="s">
        <v>30</v>
      </c>
      <c r="D49" s="17" t="s">
        <v>31</v>
      </c>
      <c r="E49" s="25" t="s">
        <v>32</v>
      </c>
      <c r="F49" s="27" t="str">
        <f>'Source Table'!$B$15</f>
        <v>Whooping Cough</v>
      </c>
      <c r="G49" t="str">
        <f>'Source Table'!$D$15</f>
        <v>سعال ديكي</v>
      </c>
      <c r="H49">
        <v>2</v>
      </c>
      <c r="I49">
        <v>2021</v>
      </c>
    </row>
    <row r="50" spans="1:9" ht="15.75">
      <c r="A50" s="24" t="s">
        <v>85</v>
      </c>
      <c r="B50" s="24" t="s">
        <v>86</v>
      </c>
      <c r="C50" s="16" t="s">
        <v>30</v>
      </c>
      <c r="D50" s="17" t="s">
        <v>31</v>
      </c>
      <c r="E50" s="25" t="s">
        <v>32</v>
      </c>
      <c r="F50" s="27" t="str">
        <f>'Source Table'!$B$16</f>
        <v>M. Meningitis</v>
      </c>
      <c r="G50" t="str">
        <f>'Source Table'!$D$16</f>
        <v>التهاب السحايا الوبائي</v>
      </c>
      <c r="H50">
        <v>1</v>
      </c>
      <c r="I50">
        <v>2021</v>
      </c>
    </row>
    <row r="51" spans="1:9" ht="15.75">
      <c r="A51" s="24" t="s">
        <v>85</v>
      </c>
      <c r="B51" s="24" t="s">
        <v>86</v>
      </c>
      <c r="C51" s="16" t="s">
        <v>30</v>
      </c>
      <c r="D51" s="17" t="s">
        <v>31</v>
      </c>
      <c r="E51" s="25" t="s">
        <v>32</v>
      </c>
      <c r="F51" s="27" t="str">
        <f>'Source Table'!$B$17</f>
        <v>Non M. Meningitis</v>
      </c>
      <c r="G51" t="str">
        <f>'Source Table'!$D$17</f>
        <v>التهاب السحايا غير الوبائي</v>
      </c>
      <c r="H51">
        <v>126</v>
      </c>
      <c r="I51">
        <v>2021</v>
      </c>
    </row>
    <row r="52" spans="1:9" ht="15.75">
      <c r="A52" s="24" t="s">
        <v>85</v>
      </c>
      <c r="B52" s="24" t="s">
        <v>86</v>
      </c>
      <c r="C52" s="16" t="s">
        <v>30</v>
      </c>
      <c r="D52" s="17" t="s">
        <v>31</v>
      </c>
      <c r="E52" s="25" t="s">
        <v>32</v>
      </c>
      <c r="F52" s="27" t="str">
        <f>'Source Table'!$B$18</f>
        <v>Scarlet Fever</v>
      </c>
      <c r="G52" t="str">
        <f>'Source Table'!$D$18</f>
        <v>حمى قرمزية</v>
      </c>
      <c r="H52">
        <v>0</v>
      </c>
      <c r="I52">
        <v>2021</v>
      </c>
    </row>
    <row r="53" spans="1:9" ht="15.75">
      <c r="A53" s="24" t="s">
        <v>85</v>
      </c>
      <c r="B53" s="24" t="s">
        <v>86</v>
      </c>
      <c r="C53" s="16" t="s">
        <v>30</v>
      </c>
      <c r="D53" s="17" t="s">
        <v>31</v>
      </c>
      <c r="E53" s="25" t="s">
        <v>32</v>
      </c>
      <c r="F53" s="27" t="str">
        <f>'Source Table'!$B$19</f>
        <v>Brucellosiss</v>
      </c>
      <c r="G53" t="str">
        <f>'Source Table'!$D$19</f>
        <v>حمى مالطية</v>
      </c>
      <c r="H53">
        <v>247</v>
      </c>
      <c r="I53">
        <v>2021</v>
      </c>
    </row>
    <row r="54" spans="1:9" ht="15.75">
      <c r="A54" s="24" t="s">
        <v>85</v>
      </c>
      <c r="B54" s="24" t="s">
        <v>86</v>
      </c>
      <c r="C54" s="16" t="s">
        <v>30</v>
      </c>
      <c r="D54" s="17" t="s">
        <v>31</v>
      </c>
      <c r="E54" s="25" t="s">
        <v>32</v>
      </c>
      <c r="F54" s="27" t="str">
        <f>'Source Table'!$B$20</f>
        <v>German Measles</v>
      </c>
      <c r="G54" t="str">
        <f>'Source Table'!$D$20</f>
        <v>حصبة المانية مشتبهة</v>
      </c>
      <c r="H54">
        <v>1</v>
      </c>
      <c r="I54">
        <v>2021</v>
      </c>
    </row>
    <row r="55" spans="1:9" ht="15.75">
      <c r="A55" s="24" t="s">
        <v>85</v>
      </c>
      <c r="B55" s="24" t="s">
        <v>86</v>
      </c>
      <c r="C55" s="16" t="s">
        <v>30</v>
      </c>
      <c r="D55" s="17" t="s">
        <v>31</v>
      </c>
      <c r="E55" s="25" t="s">
        <v>32</v>
      </c>
      <c r="F55" s="27" t="str">
        <f>'Source Table'!$B$21</f>
        <v>adult tetanus</v>
      </c>
      <c r="G55" t="str">
        <f>'Source Table'!$D$21</f>
        <v>كزاز كبار</v>
      </c>
      <c r="H55">
        <v>0</v>
      </c>
      <c r="I55">
        <v>2021</v>
      </c>
    </row>
    <row r="56" spans="1:9" ht="15.75">
      <c r="A56" s="24" t="s">
        <v>85</v>
      </c>
      <c r="B56" s="24" t="s">
        <v>86</v>
      </c>
      <c r="C56" s="16" t="s">
        <v>30</v>
      </c>
      <c r="D56" s="17" t="s">
        <v>31</v>
      </c>
      <c r="E56" s="25" t="s">
        <v>32</v>
      </c>
      <c r="F56" s="27" t="str">
        <f>'Source Table'!$B$22</f>
        <v>Ringworm</v>
      </c>
      <c r="G56" t="str">
        <f>'Source Table'!$D$22</f>
        <v>قرع</v>
      </c>
      <c r="H56">
        <v>1</v>
      </c>
      <c r="I56">
        <v>2021</v>
      </c>
    </row>
    <row r="57" spans="1:9" ht="15.75">
      <c r="A57" s="24" t="s">
        <v>85</v>
      </c>
      <c r="B57" s="24" t="s">
        <v>86</v>
      </c>
      <c r="C57" s="16" t="s">
        <v>30</v>
      </c>
      <c r="D57" s="17" t="s">
        <v>31</v>
      </c>
      <c r="E57" s="25" t="s">
        <v>32</v>
      </c>
      <c r="F57" s="27" t="str">
        <f>'Source Table'!$B$23</f>
        <v>Leshmania</v>
      </c>
      <c r="G57" t="str">
        <f>'Source Table'!$D$23</f>
        <v>لشمانيا جلدية</v>
      </c>
      <c r="H57">
        <v>56</v>
      </c>
      <c r="I57">
        <v>2021</v>
      </c>
    </row>
    <row r="58" spans="1:9" ht="15.75">
      <c r="A58" s="24" t="s">
        <v>85</v>
      </c>
      <c r="B58" s="24" t="s">
        <v>86</v>
      </c>
      <c r="C58" s="16" t="s">
        <v>30</v>
      </c>
      <c r="D58" s="17" t="s">
        <v>31</v>
      </c>
      <c r="E58" s="25" t="s">
        <v>32</v>
      </c>
      <c r="F58" s="27" t="str">
        <f>'Source Table'!$B$24</f>
        <v>Scabies</v>
      </c>
      <c r="G58" t="str">
        <f>'Source Table'!$D$24</f>
        <v>جرب</v>
      </c>
      <c r="H58">
        <v>346</v>
      </c>
      <c r="I58">
        <v>2021</v>
      </c>
    </row>
    <row r="59" spans="1:9" ht="15.75">
      <c r="A59" s="24" t="s">
        <v>85</v>
      </c>
      <c r="B59" s="24" t="s">
        <v>86</v>
      </c>
      <c r="C59" s="16" t="s">
        <v>30</v>
      </c>
      <c r="D59" s="17" t="s">
        <v>31</v>
      </c>
      <c r="E59" s="25" t="s">
        <v>32</v>
      </c>
      <c r="F59" s="27" t="str">
        <f>'Source Table'!$B$25</f>
        <v>Venereology</v>
      </c>
      <c r="G59" t="str">
        <f>'Source Table'!$D$25</f>
        <v>الامراض التناسلية</v>
      </c>
      <c r="H59">
        <v>0</v>
      </c>
      <c r="I59">
        <v>2021</v>
      </c>
    </row>
    <row r="60" spans="1:9" ht="15.75">
      <c r="A60" s="24" t="s">
        <v>85</v>
      </c>
      <c r="B60" s="24" t="s">
        <v>86</v>
      </c>
      <c r="C60" s="16" t="s">
        <v>30</v>
      </c>
      <c r="D60" s="17" t="s">
        <v>31</v>
      </c>
      <c r="E60" s="25" t="s">
        <v>32</v>
      </c>
      <c r="F60" s="27" t="str">
        <f>'Source Table'!$B$26</f>
        <v>Hydrated Cyst</v>
      </c>
      <c r="G60" t="str">
        <f>'Source Table'!$D$26</f>
        <v>الاكياس المائية</v>
      </c>
      <c r="H60">
        <v>2</v>
      </c>
      <c r="I60">
        <v>2021</v>
      </c>
    </row>
    <row r="61" spans="1:9" ht="15.75">
      <c r="A61" s="24" t="s">
        <v>85</v>
      </c>
      <c r="B61" s="24" t="s">
        <v>86</v>
      </c>
      <c r="C61" s="16" t="s">
        <v>30</v>
      </c>
      <c r="D61" s="17" t="s">
        <v>31</v>
      </c>
      <c r="E61" s="25" t="s">
        <v>32</v>
      </c>
      <c r="F61" s="27" t="str">
        <f>'Source Table'!$B$8</f>
        <v>Typhoid Fever &amp;para Typhoid</v>
      </c>
      <c r="G61" t="str">
        <f>'Source Table'!$D$8</f>
        <v>تيفوئيد وبارا تيفوئيد</v>
      </c>
      <c r="H61">
        <v>6</v>
      </c>
      <c r="I61">
        <v>2020</v>
      </c>
    </row>
    <row r="62" spans="1:9" ht="15.75">
      <c r="A62" s="24" t="s">
        <v>85</v>
      </c>
      <c r="B62" s="24" t="s">
        <v>86</v>
      </c>
      <c r="C62" s="16" t="s">
        <v>30</v>
      </c>
      <c r="D62" s="17" t="s">
        <v>31</v>
      </c>
      <c r="E62" s="25" t="s">
        <v>32</v>
      </c>
      <c r="F62" s="27" t="str">
        <f>'Source Table'!$B$9</f>
        <v>Dysentery</v>
      </c>
      <c r="G62" t="str">
        <f>'Source Table'!$D$9</f>
        <v>ديزينتري</v>
      </c>
      <c r="H62">
        <v>22</v>
      </c>
      <c r="I62">
        <v>2020</v>
      </c>
    </row>
    <row r="63" spans="1:9" ht="15.75">
      <c r="A63" s="24" t="s">
        <v>85</v>
      </c>
      <c r="B63" s="24" t="s">
        <v>86</v>
      </c>
      <c r="C63" s="16" t="s">
        <v>30</v>
      </c>
      <c r="D63" s="17" t="s">
        <v>31</v>
      </c>
      <c r="E63" s="25" t="s">
        <v>32</v>
      </c>
      <c r="F63" s="27" t="str">
        <f>'Source Table'!$B$10</f>
        <v>Hepatitis  B</v>
      </c>
      <c r="G63" t="str">
        <f>'Source Table'!$D$10</f>
        <v>التهاب الكبد المصلي ب</v>
      </c>
      <c r="H63">
        <v>3</v>
      </c>
      <c r="I63">
        <v>2020</v>
      </c>
    </row>
    <row r="64" spans="1:9" ht="15.75">
      <c r="A64" s="24" t="s">
        <v>85</v>
      </c>
      <c r="B64" s="24" t="s">
        <v>86</v>
      </c>
      <c r="C64" s="16" t="s">
        <v>30</v>
      </c>
      <c r="D64" s="17" t="s">
        <v>31</v>
      </c>
      <c r="E64" s="25" t="s">
        <v>32</v>
      </c>
      <c r="F64" s="27" t="str">
        <f>'Source Table'!$B$11</f>
        <v>Hepatitis  A</v>
      </c>
      <c r="G64" t="str">
        <f>'Source Table'!$D$11</f>
        <v>التهاب الكبد الوبائي ا</v>
      </c>
      <c r="H64">
        <v>78</v>
      </c>
      <c r="I64">
        <v>2020</v>
      </c>
    </row>
    <row r="65" spans="1:9" ht="15.75">
      <c r="A65" s="24" t="s">
        <v>85</v>
      </c>
      <c r="B65" s="24" t="s">
        <v>86</v>
      </c>
      <c r="C65" s="16" t="s">
        <v>30</v>
      </c>
      <c r="D65" s="17" t="s">
        <v>31</v>
      </c>
      <c r="E65" s="25" t="s">
        <v>32</v>
      </c>
      <c r="F65" s="27" t="str">
        <f>'Source Table'!$B$12</f>
        <v>Measles</v>
      </c>
      <c r="G65" t="str">
        <f>'Source Table'!$D$12</f>
        <v>حصبة</v>
      </c>
      <c r="H65">
        <v>22</v>
      </c>
      <c r="I65">
        <v>2020</v>
      </c>
    </row>
    <row r="66" spans="1:9" ht="15.75">
      <c r="A66" s="24" t="s">
        <v>85</v>
      </c>
      <c r="B66" s="24" t="s">
        <v>86</v>
      </c>
      <c r="C66" s="16" t="s">
        <v>30</v>
      </c>
      <c r="D66" s="17" t="s">
        <v>31</v>
      </c>
      <c r="E66" s="25" t="s">
        <v>32</v>
      </c>
      <c r="F66" s="27" t="str">
        <f>'Source Table'!$B$13</f>
        <v>Chicken pox</v>
      </c>
      <c r="G66" t="str">
        <f>'Source Table'!$D$13</f>
        <v>جدري مائي</v>
      </c>
      <c r="H66">
        <v>999</v>
      </c>
      <c r="I66">
        <v>2020</v>
      </c>
    </row>
    <row r="67" spans="1:9" ht="15.75">
      <c r="A67" s="24" t="s">
        <v>85</v>
      </c>
      <c r="B67" s="24" t="s">
        <v>86</v>
      </c>
      <c r="C67" s="16" t="s">
        <v>30</v>
      </c>
      <c r="D67" s="17" t="s">
        <v>31</v>
      </c>
      <c r="E67" s="25" t="s">
        <v>32</v>
      </c>
      <c r="F67" s="27" t="str">
        <f>'Source Table'!$B$14</f>
        <v>Mumps</v>
      </c>
      <c r="G67" t="str">
        <f>'Source Table'!$D$14</f>
        <v>نكاف ( ابو كعب )</v>
      </c>
      <c r="H67">
        <v>13</v>
      </c>
      <c r="I67">
        <v>2020</v>
      </c>
    </row>
    <row r="68" spans="1:9" ht="15.75">
      <c r="A68" s="24" t="s">
        <v>85</v>
      </c>
      <c r="B68" s="24" t="s">
        <v>86</v>
      </c>
      <c r="C68" s="16" t="s">
        <v>30</v>
      </c>
      <c r="D68" s="17" t="s">
        <v>31</v>
      </c>
      <c r="E68" s="25" t="s">
        <v>32</v>
      </c>
      <c r="F68" s="27" t="str">
        <f>'Source Table'!$B$15</f>
        <v>Whooping Cough</v>
      </c>
      <c r="G68" t="str">
        <f>'Source Table'!$D$15</f>
        <v>سعال ديكي</v>
      </c>
      <c r="H68">
        <v>2</v>
      </c>
      <c r="I68">
        <v>2020</v>
      </c>
    </row>
    <row r="69" spans="1:9" ht="15.75">
      <c r="A69" s="24" t="s">
        <v>85</v>
      </c>
      <c r="B69" s="24" t="s">
        <v>86</v>
      </c>
      <c r="C69" s="16" t="s">
        <v>30</v>
      </c>
      <c r="D69" s="17" t="s">
        <v>31</v>
      </c>
      <c r="E69" s="25" t="s">
        <v>32</v>
      </c>
      <c r="F69" s="27" t="str">
        <f>'Source Table'!$B$16</f>
        <v>M. Meningitis</v>
      </c>
      <c r="G69" t="str">
        <f>'Source Table'!$D$16</f>
        <v>التهاب السحايا الوبائي</v>
      </c>
      <c r="H69">
        <v>4</v>
      </c>
      <c r="I69">
        <v>2020</v>
      </c>
    </row>
    <row r="70" spans="1:9" ht="15.75">
      <c r="A70" s="24" t="s">
        <v>85</v>
      </c>
      <c r="B70" s="24" t="s">
        <v>86</v>
      </c>
      <c r="C70" s="16" t="s">
        <v>30</v>
      </c>
      <c r="D70" s="17" t="s">
        <v>31</v>
      </c>
      <c r="E70" s="25" t="s">
        <v>32</v>
      </c>
      <c r="F70" s="27" t="str">
        <f>'Source Table'!$B$17</f>
        <v>Non M. Meningitis</v>
      </c>
      <c r="G70" t="str">
        <f>'Source Table'!$D$17</f>
        <v>التهاب السحايا غير الوبائي</v>
      </c>
      <c r="H70">
        <v>358</v>
      </c>
      <c r="I70">
        <v>2020</v>
      </c>
    </row>
    <row r="71" spans="1:9" ht="15.75">
      <c r="A71" s="24" t="s">
        <v>85</v>
      </c>
      <c r="B71" s="24" t="s">
        <v>86</v>
      </c>
      <c r="C71" s="16" t="s">
        <v>30</v>
      </c>
      <c r="D71" s="17" t="s">
        <v>31</v>
      </c>
      <c r="E71" s="25" t="s">
        <v>32</v>
      </c>
      <c r="F71" s="27" t="str">
        <f>'Source Table'!$B$18</f>
        <v>Scarlet Fever</v>
      </c>
      <c r="G71" t="str">
        <f>'Source Table'!$D$18</f>
        <v>حمى قرمزية</v>
      </c>
      <c r="H71">
        <v>1</v>
      </c>
      <c r="I71">
        <v>2020</v>
      </c>
    </row>
    <row r="72" spans="1:9" ht="15.75">
      <c r="A72" s="24" t="s">
        <v>85</v>
      </c>
      <c r="B72" s="24" t="s">
        <v>86</v>
      </c>
      <c r="C72" s="16" t="s">
        <v>30</v>
      </c>
      <c r="D72" s="17" t="s">
        <v>31</v>
      </c>
      <c r="E72" s="25" t="s">
        <v>32</v>
      </c>
      <c r="F72" s="27" t="str">
        <f>'Source Table'!$B$19</f>
        <v>Brucellosiss</v>
      </c>
      <c r="G72" t="str">
        <f>'Source Table'!$D$19</f>
        <v>حمى مالطية</v>
      </c>
      <c r="H72">
        <v>218</v>
      </c>
      <c r="I72">
        <v>2020</v>
      </c>
    </row>
    <row r="73" spans="1:9" ht="15.75">
      <c r="A73" s="24" t="s">
        <v>85</v>
      </c>
      <c r="B73" s="24" t="s">
        <v>86</v>
      </c>
      <c r="C73" s="16" t="s">
        <v>30</v>
      </c>
      <c r="D73" s="17" t="s">
        <v>31</v>
      </c>
      <c r="E73" s="25" t="s">
        <v>32</v>
      </c>
      <c r="F73" s="27" t="str">
        <f>'Source Table'!$B$20</f>
        <v>German Measles</v>
      </c>
      <c r="G73" t="str">
        <f>'Source Table'!$D$20</f>
        <v>حصبة المانية مشتبهة</v>
      </c>
      <c r="H73">
        <v>1</v>
      </c>
      <c r="I73">
        <v>2020</v>
      </c>
    </row>
    <row r="74" spans="1:9" ht="15.75">
      <c r="A74" s="24" t="s">
        <v>85</v>
      </c>
      <c r="B74" s="24" t="s">
        <v>86</v>
      </c>
      <c r="C74" s="16" t="s">
        <v>30</v>
      </c>
      <c r="D74" s="17" t="s">
        <v>31</v>
      </c>
      <c r="E74" s="25" t="s">
        <v>32</v>
      </c>
      <c r="F74" s="27" t="str">
        <f>'Source Table'!$B$21</f>
        <v>adult tetanus</v>
      </c>
      <c r="G74" t="str">
        <f>'Source Table'!$D$21</f>
        <v>كزاز كبار</v>
      </c>
      <c r="H74">
        <v>0</v>
      </c>
      <c r="I74">
        <v>2020</v>
      </c>
    </row>
    <row r="75" spans="1:9" ht="15.75">
      <c r="A75" s="24" t="s">
        <v>85</v>
      </c>
      <c r="B75" s="24" t="s">
        <v>86</v>
      </c>
      <c r="C75" s="16" t="s">
        <v>30</v>
      </c>
      <c r="D75" s="17" t="s">
        <v>31</v>
      </c>
      <c r="E75" s="25" t="s">
        <v>32</v>
      </c>
      <c r="F75" s="27" t="str">
        <f>'Source Table'!$B$22</f>
        <v>Ringworm</v>
      </c>
      <c r="G75" t="str">
        <f>'Source Table'!$D$22</f>
        <v>قرع</v>
      </c>
      <c r="H75">
        <v>0</v>
      </c>
      <c r="I75">
        <v>2020</v>
      </c>
    </row>
    <row r="76" spans="1:9" ht="15.75">
      <c r="A76" s="24" t="s">
        <v>85</v>
      </c>
      <c r="B76" s="24" t="s">
        <v>86</v>
      </c>
      <c r="C76" s="16" t="s">
        <v>30</v>
      </c>
      <c r="D76" s="17" t="s">
        <v>31</v>
      </c>
      <c r="E76" s="25" t="s">
        <v>32</v>
      </c>
      <c r="F76" s="27" t="str">
        <f>'Source Table'!$B$23</f>
        <v>Leshmania</v>
      </c>
      <c r="G76" t="str">
        <f>'Source Table'!$D$23</f>
        <v>لشمانيا جلدية</v>
      </c>
      <c r="H76">
        <v>23</v>
      </c>
      <c r="I76">
        <v>2020</v>
      </c>
    </row>
    <row r="77" spans="1:9" ht="15.75">
      <c r="A77" s="24" t="s">
        <v>85</v>
      </c>
      <c r="B77" s="24" t="s">
        <v>86</v>
      </c>
      <c r="C77" s="16" t="s">
        <v>30</v>
      </c>
      <c r="D77" s="17" t="s">
        <v>31</v>
      </c>
      <c r="E77" s="25" t="s">
        <v>32</v>
      </c>
      <c r="F77" s="27" t="str">
        <f>'Source Table'!$B$24</f>
        <v>Scabies</v>
      </c>
      <c r="G77" t="str">
        <f>'Source Table'!$D$24</f>
        <v>جرب</v>
      </c>
      <c r="H77">
        <v>365</v>
      </c>
      <c r="I77">
        <v>2020</v>
      </c>
    </row>
    <row r="78" spans="1:9" ht="15.75">
      <c r="A78" s="24" t="s">
        <v>85</v>
      </c>
      <c r="B78" s="24" t="s">
        <v>86</v>
      </c>
      <c r="C78" s="16" t="s">
        <v>30</v>
      </c>
      <c r="D78" s="17" t="s">
        <v>31</v>
      </c>
      <c r="E78" s="25" t="s">
        <v>32</v>
      </c>
      <c r="F78" s="27" t="str">
        <f>'Source Table'!$B$25</f>
        <v>Venereology</v>
      </c>
      <c r="G78" t="str">
        <f>'Source Table'!$D$25</f>
        <v>الامراض التناسلية</v>
      </c>
      <c r="H78">
        <v>1</v>
      </c>
      <c r="I78">
        <v>2020</v>
      </c>
    </row>
    <row r="79" spans="1:9" ht="15.75">
      <c r="A79" s="24" t="s">
        <v>85</v>
      </c>
      <c r="B79" s="24" t="s">
        <v>86</v>
      </c>
      <c r="C79" s="16" t="s">
        <v>30</v>
      </c>
      <c r="D79" s="17" t="s">
        <v>31</v>
      </c>
      <c r="E79" s="25" t="s">
        <v>32</v>
      </c>
      <c r="F79" s="27" t="str">
        <f>'Source Table'!$B$26</f>
        <v>Hydrated Cyst</v>
      </c>
      <c r="G79" t="str">
        <f>'Source Table'!$D$26</f>
        <v>الاكياس المائية</v>
      </c>
      <c r="H79">
        <v>0</v>
      </c>
      <c r="I79">
        <v>2020</v>
      </c>
    </row>
    <row r="80" spans="1:9" ht="15.75">
      <c r="A80" s="24" t="s">
        <v>85</v>
      </c>
      <c r="B80" s="24" t="s">
        <v>86</v>
      </c>
      <c r="C80" s="16" t="s">
        <v>30</v>
      </c>
      <c r="D80" s="17" t="s">
        <v>31</v>
      </c>
      <c r="E80" s="25" t="s">
        <v>32</v>
      </c>
      <c r="F80" s="27" t="str">
        <f>'Source Table'!$B$8</f>
        <v>Typhoid Fever &amp;para Typhoid</v>
      </c>
      <c r="G80" t="str">
        <f>'Source Table'!$D$8</f>
        <v>تيفوئيد وبارا تيفوئيد</v>
      </c>
      <c r="H80">
        <v>13</v>
      </c>
      <c r="I80">
        <v>2019</v>
      </c>
    </row>
    <row r="81" spans="1:9" ht="15.75">
      <c r="A81" s="24" t="s">
        <v>85</v>
      </c>
      <c r="B81" s="24" t="s">
        <v>86</v>
      </c>
      <c r="C81" s="16" t="s">
        <v>30</v>
      </c>
      <c r="D81" s="17" t="s">
        <v>31</v>
      </c>
      <c r="E81" s="25" t="s">
        <v>32</v>
      </c>
      <c r="F81" s="27" t="str">
        <f>'Source Table'!$B$9</f>
        <v>Dysentery</v>
      </c>
      <c r="G81" t="str">
        <f>'Source Table'!$D$9</f>
        <v>ديزينتري</v>
      </c>
      <c r="H81">
        <v>44</v>
      </c>
      <c r="I81">
        <v>2019</v>
      </c>
    </row>
    <row r="82" spans="1:9" ht="15.75">
      <c r="A82" s="24" t="s">
        <v>85</v>
      </c>
      <c r="B82" s="24" t="s">
        <v>86</v>
      </c>
      <c r="C82" s="16" t="s">
        <v>30</v>
      </c>
      <c r="D82" s="17" t="s">
        <v>31</v>
      </c>
      <c r="E82" s="25" t="s">
        <v>32</v>
      </c>
      <c r="F82" s="27" t="str">
        <f>'Source Table'!$B$10</f>
        <v>Hepatitis  B</v>
      </c>
      <c r="G82" t="str">
        <f>'Source Table'!$D$10</f>
        <v>التهاب الكبد المصلي ب</v>
      </c>
      <c r="H82">
        <v>1</v>
      </c>
      <c r="I82">
        <v>2019</v>
      </c>
    </row>
    <row r="83" spans="1:9" ht="15.75">
      <c r="A83" s="24" t="s">
        <v>85</v>
      </c>
      <c r="B83" s="24" t="s">
        <v>86</v>
      </c>
      <c r="C83" s="16" t="s">
        <v>30</v>
      </c>
      <c r="D83" s="17" t="s">
        <v>31</v>
      </c>
      <c r="E83" s="25" t="s">
        <v>32</v>
      </c>
      <c r="F83" s="27" t="str">
        <f>'Source Table'!$B$11</f>
        <v>Hepatitis  A</v>
      </c>
      <c r="G83" t="str">
        <f>'Source Table'!$D$11</f>
        <v>التهاب الكبد الوبائي ا</v>
      </c>
      <c r="H83">
        <v>269</v>
      </c>
      <c r="I83">
        <v>2019</v>
      </c>
    </row>
    <row r="84" spans="1:9" ht="15.75">
      <c r="A84" s="24" t="s">
        <v>85</v>
      </c>
      <c r="B84" s="24" t="s">
        <v>86</v>
      </c>
      <c r="C84" s="16" t="s">
        <v>30</v>
      </c>
      <c r="D84" s="17" t="s">
        <v>31</v>
      </c>
      <c r="E84" s="25" t="s">
        <v>32</v>
      </c>
      <c r="F84" s="27" t="str">
        <f>'Source Table'!$B$12</f>
        <v>Measles</v>
      </c>
      <c r="G84" t="str">
        <f>'Source Table'!$D$12</f>
        <v>حصبة</v>
      </c>
      <c r="H84">
        <v>246</v>
      </c>
      <c r="I84">
        <v>2019</v>
      </c>
    </row>
    <row r="85" spans="1:9" ht="15.75">
      <c r="A85" s="24" t="s">
        <v>85</v>
      </c>
      <c r="B85" s="24" t="s">
        <v>86</v>
      </c>
      <c r="C85" s="16" t="s">
        <v>30</v>
      </c>
      <c r="D85" s="17" t="s">
        <v>31</v>
      </c>
      <c r="E85" s="25" t="s">
        <v>32</v>
      </c>
      <c r="F85" s="27" t="str">
        <f>'Source Table'!$B$13</f>
        <v>Chicken pox</v>
      </c>
      <c r="G85" t="str">
        <f>'Source Table'!$D$13</f>
        <v>جدري مائي</v>
      </c>
      <c r="H85">
        <v>3515</v>
      </c>
      <c r="I85">
        <v>2019</v>
      </c>
    </row>
    <row r="86" spans="1:9" ht="15.75">
      <c r="A86" s="24" t="s">
        <v>85</v>
      </c>
      <c r="B86" s="24" t="s">
        <v>86</v>
      </c>
      <c r="C86" s="16" t="s">
        <v>30</v>
      </c>
      <c r="D86" s="17" t="s">
        <v>31</v>
      </c>
      <c r="E86" s="25" t="s">
        <v>32</v>
      </c>
      <c r="F86" s="27" t="str">
        <f>'Source Table'!$B$14</f>
        <v>Mumps</v>
      </c>
      <c r="G86" t="str">
        <f>'Source Table'!$D$14</f>
        <v>نكاف ( ابو كعب )</v>
      </c>
      <c r="H86">
        <v>63</v>
      </c>
      <c r="I86">
        <v>2019</v>
      </c>
    </row>
    <row r="87" spans="1:9" ht="15.75">
      <c r="A87" s="24" t="s">
        <v>85</v>
      </c>
      <c r="B87" s="24" t="s">
        <v>86</v>
      </c>
      <c r="C87" s="16" t="s">
        <v>30</v>
      </c>
      <c r="D87" s="17" t="s">
        <v>31</v>
      </c>
      <c r="E87" s="25" t="s">
        <v>32</v>
      </c>
      <c r="F87" s="27" t="str">
        <f>'Source Table'!$B$15</f>
        <v>Whooping Cough</v>
      </c>
      <c r="G87" t="str">
        <f>'Source Table'!$D$15</f>
        <v>سعال ديكي</v>
      </c>
      <c r="H87">
        <v>8</v>
      </c>
      <c r="I87">
        <v>2019</v>
      </c>
    </row>
    <row r="88" spans="1:9" ht="15.75">
      <c r="A88" s="24" t="s">
        <v>85</v>
      </c>
      <c r="B88" s="24" t="s">
        <v>86</v>
      </c>
      <c r="C88" s="16" t="s">
        <v>30</v>
      </c>
      <c r="D88" s="17" t="s">
        <v>31</v>
      </c>
      <c r="E88" s="25" t="s">
        <v>32</v>
      </c>
      <c r="F88" s="27" t="str">
        <f>'Source Table'!$B$16</f>
        <v>M. Meningitis</v>
      </c>
      <c r="G88" t="str">
        <f>'Source Table'!$D$16</f>
        <v>التهاب السحايا الوبائي</v>
      </c>
      <c r="H88">
        <v>9</v>
      </c>
      <c r="I88">
        <v>2019</v>
      </c>
    </row>
    <row r="89" spans="1:9" ht="15.75">
      <c r="A89" s="24" t="s">
        <v>85</v>
      </c>
      <c r="B89" s="24" t="s">
        <v>86</v>
      </c>
      <c r="C89" s="16" t="s">
        <v>30</v>
      </c>
      <c r="D89" s="17" t="s">
        <v>31</v>
      </c>
      <c r="E89" s="25" t="s">
        <v>32</v>
      </c>
      <c r="F89" s="27" t="str">
        <f>'Source Table'!$B$17</f>
        <v>Non M. Meningitis</v>
      </c>
      <c r="G89" t="str">
        <f>'Source Table'!$D$17</f>
        <v>التهاب السحايا غير الوبائي</v>
      </c>
      <c r="H89">
        <v>624</v>
      </c>
      <c r="I89">
        <v>2019</v>
      </c>
    </row>
    <row r="90" spans="1:9" ht="15.75">
      <c r="A90" s="24" t="s">
        <v>85</v>
      </c>
      <c r="B90" s="24" t="s">
        <v>86</v>
      </c>
      <c r="C90" s="16" t="s">
        <v>30</v>
      </c>
      <c r="D90" s="17" t="s">
        <v>31</v>
      </c>
      <c r="E90" s="25" t="s">
        <v>32</v>
      </c>
      <c r="F90" s="27" t="str">
        <f>'Source Table'!$B$18</f>
        <v>Scarlet Fever</v>
      </c>
      <c r="G90" t="str">
        <f>'Source Table'!$D$18</f>
        <v>حمى قرمزية</v>
      </c>
      <c r="H90">
        <v>4</v>
      </c>
      <c r="I90">
        <v>2019</v>
      </c>
    </row>
    <row r="91" spans="1:9" ht="15.75">
      <c r="A91" s="24" t="s">
        <v>85</v>
      </c>
      <c r="B91" s="24" t="s">
        <v>86</v>
      </c>
      <c r="C91" s="16" t="s">
        <v>30</v>
      </c>
      <c r="D91" s="17" t="s">
        <v>31</v>
      </c>
      <c r="E91" s="25" t="s">
        <v>32</v>
      </c>
      <c r="F91" s="27" t="str">
        <f>'Source Table'!$B$19</f>
        <v>Brucellosiss</v>
      </c>
      <c r="G91" t="str">
        <f>'Source Table'!$D$19</f>
        <v>حمى مالطية</v>
      </c>
      <c r="H91">
        <v>456</v>
      </c>
      <c r="I91">
        <v>2019</v>
      </c>
    </row>
    <row r="92" spans="1:9" ht="15.75">
      <c r="A92" s="24" t="s">
        <v>85</v>
      </c>
      <c r="B92" s="24" t="s">
        <v>86</v>
      </c>
      <c r="C92" s="16" t="s">
        <v>30</v>
      </c>
      <c r="D92" s="17" t="s">
        <v>31</v>
      </c>
      <c r="E92" s="25" t="s">
        <v>32</v>
      </c>
      <c r="F92" s="27" t="str">
        <f>'Source Table'!$B$20</f>
        <v>German Measles</v>
      </c>
      <c r="G92" t="str">
        <f>'Source Table'!$D$20</f>
        <v>حصبة المانية مشتبهة</v>
      </c>
      <c r="H92">
        <v>7</v>
      </c>
      <c r="I92">
        <v>2019</v>
      </c>
    </row>
    <row r="93" spans="1:9" ht="15.75">
      <c r="A93" s="24" t="s">
        <v>85</v>
      </c>
      <c r="B93" s="24" t="s">
        <v>86</v>
      </c>
      <c r="C93" s="16" t="s">
        <v>30</v>
      </c>
      <c r="D93" s="17" t="s">
        <v>31</v>
      </c>
      <c r="E93" s="25" t="s">
        <v>32</v>
      </c>
      <c r="F93" s="27" t="str">
        <f>'Source Table'!$B$21</f>
        <v>adult tetanus</v>
      </c>
      <c r="G93" t="str">
        <f>'Source Table'!$D$21</f>
        <v>كزاز كبار</v>
      </c>
      <c r="H93">
        <v>1</v>
      </c>
      <c r="I93">
        <v>2019</v>
      </c>
    </row>
    <row r="94" spans="1:9" ht="15.75">
      <c r="A94" s="24" t="s">
        <v>85</v>
      </c>
      <c r="B94" s="24" t="s">
        <v>86</v>
      </c>
      <c r="C94" s="16" t="s">
        <v>30</v>
      </c>
      <c r="D94" s="17" t="s">
        <v>31</v>
      </c>
      <c r="E94" s="25" t="s">
        <v>32</v>
      </c>
      <c r="F94" s="27" t="str">
        <f>'Source Table'!$B$22</f>
        <v>Ringworm</v>
      </c>
      <c r="G94" t="str">
        <f>'Source Table'!$D$22</f>
        <v>قرع</v>
      </c>
      <c r="H94">
        <v>0</v>
      </c>
      <c r="I94">
        <v>2019</v>
      </c>
    </row>
    <row r="95" spans="1:9" ht="15.75">
      <c r="A95" s="24" t="s">
        <v>85</v>
      </c>
      <c r="B95" s="24" t="s">
        <v>86</v>
      </c>
      <c r="C95" s="16" t="s">
        <v>30</v>
      </c>
      <c r="D95" s="17" t="s">
        <v>31</v>
      </c>
      <c r="E95" s="25" t="s">
        <v>32</v>
      </c>
      <c r="F95" s="27" t="str">
        <f>'Source Table'!$B$23</f>
        <v>Leshmania</v>
      </c>
      <c r="G95" t="str">
        <f>'Source Table'!$D$23</f>
        <v>لشمانيا جلدية</v>
      </c>
      <c r="H95">
        <v>72</v>
      </c>
      <c r="I95">
        <v>2019</v>
      </c>
    </row>
    <row r="96" spans="1:9" ht="15.75">
      <c r="A96" s="24" t="s">
        <v>85</v>
      </c>
      <c r="B96" s="24" t="s">
        <v>86</v>
      </c>
      <c r="C96" s="16" t="s">
        <v>30</v>
      </c>
      <c r="D96" s="17" t="s">
        <v>31</v>
      </c>
      <c r="E96" s="25" t="s">
        <v>32</v>
      </c>
      <c r="F96" s="27" t="str">
        <f>'Source Table'!$B$24</f>
        <v>Scabies</v>
      </c>
      <c r="G96" t="str">
        <f>'Source Table'!$D$24</f>
        <v>جرب</v>
      </c>
      <c r="H96">
        <v>499</v>
      </c>
      <c r="I96">
        <v>2019</v>
      </c>
    </row>
    <row r="97" spans="1:9" ht="15.75">
      <c r="A97" s="24" t="s">
        <v>85</v>
      </c>
      <c r="B97" s="24" t="s">
        <v>86</v>
      </c>
      <c r="C97" s="16" t="s">
        <v>30</v>
      </c>
      <c r="D97" s="17" t="s">
        <v>31</v>
      </c>
      <c r="E97" s="25" t="s">
        <v>32</v>
      </c>
      <c r="F97" s="27" t="str">
        <f>'Source Table'!$B$25</f>
        <v>Venereology</v>
      </c>
      <c r="G97" t="str">
        <f>'Source Table'!$D$25</f>
        <v>الامراض التناسلية</v>
      </c>
      <c r="H97">
        <v>0</v>
      </c>
      <c r="I97">
        <v>2019</v>
      </c>
    </row>
    <row r="98" spans="1:9" ht="15.75">
      <c r="A98" s="24" t="s">
        <v>85</v>
      </c>
      <c r="B98" s="24" t="s">
        <v>86</v>
      </c>
      <c r="C98" s="16" t="s">
        <v>30</v>
      </c>
      <c r="D98" s="17" t="s">
        <v>31</v>
      </c>
      <c r="E98" s="25" t="s">
        <v>32</v>
      </c>
      <c r="F98" s="27" t="str">
        <f>'Source Table'!$B$26</f>
        <v>Hydrated Cyst</v>
      </c>
      <c r="G98" t="str">
        <f>'Source Table'!$D$26</f>
        <v>الاكياس المائية</v>
      </c>
      <c r="H98">
        <v>2</v>
      </c>
      <c r="I98">
        <v>2019</v>
      </c>
    </row>
    <row r="99" spans="1:9" ht="15.75">
      <c r="A99" s="24" t="s">
        <v>85</v>
      </c>
      <c r="B99" s="24" t="s">
        <v>86</v>
      </c>
      <c r="C99" s="16" t="s">
        <v>30</v>
      </c>
      <c r="D99" s="17" t="s">
        <v>31</v>
      </c>
      <c r="E99" s="25" t="s">
        <v>32</v>
      </c>
      <c r="F99" s="27" t="str">
        <f>'Source Table'!$B$8</f>
        <v>Typhoid Fever &amp;para Typhoid</v>
      </c>
      <c r="G99" t="str">
        <f>'Source Table'!$D$8</f>
        <v>تيفوئيد وبارا تيفوئيد</v>
      </c>
      <c r="H99">
        <v>8</v>
      </c>
      <c r="I99">
        <v>2018</v>
      </c>
    </row>
    <row r="100" spans="1:9" ht="15.75">
      <c r="A100" s="24" t="s">
        <v>85</v>
      </c>
      <c r="B100" s="24" t="s">
        <v>86</v>
      </c>
      <c r="C100" s="16" t="s">
        <v>30</v>
      </c>
      <c r="D100" s="17" t="s">
        <v>31</v>
      </c>
      <c r="E100" s="25" t="s">
        <v>32</v>
      </c>
      <c r="F100" s="27" t="str">
        <f>'Source Table'!$B$9</f>
        <v>Dysentery</v>
      </c>
      <c r="G100" t="str">
        <f>'Source Table'!$D$9</f>
        <v>ديزينتري</v>
      </c>
      <c r="H100">
        <v>82</v>
      </c>
      <c r="I100">
        <v>2018</v>
      </c>
    </row>
    <row r="101" spans="1:9" ht="15.75">
      <c r="A101" s="24" t="s">
        <v>85</v>
      </c>
      <c r="B101" s="24" t="s">
        <v>86</v>
      </c>
      <c r="C101" s="16" t="s">
        <v>30</v>
      </c>
      <c r="D101" s="17" t="s">
        <v>31</v>
      </c>
      <c r="E101" s="25" t="s">
        <v>32</v>
      </c>
      <c r="F101" s="27" t="str">
        <f>'Source Table'!$B$10</f>
        <v>Hepatitis  B</v>
      </c>
      <c r="G101" t="str">
        <f>'Source Table'!$D$10</f>
        <v>التهاب الكبد المصلي ب</v>
      </c>
      <c r="H101">
        <v>1</v>
      </c>
      <c r="I101">
        <v>2018</v>
      </c>
    </row>
    <row r="102" spans="1:9" ht="15.75">
      <c r="A102" s="24" t="s">
        <v>85</v>
      </c>
      <c r="B102" s="24" t="s">
        <v>86</v>
      </c>
      <c r="C102" s="16" t="s">
        <v>30</v>
      </c>
      <c r="D102" s="17" t="s">
        <v>31</v>
      </c>
      <c r="E102" s="25" t="s">
        <v>32</v>
      </c>
      <c r="F102" s="27" t="str">
        <f>'Source Table'!$B$11</f>
        <v>Hepatitis  A</v>
      </c>
      <c r="G102" t="str">
        <f>'Source Table'!$D$11</f>
        <v>التهاب الكبد الوبائي ا</v>
      </c>
      <c r="H102">
        <v>621</v>
      </c>
      <c r="I102">
        <v>2018</v>
      </c>
    </row>
    <row r="103" spans="1:9" ht="15.75">
      <c r="A103" s="24" t="s">
        <v>85</v>
      </c>
      <c r="B103" s="24" t="s">
        <v>86</v>
      </c>
      <c r="C103" s="16" t="s">
        <v>30</v>
      </c>
      <c r="D103" s="17" t="s">
        <v>31</v>
      </c>
      <c r="E103" s="25" t="s">
        <v>32</v>
      </c>
      <c r="F103" s="27" t="str">
        <f>'Source Table'!$B$12</f>
        <v>Measles</v>
      </c>
      <c r="G103" t="str">
        <f>'Source Table'!$D$12</f>
        <v>حصبة</v>
      </c>
      <c r="H103">
        <v>105</v>
      </c>
      <c r="I103">
        <v>2018</v>
      </c>
    </row>
    <row r="104" spans="1:9" ht="15.75">
      <c r="A104" s="24" t="s">
        <v>85</v>
      </c>
      <c r="B104" s="24" t="s">
        <v>86</v>
      </c>
      <c r="C104" s="16" t="s">
        <v>30</v>
      </c>
      <c r="D104" s="17" t="s">
        <v>31</v>
      </c>
      <c r="E104" s="25" t="s">
        <v>32</v>
      </c>
      <c r="F104" s="27" t="str">
        <f>'Source Table'!$B$13</f>
        <v>Chicken pox</v>
      </c>
      <c r="G104" t="str">
        <f>'Source Table'!$D$13</f>
        <v>جدري مائي</v>
      </c>
      <c r="H104">
        <v>6211</v>
      </c>
      <c r="I104">
        <v>2018</v>
      </c>
    </row>
    <row r="105" spans="1:9" ht="15.75">
      <c r="A105" s="24" t="s">
        <v>85</v>
      </c>
      <c r="B105" s="24" t="s">
        <v>86</v>
      </c>
      <c r="C105" s="16" t="s">
        <v>30</v>
      </c>
      <c r="D105" s="17" t="s">
        <v>31</v>
      </c>
      <c r="E105" s="25" t="s">
        <v>32</v>
      </c>
      <c r="F105" s="27" t="str">
        <f>'Source Table'!$B$14</f>
        <v>Mumps</v>
      </c>
      <c r="G105" t="str">
        <f>'Source Table'!$D$14</f>
        <v>نكاف ( ابو كعب )</v>
      </c>
      <c r="H105">
        <v>85</v>
      </c>
      <c r="I105">
        <v>2018</v>
      </c>
    </row>
    <row r="106" spans="1:9" ht="15.75">
      <c r="A106" s="24" t="s">
        <v>85</v>
      </c>
      <c r="B106" s="24" t="s">
        <v>86</v>
      </c>
      <c r="C106" s="16" t="s">
        <v>30</v>
      </c>
      <c r="D106" s="17" t="s">
        <v>31</v>
      </c>
      <c r="E106" s="25" t="s">
        <v>32</v>
      </c>
      <c r="F106" s="27" t="str">
        <f>'Source Table'!$B$15</f>
        <v>Whooping Cough</v>
      </c>
      <c r="G106" t="str">
        <f>'Source Table'!$D$15</f>
        <v>سعال ديكي</v>
      </c>
      <c r="H106">
        <v>4</v>
      </c>
      <c r="I106">
        <v>2018</v>
      </c>
    </row>
    <row r="107" spans="1:9" ht="15.75">
      <c r="A107" s="24" t="s">
        <v>85</v>
      </c>
      <c r="B107" s="24" t="s">
        <v>86</v>
      </c>
      <c r="C107" s="16" t="s">
        <v>30</v>
      </c>
      <c r="D107" s="17" t="s">
        <v>31</v>
      </c>
      <c r="E107" s="25" t="s">
        <v>32</v>
      </c>
      <c r="F107" s="27" t="str">
        <f>'Source Table'!$B$16</f>
        <v>M. Meningitis</v>
      </c>
      <c r="G107" t="str">
        <f>'Source Table'!$D$16</f>
        <v>التهاب السحايا الوبائي</v>
      </c>
      <c r="H107">
        <v>13</v>
      </c>
      <c r="I107">
        <v>2018</v>
      </c>
    </row>
    <row r="108" spans="1:9" ht="15.75">
      <c r="A108" s="24" t="s">
        <v>85</v>
      </c>
      <c r="B108" s="24" t="s">
        <v>86</v>
      </c>
      <c r="C108" s="16" t="s">
        <v>30</v>
      </c>
      <c r="D108" s="17" t="s">
        <v>31</v>
      </c>
      <c r="E108" s="25" t="s">
        <v>32</v>
      </c>
      <c r="F108" s="27" t="str">
        <f>'Source Table'!$B$17</f>
        <v>Non M. Meningitis</v>
      </c>
      <c r="G108" t="str">
        <f>'Source Table'!$D$17</f>
        <v>التهاب السحايا غير الوبائي</v>
      </c>
      <c r="H108">
        <v>828</v>
      </c>
      <c r="I108">
        <v>2018</v>
      </c>
    </row>
    <row r="109" spans="1:9" ht="15.75">
      <c r="A109" s="24" t="s">
        <v>85</v>
      </c>
      <c r="B109" s="24" t="s">
        <v>86</v>
      </c>
      <c r="C109" s="16" t="s">
        <v>30</v>
      </c>
      <c r="D109" s="17" t="s">
        <v>31</v>
      </c>
      <c r="E109" s="25" t="s">
        <v>32</v>
      </c>
      <c r="F109" s="27" t="str">
        <f>'Source Table'!$B$18</f>
        <v>Scarlet Fever</v>
      </c>
      <c r="G109" t="str">
        <f>'Source Table'!$D$18</f>
        <v>حمى قرمزية</v>
      </c>
      <c r="H109">
        <v>2</v>
      </c>
      <c r="I109">
        <v>2018</v>
      </c>
    </row>
    <row r="110" spans="1:9" ht="15.75">
      <c r="A110" s="24" t="s">
        <v>85</v>
      </c>
      <c r="B110" s="24" t="s">
        <v>86</v>
      </c>
      <c r="C110" s="16" t="s">
        <v>30</v>
      </c>
      <c r="D110" s="17" t="s">
        <v>31</v>
      </c>
      <c r="E110" s="25" t="s">
        <v>32</v>
      </c>
      <c r="F110" s="27" t="str">
        <f>'Source Table'!$B$19</f>
        <v>Brucellosiss</v>
      </c>
      <c r="G110" t="str">
        <f>'Source Table'!$D$19</f>
        <v>حمى مالطية</v>
      </c>
      <c r="H110">
        <v>455</v>
      </c>
      <c r="I110">
        <v>2018</v>
      </c>
    </row>
    <row r="111" spans="1:9" ht="15.75">
      <c r="A111" s="24" t="s">
        <v>85</v>
      </c>
      <c r="B111" s="24" t="s">
        <v>86</v>
      </c>
      <c r="C111" s="16" t="s">
        <v>30</v>
      </c>
      <c r="D111" s="17" t="s">
        <v>31</v>
      </c>
      <c r="E111" s="25" t="s">
        <v>32</v>
      </c>
      <c r="F111" s="27" t="str">
        <f>'Source Table'!$B$20</f>
        <v>German Measles</v>
      </c>
      <c r="G111" t="str">
        <f>'Source Table'!$D$20</f>
        <v>حصبة المانية مشتبهة</v>
      </c>
      <c r="H111">
        <v>31</v>
      </c>
      <c r="I111">
        <v>2018</v>
      </c>
    </row>
    <row r="112" spans="1:9" ht="15.75">
      <c r="A112" s="24" t="s">
        <v>85</v>
      </c>
      <c r="B112" s="24" t="s">
        <v>86</v>
      </c>
      <c r="C112" s="16" t="s">
        <v>30</v>
      </c>
      <c r="D112" s="17" t="s">
        <v>31</v>
      </c>
      <c r="E112" s="25" t="s">
        <v>32</v>
      </c>
      <c r="F112" s="27" t="str">
        <f>'Source Table'!$B$21</f>
        <v>adult tetanus</v>
      </c>
      <c r="G112" t="str">
        <f>'Source Table'!$D$21</f>
        <v>كزاز كبار</v>
      </c>
      <c r="H112">
        <v>0</v>
      </c>
      <c r="I112">
        <v>2018</v>
      </c>
    </row>
    <row r="113" spans="1:9" ht="15.75">
      <c r="A113" s="24" t="s">
        <v>85</v>
      </c>
      <c r="B113" s="24" t="s">
        <v>86</v>
      </c>
      <c r="C113" s="16" t="s">
        <v>30</v>
      </c>
      <c r="D113" s="17" t="s">
        <v>31</v>
      </c>
      <c r="E113" s="25" t="s">
        <v>32</v>
      </c>
      <c r="F113" s="27" t="str">
        <f>'Source Table'!$B$22</f>
        <v>Ringworm</v>
      </c>
      <c r="G113" t="str">
        <f>'Source Table'!$D$22</f>
        <v>قرع</v>
      </c>
      <c r="H113">
        <v>0</v>
      </c>
      <c r="I113">
        <v>2018</v>
      </c>
    </row>
    <row r="114" spans="1:9" ht="15.75">
      <c r="A114" s="24" t="s">
        <v>85</v>
      </c>
      <c r="B114" s="24" t="s">
        <v>86</v>
      </c>
      <c r="C114" s="16" t="s">
        <v>30</v>
      </c>
      <c r="D114" s="17" t="s">
        <v>31</v>
      </c>
      <c r="E114" s="25" t="s">
        <v>32</v>
      </c>
      <c r="F114" s="27" t="str">
        <f>'Source Table'!$B$23</f>
        <v>Leshmania</v>
      </c>
      <c r="G114" t="str">
        <f>'Source Table'!$D$23</f>
        <v>لشمانيا جلدية</v>
      </c>
      <c r="H114">
        <v>152</v>
      </c>
      <c r="I114">
        <v>2018</v>
      </c>
    </row>
    <row r="115" spans="1:9" ht="15.75">
      <c r="A115" s="24" t="s">
        <v>85</v>
      </c>
      <c r="B115" s="24" t="s">
        <v>86</v>
      </c>
      <c r="C115" s="16" t="s">
        <v>30</v>
      </c>
      <c r="D115" s="17" t="s">
        <v>31</v>
      </c>
      <c r="E115" s="25" t="s">
        <v>32</v>
      </c>
      <c r="F115" s="27" t="str">
        <f>'Source Table'!$B$24</f>
        <v>Scabies</v>
      </c>
      <c r="G115" t="str">
        <f>'Source Table'!$D$24</f>
        <v>جرب</v>
      </c>
      <c r="H115">
        <v>364</v>
      </c>
      <c r="I115">
        <v>2018</v>
      </c>
    </row>
    <row r="116" spans="1:9" ht="15.75">
      <c r="A116" s="24" t="s">
        <v>85</v>
      </c>
      <c r="B116" s="24" t="s">
        <v>86</v>
      </c>
      <c r="C116" s="16" t="s">
        <v>30</v>
      </c>
      <c r="D116" s="17" t="s">
        <v>31</v>
      </c>
      <c r="E116" s="25" t="s">
        <v>32</v>
      </c>
      <c r="F116" s="27" t="str">
        <f>'Source Table'!$B$25</f>
        <v>Venereology</v>
      </c>
      <c r="G116" t="str">
        <f>'Source Table'!$D$25</f>
        <v>الامراض التناسلية</v>
      </c>
      <c r="H116">
        <v>0</v>
      </c>
      <c r="I116">
        <v>2018</v>
      </c>
    </row>
    <row r="117" spans="1:9" ht="15.75">
      <c r="A117" s="24" t="s">
        <v>85</v>
      </c>
      <c r="B117" s="24" t="s">
        <v>86</v>
      </c>
      <c r="C117" s="16" t="s">
        <v>30</v>
      </c>
      <c r="D117" s="17" t="s">
        <v>31</v>
      </c>
      <c r="E117" s="25" t="s">
        <v>32</v>
      </c>
      <c r="F117" s="27" t="str">
        <f>'Source Table'!$B$26</f>
        <v>Hydrated Cyst</v>
      </c>
      <c r="G117" t="str">
        <f>'Source Table'!$D$26</f>
        <v>الاكياس المائية</v>
      </c>
      <c r="H117">
        <v>0</v>
      </c>
      <c r="I117">
        <v>2018</v>
      </c>
    </row>
    <row r="118" spans="1:9" ht="15.75">
      <c r="A118" s="24" t="s">
        <v>85</v>
      </c>
      <c r="B118" s="24" t="s">
        <v>86</v>
      </c>
      <c r="C118" s="16" t="s">
        <v>30</v>
      </c>
      <c r="D118" s="17" t="s">
        <v>31</v>
      </c>
      <c r="E118" s="25" t="s">
        <v>32</v>
      </c>
      <c r="F118" s="27" t="str">
        <f>'Source Table'!$B$8</f>
        <v>Typhoid Fever &amp;para Typhoid</v>
      </c>
      <c r="G118" t="str">
        <f>'Source Table'!$D$8</f>
        <v>تيفوئيد وبارا تيفوئيد</v>
      </c>
      <c r="H118">
        <v>29</v>
      </c>
      <c r="I118">
        <v>2017</v>
      </c>
    </row>
    <row r="119" spans="1:9" ht="15.75">
      <c r="A119" s="24" t="s">
        <v>85</v>
      </c>
      <c r="B119" s="24" t="s">
        <v>86</v>
      </c>
      <c r="C119" s="16" t="s">
        <v>30</v>
      </c>
      <c r="D119" s="17" t="s">
        <v>31</v>
      </c>
      <c r="E119" s="25" t="s">
        <v>32</v>
      </c>
      <c r="F119" s="27" t="str">
        <f>'Source Table'!$B$9</f>
        <v>Dysentery</v>
      </c>
      <c r="G119" t="str">
        <f>'Source Table'!$D$9</f>
        <v>ديزينتري</v>
      </c>
      <c r="H119">
        <v>102</v>
      </c>
      <c r="I119">
        <v>2017</v>
      </c>
    </row>
    <row r="120" spans="1:9" ht="15.75">
      <c r="A120" s="24" t="s">
        <v>85</v>
      </c>
      <c r="B120" s="24" t="s">
        <v>86</v>
      </c>
      <c r="C120" s="16" t="s">
        <v>30</v>
      </c>
      <c r="D120" s="17" t="s">
        <v>31</v>
      </c>
      <c r="E120" s="25" t="s">
        <v>32</v>
      </c>
      <c r="F120" s="27" t="str">
        <f>'Source Table'!$B$10</f>
        <v>Hepatitis  B</v>
      </c>
      <c r="G120" t="str">
        <f>'Source Table'!$D$10</f>
        <v>التهاب الكبد المصلي ب</v>
      </c>
      <c r="H120">
        <v>0</v>
      </c>
      <c r="I120">
        <v>2017</v>
      </c>
    </row>
    <row r="121" spans="1:9" ht="15.75">
      <c r="A121" s="24" t="s">
        <v>85</v>
      </c>
      <c r="B121" s="24" t="s">
        <v>86</v>
      </c>
      <c r="C121" s="16" t="s">
        <v>30</v>
      </c>
      <c r="D121" s="17" t="s">
        <v>31</v>
      </c>
      <c r="E121" s="25" t="s">
        <v>32</v>
      </c>
      <c r="F121" s="27" t="str">
        <f>'Source Table'!$B$11</f>
        <v>Hepatitis  A</v>
      </c>
      <c r="G121" t="str">
        <f>'Source Table'!$D$11</f>
        <v>التهاب الكبد الوبائي ا</v>
      </c>
      <c r="H121">
        <v>266</v>
      </c>
      <c r="I121">
        <v>2017</v>
      </c>
    </row>
    <row r="122" spans="1:9" ht="15.75">
      <c r="A122" s="24" t="s">
        <v>85</v>
      </c>
      <c r="B122" s="24" t="s">
        <v>86</v>
      </c>
      <c r="C122" s="16" t="s">
        <v>30</v>
      </c>
      <c r="D122" s="17" t="s">
        <v>31</v>
      </c>
      <c r="E122" s="25" t="s">
        <v>32</v>
      </c>
      <c r="F122" s="27" t="str">
        <f>'Source Table'!$B$12</f>
        <v>Measles</v>
      </c>
      <c r="G122" t="str">
        <f>'Source Table'!$D$12</f>
        <v>حصبة</v>
      </c>
      <c r="H122">
        <v>41</v>
      </c>
      <c r="I122">
        <v>2017</v>
      </c>
    </row>
    <row r="123" spans="1:9" ht="15.75">
      <c r="A123" s="24" t="s">
        <v>85</v>
      </c>
      <c r="B123" s="24" t="s">
        <v>86</v>
      </c>
      <c r="C123" s="16" t="s">
        <v>30</v>
      </c>
      <c r="D123" s="17" t="s">
        <v>31</v>
      </c>
      <c r="E123" s="25" t="s">
        <v>32</v>
      </c>
      <c r="F123" s="27" t="str">
        <f>'Source Table'!$B$13</f>
        <v>Chicken pox</v>
      </c>
      <c r="G123" t="str">
        <f>'Source Table'!$D$13</f>
        <v>جدري مائي</v>
      </c>
      <c r="H123">
        <v>6880</v>
      </c>
      <c r="I123">
        <v>2017</v>
      </c>
    </row>
    <row r="124" spans="1:9" ht="15.75">
      <c r="A124" s="24" t="s">
        <v>85</v>
      </c>
      <c r="B124" s="24" t="s">
        <v>86</v>
      </c>
      <c r="C124" s="16" t="s">
        <v>30</v>
      </c>
      <c r="D124" s="17" t="s">
        <v>31</v>
      </c>
      <c r="E124" s="25" t="s">
        <v>32</v>
      </c>
      <c r="F124" s="27" t="str">
        <f>'Source Table'!$B$14</f>
        <v>Mumps</v>
      </c>
      <c r="G124" t="str">
        <f>'Source Table'!$D$14</f>
        <v>نكاف ( ابو كعب )</v>
      </c>
      <c r="H124">
        <v>70</v>
      </c>
      <c r="I124">
        <v>2017</v>
      </c>
    </row>
    <row r="125" spans="1:9" ht="15.75">
      <c r="A125" s="24" t="s">
        <v>85</v>
      </c>
      <c r="B125" s="24" t="s">
        <v>86</v>
      </c>
      <c r="C125" s="16" t="s">
        <v>30</v>
      </c>
      <c r="D125" s="17" t="s">
        <v>31</v>
      </c>
      <c r="E125" s="25" t="s">
        <v>32</v>
      </c>
      <c r="F125" s="27" t="str">
        <f>'Source Table'!$B$15</f>
        <v>Whooping Cough</v>
      </c>
      <c r="G125" t="str">
        <f>'Source Table'!$D$15</f>
        <v>سعال ديكي</v>
      </c>
      <c r="H125">
        <v>5</v>
      </c>
      <c r="I125">
        <v>2017</v>
      </c>
    </row>
    <row r="126" spans="1:9" ht="15.75">
      <c r="A126" s="24" t="s">
        <v>85</v>
      </c>
      <c r="B126" s="24" t="s">
        <v>86</v>
      </c>
      <c r="C126" s="16" t="s">
        <v>30</v>
      </c>
      <c r="D126" s="17" t="s">
        <v>31</v>
      </c>
      <c r="E126" s="25" t="s">
        <v>32</v>
      </c>
      <c r="F126" s="27" t="str">
        <f>'Source Table'!$B$16</f>
        <v>M. Meningitis</v>
      </c>
      <c r="G126" t="str">
        <f>'Source Table'!$D$16</f>
        <v>التهاب السحايا الوبائي</v>
      </c>
      <c r="H126">
        <v>9</v>
      </c>
      <c r="I126">
        <v>2017</v>
      </c>
    </row>
    <row r="127" spans="1:9" ht="15.75">
      <c r="A127" s="24" t="s">
        <v>85</v>
      </c>
      <c r="B127" s="24" t="s">
        <v>86</v>
      </c>
      <c r="C127" s="16" t="s">
        <v>30</v>
      </c>
      <c r="D127" s="17" t="s">
        <v>31</v>
      </c>
      <c r="E127" s="25" t="s">
        <v>32</v>
      </c>
      <c r="F127" s="27" t="str">
        <f>'Source Table'!$B$17</f>
        <v>Non M. Meningitis</v>
      </c>
      <c r="G127" t="str">
        <f>'Source Table'!$D$17</f>
        <v>التهاب السحايا غير الوبائي</v>
      </c>
      <c r="H127">
        <v>644</v>
      </c>
      <c r="I127">
        <v>2017</v>
      </c>
    </row>
    <row r="128" spans="1:9" ht="15.75">
      <c r="A128" s="24" t="s">
        <v>85</v>
      </c>
      <c r="B128" s="24" t="s">
        <v>86</v>
      </c>
      <c r="C128" s="16" t="s">
        <v>30</v>
      </c>
      <c r="D128" s="17" t="s">
        <v>31</v>
      </c>
      <c r="E128" s="25" t="s">
        <v>32</v>
      </c>
      <c r="F128" s="27" t="str">
        <f>'Source Table'!$B$18</f>
        <v>Scarlet Fever</v>
      </c>
      <c r="G128" t="str">
        <f>'Source Table'!$D$18</f>
        <v>حمى قرمزية</v>
      </c>
      <c r="H128">
        <v>0</v>
      </c>
      <c r="I128">
        <v>2017</v>
      </c>
    </row>
    <row r="129" spans="1:9" ht="15.75">
      <c r="A129" s="24" t="s">
        <v>85</v>
      </c>
      <c r="B129" s="24" t="s">
        <v>86</v>
      </c>
      <c r="C129" s="16" t="s">
        <v>30</v>
      </c>
      <c r="D129" s="17" t="s">
        <v>31</v>
      </c>
      <c r="E129" s="25" t="s">
        <v>32</v>
      </c>
      <c r="F129" s="27" t="str">
        <f>'Source Table'!$B$19</f>
        <v>Brucellosiss</v>
      </c>
      <c r="G129" t="str">
        <f>'Source Table'!$D$19</f>
        <v>حمى مالطية</v>
      </c>
      <c r="H129">
        <v>467</v>
      </c>
      <c r="I129">
        <v>2017</v>
      </c>
    </row>
    <row r="130" spans="1:9" ht="15.75">
      <c r="A130" s="24" t="s">
        <v>85</v>
      </c>
      <c r="B130" s="24" t="s">
        <v>86</v>
      </c>
      <c r="C130" s="16" t="s">
        <v>30</v>
      </c>
      <c r="D130" s="17" t="s">
        <v>31</v>
      </c>
      <c r="E130" s="25" t="s">
        <v>32</v>
      </c>
      <c r="F130" s="27" t="str">
        <f>'Source Table'!$B$20</f>
        <v>German Measles</v>
      </c>
      <c r="G130" t="str">
        <f>'Source Table'!$D$20</f>
        <v>حصبة المانية مشتبهة</v>
      </c>
      <c r="H130">
        <v>47</v>
      </c>
      <c r="I130">
        <v>2017</v>
      </c>
    </row>
    <row r="131" spans="1:9" ht="15.75">
      <c r="A131" s="24" t="s">
        <v>85</v>
      </c>
      <c r="B131" s="24" t="s">
        <v>86</v>
      </c>
      <c r="C131" s="16" t="s">
        <v>30</v>
      </c>
      <c r="D131" s="17" t="s">
        <v>31</v>
      </c>
      <c r="E131" s="25" t="s">
        <v>32</v>
      </c>
      <c r="F131" s="27" t="str">
        <f>'Source Table'!$B$21</f>
        <v>adult tetanus</v>
      </c>
      <c r="G131" t="str">
        <f>'Source Table'!$D$21</f>
        <v>كزاز كبار</v>
      </c>
      <c r="I131">
        <v>2017</v>
      </c>
    </row>
    <row r="132" spans="1:9" ht="15.75">
      <c r="A132" s="24" t="s">
        <v>85</v>
      </c>
      <c r="B132" s="24" t="s">
        <v>86</v>
      </c>
      <c r="C132" s="16" t="s">
        <v>30</v>
      </c>
      <c r="D132" s="17" t="s">
        <v>31</v>
      </c>
      <c r="E132" s="25" t="s">
        <v>32</v>
      </c>
      <c r="F132" s="27" t="str">
        <f>'Source Table'!$B$22</f>
        <v>Ringworm</v>
      </c>
      <c r="G132" t="str">
        <f>'Source Table'!$D$22</f>
        <v>قرع</v>
      </c>
      <c r="H132">
        <v>0</v>
      </c>
      <c r="I132">
        <v>2017</v>
      </c>
    </row>
    <row r="133" spans="1:9" ht="15.75">
      <c r="A133" s="24" t="s">
        <v>85</v>
      </c>
      <c r="B133" s="24" t="s">
        <v>86</v>
      </c>
      <c r="C133" s="16" t="s">
        <v>30</v>
      </c>
      <c r="D133" s="17" t="s">
        <v>31</v>
      </c>
      <c r="E133" s="25" t="s">
        <v>32</v>
      </c>
      <c r="F133" s="27" t="str">
        <f>'Source Table'!$B$23</f>
        <v>Leshmania</v>
      </c>
      <c r="G133" t="str">
        <f>'Source Table'!$D$23</f>
        <v>لشمانيا جلدية</v>
      </c>
      <c r="H133">
        <v>354</v>
      </c>
      <c r="I133">
        <v>2017</v>
      </c>
    </row>
    <row r="134" spans="1:9" ht="15.75">
      <c r="A134" s="24" t="s">
        <v>85</v>
      </c>
      <c r="B134" s="24" t="s">
        <v>86</v>
      </c>
      <c r="C134" s="16" t="s">
        <v>30</v>
      </c>
      <c r="D134" s="17" t="s">
        <v>31</v>
      </c>
      <c r="E134" s="25" t="s">
        <v>32</v>
      </c>
      <c r="F134" s="27" t="str">
        <f>'Source Table'!$B$24</f>
        <v>Scabies</v>
      </c>
      <c r="G134" t="str">
        <f>'Source Table'!$D$24</f>
        <v>جرب</v>
      </c>
      <c r="H134">
        <v>933</v>
      </c>
      <c r="I134">
        <v>2017</v>
      </c>
    </row>
    <row r="135" spans="1:9" ht="15.75">
      <c r="A135" s="24" t="s">
        <v>85</v>
      </c>
      <c r="B135" s="24" t="s">
        <v>86</v>
      </c>
      <c r="C135" s="16" t="s">
        <v>30</v>
      </c>
      <c r="D135" s="17" t="s">
        <v>31</v>
      </c>
      <c r="E135" s="25" t="s">
        <v>32</v>
      </c>
      <c r="F135" s="27" t="str">
        <f>'Source Table'!$B$25</f>
        <v>Venereology</v>
      </c>
      <c r="G135" t="str">
        <f>'Source Table'!$D$25</f>
        <v>الامراض التناسلية</v>
      </c>
      <c r="H135">
        <v>0</v>
      </c>
      <c r="I135">
        <v>2017</v>
      </c>
    </row>
    <row r="136" spans="1:9" ht="15.75">
      <c r="A136" s="24" t="s">
        <v>85</v>
      </c>
      <c r="B136" s="24" t="s">
        <v>86</v>
      </c>
      <c r="C136" s="16" t="s">
        <v>30</v>
      </c>
      <c r="D136" s="17" t="s">
        <v>31</v>
      </c>
      <c r="E136" s="25" t="s">
        <v>32</v>
      </c>
      <c r="F136" s="27" t="str">
        <f>'Source Table'!$B$26</f>
        <v>Hydrated Cyst</v>
      </c>
      <c r="G136" t="str">
        <f>'Source Table'!$D$26</f>
        <v>الاكياس المائية</v>
      </c>
      <c r="H136">
        <v>0</v>
      </c>
      <c r="I136">
        <v>2017</v>
      </c>
    </row>
    <row r="137" spans="1:9" ht="15.75">
      <c r="A137" s="24" t="s">
        <v>85</v>
      </c>
      <c r="B137" s="24" t="s">
        <v>86</v>
      </c>
      <c r="C137" s="16" t="s">
        <v>30</v>
      </c>
      <c r="D137" s="17" t="s">
        <v>31</v>
      </c>
      <c r="E137" s="25" t="s">
        <v>32</v>
      </c>
      <c r="F137" s="27" t="str">
        <f>'Source Table'!$B$8</f>
        <v>Typhoid Fever &amp;para Typhoid</v>
      </c>
      <c r="G137" t="str">
        <f>'Source Table'!$D$8</f>
        <v>تيفوئيد وبارا تيفوئيد</v>
      </c>
      <c r="H137">
        <v>7</v>
      </c>
      <c r="I137">
        <v>2016</v>
      </c>
    </row>
    <row r="138" spans="1:9" ht="15.75">
      <c r="A138" s="24" t="s">
        <v>85</v>
      </c>
      <c r="B138" s="24" t="s">
        <v>86</v>
      </c>
      <c r="C138" s="16" t="s">
        <v>30</v>
      </c>
      <c r="D138" s="17" t="s">
        <v>31</v>
      </c>
      <c r="E138" s="25" t="s">
        <v>32</v>
      </c>
      <c r="F138" s="27" t="str">
        <f>'Source Table'!$B$9</f>
        <v>Dysentery</v>
      </c>
      <c r="G138" t="str">
        <f>'Source Table'!$D$9</f>
        <v>ديزينتري</v>
      </c>
      <c r="H138">
        <v>142</v>
      </c>
      <c r="I138">
        <v>2016</v>
      </c>
    </row>
    <row r="139" spans="1:9" ht="15.75">
      <c r="A139" s="24" t="s">
        <v>85</v>
      </c>
      <c r="B139" s="24" t="s">
        <v>86</v>
      </c>
      <c r="C139" s="16" t="s">
        <v>30</v>
      </c>
      <c r="D139" s="17" t="s">
        <v>31</v>
      </c>
      <c r="E139" s="25" t="s">
        <v>32</v>
      </c>
      <c r="F139" s="27" t="str">
        <f>'Source Table'!$B$10</f>
        <v>Hepatitis  B</v>
      </c>
      <c r="G139" t="str">
        <f>'Source Table'!$D$10</f>
        <v>التهاب الكبد المصلي ب</v>
      </c>
      <c r="H139">
        <v>0</v>
      </c>
      <c r="I139">
        <v>2016</v>
      </c>
    </row>
    <row r="140" spans="1:9" ht="15.75">
      <c r="A140" s="24" t="s">
        <v>85</v>
      </c>
      <c r="B140" s="24" t="s">
        <v>86</v>
      </c>
      <c r="C140" s="16" t="s">
        <v>30</v>
      </c>
      <c r="D140" s="17" t="s">
        <v>31</v>
      </c>
      <c r="E140" s="25" t="s">
        <v>32</v>
      </c>
      <c r="F140" s="27" t="str">
        <f>'Source Table'!$B$11</f>
        <v>Hepatitis  A</v>
      </c>
      <c r="G140" t="str">
        <f>'Source Table'!$D$11</f>
        <v>التهاب الكبد الوبائي ا</v>
      </c>
      <c r="H140">
        <v>251</v>
      </c>
      <c r="I140">
        <v>2016</v>
      </c>
    </row>
    <row r="141" spans="1:9" ht="15.75">
      <c r="A141" s="24" t="s">
        <v>85</v>
      </c>
      <c r="B141" s="24" t="s">
        <v>86</v>
      </c>
      <c r="C141" s="16" t="s">
        <v>30</v>
      </c>
      <c r="D141" s="17" t="s">
        <v>31</v>
      </c>
      <c r="E141" s="25" t="s">
        <v>32</v>
      </c>
      <c r="F141" s="27" t="str">
        <f>'Source Table'!$B$12</f>
        <v>Measles</v>
      </c>
      <c r="G141" t="str">
        <f>'Source Table'!$D$12</f>
        <v>حصبة</v>
      </c>
      <c r="H141">
        <v>35</v>
      </c>
      <c r="I141">
        <v>2016</v>
      </c>
    </row>
    <row r="142" spans="1:9" ht="15.75">
      <c r="A142" s="24" t="s">
        <v>85</v>
      </c>
      <c r="B142" s="24" t="s">
        <v>86</v>
      </c>
      <c r="C142" s="16" t="s">
        <v>30</v>
      </c>
      <c r="D142" s="17" t="s">
        <v>31</v>
      </c>
      <c r="E142" s="25" t="s">
        <v>32</v>
      </c>
      <c r="F142" s="27" t="str">
        <f>'Source Table'!$B$13</f>
        <v>Chicken pox</v>
      </c>
      <c r="G142" t="str">
        <f>'Source Table'!$D$13</f>
        <v>جدري مائي</v>
      </c>
      <c r="H142">
        <v>4071</v>
      </c>
      <c r="I142">
        <v>2016</v>
      </c>
    </row>
    <row r="143" spans="1:9" ht="15.75">
      <c r="A143" s="24" t="s">
        <v>85</v>
      </c>
      <c r="B143" s="24" t="s">
        <v>86</v>
      </c>
      <c r="C143" s="16" t="s">
        <v>30</v>
      </c>
      <c r="D143" s="17" t="s">
        <v>31</v>
      </c>
      <c r="E143" s="25" t="s">
        <v>32</v>
      </c>
      <c r="F143" s="27" t="str">
        <f>'Source Table'!$B$14</f>
        <v>Mumps</v>
      </c>
      <c r="G143" t="str">
        <f>'Source Table'!$D$14</f>
        <v>نكاف ( ابو كعب )</v>
      </c>
      <c r="H143">
        <v>168</v>
      </c>
      <c r="I143">
        <v>2016</v>
      </c>
    </row>
    <row r="144" spans="1:9" ht="15.75">
      <c r="A144" s="24" t="s">
        <v>85</v>
      </c>
      <c r="B144" s="24" t="s">
        <v>86</v>
      </c>
      <c r="C144" s="16" t="s">
        <v>30</v>
      </c>
      <c r="D144" s="17" t="s">
        <v>31</v>
      </c>
      <c r="E144" s="25" t="s">
        <v>32</v>
      </c>
      <c r="F144" s="27" t="str">
        <f>'Source Table'!$B$15</f>
        <v>Whooping Cough</v>
      </c>
      <c r="G144" t="str">
        <f>'Source Table'!$D$15</f>
        <v>سعال ديكي</v>
      </c>
      <c r="H144">
        <v>8</v>
      </c>
      <c r="I144">
        <v>2016</v>
      </c>
    </row>
    <row r="145" spans="1:9" ht="15.75">
      <c r="A145" s="24" t="s">
        <v>85</v>
      </c>
      <c r="B145" s="24" t="s">
        <v>86</v>
      </c>
      <c r="C145" s="16" t="s">
        <v>30</v>
      </c>
      <c r="D145" s="17" t="s">
        <v>31</v>
      </c>
      <c r="E145" s="25" t="s">
        <v>32</v>
      </c>
      <c r="F145" s="27" t="str">
        <f>'Source Table'!$B$16</f>
        <v>M. Meningitis</v>
      </c>
      <c r="G145" t="str">
        <f>'Source Table'!$D$16</f>
        <v>التهاب السحايا الوبائي</v>
      </c>
      <c r="H145">
        <v>4</v>
      </c>
      <c r="I145">
        <v>2016</v>
      </c>
    </row>
    <row r="146" spans="1:9" ht="15.75">
      <c r="A146" s="24" t="s">
        <v>85</v>
      </c>
      <c r="B146" s="24" t="s">
        <v>86</v>
      </c>
      <c r="C146" s="16" t="s">
        <v>30</v>
      </c>
      <c r="D146" s="17" t="s">
        <v>31</v>
      </c>
      <c r="E146" s="25" t="s">
        <v>32</v>
      </c>
      <c r="F146" s="27" t="str">
        <f>'Source Table'!$B$17</f>
        <v>Non M. Meningitis</v>
      </c>
      <c r="G146" t="str">
        <f>'Source Table'!$D$17</f>
        <v>التهاب السحايا غير الوبائي</v>
      </c>
      <c r="H146">
        <v>358</v>
      </c>
      <c r="I146">
        <v>2016</v>
      </c>
    </row>
    <row r="147" spans="1:9" ht="15.75">
      <c r="A147" s="24" t="s">
        <v>85</v>
      </c>
      <c r="B147" s="24" t="s">
        <v>86</v>
      </c>
      <c r="C147" s="16" t="s">
        <v>30</v>
      </c>
      <c r="D147" s="17" t="s">
        <v>31</v>
      </c>
      <c r="E147" s="25" t="s">
        <v>32</v>
      </c>
      <c r="F147" s="27" t="str">
        <f>'Source Table'!$B$18</f>
        <v>Scarlet Fever</v>
      </c>
      <c r="G147" t="str">
        <f>'Source Table'!$D$18</f>
        <v>حمى قرمزية</v>
      </c>
      <c r="H147">
        <v>0</v>
      </c>
      <c r="I147">
        <v>2016</v>
      </c>
    </row>
    <row r="148" spans="1:9" ht="15.75">
      <c r="A148" s="24" t="s">
        <v>85</v>
      </c>
      <c r="B148" s="24" t="s">
        <v>86</v>
      </c>
      <c r="C148" s="16" t="s">
        <v>30</v>
      </c>
      <c r="D148" s="17" t="s">
        <v>31</v>
      </c>
      <c r="E148" s="25" t="s">
        <v>32</v>
      </c>
      <c r="F148" s="27" t="str">
        <f>'Source Table'!$B$19</f>
        <v>Brucellosiss</v>
      </c>
      <c r="G148" t="str">
        <f>'Source Table'!$D$19</f>
        <v>حمى مالطية</v>
      </c>
      <c r="H148">
        <v>441</v>
      </c>
      <c r="I148">
        <v>2016</v>
      </c>
    </row>
    <row r="149" spans="1:9" ht="15.75">
      <c r="A149" s="24" t="s">
        <v>85</v>
      </c>
      <c r="B149" s="24" t="s">
        <v>86</v>
      </c>
      <c r="C149" s="16" t="s">
        <v>30</v>
      </c>
      <c r="D149" s="17" t="s">
        <v>31</v>
      </c>
      <c r="E149" s="25" t="s">
        <v>32</v>
      </c>
      <c r="F149" s="27" t="str">
        <f>'Source Table'!$B$20</f>
        <v>German Measles</v>
      </c>
      <c r="G149" t="str">
        <f>'Source Table'!$D$20</f>
        <v>حصبة المانية مشتبهة</v>
      </c>
      <c r="H149">
        <v>18</v>
      </c>
      <c r="I149">
        <v>2016</v>
      </c>
    </row>
    <row r="150" spans="1:9" ht="15.75">
      <c r="A150" s="24" t="s">
        <v>85</v>
      </c>
      <c r="B150" s="24" t="s">
        <v>86</v>
      </c>
      <c r="C150" s="16" t="s">
        <v>30</v>
      </c>
      <c r="D150" s="17" t="s">
        <v>31</v>
      </c>
      <c r="E150" s="25" t="s">
        <v>32</v>
      </c>
      <c r="F150" s="27" t="str">
        <f>'Source Table'!$B$21</f>
        <v>adult tetanus</v>
      </c>
      <c r="G150" t="str">
        <f>'Source Table'!$D$21</f>
        <v>كزاز كبار</v>
      </c>
      <c r="I150">
        <v>2016</v>
      </c>
    </row>
    <row r="151" spans="1:9" ht="15.75">
      <c r="A151" s="24" t="s">
        <v>85</v>
      </c>
      <c r="B151" s="24" t="s">
        <v>86</v>
      </c>
      <c r="C151" s="16" t="s">
        <v>30</v>
      </c>
      <c r="D151" s="17" t="s">
        <v>31</v>
      </c>
      <c r="E151" s="25" t="s">
        <v>32</v>
      </c>
      <c r="F151" s="27" t="str">
        <f>'Source Table'!$B$22</f>
        <v>Ringworm</v>
      </c>
      <c r="G151" t="str">
        <f>'Source Table'!$D$22</f>
        <v>قرع</v>
      </c>
      <c r="H151">
        <v>0</v>
      </c>
      <c r="I151">
        <v>2016</v>
      </c>
    </row>
    <row r="152" spans="1:9" ht="15.75">
      <c r="A152" s="24" t="s">
        <v>85</v>
      </c>
      <c r="B152" s="24" t="s">
        <v>86</v>
      </c>
      <c r="C152" s="16" t="s">
        <v>30</v>
      </c>
      <c r="D152" s="17" t="s">
        <v>31</v>
      </c>
      <c r="E152" s="25" t="s">
        <v>32</v>
      </c>
      <c r="F152" s="27" t="str">
        <f>'Source Table'!$B$23</f>
        <v>Leshmania</v>
      </c>
      <c r="G152" t="str">
        <f>'Source Table'!$D$23</f>
        <v>لشمانيا جلدية</v>
      </c>
      <c r="H152">
        <v>281</v>
      </c>
      <c r="I152">
        <v>2016</v>
      </c>
    </row>
    <row r="153" spans="1:9" ht="15.75">
      <c r="A153" s="24" t="s">
        <v>85</v>
      </c>
      <c r="B153" s="24" t="s">
        <v>86</v>
      </c>
      <c r="C153" s="16" t="s">
        <v>30</v>
      </c>
      <c r="D153" s="17" t="s">
        <v>31</v>
      </c>
      <c r="E153" s="25" t="s">
        <v>32</v>
      </c>
      <c r="F153" s="27" t="str">
        <f>'Source Table'!$B$24</f>
        <v>Scabies</v>
      </c>
      <c r="G153" t="str">
        <f>'Source Table'!$D$24</f>
        <v>جرب</v>
      </c>
      <c r="H153">
        <v>224</v>
      </c>
      <c r="I153">
        <v>2016</v>
      </c>
    </row>
    <row r="154" spans="1:9" ht="15.75">
      <c r="A154" s="24" t="s">
        <v>85</v>
      </c>
      <c r="B154" s="24" t="s">
        <v>86</v>
      </c>
      <c r="C154" s="16" t="s">
        <v>30</v>
      </c>
      <c r="D154" s="17" t="s">
        <v>31</v>
      </c>
      <c r="E154" s="25" t="s">
        <v>32</v>
      </c>
      <c r="F154" s="27" t="str">
        <f>'Source Table'!$B$25</f>
        <v>Venereology</v>
      </c>
      <c r="G154" t="str">
        <f>'Source Table'!$D$25</f>
        <v>الامراض التناسلية</v>
      </c>
      <c r="H154">
        <v>0</v>
      </c>
      <c r="I154">
        <v>2016</v>
      </c>
    </row>
    <row r="155" spans="1:9" ht="15.75">
      <c r="A155" s="24" t="s">
        <v>85</v>
      </c>
      <c r="B155" s="24" t="s">
        <v>86</v>
      </c>
      <c r="C155" s="16" t="s">
        <v>30</v>
      </c>
      <c r="D155" s="17" t="s">
        <v>31</v>
      </c>
      <c r="E155" s="25" t="s">
        <v>32</v>
      </c>
      <c r="F155" s="27" t="str">
        <f>'Source Table'!$B$26</f>
        <v>Hydrated Cyst</v>
      </c>
      <c r="G155" t="str">
        <f>'Source Table'!$D$26</f>
        <v>الاكياس المائية</v>
      </c>
      <c r="H155">
        <v>1</v>
      </c>
      <c r="I155">
        <v>2016</v>
      </c>
    </row>
    <row r="156" spans="1:9" ht="15.75">
      <c r="A156" s="24" t="s">
        <v>85</v>
      </c>
      <c r="B156" s="24" t="s">
        <v>86</v>
      </c>
      <c r="C156" s="16" t="s">
        <v>30</v>
      </c>
      <c r="D156" s="17" t="s">
        <v>31</v>
      </c>
      <c r="E156" s="25" t="s">
        <v>32</v>
      </c>
      <c r="F156" s="27" t="str">
        <f>'Source Table'!$B$8</f>
        <v>Typhoid Fever &amp;para Typhoid</v>
      </c>
      <c r="G156" t="str">
        <f>'Source Table'!$D$8</f>
        <v>تيفوئيد وبارا تيفوئيد</v>
      </c>
      <c r="H156">
        <v>10</v>
      </c>
      <c r="I156">
        <v>2015</v>
      </c>
    </row>
    <row r="157" spans="1:9" ht="15.75">
      <c r="A157" s="24" t="s">
        <v>85</v>
      </c>
      <c r="B157" s="24" t="s">
        <v>86</v>
      </c>
      <c r="C157" s="16" t="s">
        <v>30</v>
      </c>
      <c r="D157" s="17" t="s">
        <v>31</v>
      </c>
      <c r="E157" s="25" t="s">
        <v>32</v>
      </c>
      <c r="F157" s="27" t="str">
        <f>'Source Table'!$B$9</f>
        <v>Dysentery</v>
      </c>
      <c r="G157" t="str">
        <f>'Source Table'!$D$9</f>
        <v>ديزينتري</v>
      </c>
      <c r="H157">
        <v>402</v>
      </c>
      <c r="I157">
        <v>2015</v>
      </c>
    </row>
    <row r="158" spans="1:9" ht="15.75">
      <c r="A158" s="24" t="s">
        <v>85</v>
      </c>
      <c r="B158" s="24" t="s">
        <v>86</v>
      </c>
      <c r="C158" s="16" t="s">
        <v>30</v>
      </c>
      <c r="D158" s="17" t="s">
        <v>31</v>
      </c>
      <c r="E158" s="25" t="s">
        <v>32</v>
      </c>
      <c r="F158" s="27" t="str">
        <f>'Source Table'!$B$10</f>
        <v>Hepatitis  B</v>
      </c>
      <c r="G158" t="str">
        <f>'Source Table'!$D$10</f>
        <v>التهاب الكبد المصلي ب</v>
      </c>
      <c r="H158">
        <v>1</v>
      </c>
      <c r="I158">
        <v>2015</v>
      </c>
    </row>
    <row r="159" spans="1:9" ht="15.75">
      <c r="A159" s="24" t="s">
        <v>85</v>
      </c>
      <c r="B159" s="24" t="s">
        <v>86</v>
      </c>
      <c r="C159" s="16" t="s">
        <v>30</v>
      </c>
      <c r="D159" s="17" t="s">
        <v>31</v>
      </c>
      <c r="E159" s="25" t="s">
        <v>32</v>
      </c>
      <c r="F159" s="27" t="str">
        <f>'Source Table'!$B$11</f>
        <v>Hepatitis  A</v>
      </c>
      <c r="G159" t="str">
        <f>'Source Table'!$D$11</f>
        <v>التهاب الكبد الوبائي ا</v>
      </c>
      <c r="H159">
        <v>291</v>
      </c>
      <c r="I159">
        <v>2015</v>
      </c>
    </row>
    <row r="160" spans="1:9" ht="15.75">
      <c r="A160" s="24" t="s">
        <v>85</v>
      </c>
      <c r="B160" s="24" t="s">
        <v>86</v>
      </c>
      <c r="C160" s="16" t="s">
        <v>30</v>
      </c>
      <c r="D160" s="17" t="s">
        <v>31</v>
      </c>
      <c r="E160" s="25" t="s">
        <v>32</v>
      </c>
      <c r="F160" s="27" t="str">
        <f>'Source Table'!$B$12</f>
        <v>Measles</v>
      </c>
      <c r="G160" t="str">
        <f>'Source Table'!$D$12</f>
        <v>حصبة</v>
      </c>
      <c r="H160">
        <v>38</v>
      </c>
      <c r="I160">
        <v>2015</v>
      </c>
    </row>
    <row r="161" spans="1:9" ht="15.75">
      <c r="A161" s="24" t="s">
        <v>85</v>
      </c>
      <c r="B161" s="24" t="s">
        <v>86</v>
      </c>
      <c r="C161" s="16" t="s">
        <v>30</v>
      </c>
      <c r="D161" s="17" t="s">
        <v>31</v>
      </c>
      <c r="E161" s="25" t="s">
        <v>32</v>
      </c>
      <c r="F161" s="27" t="str">
        <f>'Source Table'!$B$13</f>
        <v>Chicken pox</v>
      </c>
      <c r="G161" t="str">
        <f>'Source Table'!$D$13</f>
        <v>جدري مائي</v>
      </c>
      <c r="H161">
        <v>4715</v>
      </c>
      <c r="I161">
        <v>2015</v>
      </c>
    </row>
    <row r="162" spans="1:9" ht="15.75">
      <c r="A162" s="24" t="s">
        <v>85</v>
      </c>
      <c r="B162" s="24" t="s">
        <v>86</v>
      </c>
      <c r="C162" s="16" t="s">
        <v>30</v>
      </c>
      <c r="D162" s="17" t="s">
        <v>31</v>
      </c>
      <c r="E162" s="25" t="s">
        <v>32</v>
      </c>
      <c r="F162" s="27" t="str">
        <f>'Source Table'!$B$14</f>
        <v>Mumps</v>
      </c>
      <c r="G162" t="str">
        <f>'Source Table'!$D$14</f>
        <v>نكاف ( ابو كعب )</v>
      </c>
      <c r="H162">
        <v>115</v>
      </c>
      <c r="I162">
        <v>2015</v>
      </c>
    </row>
    <row r="163" spans="1:9" ht="15.75">
      <c r="A163" s="24" t="s">
        <v>85</v>
      </c>
      <c r="B163" s="24" t="s">
        <v>86</v>
      </c>
      <c r="C163" s="16" t="s">
        <v>30</v>
      </c>
      <c r="D163" s="17" t="s">
        <v>31</v>
      </c>
      <c r="E163" s="25" t="s">
        <v>32</v>
      </c>
      <c r="F163" s="27" t="str">
        <f>'Source Table'!$B$15</f>
        <v>Whooping Cough</v>
      </c>
      <c r="G163" t="str">
        <f>'Source Table'!$D$15</f>
        <v>سعال ديكي</v>
      </c>
      <c r="H163">
        <v>0</v>
      </c>
      <c r="I163">
        <v>2015</v>
      </c>
    </row>
    <row r="164" spans="1:9" ht="15.75">
      <c r="A164" s="24" t="s">
        <v>85</v>
      </c>
      <c r="B164" s="24" t="s">
        <v>86</v>
      </c>
      <c r="C164" s="16" t="s">
        <v>30</v>
      </c>
      <c r="D164" s="17" t="s">
        <v>31</v>
      </c>
      <c r="E164" s="25" t="s">
        <v>32</v>
      </c>
      <c r="F164" s="27" t="str">
        <f>'Source Table'!$B$16</f>
        <v>M. Meningitis</v>
      </c>
      <c r="G164" t="str">
        <f>'Source Table'!$D$16</f>
        <v>التهاب السحايا الوبائي</v>
      </c>
      <c r="H164">
        <v>11</v>
      </c>
      <c r="I164">
        <v>2015</v>
      </c>
    </row>
    <row r="165" spans="1:9" ht="15.75">
      <c r="A165" s="24" t="s">
        <v>85</v>
      </c>
      <c r="B165" s="24" t="s">
        <v>86</v>
      </c>
      <c r="C165" s="16" t="s">
        <v>30</v>
      </c>
      <c r="D165" s="17" t="s">
        <v>31</v>
      </c>
      <c r="E165" s="25" t="s">
        <v>32</v>
      </c>
      <c r="F165" s="27" t="str">
        <f>'Source Table'!$B$17</f>
        <v>Non M. Meningitis</v>
      </c>
      <c r="G165" t="str">
        <f>'Source Table'!$D$17</f>
        <v>التهاب السحايا غير الوبائي</v>
      </c>
      <c r="H165">
        <v>365</v>
      </c>
      <c r="I165">
        <v>2015</v>
      </c>
    </row>
    <row r="166" spans="1:9" ht="15.75">
      <c r="A166" s="24" t="s">
        <v>85</v>
      </c>
      <c r="B166" s="24" t="s">
        <v>86</v>
      </c>
      <c r="C166" s="16" t="s">
        <v>30</v>
      </c>
      <c r="D166" s="17" t="s">
        <v>31</v>
      </c>
      <c r="E166" s="25" t="s">
        <v>32</v>
      </c>
      <c r="F166" s="27" t="str">
        <f>'Source Table'!$B$18</f>
        <v>Scarlet Fever</v>
      </c>
      <c r="G166" t="str">
        <f>'Source Table'!$D$18</f>
        <v>حمى قرمزية</v>
      </c>
      <c r="H166">
        <v>0</v>
      </c>
      <c r="I166">
        <v>2015</v>
      </c>
    </row>
    <row r="167" spans="1:9" ht="15.75">
      <c r="A167" s="24" t="s">
        <v>85</v>
      </c>
      <c r="B167" s="24" t="s">
        <v>86</v>
      </c>
      <c r="C167" s="16" t="s">
        <v>30</v>
      </c>
      <c r="D167" s="17" t="s">
        <v>31</v>
      </c>
      <c r="E167" s="25" t="s">
        <v>32</v>
      </c>
      <c r="F167" s="27" t="str">
        <f>'Source Table'!$B$19</f>
        <v>Brucellosiss</v>
      </c>
      <c r="G167" t="str">
        <f>'Source Table'!$D$19</f>
        <v>حمى مالطية</v>
      </c>
      <c r="H167">
        <v>384</v>
      </c>
      <c r="I167">
        <v>2015</v>
      </c>
    </row>
    <row r="168" spans="1:9" ht="15.75">
      <c r="A168" s="24" t="s">
        <v>85</v>
      </c>
      <c r="B168" s="24" t="s">
        <v>86</v>
      </c>
      <c r="C168" s="16" t="s">
        <v>30</v>
      </c>
      <c r="D168" s="17" t="s">
        <v>31</v>
      </c>
      <c r="E168" s="25" t="s">
        <v>32</v>
      </c>
      <c r="F168" s="27" t="str">
        <f>'Source Table'!$B$20</f>
        <v>German Measles</v>
      </c>
      <c r="G168" t="str">
        <f>'Source Table'!$D$20</f>
        <v>حصبة المانية مشتبهة</v>
      </c>
      <c r="H168">
        <v>53</v>
      </c>
      <c r="I168">
        <v>2015</v>
      </c>
    </row>
    <row r="169" spans="1:9" ht="15.75">
      <c r="A169" s="24" t="s">
        <v>85</v>
      </c>
      <c r="B169" s="24" t="s">
        <v>86</v>
      </c>
      <c r="C169" s="16" t="s">
        <v>30</v>
      </c>
      <c r="D169" s="17" t="s">
        <v>31</v>
      </c>
      <c r="E169" s="25" t="s">
        <v>32</v>
      </c>
      <c r="F169" s="27" t="str">
        <f>'Source Table'!$B$21</f>
        <v>adult tetanus</v>
      </c>
      <c r="G169" t="str">
        <f>'Source Table'!$D$21</f>
        <v>كزاز كبار</v>
      </c>
      <c r="I169">
        <v>2015</v>
      </c>
    </row>
    <row r="170" spans="1:9" ht="15.75">
      <c r="A170" s="24" t="s">
        <v>85</v>
      </c>
      <c r="B170" s="24" t="s">
        <v>86</v>
      </c>
      <c r="C170" s="16" t="s">
        <v>30</v>
      </c>
      <c r="D170" s="17" t="s">
        <v>31</v>
      </c>
      <c r="E170" s="25" t="s">
        <v>32</v>
      </c>
      <c r="F170" s="27" t="str">
        <f>'Source Table'!$B$22</f>
        <v>Ringworm</v>
      </c>
      <c r="G170" t="str">
        <f>'Source Table'!$D$22</f>
        <v>قرع</v>
      </c>
      <c r="H170">
        <v>0</v>
      </c>
      <c r="I170">
        <v>2015</v>
      </c>
    </row>
    <row r="171" spans="1:9" ht="15.75">
      <c r="A171" s="24" t="s">
        <v>85</v>
      </c>
      <c r="B171" s="24" t="s">
        <v>86</v>
      </c>
      <c r="C171" s="16" t="s">
        <v>30</v>
      </c>
      <c r="D171" s="17" t="s">
        <v>31</v>
      </c>
      <c r="E171" s="25" t="s">
        <v>32</v>
      </c>
      <c r="F171" s="27" t="str">
        <f>'Source Table'!$B$23</f>
        <v>Leshmania</v>
      </c>
      <c r="G171" t="str">
        <f>'Source Table'!$D$23</f>
        <v>لشمانيا جلدية</v>
      </c>
      <c r="H171">
        <v>257</v>
      </c>
      <c r="I171">
        <v>2015</v>
      </c>
    </row>
    <row r="172" spans="1:9" ht="15.75">
      <c r="A172" s="24" t="s">
        <v>85</v>
      </c>
      <c r="B172" s="24" t="s">
        <v>86</v>
      </c>
      <c r="C172" s="16" t="s">
        <v>30</v>
      </c>
      <c r="D172" s="17" t="s">
        <v>31</v>
      </c>
      <c r="E172" s="25" t="s">
        <v>32</v>
      </c>
      <c r="F172" s="27" t="str">
        <f>'Source Table'!$B$24</f>
        <v>Scabies</v>
      </c>
      <c r="G172" t="str">
        <f>'Source Table'!$D$24</f>
        <v>جرب</v>
      </c>
      <c r="H172">
        <v>0</v>
      </c>
      <c r="I172">
        <v>2015</v>
      </c>
    </row>
    <row r="173" spans="1:9" ht="15.75">
      <c r="A173" s="24" t="s">
        <v>85</v>
      </c>
      <c r="B173" s="24" t="s">
        <v>86</v>
      </c>
      <c r="C173" s="16" t="s">
        <v>30</v>
      </c>
      <c r="D173" s="17" t="s">
        <v>31</v>
      </c>
      <c r="E173" s="25" t="s">
        <v>32</v>
      </c>
      <c r="F173" s="27" t="str">
        <f>'Source Table'!$B$25</f>
        <v>Venereology</v>
      </c>
      <c r="G173" t="str">
        <f>'Source Table'!$D$25</f>
        <v>الامراض التناسلية</v>
      </c>
      <c r="H173">
        <v>0</v>
      </c>
      <c r="I173">
        <v>2015</v>
      </c>
    </row>
    <row r="174" spans="1:9" ht="15.75">
      <c r="A174" s="24" t="s">
        <v>85</v>
      </c>
      <c r="B174" s="24" t="s">
        <v>86</v>
      </c>
      <c r="C174" s="16" t="s">
        <v>30</v>
      </c>
      <c r="D174" s="17" t="s">
        <v>31</v>
      </c>
      <c r="E174" s="25" t="s">
        <v>32</v>
      </c>
      <c r="F174" s="27" t="str">
        <f>'Source Table'!$B$26</f>
        <v>Hydrated Cyst</v>
      </c>
      <c r="G174" t="str">
        <f>'Source Table'!$D$26</f>
        <v>الاكياس المائية</v>
      </c>
      <c r="H174">
        <v>0</v>
      </c>
      <c r="I174">
        <v>2015</v>
      </c>
    </row>
    <row r="175" spans="1:9" ht="15.75">
      <c r="A175" s="24" t="s">
        <v>85</v>
      </c>
      <c r="B175" s="24" t="s">
        <v>86</v>
      </c>
      <c r="C175" s="16" t="s">
        <v>30</v>
      </c>
      <c r="D175" s="17" t="s">
        <v>31</v>
      </c>
      <c r="E175" s="25" t="s">
        <v>32</v>
      </c>
      <c r="F175" s="27" t="str">
        <f>'Source Table'!$B$8</f>
        <v>Typhoid Fever &amp;para Typhoid</v>
      </c>
      <c r="G175" t="str">
        <f>'Source Table'!$D$8</f>
        <v>تيفوئيد وبارا تيفوئيد</v>
      </c>
      <c r="H175">
        <v>21</v>
      </c>
      <c r="I175">
        <v>2014</v>
      </c>
    </row>
    <row r="176" spans="1:9" ht="15.75">
      <c r="A176" s="24" t="s">
        <v>85</v>
      </c>
      <c r="B176" s="24" t="s">
        <v>86</v>
      </c>
      <c r="C176" s="16" t="s">
        <v>30</v>
      </c>
      <c r="D176" s="17" t="s">
        <v>31</v>
      </c>
      <c r="E176" s="25" t="s">
        <v>32</v>
      </c>
      <c r="F176" s="27" t="str">
        <f>'Source Table'!$B$9</f>
        <v>Dysentery</v>
      </c>
      <c r="G176" t="str">
        <f>'Source Table'!$D$9</f>
        <v>ديزينتري</v>
      </c>
      <c r="H176">
        <v>387</v>
      </c>
      <c r="I176">
        <v>2014</v>
      </c>
    </row>
    <row r="177" spans="1:9" ht="15.75">
      <c r="A177" s="24" t="s">
        <v>85</v>
      </c>
      <c r="B177" s="24" t="s">
        <v>86</v>
      </c>
      <c r="C177" s="16" t="s">
        <v>30</v>
      </c>
      <c r="D177" s="17" t="s">
        <v>31</v>
      </c>
      <c r="E177" s="25" t="s">
        <v>32</v>
      </c>
      <c r="F177" s="27" t="str">
        <f>'Source Table'!$B$10</f>
        <v>Hepatitis  B</v>
      </c>
      <c r="G177" t="str">
        <f>'Source Table'!$D$10</f>
        <v>التهاب الكبد المصلي ب</v>
      </c>
      <c r="H177">
        <v>1</v>
      </c>
      <c r="I177">
        <v>2014</v>
      </c>
    </row>
    <row r="178" spans="1:9" ht="15.75">
      <c r="A178" s="24" t="s">
        <v>85</v>
      </c>
      <c r="B178" s="24" t="s">
        <v>86</v>
      </c>
      <c r="C178" s="16" t="s">
        <v>30</v>
      </c>
      <c r="D178" s="17" t="s">
        <v>31</v>
      </c>
      <c r="E178" s="25" t="s">
        <v>32</v>
      </c>
      <c r="F178" s="27" t="str">
        <f>'Source Table'!$B$11</f>
        <v>Hepatitis  A</v>
      </c>
      <c r="G178" t="str">
        <f>'Source Table'!$D$11</f>
        <v>التهاب الكبد الوبائي ا</v>
      </c>
      <c r="H178">
        <v>544</v>
      </c>
      <c r="I178">
        <v>2014</v>
      </c>
    </row>
    <row r="179" spans="1:9" ht="15.75">
      <c r="A179" s="24" t="s">
        <v>85</v>
      </c>
      <c r="B179" s="24" t="s">
        <v>86</v>
      </c>
      <c r="C179" s="16" t="s">
        <v>30</v>
      </c>
      <c r="D179" s="17" t="s">
        <v>31</v>
      </c>
      <c r="E179" s="25" t="s">
        <v>32</v>
      </c>
      <c r="F179" s="27" t="str">
        <f>'Source Table'!$B$12</f>
        <v>Measles</v>
      </c>
      <c r="G179" t="str">
        <f>'Source Table'!$D$12</f>
        <v>حصبة</v>
      </c>
      <c r="H179">
        <v>95</v>
      </c>
      <c r="I179">
        <v>2014</v>
      </c>
    </row>
    <row r="180" spans="1:9" ht="15.75">
      <c r="A180" s="24" t="s">
        <v>85</v>
      </c>
      <c r="B180" s="24" t="s">
        <v>86</v>
      </c>
      <c r="C180" s="16" t="s">
        <v>30</v>
      </c>
      <c r="D180" s="17" t="s">
        <v>31</v>
      </c>
      <c r="E180" s="25" t="s">
        <v>32</v>
      </c>
      <c r="F180" s="27" t="str">
        <f>'Source Table'!$B$13</f>
        <v>Chicken pox</v>
      </c>
      <c r="G180" t="str">
        <f>'Source Table'!$D$13</f>
        <v>جدري مائي</v>
      </c>
      <c r="H180">
        <v>7452</v>
      </c>
      <c r="I180">
        <v>2014</v>
      </c>
    </row>
    <row r="181" spans="1:9" ht="15.75">
      <c r="A181" s="24" t="s">
        <v>85</v>
      </c>
      <c r="B181" s="24" t="s">
        <v>86</v>
      </c>
      <c r="C181" s="16" t="s">
        <v>30</v>
      </c>
      <c r="D181" s="17" t="s">
        <v>31</v>
      </c>
      <c r="E181" s="25" t="s">
        <v>32</v>
      </c>
      <c r="F181" s="27" t="str">
        <f>'Source Table'!$B$14</f>
        <v>Mumps</v>
      </c>
      <c r="G181" t="str">
        <f>'Source Table'!$D$14</f>
        <v>نكاف ( ابو كعب )</v>
      </c>
      <c r="H181">
        <v>182</v>
      </c>
      <c r="I181">
        <v>2014</v>
      </c>
    </row>
    <row r="182" spans="1:9" ht="15.75">
      <c r="A182" s="24" t="s">
        <v>85</v>
      </c>
      <c r="B182" s="24" t="s">
        <v>86</v>
      </c>
      <c r="C182" s="16" t="s">
        <v>30</v>
      </c>
      <c r="D182" s="17" t="s">
        <v>31</v>
      </c>
      <c r="E182" s="25" t="s">
        <v>32</v>
      </c>
      <c r="F182" s="27" t="str">
        <f>'Source Table'!$B$15</f>
        <v>Whooping Cough</v>
      </c>
      <c r="G182" t="str">
        <f>'Source Table'!$D$15</f>
        <v>سعال ديكي</v>
      </c>
      <c r="H182">
        <v>0</v>
      </c>
      <c r="I182">
        <v>2014</v>
      </c>
    </row>
    <row r="183" spans="1:9" ht="15.75">
      <c r="A183" s="24" t="s">
        <v>85</v>
      </c>
      <c r="B183" s="24" t="s">
        <v>86</v>
      </c>
      <c r="C183" s="16" t="s">
        <v>30</v>
      </c>
      <c r="D183" s="17" t="s">
        <v>31</v>
      </c>
      <c r="E183" s="25" t="s">
        <v>32</v>
      </c>
      <c r="F183" s="27" t="str">
        <f>'Source Table'!$B$16</f>
        <v>M. Meningitis</v>
      </c>
      <c r="G183" t="str">
        <f>'Source Table'!$D$16</f>
        <v>التهاب السحايا الوبائي</v>
      </c>
      <c r="H183">
        <v>4</v>
      </c>
      <c r="I183">
        <v>2014</v>
      </c>
    </row>
    <row r="184" spans="1:9" ht="15.75">
      <c r="A184" s="24" t="s">
        <v>85</v>
      </c>
      <c r="B184" s="24" t="s">
        <v>86</v>
      </c>
      <c r="C184" s="16" t="s">
        <v>30</v>
      </c>
      <c r="D184" s="17" t="s">
        <v>31</v>
      </c>
      <c r="E184" s="25" t="s">
        <v>32</v>
      </c>
      <c r="F184" s="27" t="str">
        <f>'Source Table'!$B$17</f>
        <v>Non M. Meningitis</v>
      </c>
      <c r="G184" t="str">
        <f>'Source Table'!$D$17</f>
        <v>التهاب السحايا غير الوبائي</v>
      </c>
      <c r="H184">
        <v>477</v>
      </c>
      <c r="I184">
        <v>2014</v>
      </c>
    </row>
    <row r="185" spans="1:9" ht="15.75">
      <c r="A185" s="24" t="s">
        <v>85</v>
      </c>
      <c r="B185" s="24" t="s">
        <v>86</v>
      </c>
      <c r="C185" s="16" t="s">
        <v>30</v>
      </c>
      <c r="D185" s="17" t="s">
        <v>31</v>
      </c>
      <c r="E185" s="25" t="s">
        <v>32</v>
      </c>
      <c r="F185" s="27" t="str">
        <f>'Source Table'!$B$18</f>
        <v>Scarlet Fever</v>
      </c>
      <c r="G185" t="str">
        <f>'Source Table'!$D$18</f>
        <v>حمى قرمزية</v>
      </c>
      <c r="H185">
        <v>0</v>
      </c>
      <c r="I185">
        <v>2014</v>
      </c>
    </row>
    <row r="186" spans="1:9" ht="15.75">
      <c r="A186" s="24" t="s">
        <v>85</v>
      </c>
      <c r="B186" s="24" t="s">
        <v>86</v>
      </c>
      <c r="C186" s="16" t="s">
        <v>30</v>
      </c>
      <c r="D186" s="17" t="s">
        <v>31</v>
      </c>
      <c r="E186" s="25" t="s">
        <v>32</v>
      </c>
      <c r="F186" s="27" t="str">
        <f>'Source Table'!$B$19</f>
        <v>Brucellosiss</v>
      </c>
      <c r="G186" t="str">
        <f>'Source Table'!$D$19</f>
        <v>حمى مالطية</v>
      </c>
      <c r="H186">
        <v>237</v>
      </c>
      <c r="I186">
        <v>2014</v>
      </c>
    </row>
    <row r="187" spans="1:9" ht="15.75">
      <c r="A187" s="24" t="s">
        <v>85</v>
      </c>
      <c r="B187" s="24" t="s">
        <v>86</v>
      </c>
      <c r="C187" s="16" t="s">
        <v>30</v>
      </c>
      <c r="D187" s="17" t="s">
        <v>31</v>
      </c>
      <c r="E187" s="25" t="s">
        <v>32</v>
      </c>
      <c r="F187" s="27" t="str">
        <f>'Source Table'!$B$20</f>
        <v>German Measles</v>
      </c>
      <c r="G187" t="str">
        <f>'Source Table'!$D$20</f>
        <v>حصبة المانية مشتبهة</v>
      </c>
      <c r="H187">
        <v>37</v>
      </c>
      <c r="I187">
        <v>2014</v>
      </c>
    </row>
    <row r="188" spans="1:9" ht="15.75">
      <c r="A188" s="24" t="s">
        <v>85</v>
      </c>
      <c r="B188" s="24" t="s">
        <v>86</v>
      </c>
      <c r="C188" s="16" t="s">
        <v>30</v>
      </c>
      <c r="D188" s="17" t="s">
        <v>31</v>
      </c>
      <c r="E188" s="25" t="s">
        <v>32</v>
      </c>
      <c r="F188" s="27" t="str">
        <f>'Source Table'!$B$21</f>
        <v>adult tetanus</v>
      </c>
      <c r="G188" t="str">
        <f>'Source Table'!$D$21</f>
        <v>كزاز كبار</v>
      </c>
      <c r="I188">
        <v>2014</v>
      </c>
    </row>
    <row r="189" spans="1:9" ht="15.75">
      <c r="A189" s="24" t="s">
        <v>85</v>
      </c>
      <c r="B189" s="24" t="s">
        <v>86</v>
      </c>
      <c r="C189" s="16" t="s">
        <v>30</v>
      </c>
      <c r="D189" s="17" t="s">
        <v>31</v>
      </c>
      <c r="E189" s="25" t="s">
        <v>32</v>
      </c>
      <c r="F189" s="27" t="str">
        <f>'Source Table'!$B$22</f>
        <v>Ringworm</v>
      </c>
      <c r="G189" t="str">
        <f>'Source Table'!$D$22</f>
        <v>قرع</v>
      </c>
      <c r="H189">
        <v>0</v>
      </c>
      <c r="I189">
        <v>2014</v>
      </c>
    </row>
    <row r="190" spans="1:9" ht="15.75">
      <c r="A190" s="24" t="s">
        <v>85</v>
      </c>
      <c r="B190" s="24" t="s">
        <v>86</v>
      </c>
      <c r="C190" s="16" t="s">
        <v>30</v>
      </c>
      <c r="D190" s="17" t="s">
        <v>31</v>
      </c>
      <c r="E190" s="25" t="s">
        <v>32</v>
      </c>
      <c r="F190" s="27" t="str">
        <f>'Source Table'!$B$23</f>
        <v>Leshmania</v>
      </c>
      <c r="G190" t="str">
        <f>'Source Table'!$D$23</f>
        <v>لشمانيا جلدية</v>
      </c>
      <c r="H190">
        <v>180</v>
      </c>
      <c r="I190">
        <v>2014</v>
      </c>
    </row>
    <row r="191" spans="1:9" ht="15.75">
      <c r="A191" s="24" t="s">
        <v>85</v>
      </c>
      <c r="B191" s="24" t="s">
        <v>86</v>
      </c>
      <c r="C191" s="16" t="s">
        <v>30</v>
      </c>
      <c r="D191" s="17" t="s">
        <v>31</v>
      </c>
      <c r="E191" s="25" t="s">
        <v>32</v>
      </c>
      <c r="F191" s="27" t="str">
        <f>'Source Table'!$B$24</f>
        <v>Scabies</v>
      </c>
      <c r="G191" t="str">
        <f>'Source Table'!$D$24</f>
        <v>جرب</v>
      </c>
      <c r="H191">
        <v>0</v>
      </c>
      <c r="I191">
        <v>2014</v>
      </c>
    </row>
    <row r="192" spans="1:9" ht="15.75">
      <c r="A192" s="24" t="s">
        <v>85</v>
      </c>
      <c r="B192" s="24" t="s">
        <v>86</v>
      </c>
      <c r="C192" s="16" t="s">
        <v>30</v>
      </c>
      <c r="D192" s="17" t="s">
        <v>31</v>
      </c>
      <c r="E192" s="25" t="s">
        <v>32</v>
      </c>
      <c r="F192" s="27" t="str">
        <f>'Source Table'!$B$25</f>
        <v>Venereology</v>
      </c>
      <c r="G192" t="str">
        <f>'Source Table'!$D$25</f>
        <v>الامراض التناسلية</v>
      </c>
      <c r="H192">
        <v>3</v>
      </c>
      <c r="I192">
        <v>2014</v>
      </c>
    </row>
    <row r="193" spans="1:9" ht="15.75">
      <c r="A193" s="24" t="s">
        <v>85</v>
      </c>
      <c r="B193" s="24" t="s">
        <v>86</v>
      </c>
      <c r="C193" s="16" t="s">
        <v>30</v>
      </c>
      <c r="D193" s="17" t="s">
        <v>31</v>
      </c>
      <c r="E193" s="25" t="s">
        <v>32</v>
      </c>
      <c r="F193" s="27" t="str">
        <f>'Source Table'!$B$26</f>
        <v>Hydrated Cyst</v>
      </c>
      <c r="G193" t="str">
        <f>'Source Table'!$D$26</f>
        <v>الاكياس المائية</v>
      </c>
      <c r="H193">
        <v>0</v>
      </c>
      <c r="I193">
        <v>2014</v>
      </c>
    </row>
    <row r="194" spans="1:9" ht="15.75">
      <c r="A194" s="24" t="s">
        <v>85</v>
      </c>
      <c r="B194" s="24" t="s">
        <v>86</v>
      </c>
      <c r="C194" s="16" t="s">
        <v>30</v>
      </c>
      <c r="D194" s="17" t="s">
        <v>31</v>
      </c>
      <c r="E194" s="25" t="s">
        <v>32</v>
      </c>
      <c r="F194" s="27" t="str">
        <f>'Source Table'!$B$8</f>
        <v>Typhoid Fever &amp;para Typhoid</v>
      </c>
      <c r="G194" t="str">
        <f>'Source Table'!$D$8</f>
        <v>تيفوئيد وبارا تيفوئيد</v>
      </c>
      <c r="H194">
        <v>4</v>
      </c>
      <c r="I194">
        <v>2013</v>
      </c>
    </row>
    <row r="195" spans="1:9" ht="15.75">
      <c r="A195" s="24" t="s">
        <v>85</v>
      </c>
      <c r="B195" s="24" t="s">
        <v>86</v>
      </c>
      <c r="C195" s="16" t="s">
        <v>30</v>
      </c>
      <c r="D195" s="17" t="s">
        <v>31</v>
      </c>
      <c r="E195" s="25" t="s">
        <v>32</v>
      </c>
      <c r="F195" s="27" t="str">
        <f>'Source Table'!$B$9</f>
        <v>Dysentery</v>
      </c>
      <c r="G195" t="str">
        <f>'Source Table'!$D$9</f>
        <v>ديزينتري</v>
      </c>
      <c r="H195">
        <v>281</v>
      </c>
      <c r="I195">
        <v>2013</v>
      </c>
    </row>
    <row r="196" spans="1:9" ht="15.75">
      <c r="A196" s="24" t="s">
        <v>85</v>
      </c>
      <c r="B196" s="24" t="s">
        <v>86</v>
      </c>
      <c r="C196" s="16" t="s">
        <v>30</v>
      </c>
      <c r="D196" s="17" t="s">
        <v>31</v>
      </c>
      <c r="E196" s="25" t="s">
        <v>32</v>
      </c>
      <c r="F196" s="27" t="str">
        <f>'Source Table'!$B$10</f>
        <v>Hepatitis  B</v>
      </c>
      <c r="G196" t="str">
        <f>'Source Table'!$D$10</f>
        <v>التهاب الكبد المصلي ب</v>
      </c>
      <c r="H196">
        <v>0</v>
      </c>
      <c r="I196">
        <v>2013</v>
      </c>
    </row>
    <row r="197" spans="1:9" ht="15.75">
      <c r="A197" s="24" t="s">
        <v>85</v>
      </c>
      <c r="B197" s="24" t="s">
        <v>86</v>
      </c>
      <c r="C197" s="16" t="s">
        <v>30</v>
      </c>
      <c r="D197" s="17" t="s">
        <v>31</v>
      </c>
      <c r="E197" s="25" t="s">
        <v>32</v>
      </c>
      <c r="F197" s="27" t="str">
        <f>'Source Table'!$B$11</f>
        <v>Hepatitis  A</v>
      </c>
      <c r="G197" t="str">
        <f>'Source Table'!$D$11</f>
        <v>التهاب الكبد الوبائي ا</v>
      </c>
      <c r="H197">
        <v>1082</v>
      </c>
      <c r="I197">
        <v>2013</v>
      </c>
    </row>
    <row r="198" spans="1:9" ht="15.75">
      <c r="A198" s="24" t="s">
        <v>85</v>
      </c>
      <c r="B198" s="24" t="s">
        <v>86</v>
      </c>
      <c r="C198" s="16" t="s">
        <v>30</v>
      </c>
      <c r="D198" s="17" t="s">
        <v>31</v>
      </c>
      <c r="E198" s="25" t="s">
        <v>32</v>
      </c>
      <c r="F198" s="27" t="str">
        <f>'Source Table'!$B$12</f>
        <v>Measles</v>
      </c>
      <c r="G198" t="str">
        <f>'Source Table'!$D$12</f>
        <v>حصبة</v>
      </c>
      <c r="H198">
        <v>205</v>
      </c>
      <c r="I198">
        <v>2013</v>
      </c>
    </row>
    <row r="199" spans="1:9" ht="15.75">
      <c r="A199" s="24" t="s">
        <v>85</v>
      </c>
      <c r="B199" s="24" t="s">
        <v>86</v>
      </c>
      <c r="C199" s="16" t="s">
        <v>30</v>
      </c>
      <c r="D199" s="17" t="s">
        <v>31</v>
      </c>
      <c r="E199" s="25" t="s">
        <v>32</v>
      </c>
      <c r="F199" s="27" t="str">
        <f>'Source Table'!$B$13</f>
        <v>Chicken pox</v>
      </c>
      <c r="G199" t="str">
        <f>'Source Table'!$D$13</f>
        <v>جدري مائي</v>
      </c>
      <c r="H199">
        <v>6650</v>
      </c>
      <c r="I199">
        <v>2013</v>
      </c>
    </row>
    <row r="200" spans="1:9" ht="15.75">
      <c r="A200" s="24" t="s">
        <v>85</v>
      </c>
      <c r="B200" s="24" t="s">
        <v>86</v>
      </c>
      <c r="C200" s="16" t="s">
        <v>30</v>
      </c>
      <c r="D200" s="17" t="s">
        <v>31</v>
      </c>
      <c r="E200" s="25" t="s">
        <v>32</v>
      </c>
      <c r="F200" s="27" t="str">
        <f>'Source Table'!$B$14</f>
        <v>Mumps</v>
      </c>
      <c r="G200" t="str">
        <f>'Source Table'!$D$14</f>
        <v>نكاف ( ابو كعب )</v>
      </c>
      <c r="H200">
        <v>136</v>
      </c>
      <c r="I200">
        <v>2013</v>
      </c>
    </row>
    <row r="201" spans="1:9" ht="15.75">
      <c r="A201" s="24" t="s">
        <v>85</v>
      </c>
      <c r="B201" s="24" t="s">
        <v>86</v>
      </c>
      <c r="C201" s="16" t="s">
        <v>30</v>
      </c>
      <c r="D201" s="17" t="s">
        <v>31</v>
      </c>
      <c r="E201" s="25" t="s">
        <v>32</v>
      </c>
      <c r="F201" s="27" t="str">
        <f>'Source Table'!$B$15</f>
        <v>Whooping Cough</v>
      </c>
      <c r="G201" t="str">
        <f>'Source Table'!$D$15</f>
        <v>سعال ديكي</v>
      </c>
      <c r="H201">
        <v>3</v>
      </c>
      <c r="I201">
        <v>2013</v>
      </c>
    </row>
    <row r="202" spans="1:9" ht="15.75">
      <c r="A202" s="24" t="s">
        <v>85</v>
      </c>
      <c r="B202" s="24" t="s">
        <v>86</v>
      </c>
      <c r="C202" s="16" t="s">
        <v>30</v>
      </c>
      <c r="D202" s="17" t="s">
        <v>31</v>
      </c>
      <c r="E202" s="25" t="s">
        <v>32</v>
      </c>
      <c r="F202" s="27" t="str">
        <f>'Source Table'!$B$16</f>
        <v>M. Meningitis</v>
      </c>
      <c r="G202" t="str">
        <f>'Source Table'!$D$16</f>
        <v>التهاب السحايا الوبائي</v>
      </c>
      <c r="H202">
        <v>2</v>
      </c>
      <c r="I202">
        <v>2013</v>
      </c>
    </row>
    <row r="203" spans="1:9" ht="15.75">
      <c r="A203" s="24" t="s">
        <v>85</v>
      </c>
      <c r="B203" s="24" t="s">
        <v>86</v>
      </c>
      <c r="C203" s="16" t="s">
        <v>30</v>
      </c>
      <c r="D203" s="17" t="s">
        <v>31</v>
      </c>
      <c r="E203" s="25" t="s">
        <v>32</v>
      </c>
      <c r="F203" s="27" t="str">
        <f>'Source Table'!$B$17</f>
        <v>Non M. Meningitis</v>
      </c>
      <c r="G203" t="str">
        <f>'Source Table'!$D$17</f>
        <v>التهاب السحايا غير الوبائي</v>
      </c>
      <c r="H203">
        <v>463</v>
      </c>
      <c r="I203">
        <v>2013</v>
      </c>
    </row>
    <row r="204" spans="1:9" ht="15.75">
      <c r="A204" s="24" t="s">
        <v>85</v>
      </c>
      <c r="B204" s="24" t="s">
        <v>86</v>
      </c>
      <c r="C204" s="16" t="s">
        <v>30</v>
      </c>
      <c r="D204" s="17" t="s">
        <v>31</v>
      </c>
      <c r="E204" s="25" t="s">
        <v>32</v>
      </c>
      <c r="F204" s="27" t="str">
        <f>'Source Table'!$B$18</f>
        <v>Scarlet Fever</v>
      </c>
      <c r="G204" t="str">
        <f>'Source Table'!$D$18</f>
        <v>حمى قرمزية</v>
      </c>
      <c r="H204">
        <v>0</v>
      </c>
      <c r="I204">
        <v>2013</v>
      </c>
    </row>
    <row r="205" spans="1:9" ht="15.75">
      <c r="A205" s="24" t="s">
        <v>85</v>
      </c>
      <c r="B205" s="24" t="s">
        <v>86</v>
      </c>
      <c r="C205" s="16" t="s">
        <v>30</v>
      </c>
      <c r="D205" s="17" t="s">
        <v>31</v>
      </c>
      <c r="E205" s="25" t="s">
        <v>32</v>
      </c>
      <c r="F205" s="27" t="str">
        <f>'Source Table'!$B$19</f>
        <v>Brucellosiss</v>
      </c>
      <c r="G205" t="str">
        <f>'Source Table'!$D$19</f>
        <v>حمى مالطية</v>
      </c>
      <c r="H205">
        <v>158</v>
      </c>
      <c r="I205">
        <v>2013</v>
      </c>
    </row>
    <row r="206" spans="1:9" ht="15.75">
      <c r="A206" s="24" t="s">
        <v>85</v>
      </c>
      <c r="B206" s="24" t="s">
        <v>86</v>
      </c>
      <c r="C206" s="16" t="s">
        <v>30</v>
      </c>
      <c r="D206" s="17" t="s">
        <v>31</v>
      </c>
      <c r="E206" s="25" t="s">
        <v>32</v>
      </c>
      <c r="F206" s="27" t="str">
        <f>'Source Table'!$B$20</f>
        <v>German Measles</v>
      </c>
      <c r="G206" t="str">
        <f>'Source Table'!$D$20</f>
        <v>حصبة المانية مشتبهة</v>
      </c>
      <c r="H206">
        <v>25</v>
      </c>
      <c r="I206">
        <v>2013</v>
      </c>
    </row>
    <row r="207" spans="1:9" ht="15.75">
      <c r="A207" s="24" t="s">
        <v>85</v>
      </c>
      <c r="B207" s="24" t="s">
        <v>86</v>
      </c>
      <c r="C207" s="16" t="s">
        <v>30</v>
      </c>
      <c r="D207" s="17" t="s">
        <v>31</v>
      </c>
      <c r="E207" s="25" t="s">
        <v>32</v>
      </c>
      <c r="F207" s="27" t="str">
        <f>'Source Table'!$B$21</f>
        <v>adult tetanus</v>
      </c>
      <c r="G207" t="str">
        <f>'Source Table'!$D$21</f>
        <v>كزاز كبار</v>
      </c>
      <c r="I207">
        <v>2013</v>
      </c>
    </row>
    <row r="208" spans="1:9" ht="15.75">
      <c r="A208" s="24" t="s">
        <v>85</v>
      </c>
      <c r="B208" s="24" t="s">
        <v>86</v>
      </c>
      <c r="C208" s="16" t="s">
        <v>30</v>
      </c>
      <c r="D208" s="17" t="s">
        <v>31</v>
      </c>
      <c r="E208" s="25" t="s">
        <v>32</v>
      </c>
      <c r="F208" s="27" t="str">
        <f>'Source Table'!$B$22</f>
        <v>Ringworm</v>
      </c>
      <c r="G208" t="str">
        <f>'Source Table'!$D$22</f>
        <v>قرع</v>
      </c>
      <c r="H208">
        <v>0</v>
      </c>
      <c r="I208">
        <v>2013</v>
      </c>
    </row>
    <row r="209" spans="1:9" ht="15.75">
      <c r="A209" s="24" t="s">
        <v>85</v>
      </c>
      <c r="B209" s="24" t="s">
        <v>86</v>
      </c>
      <c r="C209" s="16" t="s">
        <v>30</v>
      </c>
      <c r="D209" s="17" t="s">
        <v>31</v>
      </c>
      <c r="E209" s="25" t="s">
        <v>32</v>
      </c>
      <c r="F209" s="27" t="str">
        <f>'Source Table'!$B$23</f>
        <v>Leshmania</v>
      </c>
      <c r="G209" t="str">
        <f>'Source Table'!$D$23</f>
        <v>لشمانيا جلدية</v>
      </c>
      <c r="H209">
        <v>146</v>
      </c>
      <c r="I209">
        <v>2013</v>
      </c>
    </row>
    <row r="210" spans="1:9" ht="15.75">
      <c r="A210" s="24" t="s">
        <v>85</v>
      </c>
      <c r="B210" s="24" t="s">
        <v>86</v>
      </c>
      <c r="C210" s="16" t="s">
        <v>30</v>
      </c>
      <c r="D210" s="17" t="s">
        <v>31</v>
      </c>
      <c r="E210" s="25" t="s">
        <v>32</v>
      </c>
      <c r="F210" s="27" t="str">
        <f>'Source Table'!$B$24</f>
        <v>Scabies</v>
      </c>
      <c r="G210" t="str">
        <f>'Source Table'!$D$24</f>
        <v>جرب</v>
      </c>
      <c r="H210">
        <v>0</v>
      </c>
      <c r="I210">
        <v>2013</v>
      </c>
    </row>
    <row r="211" spans="1:9" ht="15.75">
      <c r="A211" s="24" t="s">
        <v>85</v>
      </c>
      <c r="B211" s="24" t="s">
        <v>86</v>
      </c>
      <c r="C211" s="16" t="s">
        <v>30</v>
      </c>
      <c r="D211" s="17" t="s">
        <v>31</v>
      </c>
      <c r="E211" s="25" t="s">
        <v>32</v>
      </c>
      <c r="F211" s="27" t="str">
        <f>'Source Table'!$B$25</f>
        <v>Venereology</v>
      </c>
      <c r="G211" t="str">
        <f>'Source Table'!$D$25</f>
        <v>الامراض التناسلية</v>
      </c>
      <c r="H211">
        <v>0</v>
      </c>
      <c r="I211">
        <v>2013</v>
      </c>
    </row>
    <row r="212" spans="1:9" ht="15.75">
      <c r="A212" s="24" t="s">
        <v>85</v>
      </c>
      <c r="B212" s="24" t="s">
        <v>86</v>
      </c>
      <c r="C212" s="16" t="s">
        <v>30</v>
      </c>
      <c r="D212" s="17" t="s">
        <v>31</v>
      </c>
      <c r="E212" s="25" t="s">
        <v>32</v>
      </c>
      <c r="F212" s="27" t="str">
        <f>'Source Table'!$B$26</f>
        <v>Hydrated Cyst</v>
      </c>
      <c r="G212" t="str">
        <f>'Source Table'!$D$26</f>
        <v>الاكياس المائية</v>
      </c>
      <c r="H212">
        <v>0</v>
      </c>
      <c r="I212">
        <v>2013</v>
      </c>
    </row>
    <row r="213" spans="1:9" ht="15.75">
      <c r="A213" s="24" t="s">
        <v>85</v>
      </c>
      <c r="B213" s="24" t="s">
        <v>86</v>
      </c>
      <c r="C213" s="16" t="s">
        <v>30</v>
      </c>
      <c r="D213" s="17" t="s">
        <v>31</v>
      </c>
      <c r="E213" s="25" t="s">
        <v>32</v>
      </c>
      <c r="F213" s="27" t="str">
        <f>'Source Table'!$B$8</f>
        <v>Typhoid Fever &amp;para Typhoid</v>
      </c>
      <c r="G213" t="str">
        <f>'Source Table'!$D$8</f>
        <v>تيفوئيد وبارا تيفوئيد</v>
      </c>
      <c r="H213">
        <v>4</v>
      </c>
      <c r="I213">
        <v>2012</v>
      </c>
    </row>
    <row r="214" spans="1:9" ht="15.75">
      <c r="A214" s="24" t="s">
        <v>85</v>
      </c>
      <c r="B214" s="24" t="s">
        <v>86</v>
      </c>
      <c r="C214" s="16" t="s">
        <v>30</v>
      </c>
      <c r="D214" s="17" t="s">
        <v>31</v>
      </c>
      <c r="E214" s="25" t="s">
        <v>32</v>
      </c>
      <c r="F214" s="27" t="str">
        <f>'Source Table'!$B$9</f>
        <v>Dysentery</v>
      </c>
      <c r="G214" t="str">
        <f>'Source Table'!$D$9</f>
        <v>ديزينتري</v>
      </c>
      <c r="H214">
        <v>534</v>
      </c>
      <c r="I214">
        <v>2012</v>
      </c>
    </row>
    <row r="215" spans="1:9" ht="15.75">
      <c r="A215" s="24" t="s">
        <v>85</v>
      </c>
      <c r="B215" s="24" t="s">
        <v>86</v>
      </c>
      <c r="C215" s="16" t="s">
        <v>30</v>
      </c>
      <c r="D215" s="17" t="s">
        <v>31</v>
      </c>
      <c r="E215" s="25" t="s">
        <v>32</v>
      </c>
      <c r="F215" s="27" t="str">
        <f>'Source Table'!$B$10</f>
        <v>Hepatitis  B</v>
      </c>
      <c r="G215" t="str">
        <f>'Source Table'!$D$10</f>
        <v>التهاب الكبد المصلي ب</v>
      </c>
      <c r="H215">
        <v>2</v>
      </c>
      <c r="I215">
        <v>2012</v>
      </c>
    </row>
    <row r="216" spans="1:9" ht="15.75">
      <c r="A216" s="24" t="s">
        <v>85</v>
      </c>
      <c r="B216" s="24" t="s">
        <v>86</v>
      </c>
      <c r="C216" s="16" t="s">
        <v>30</v>
      </c>
      <c r="D216" s="17" t="s">
        <v>31</v>
      </c>
      <c r="E216" s="25" t="s">
        <v>32</v>
      </c>
      <c r="F216" s="27" t="str">
        <f>'Source Table'!$B$11</f>
        <v>Hepatitis  A</v>
      </c>
      <c r="G216" t="str">
        <f>'Source Table'!$D$11</f>
        <v>التهاب الكبد الوبائي ا</v>
      </c>
      <c r="H216">
        <v>509</v>
      </c>
      <c r="I216">
        <v>2012</v>
      </c>
    </row>
    <row r="217" spans="1:9" ht="15.75">
      <c r="A217" s="24" t="s">
        <v>85</v>
      </c>
      <c r="B217" s="24" t="s">
        <v>86</v>
      </c>
      <c r="C217" s="16" t="s">
        <v>30</v>
      </c>
      <c r="D217" s="17" t="s">
        <v>31</v>
      </c>
      <c r="E217" s="25" t="s">
        <v>32</v>
      </c>
      <c r="F217" s="27" t="str">
        <f>'Source Table'!$B$12</f>
        <v>Measles</v>
      </c>
      <c r="G217" t="str">
        <f>'Source Table'!$D$12</f>
        <v>حصبة</v>
      </c>
      <c r="H217">
        <v>24</v>
      </c>
      <c r="I217">
        <v>2012</v>
      </c>
    </row>
    <row r="218" spans="1:9" ht="15.75">
      <c r="A218" s="24" t="s">
        <v>85</v>
      </c>
      <c r="B218" s="24" t="s">
        <v>86</v>
      </c>
      <c r="C218" s="16" t="s">
        <v>30</v>
      </c>
      <c r="D218" s="17" t="s">
        <v>31</v>
      </c>
      <c r="E218" s="25" t="s">
        <v>32</v>
      </c>
      <c r="F218" s="27" t="str">
        <f>'Source Table'!$B$13</f>
        <v>Chicken pox</v>
      </c>
      <c r="G218" t="str">
        <f>'Source Table'!$D$13</f>
        <v>جدري مائي</v>
      </c>
      <c r="H218">
        <v>6817</v>
      </c>
      <c r="I218">
        <v>2012</v>
      </c>
    </row>
    <row r="219" spans="1:9" ht="15.75">
      <c r="A219" s="24" t="s">
        <v>85</v>
      </c>
      <c r="B219" s="24" t="s">
        <v>86</v>
      </c>
      <c r="C219" s="16" t="s">
        <v>30</v>
      </c>
      <c r="D219" s="17" t="s">
        <v>31</v>
      </c>
      <c r="E219" s="25" t="s">
        <v>32</v>
      </c>
      <c r="F219" s="27" t="str">
        <f>'Source Table'!$B$14</f>
        <v>Mumps</v>
      </c>
      <c r="G219" t="str">
        <f>'Source Table'!$D$14</f>
        <v>نكاف ( ابو كعب )</v>
      </c>
      <c r="H219">
        <v>194</v>
      </c>
      <c r="I219">
        <v>2012</v>
      </c>
    </row>
    <row r="220" spans="1:9" ht="15.75">
      <c r="A220" s="24" t="s">
        <v>85</v>
      </c>
      <c r="B220" s="24" t="s">
        <v>86</v>
      </c>
      <c r="C220" s="16" t="s">
        <v>30</v>
      </c>
      <c r="D220" s="17" t="s">
        <v>31</v>
      </c>
      <c r="E220" s="25" t="s">
        <v>32</v>
      </c>
      <c r="F220" s="27" t="str">
        <f>'Source Table'!$B$15</f>
        <v>Whooping Cough</v>
      </c>
      <c r="G220" t="str">
        <f>'Source Table'!$D$15</f>
        <v>سعال ديكي</v>
      </c>
      <c r="H220">
        <v>0</v>
      </c>
      <c r="I220">
        <v>2012</v>
      </c>
    </row>
    <row r="221" spans="1:9" ht="15.75">
      <c r="A221" s="24" t="s">
        <v>85</v>
      </c>
      <c r="B221" s="24" t="s">
        <v>86</v>
      </c>
      <c r="C221" s="16" t="s">
        <v>30</v>
      </c>
      <c r="D221" s="17" t="s">
        <v>31</v>
      </c>
      <c r="E221" s="25" t="s">
        <v>32</v>
      </c>
      <c r="F221" s="27" t="str">
        <f>'Source Table'!$B$16</f>
        <v>M. Meningitis</v>
      </c>
      <c r="G221" t="str">
        <f>'Source Table'!$D$16</f>
        <v>التهاب السحايا الوبائي</v>
      </c>
      <c r="H221">
        <v>7</v>
      </c>
      <c r="I221">
        <v>2012</v>
      </c>
    </row>
    <row r="222" spans="1:9" ht="15.75">
      <c r="A222" s="24" t="s">
        <v>85</v>
      </c>
      <c r="B222" s="24" t="s">
        <v>86</v>
      </c>
      <c r="C222" s="16" t="s">
        <v>30</v>
      </c>
      <c r="D222" s="17" t="s">
        <v>31</v>
      </c>
      <c r="E222" s="25" t="s">
        <v>32</v>
      </c>
      <c r="F222" s="27" t="str">
        <f>'Source Table'!$B$17</f>
        <v>Non M. Meningitis</v>
      </c>
      <c r="G222" t="str">
        <f>'Source Table'!$D$17</f>
        <v>التهاب السحايا غير الوبائي</v>
      </c>
      <c r="H222">
        <v>325</v>
      </c>
      <c r="I222">
        <v>2012</v>
      </c>
    </row>
    <row r="223" spans="1:9" ht="15.75">
      <c r="A223" s="24" t="s">
        <v>85</v>
      </c>
      <c r="B223" s="24" t="s">
        <v>86</v>
      </c>
      <c r="C223" s="16" t="s">
        <v>30</v>
      </c>
      <c r="D223" s="17" t="s">
        <v>31</v>
      </c>
      <c r="E223" s="25" t="s">
        <v>32</v>
      </c>
      <c r="F223" s="27" t="str">
        <f>'Source Table'!$B$18</f>
        <v>Scarlet Fever</v>
      </c>
      <c r="G223" t="str">
        <f>'Source Table'!$D$18</f>
        <v>حمى قرمزية</v>
      </c>
      <c r="H223">
        <v>0</v>
      </c>
      <c r="I223">
        <v>2012</v>
      </c>
    </row>
    <row r="224" spans="1:9" ht="15.75">
      <c r="A224" s="24" t="s">
        <v>85</v>
      </c>
      <c r="B224" s="24" t="s">
        <v>86</v>
      </c>
      <c r="C224" s="16" t="s">
        <v>30</v>
      </c>
      <c r="D224" s="17" t="s">
        <v>31</v>
      </c>
      <c r="E224" s="25" t="s">
        <v>32</v>
      </c>
      <c r="F224" s="27" t="str">
        <f>'Source Table'!$B$19</f>
        <v>Brucellosiss</v>
      </c>
      <c r="G224" t="str">
        <f>'Source Table'!$D$19</f>
        <v>حمى مالطية</v>
      </c>
      <c r="H224">
        <v>96</v>
      </c>
      <c r="I224">
        <v>2012</v>
      </c>
    </row>
    <row r="225" spans="1:9" ht="15.75">
      <c r="A225" s="24" t="s">
        <v>85</v>
      </c>
      <c r="B225" s="24" t="s">
        <v>86</v>
      </c>
      <c r="C225" s="16" t="s">
        <v>30</v>
      </c>
      <c r="D225" s="17" t="s">
        <v>31</v>
      </c>
      <c r="E225" s="25" t="s">
        <v>32</v>
      </c>
      <c r="F225" s="27" t="str">
        <f>'Source Table'!$B$20</f>
        <v>German Measles</v>
      </c>
      <c r="G225" t="str">
        <f>'Source Table'!$D$20</f>
        <v>حصبة المانية مشتبهة</v>
      </c>
      <c r="H225">
        <v>46</v>
      </c>
      <c r="I225">
        <v>2012</v>
      </c>
    </row>
    <row r="226" spans="1:9" ht="15.75">
      <c r="A226" s="24" t="s">
        <v>85</v>
      </c>
      <c r="B226" s="24" t="s">
        <v>86</v>
      </c>
      <c r="C226" s="16" t="s">
        <v>30</v>
      </c>
      <c r="D226" s="17" t="s">
        <v>31</v>
      </c>
      <c r="E226" s="25" t="s">
        <v>32</v>
      </c>
      <c r="F226" s="27" t="str">
        <f>'Source Table'!$B$21</f>
        <v>adult tetanus</v>
      </c>
      <c r="G226" t="str">
        <f>'Source Table'!$D$21</f>
        <v>كزاز كبار</v>
      </c>
      <c r="I226">
        <v>2012</v>
      </c>
    </row>
    <row r="227" spans="1:9" ht="15.75">
      <c r="A227" s="24" t="s">
        <v>85</v>
      </c>
      <c r="B227" s="24" t="s">
        <v>86</v>
      </c>
      <c r="C227" s="16" t="s">
        <v>30</v>
      </c>
      <c r="D227" s="17" t="s">
        <v>31</v>
      </c>
      <c r="E227" s="25" t="s">
        <v>32</v>
      </c>
      <c r="F227" s="27" t="str">
        <f>'Source Table'!$B$22</f>
        <v>Ringworm</v>
      </c>
      <c r="G227" t="str">
        <f>'Source Table'!$D$22</f>
        <v>قرع</v>
      </c>
      <c r="H227">
        <v>0</v>
      </c>
      <c r="I227">
        <v>2012</v>
      </c>
    </row>
    <row r="228" spans="1:9" ht="15.75">
      <c r="A228" s="24" t="s">
        <v>85</v>
      </c>
      <c r="B228" s="24" t="s">
        <v>86</v>
      </c>
      <c r="C228" s="16" t="s">
        <v>30</v>
      </c>
      <c r="D228" s="17" t="s">
        <v>31</v>
      </c>
      <c r="E228" s="25" t="s">
        <v>32</v>
      </c>
      <c r="F228" s="27" t="str">
        <f>'Source Table'!$B$23</f>
        <v>Leshmania</v>
      </c>
      <c r="G228" t="str">
        <f>'Source Table'!$D$23</f>
        <v>لشمانيا جلدية</v>
      </c>
      <c r="H228">
        <v>103</v>
      </c>
      <c r="I228">
        <v>2012</v>
      </c>
    </row>
    <row r="229" spans="1:9" ht="15.75">
      <c r="A229" s="24" t="s">
        <v>85</v>
      </c>
      <c r="B229" s="24" t="s">
        <v>86</v>
      </c>
      <c r="C229" s="16" t="s">
        <v>30</v>
      </c>
      <c r="D229" s="17" t="s">
        <v>31</v>
      </c>
      <c r="E229" s="25" t="s">
        <v>32</v>
      </c>
      <c r="F229" s="27" t="str">
        <f>'Source Table'!$B$24</f>
        <v>Scabies</v>
      </c>
      <c r="G229" t="str">
        <f>'Source Table'!$D$24</f>
        <v>جرب</v>
      </c>
      <c r="H229">
        <v>0</v>
      </c>
      <c r="I229">
        <v>2012</v>
      </c>
    </row>
    <row r="230" spans="1:9" ht="15.75">
      <c r="A230" s="24" t="s">
        <v>85</v>
      </c>
      <c r="B230" s="24" t="s">
        <v>86</v>
      </c>
      <c r="C230" s="16" t="s">
        <v>30</v>
      </c>
      <c r="D230" s="17" t="s">
        <v>31</v>
      </c>
      <c r="E230" s="25" t="s">
        <v>32</v>
      </c>
      <c r="F230" s="27" t="str">
        <f>'Source Table'!$B$25</f>
        <v>Venereology</v>
      </c>
      <c r="G230" t="str">
        <f>'Source Table'!$D$25</f>
        <v>الامراض التناسلية</v>
      </c>
      <c r="H230">
        <v>9</v>
      </c>
      <c r="I230">
        <v>2012</v>
      </c>
    </row>
    <row r="231" spans="1:9" ht="15.75">
      <c r="A231" s="24" t="s">
        <v>85</v>
      </c>
      <c r="B231" s="24" t="s">
        <v>86</v>
      </c>
      <c r="C231" s="16" t="s">
        <v>30</v>
      </c>
      <c r="D231" s="17" t="s">
        <v>31</v>
      </c>
      <c r="E231" s="25" t="s">
        <v>32</v>
      </c>
      <c r="F231" s="27" t="str">
        <f>'Source Table'!$B$26</f>
        <v>Hydrated Cyst</v>
      </c>
      <c r="G231" t="str">
        <f>'Source Table'!$D$26</f>
        <v>الاكياس المائية</v>
      </c>
      <c r="H231">
        <v>0</v>
      </c>
      <c r="I231">
        <v>2012</v>
      </c>
    </row>
    <row r="232" spans="1:9" ht="15.75">
      <c r="A232" s="24" t="s">
        <v>85</v>
      </c>
      <c r="B232" s="24" t="s">
        <v>86</v>
      </c>
      <c r="C232" s="16" t="s">
        <v>30</v>
      </c>
      <c r="D232" s="17" t="s">
        <v>31</v>
      </c>
      <c r="E232" s="25" t="s">
        <v>32</v>
      </c>
      <c r="F232" s="27" t="str">
        <f>'Source Table'!$B$8</f>
        <v>Typhoid Fever &amp;para Typhoid</v>
      </c>
      <c r="G232" t="str">
        <f>'Source Table'!$D$8</f>
        <v>تيفوئيد وبارا تيفوئيد</v>
      </c>
      <c r="H232">
        <v>2</v>
      </c>
      <c r="I232">
        <v>2011</v>
      </c>
    </row>
    <row r="233" spans="1:9" ht="15.75">
      <c r="A233" s="24" t="s">
        <v>85</v>
      </c>
      <c r="B233" s="24" t="s">
        <v>86</v>
      </c>
      <c r="C233" s="16" t="s">
        <v>30</v>
      </c>
      <c r="D233" s="17" t="s">
        <v>31</v>
      </c>
      <c r="E233" s="25" t="s">
        <v>32</v>
      </c>
      <c r="F233" s="27" t="str">
        <f>'Source Table'!$B$9</f>
        <v>Dysentery</v>
      </c>
      <c r="G233" t="str">
        <f>'Source Table'!$D$9</f>
        <v>ديزينتري</v>
      </c>
      <c r="H233">
        <v>916</v>
      </c>
      <c r="I233">
        <v>2011</v>
      </c>
    </row>
    <row r="234" spans="1:9" ht="15.75">
      <c r="A234" s="24" t="s">
        <v>85</v>
      </c>
      <c r="B234" s="24" t="s">
        <v>86</v>
      </c>
      <c r="C234" s="16" t="s">
        <v>30</v>
      </c>
      <c r="D234" s="17" t="s">
        <v>31</v>
      </c>
      <c r="E234" s="25" t="s">
        <v>32</v>
      </c>
      <c r="F234" s="27" t="str">
        <f>'Source Table'!$B$10</f>
        <v>Hepatitis  B</v>
      </c>
      <c r="G234" t="str">
        <f>'Source Table'!$D$10</f>
        <v>التهاب الكبد المصلي ب</v>
      </c>
      <c r="H234">
        <v>5</v>
      </c>
      <c r="I234">
        <v>2011</v>
      </c>
    </row>
    <row r="235" spans="1:9" ht="15.75">
      <c r="A235" s="24" t="s">
        <v>85</v>
      </c>
      <c r="B235" s="24" t="s">
        <v>86</v>
      </c>
      <c r="C235" s="16" t="s">
        <v>30</v>
      </c>
      <c r="D235" s="17" t="s">
        <v>31</v>
      </c>
      <c r="E235" s="25" t="s">
        <v>32</v>
      </c>
      <c r="F235" s="27" t="str">
        <f>'Source Table'!$B$11</f>
        <v>Hepatitis  A</v>
      </c>
      <c r="G235" t="str">
        <f>'Source Table'!$D$11</f>
        <v>التهاب الكبد الوبائي ا</v>
      </c>
      <c r="H235">
        <v>418</v>
      </c>
      <c r="I235">
        <v>2011</v>
      </c>
    </row>
    <row r="236" spans="1:9" ht="15.75">
      <c r="A236" s="24" t="s">
        <v>85</v>
      </c>
      <c r="B236" s="24" t="s">
        <v>86</v>
      </c>
      <c r="C236" s="16" t="s">
        <v>30</v>
      </c>
      <c r="D236" s="17" t="s">
        <v>31</v>
      </c>
      <c r="E236" s="25" t="s">
        <v>32</v>
      </c>
      <c r="F236" s="27" t="str">
        <f>'Source Table'!$B$12</f>
        <v>Measles</v>
      </c>
      <c r="G236" t="str">
        <f>'Source Table'!$D$12</f>
        <v>حصبة</v>
      </c>
      <c r="H236">
        <v>20</v>
      </c>
      <c r="I236">
        <v>2011</v>
      </c>
    </row>
    <row r="237" spans="1:9" ht="15.75">
      <c r="A237" s="24" t="s">
        <v>85</v>
      </c>
      <c r="B237" s="24" t="s">
        <v>86</v>
      </c>
      <c r="C237" s="16" t="s">
        <v>30</v>
      </c>
      <c r="D237" s="17" t="s">
        <v>31</v>
      </c>
      <c r="E237" s="25" t="s">
        <v>32</v>
      </c>
      <c r="F237" s="27" t="str">
        <f>'Source Table'!$B$13</f>
        <v>Chicken pox</v>
      </c>
      <c r="G237" t="str">
        <f>'Source Table'!$D$13</f>
        <v>جدري مائي</v>
      </c>
      <c r="H237">
        <v>6181</v>
      </c>
      <c r="I237">
        <v>2011</v>
      </c>
    </row>
    <row r="238" spans="1:9" ht="15.75">
      <c r="A238" s="24" t="s">
        <v>85</v>
      </c>
      <c r="B238" s="24" t="s">
        <v>86</v>
      </c>
      <c r="C238" s="16" t="s">
        <v>30</v>
      </c>
      <c r="D238" s="17" t="s">
        <v>31</v>
      </c>
      <c r="E238" s="25" t="s">
        <v>32</v>
      </c>
      <c r="F238" s="27" t="str">
        <f>'Source Table'!$B$14</f>
        <v>Mumps</v>
      </c>
      <c r="G238" t="str">
        <f>'Source Table'!$D$14</f>
        <v>نكاف ( ابو كعب )</v>
      </c>
      <c r="H238">
        <v>175</v>
      </c>
      <c r="I238">
        <v>2011</v>
      </c>
    </row>
    <row r="239" spans="1:9" ht="15.75">
      <c r="A239" s="24" t="s">
        <v>85</v>
      </c>
      <c r="B239" s="24" t="s">
        <v>86</v>
      </c>
      <c r="C239" s="16" t="s">
        <v>30</v>
      </c>
      <c r="D239" s="17" t="s">
        <v>31</v>
      </c>
      <c r="E239" s="25" t="s">
        <v>32</v>
      </c>
      <c r="F239" s="27" t="str">
        <f>'Source Table'!$B$15</f>
        <v>Whooping Cough</v>
      </c>
      <c r="G239" t="str">
        <f>'Source Table'!$D$15</f>
        <v>سعال ديكي</v>
      </c>
      <c r="H239">
        <v>0</v>
      </c>
      <c r="I239">
        <v>2011</v>
      </c>
    </row>
    <row r="240" spans="1:9" ht="15.75">
      <c r="A240" s="24" t="s">
        <v>85</v>
      </c>
      <c r="B240" s="24" t="s">
        <v>86</v>
      </c>
      <c r="C240" s="16" t="s">
        <v>30</v>
      </c>
      <c r="D240" s="17" t="s">
        <v>31</v>
      </c>
      <c r="E240" s="25" t="s">
        <v>32</v>
      </c>
      <c r="F240" s="27" t="str">
        <f>'Source Table'!$B$16</f>
        <v>M. Meningitis</v>
      </c>
      <c r="G240" t="str">
        <f>'Source Table'!$D$16</f>
        <v>التهاب السحايا الوبائي</v>
      </c>
      <c r="H240">
        <v>9</v>
      </c>
      <c r="I240">
        <v>2011</v>
      </c>
    </row>
    <row r="241" spans="1:9" ht="15.75">
      <c r="A241" s="24" t="s">
        <v>85</v>
      </c>
      <c r="B241" s="24" t="s">
        <v>86</v>
      </c>
      <c r="C241" s="16" t="s">
        <v>30</v>
      </c>
      <c r="D241" s="17" t="s">
        <v>31</v>
      </c>
      <c r="E241" s="25" t="s">
        <v>32</v>
      </c>
      <c r="F241" s="27" t="str">
        <f>'Source Table'!$B$17</f>
        <v>Non M. Meningitis</v>
      </c>
      <c r="G241" t="str">
        <f>'Source Table'!$D$17</f>
        <v>التهاب السحايا غير الوبائي</v>
      </c>
      <c r="H241">
        <v>334</v>
      </c>
      <c r="I241">
        <v>2011</v>
      </c>
    </row>
    <row r="242" spans="1:9" ht="15.75">
      <c r="A242" s="24" t="s">
        <v>85</v>
      </c>
      <c r="B242" s="24" t="s">
        <v>86</v>
      </c>
      <c r="C242" s="16" t="s">
        <v>30</v>
      </c>
      <c r="D242" s="17" t="s">
        <v>31</v>
      </c>
      <c r="E242" s="25" t="s">
        <v>32</v>
      </c>
      <c r="F242" s="27" t="str">
        <f>'Source Table'!$B$18</f>
        <v>Scarlet Fever</v>
      </c>
      <c r="G242" t="str">
        <f>'Source Table'!$D$18</f>
        <v>حمى قرمزية</v>
      </c>
      <c r="H242">
        <v>0</v>
      </c>
      <c r="I242">
        <v>2011</v>
      </c>
    </row>
    <row r="243" spans="1:9" ht="15.75">
      <c r="A243" s="24" t="s">
        <v>85</v>
      </c>
      <c r="B243" s="24" t="s">
        <v>86</v>
      </c>
      <c r="C243" s="16" t="s">
        <v>30</v>
      </c>
      <c r="D243" s="17" t="s">
        <v>31</v>
      </c>
      <c r="E243" s="25" t="s">
        <v>32</v>
      </c>
      <c r="F243" s="27" t="str">
        <f>'Source Table'!$B$19</f>
        <v>Brucellosiss</v>
      </c>
      <c r="G243" t="str">
        <f>'Source Table'!$D$19</f>
        <v>حمى مالطية</v>
      </c>
      <c r="H243">
        <v>119</v>
      </c>
      <c r="I243">
        <v>2011</v>
      </c>
    </row>
    <row r="244" spans="1:9" ht="15.75">
      <c r="A244" s="24" t="s">
        <v>85</v>
      </c>
      <c r="B244" s="24" t="s">
        <v>86</v>
      </c>
      <c r="C244" s="16" t="s">
        <v>30</v>
      </c>
      <c r="D244" s="17" t="s">
        <v>31</v>
      </c>
      <c r="E244" s="25" t="s">
        <v>32</v>
      </c>
      <c r="F244" s="27" t="str">
        <f>'Source Table'!$B$20</f>
        <v>German Measles</v>
      </c>
      <c r="G244" t="str">
        <f>'Source Table'!$D$20</f>
        <v>حصبة المانية مشتبهة</v>
      </c>
      <c r="H244">
        <v>30</v>
      </c>
      <c r="I244">
        <v>2011</v>
      </c>
    </row>
    <row r="245" spans="1:9" ht="15.75">
      <c r="A245" s="24" t="s">
        <v>85</v>
      </c>
      <c r="B245" s="24" t="s">
        <v>86</v>
      </c>
      <c r="C245" s="16" t="s">
        <v>30</v>
      </c>
      <c r="D245" s="17" t="s">
        <v>31</v>
      </c>
      <c r="E245" s="25" t="s">
        <v>32</v>
      </c>
      <c r="F245" s="27" t="str">
        <f>'Source Table'!$B$21</f>
        <v>adult tetanus</v>
      </c>
      <c r="G245" t="str">
        <f>'Source Table'!$D$21</f>
        <v>كزاز كبار</v>
      </c>
      <c r="I245">
        <v>2011</v>
      </c>
    </row>
    <row r="246" spans="1:9" ht="15.75">
      <c r="A246" s="24" t="s">
        <v>85</v>
      </c>
      <c r="B246" s="24" t="s">
        <v>86</v>
      </c>
      <c r="C246" s="16" t="s">
        <v>30</v>
      </c>
      <c r="D246" s="17" t="s">
        <v>31</v>
      </c>
      <c r="E246" s="25" t="s">
        <v>32</v>
      </c>
      <c r="F246" s="27" t="str">
        <f>'Source Table'!$B$22</f>
        <v>Ringworm</v>
      </c>
      <c r="G246" t="str">
        <f>'Source Table'!$D$22</f>
        <v>قرع</v>
      </c>
      <c r="H246">
        <v>0</v>
      </c>
      <c r="I246">
        <v>2011</v>
      </c>
    </row>
    <row r="247" spans="1:9" ht="15.75">
      <c r="A247" s="24" t="s">
        <v>85</v>
      </c>
      <c r="B247" s="24" t="s">
        <v>86</v>
      </c>
      <c r="C247" s="16" t="s">
        <v>30</v>
      </c>
      <c r="D247" s="17" t="s">
        <v>31</v>
      </c>
      <c r="E247" s="25" t="s">
        <v>32</v>
      </c>
      <c r="F247" s="27" t="str">
        <f>'Source Table'!$B$23</f>
        <v>Leshmania</v>
      </c>
      <c r="G247" t="str">
        <f>'Source Table'!$D$23</f>
        <v>لشمانيا جلدية</v>
      </c>
      <c r="H247">
        <v>136</v>
      </c>
      <c r="I247">
        <v>2011</v>
      </c>
    </row>
    <row r="248" spans="1:9" ht="15.75">
      <c r="A248" s="24" t="s">
        <v>85</v>
      </c>
      <c r="B248" s="24" t="s">
        <v>86</v>
      </c>
      <c r="C248" s="16" t="s">
        <v>30</v>
      </c>
      <c r="D248" s="17" t="s">
        <v>31</v>
      </c>
      <c r="E248" s="25" t="s">
        <v>32</v>
      </c>
      <c r="F248" s="27" t="str">
        <f>'Source Table'!$B$24</f>
        <v>Scabies</v>
      </c>
      <c r="G248" t="str">
        <f>'Source Table'!$D$24</f>
        <v>جرب</v>
      </c>
      <c r="H248">
        <v>0</v>
      </c>
      <c r="I248">
        <v>2011</v>
      </c>
    </row>
    <row r="249" spans="1:9" ht="15.75">
      <c r="A249" s="24" t="s">
        <v>85</v>
      </c>
      <c r="B249" s="24" t="s">
        <v>86</v>
      </c>
      <c r="C249" s="16" t="s">
        <v>30</v>
      </c>
      <c r="D249" s="17" t="s">
        <v>31</v>
      </c>
      <c r="E249" s="25" t="s">
        <v>32</v>
      </c>
      <c r="F249" s="27" t="str">
        <f>'Source Table'!$B$25</f>
        <v>Venereology</v>
      </c>
      <c r="G249" t="str">
        <f>'Source Table'!$D$25</f>
        <v>الامراض التناسلية</v>
      </c>
      <c r="H249">
        <v>9</v>
      </c>
      <c r="I249">
        <v>2011</v>
      </c>
    </row>
    <row r="250" spans="1:9" ht="15.75">
      <c r="A250" s="24" t="s">
        <v>85</v>
      </c>
      <c r="B250" s="24" t="s">
        <v>86</v>
      </c>
      <c r="C250" s="16" t="s">
        <v>30</v>
      </c>
      <c r="D250" s="17" t="s">
        <v>31</v>
      </c>
      <c r="E250" s="25" t="s">
        <v>32</v>
      </c>
      <c r="F250" s="27" t="str">
        <f>'Source Table'!$B$26</f>
        <v>Hydrated Cyst</v>
      </c>
      <c r="G250" t="str">
        <f>'Source Table'!$D$26</f>
        <v>الاكياس المائية</v>
      </c>
      <c r="H250">
        <v>2</v>
      </c>
      <c r="I250">
        <v>2011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zoomScale="70" zoomScaleNormal="70" workbookViewId="0">
      <selection activeCell="F5" sqref="F5:G5"/>
    </sheetView>
  </sheetViews>
  <sheetFormatPr defaultColWidth="9" defaultRowHeight="13.5"/>
  <cols>
    <col min="1" max="14" width="24.5" customWidth="1"/>
    <col min="15" max="16" width="15" customWidth="1"/>
    <col min="17" max="17" width="8.75" customWidth="1"/>
    <col min="18" max="18" width="11.5" customWidth="1"/>
    <col min="19" max="19" width="12" customWidth="1"/>
    <col min="20" max="20" width="9.875" customWidth="1"/>
    <col min="21" max="21" width="7.5" customWidth="1"/>
  </cols>
  <sheetData>
    <row r="1" spans="1:10">
      <c r="A1" s="11" t="s">
        <v>33</v>
      </c>
      <c r="B1" s="12">
        <f>DATE(B2,B3,1)</f>
        <v>45292</v>
      </c>
    </row>
    <row r="2" spans="1:10">
      <c r="A2" s="11" t="s">
        <v>11</v>
      </c>
      <c r="B2">
        <v>2024</v>
      </c>
      <c r="D2" s="12"/>
    </row>
    <row r="3" spans="1:10">
      <c r="A3" s="11" t="s">
        <v>34</v>
      </c>
      <c r="B3">
        <v>1</v>
      </c>
    </row>
    <row r="4" spans="1:10">
      <c r="A4" s="13" t="s">
        <v>14</v>
      </c>
      <c r="B4" s="13" t="s">
        <v>15</v>
      </c>
      <c r="C4" s="13" t="s">
        <v>16</v>
      </c>
      <c r="D4" s="13" t="s">
        <v>17</v>
      </c>
      <c r="E4" s="13" t="s">
        <v>18</v>
      </c>
      <c r="F4" s="14" t="s">
        <v>128</v>
      </c>
      <c r="G4" s="14" t="s">
        <v>129</v>
      </c>
      <c r="H4" s="13" t="s">
        <v>19</v>
      </c>
      <c r="I4" s="13" t="s">
        <v>20</v>
      </c>
      <c r="J4" s="13" t="s">
        <v>21</v>
      </c>
    </row>
    <row r="5" spans="1:10">
      <c r="A5" s="13" t="s">
        <v>22</v>
      </c>
      <c r="B5" s="13" t="s">
        <v>23</v>
      </c>
      <c r="C5" s="13" t="s">
        <v>24</v>
      </c>
      <c r="D5" s="13" t="s">
        <v>25</v>
      </c>
      <c r="E5" s="13" t="s">
        <v>26</v>
      </c>
      <c r="F5" s="14" t="s">
        <v>131</v>
      </c>
      <c r="G5" s="14" t="s">
        <v>130</v>
      </c>
      <c r="H5" s="13" t="s">
        <v>27</v>
      </c>
      <c r="I5" s="13" t="s">
        <v>28</v>
      </c>
      <c r="J5" s="13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8"/>
  <sheetViews>
    <sheetView topLeftCell="A11" workbookViewId="0">
      <selection activeCell="A20" sqref="A20"/>
    </sheetView>
  </sheetViews>
  <sheetFormatPr defaultColWidth="8.875" defaultRowHeight="13.5"/>
  <cols>
    <col min="1" max="1" width="90" style="1" customWidth="1"/>
    <col min="2" max="2" width="2.5" style="2" customWidth="1"/>
    <col min="3" max="3" width="87.375" style="3" customWidth="1"/>
    <col min="4" max="16384" width="8.875" style="4"/>
  </cols>
  <sheetData>
    <row r="2" spans="1:3" ht="18">
      <c r="A2" s="5" t="s">
        <v>35</v>
      </c>
      <c r="C2" s="6" t="s">
        <v>36</v>
      </c>
    </row>
    <row r="3" spans="1:3">
      <c r="A3" s="7"/>
    </row>
    <row r="4" spans="1:3" ht="27">
      <c r="A4" s="7" t="s">
        <v>37</v>
      </c>
      <c r="C4" s="3" t="s">
        <v>38</v>
      </c>
    </row>
    <row r="6" spans="1:3" ht="18">
      <c r="A6" s="5" t="s">
        <v>39</v>
      </c>
      <c r="C6" s="6" t="s">
        <v>40</v>
      </c>
    </row>
    <row r="7" spans="1:3">
      <c r="A7" s="7"/>
    </row>
    <row r="8" spans="1:3" ht="27">
      <c r="A8" s="8" t="s">
        <v>41</v>
      </c>
      <c r="C8" s="3" t="s">
        <v>42</v>
      </c>
    </row>
    <row r="10" spans="1:3" ht="18">
      <c r="A10" s="5" t="s">
        <v>43</v>
      </c>
      <c r="C10" s="6" t="s">
        <v>44</v>
      </c>
    </row>
    <row r="11" spans="1:3">
      <c r="A11" s="7"/>
    </row>
    <row r="12" spans="1:3">
      <c r="A12" s="7" t="s">
        <v>45</v>
      </c>
      <c r="C12" s="3" t="s">
        <v>46</v>
      </c>
    </row>
    <row r="13" spans="1:3" ht="27">
      <c r="A13" s="8" t="s">
        <v>47</v>
      </c>
      <c r="C13" s="9" t="s">
        <v>48</v>
      </c>
    </row>
    <row r="14" spans="1:3" ht="40.5">
      <c r="A14" s="8" t="s">
        <v>49</v>
      </c>
      <c r="C14" s="9" t="s">
        <v>50</v>
      </c>
    </row>
    <row r="15" spans="1:3" ht="27">
      <c r="A15" s="8" t="s">
        <v>51</v>
      </c>
      <c r="C15" s="9" t="s">
        <v>52</v>
      </c>
    </row>
    <row r="16" spans="1:3">
      <c r="A16" s="8" t="s">
        <v>53</v>
      </c>
      <c r="C16" s="9" t="s">
        <v>54</v>
      </c>
    </row>
    <row r="17" spans="1:3">
      <c r="A17" s="8" t="s">
        <v>55</v>
      </c>
      <c r="C17" s="9" t="s">
        <v>56</v>
      </c>
    </row>
    <row r="18" spans="1:3">
      <c r="A18" s="7" t="s">
        <v>57</v>
      </c>
      <c r="C18" s="3" t="s">
        <v>58</v>
      </c>
    </row>
    <row r="19" spans="1:3">
      <c r="A19" s="7" t="s">
        <v>59</v>
      </c>
      <c r="C19" s="3" t="s">
        <v>60</v>
      </c>
    </row>
    <row r="20" spans="1:3" ht="27">
      <c r="A20" s="8" t="s">
        <v>84</v>
      </c>
      <c r="C20" s="9" t="s">
        <v>61</v>
      </c>
    </row>
    <row r="22" spans="1:3" ht="18">
      <c r="A22" s="5" t="s">
        <v>62</v>
      </c>
      <c r="C22" s="6" t="s">
        <v>63</v>
      </c>
    </row>
    <row r="23" spans="1:3">
      <c r="A23" s="7"/>
    </row>
    <row r="24" spans="1:3" ht="27">
      <c r="A24" s="7" t="s">
        <v>64</v>
      </c>
      <c r="C24" s="3" t="s">
        <v>65</v>
      </c>
    </row>
    <row r="25" spans="1:3" ht="27">
      <c r="A25" s="7" t="s">
        <v>66</v>
      </c>
      <c r="C25" s="3" t="s">
        <v>67</v>
      </c>
    </row>
    <row r="27" spans="1:3" ht="18">
      <c r="A27" s="5" t="s">
        <v>68</v>
      </c>
      <c r="C27" s="6" t="s">
        <v>69</v>
      </c>
    </row>
    <row r="28" spans="1:3">
      <c r="A28" s="7"/>
    </row>
    <row r="29" spans="1:3" ht="27">
      <c r="A29" s="7" t="s">
        <v>70</v>
      </c>
      <c r="C29" s="3" t="s">
        <v>71</v>
      </c>
    </row>
    <row r="30" spans="1:3">
      <c r="A30" s="7" t="s">
        <v>72</v>
      </c>
      <c r="C30" s="3" t="s">
        <v>73</v>
      </c>
    </row>
    <row r="32" spans="1:3" ht="18">
      <c r="A32" s="5" t="s">
        <v>74</v>
      </c>
      <c r="C32" s="6" t="s">
        <v>75</v>
      </c>
    </row>
    <row r="33" spans="1:3">
      <c r="A33" s="7"/>
    </row>
    <row r="34" spans="1:3">
      <c r="A34" s="8" t="s">
        <v>76</v>
      </c>
      <c r="C34" s="3" t="s">
        <v>77</v>
      </c>
    </row>
    <row r="36" spans="1:3" ht="18">
      <c r="A36" s="5" t="s">
        <v>78</v>
      </c>
      <c r="C36" s="6" t="s">
        <v>79</v>
      </c>
    </row>
    <row r="37" spans="1:3">
      <c r="A37" s="7"/>
    </row>
    <row r="38" spans="1:3" ht="27">
      <c r="A38" s="7" t="s">
        <v>80</v>
      </c>
      <c r="C38" s="3" t="s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85009966E43949B185D693F3D86775" ma:contentTypeVersion="13" ma:contentTypeDescription="Create a new document." ma:contentTypeScope="" ma:versionID="c4bb13514e9e5e032f19cdf2ed87b874">
  <xsd:schema xmlns:xsd="http://www.w3.org/2001/XMLSchema" xmlns:xs="http://www.w3.org/2001/XMLSchema" xmlns:p="http://schemas.microsoft.com/office/2006/metadata/properties" xmlns:ns2="9e2ee8df-7f46-4126-8e69-ac276bfc5b66" xmlns:ns3="1eca1254-de44-4dbc-a0e3-13eda993f25c" targetNamespace="http://schemas.microsoft.com/office/2006/metadata/properties" ma:root="true" ma:fieldsID="c9cc84fdd1f0af9662e16c1f4ece0773" ns2:_="" ns3:_="">
    <xsd:import namespace="9e2ee8df-7f46-4126-8e69-ac276bfc5b66"/>
    <xsd:import namespace="1eca1254-de44-4dbc-a0e3-13eda993f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ee8df-7f46-4126-8e69-ac276bfc5b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6b3ecb2-e686-4fee-99ce-cfafdc9235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a1254-de44-4dbc-a0e3-13eda993f25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15df419-64d5-4208-bdb5-af8679bc7c03}" ma:internalName="TaxCatchAll" ma:showField="CatchAllData" ma:web="1eca1254-de44-4dbc-a0e3-13eda993f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2ee8df-7f46-4126-8e69-ac276bfc5b66">
      <Terms xmlns="http://schemas.microsoft.com/office/infopath/2007/PartnerControls"/>
    </lcf76f155ced4ddcb4097134ff3c332f>
    <TaxCatchAll xmlns="1eca1254-de44-4dbc-a0e3-13eda993f25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6" master="" otherUserPermission="visible"/>
</allowEditUser>
</file>

<file path=customXml/itemProps1.xml><?xml version="1.0" encoding="utf-8"?>
<ds:datastoreItem xmlns:ds="http://schemas.openxmlformats.org/officeDocument/2006/customXml" ds:itemID="{2B69E51F-8050-470A-8899-CD75CA9C3B53}">
  <ds:schemaRefs/>
</ds:datastoreItem>
</file>

<file path=customXml/itemProps2.xml><?xml version="1.0" encoding="utf-8"?>
<ds:datastoreItem xmlns:ds="http://schemas.openxmlformats.org/officeDocument/2006/customXml" ds:itemID="{376B0781-3F54-40BC-A068-7F5A2310ECAB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1eca1254-de44-4dbc-a0e3-13eda993f25c"/>
    <ds:schemaRef ds:uri="9e2ee8df-7f46-4126-8e69-ac276bfc5b6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EFB3727-0098-41DB-9DEB-08A099D40A76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Cover Page</vt:lpstr>
      <vt:lpstr>Source Table</vt:lpstr>
      <vt:lpstr>Relational DB</vt:lpstr>
      <vt:lpstr>Template Data</vt:lpstr>
      <vt:lpstr>Help</vt:lpstr>
      <vt:lpstr>'Source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2025-01-27T11:13:29Z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F7A31A8716754454B5889FF50E07C575_13</vt:lpwstr>
  </property>
  <property fmtid="{D5CDD505-2E9C-101B-9397-08002B2CF9AE}" pid="5" name="KSOProductBuildVer">
    <vt:lpwstr>1033-12.2.0.19805</vt:lpwstr>
  </property>
</Properties>
</file>