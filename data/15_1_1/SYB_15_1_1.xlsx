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635" windowHeight="7500" activeTab="2"/>
  </bookViews>
  <sheets>
    <sheet name="Cover Page" sheetId="1" r:id="rId1"/>
    <sheet name="Source Table" sheetId="2" r:id="rId2"/>
    <sheet name="Relational DB" sheetId="8" r:id="rId3"/>
    <sheet name="Template Data" sheetId="4" r:id="rId4"/>
    <sheet name="Help" sheetId="6" r:id="rId5"/>
    <sheet name="Sheet1" sheetId="9" r:id="rId6"/>
  </sheets>
  <definedNames>
    <definedName name="_xlnm.Print_Area" localSheetId="1">'Source Table'!$B$2:$D$22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<sst xmlns="http://schemas.openxmlformats.org/spreadsheetml/2006/main" count="1717" uniqueCount="132">
  <si>
    <t>Code</t>
  </si>
  <si>
    <t>SYB_15_1_1</t>
  </si>
  <si>
    <t>Version</t>
  </si>
  <si>
    <t>V1</t>
  </si>
  <si>
    <t>اسم القالب</t>
  </si>
  <si>
    <t>القادمون حسب وسيلة السفر ومركز الدخول</t>
  </si>
  <si>
    <t>Template Name</t>
  </si>
  <si>
    <t>Arrivals by Means of Transport and Point of Entry</t>
  </si>
  <si>
    <t>دورية البيانات</t>
  </si>
  <si>
    <t>سنوي</t>
  </si>
  <si>
    <t>Data Frequency</t>
  </si>
  <si>
    <t>Yearly</t>
  </si>
  <si>
    <t>الجهة المصدرية</t>
  </si>
  <si>
    <t>مديرية الأمن العام</t>
  </si>
  <si>
    <t>Data Source</t>
  </si>
  <si>
    <t xml:space="preserve">Public Security Directorate </t>
  </si>
  <si>
    <t>Year</t>
  </si>
  <si>
    <t>السنة</t>
  </si>
  <si>
    <t>Means of Transport</t>
  </si>
  <si>
    <t>وسيلة السفر</t>
  </si>
  <si>
    <t>Land</t>
  </si>
  <si>
    <t>بر</t>
  </si>
  <si>
    <t>Sea</t>
  </si>
  <si>
    <t>بحر</t>
  </si>
  <si>
    <t>Air</t>
  </si>
  <si>
    <t>جو</t>
  </si>
  <si>
    <t>Point of Entry</t>
  </si>
  <si>
    <t>مركز الدخول</t>
  </si>
  <si>
    <t>Queen Alia Int.  Airport</t>
  </si>
  <si>
    <t>مطار الملكة علياء الدولي</t>
  </si>
  <si>
    <t>Amman Civil Airport</t>
  </si>
  <si>
    <t>مطار عمان المدني</t>
  </si>
  <si>
    <t>Aqaba Airport</t>
  </si>
  <si>
    <t>مطار العقبة</t>
  </si>
  <si>
    <t>Ramtha</t>
  </si>
  <si>
    <t>الرمثا</t>
  </si>
  <si>
    <t>Omari</t>
  </si>
  <si>
    <t>العمري</t>
  </si>
  <si>
    <t>Mudawara</t>
  </si>
  <si>
    <t>المدورة</t>
  </si>
  <si>
    <t>Durrah</t>
  </si>
  <si>
    <t>الدرة</t>
  </si>
  <si>
    <t>Aqaba Port</t>
  </si>
  <si>
    <t>ميناء العقبة</t>
  </si>
  <si>
    <t>Jordan Vally</t>
  </si>
  <si>
    <t>معبر وادي الأردن</t>
  </si>
  <si>
    <t>Alkaramah</t>
  </si>
  <si>
    <t>الكرامة</t>
  </si>
  <si>
    <t>Wadi Araba Crossing</t>
  </si>
  <si>
    <t>معبر وادي عربة</t>
  </si>
  <si>
    <t>Bridges</t>
  </si>
  <si>
    <t>الجسور</t>
  </si>
  <si>
    <t>Jaber</t>
  </si>
  <si>
    <t>جابر</t>
  </si>
  <si>
    <t>Measure_Name_Ar</t>
  </si>
  <si>
    <t>Measure_Name_En</t>
  </si>
  <si>
    <t>Measure_ID</t>
  </si>
  <si>
    <t>Unit_EN</t>
  </si>
  <si>
    <t>Unit_AR</t>
  </si>
  <si>
    <t>CL_MEANS_OF_TRANSPORT_AR_V1</t>
  </si>
  <si>
    <t>CL_MEANS_OF_TRANSPORT_EN_v1</t>
  </si>
  <si>
    <t>CL_POINTS_OF_ENTRY_AND_DEPARTURE_AR_V1</t>
  </si>
  <si>
    <t>CL_POINTS_OF_ENTRY_AND_DEPARTURE_EN_V1</t>
  </si>
  <si>
    <t>Obs_Value</t>
  </si>
  <si>
    <t>Time_Period_Y</t>
  </si>
  <si>
    <t>Time_Period_M</t>
  </si>
  <si>
    <t xml:space="preserve">اسم المؤشر </t>
  </si>
  <si>
    <t xml:space="preserve">Measure Name </t>
  </si>
  <si>
    <t>رمز المؤشر</t>
  </si>
  <si>
    <t>Unit</t>
  </si>
  <si>
    <t xml:space="preserve">الوحدة </t>
  </si>
  <si>
    <r>
      <rPr>
        <sz val="11"/>
        <color rgb="FF098BCE"/>
        <rFont val="Aptos Narrow"/>
        <charset val="134"/>
        <scheme val="minor"/>
      </rPr>
      <t>مراكز الدخول</t>
    </r>
    <r>
      <rPr>
        <sz val="11"/>
        <color rgb="FF098BCE"/>
        <rFont val="Aptos Narrow"/>
        <charset val="134"/>
        <scheme val="minor"/>
      </rPr>
      <t xml:space="preserve">  </t>
    </r>
    <r>
      <rPr>
        <sz val="11"/>
        <color rgb="FF098BCE"/>
        <rFont val="Aptos Narrow"/>
        <charset val="134"/>
        <scheme val="minor"/>
      </rPr>
      <t>و المغادرة</t>
    </r>
  </si>
  <si>
    <t>Points and of Entry and Departure</t>
  </si>
  <si>
    <t>قيمة المؤشر</t>
  </si>
  <si>
    <t>سنة فترة القياس</t>
  </si>
  <si>
    <t>شهر فترة القياس</t>
  </si>
  <si>
    <t>القادمون</t>
  </si>
  <si>
    <t>Arrivals</t>
  </si>
  <si>
    <t>M1</t>
  </si>
  <si>
    <t>Number</t>
  </si>
  <si>
    <t>عدد</t>
  </si>
  <si>
    <t>Not Applicable</t>
  </si>
  <si>
    <t>Date</t>
  </si>
  <si>
    <t>Month</t>
  </si>
  <si>
    <t>Step 1: Cover Page</t>
  </si>
  <si>
    <t>الخطوة 1: Cover Page</t>
  </si>
  <si>
    <t>Update the template information, to ensure that any meta-information about the template, such as the title, version, and description, is accurate and up-to-date.</t>
  </si>
  <si>
    <t>قم بتحديث معلومات القالب للتأكد من أن أي معلومات وصفية حول القالب، مثل العنوان والإصدار والوصف، دقيقة ومحدثة.</t>
  </si>
  <si>
    <t>Step 2: Source Table</t>
  </si>
  <si>
    <t>الخطوة 2: Source Table</t>
  </si>
  <si>
    <r>
      <rPr>
        <sz val="11"/>
        <color theme="1"/>
        <rFont val="Aptos Narrow"/>
        <charset val="134"/>
        <scheme val="minor"/>
      </rPr>
      <t xml:space="preserve">Design your template, ensuring that the time period is mapped correctly to the date information in rows 1-3 of the </t>
    </r>
    <r>
      <rPr>
        <b/>
        <sz val="11"/>
        <color theme="1"/>
        <rFont val="Aptos Narrow"/>
        <charset val="134"/>
        <scheme val="minor"/>
      </rPr>
      <t>Template Data Sheet</t>
    </r>
    <r>
      <rPr>
        <sz val="11"/>
        <color theme="1"/>
        <rFont val="Aptos Narrow"/>
        <charset val="134"/>
        <scheme val="minor"/>
      </rPr>
      <t>.</t>
    </r>
  </si>
  <si>
    <r>
      <rPr>
        <sz val="11"/>
        <color theme="1"/>
        <rFont val="Aptos Narrow"/>
        <charset val="134"/>
        <scheme val="minor"/>
      </rPr>
      <t>قم بتصميم القالب الخاص بك، مع التأكد من أن فترة الوقت مرتبطة بشكل صحيح مع معلومات التاريخ في الصفوف 1-3 في ورقة</t>
    </r>
    <r>
      <rPr>
        <b/>
        <sz val="11"/>
        <color theme="1"/>
        <rFont val="Aptos Narrow"/>
        <charset val="134"/>
        <scheme val="minor"/>
      </rPr>
      <t xml:space="preserve"> Template Data</t>
    </r>
    <r>
      <rPr>
        <sz val="11"/>
        <color theme="1"/>
        <rFont val="Aptos Narrow"/>
        <charset val="134"/>
        <scheme val="minor"/>
      </rPr>
      <t>.</t>
    </r>
  </si>
  <si>
    <t>Step 3: Relational Sheet</t>
  </si>
  <si>
    <t>الخطوة 3: Relational Sheet</t>
  </si>
  <si>
    <t>Unpivot the data in the source table into a flat format. Follow these guidelines:</t>
  </si>
  <si>
    <t>قم بتحويل البيانات في جدول المصدر إلى تنسيق مسطح. اتبع هذه الإرشادات:</t>
  </si>
  <si>
    <r>
      <rPr>
        <b/>
        <sz val="11"/>
        <color theme="1"/>
        <rFont val="Aptos Narrow"/>
        <charset val="134"/>
        <scheme val="minor"/>
      </rPr>
      <t>1. Blue Columns</t>
    </r>
    <r>
      <rPr>
        <sz val="11"/>
        <color theme="1"/>
        <rFont val="Aptos Narrow"/>
        <charset val="134"/>
        <scheme val="minor"/>
      </rPr>
      <t>: Do not change the names of the blue columns. Update the data as per the current template.</t>
    </r>
  </si>
  <si>
    <r>
      <rPr>
        <b/>
        <sz val="11"/>
        <color theme="1"/>
        <rFont val="Aptos Narrow"/>
        <charset val="134"/>
        <scheme val="minor"/>
      </rPr>
      <t>1. الأعمدة الزرقاء</t>
    </r>
    <r>
      <rPr>
        <sz val="11"/>
        <color theme="1"/>
        <rFont val="Aptos Narrow"/>
        <charset val="134"/>
        <scheme val="minor"/>
      </rPr>
      <t>: لا تقم بتغيير أسماء الأعمدة الزرقاء. قم بتحديث البيانات وفقًا للقالب الحالي.</t>
    </r>
  </si>
  <si>
    <r>
      <rPr>
        <b/>
        <sz val="11"/>
        <color theme="1"/>
        <rFont val="Aptos Narrow"/>
        <charset val="134"/>
        <scheme val="minor"/>
      </rPr>
      <t>2. Code Lists</t>
    </r>
    <r>
      <rPr>
        <sz val="11"/>
        <color theme="1"/>
        <rFont val="Aptos Narrow"/>
        <charset val="134"/>
        <scheme val="minor"/>
      </rPr>
      <t xml:space="preserve">: Use the naming convention </t>
    </r>
    <r>
      <rPr>
        <sz val="10"/>
        <color theme="1"/>
        <rFont val="Arial Unicode MS"/>
        <charset val="134"/>
      </rPr>
      <t>CL_XXX_EN_V#</t>
    </r>
    <r>
      <rPr>
        <sz val="11"/>
        <color theme="1"/>
        <rFont val="Aptos Narrow"/>
        <charset val="134"/>
        <scheme val="minor"/>
      </rPr>
      <t xml:space="preserve"> for code lists, where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is the name, and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is the version, conforming with the definitions in the data dictionary.</t>
    </r>
  </si>
  <si>
    <r>
      <rPr>
        <b/>
        <sz val="11"/>
        <color theme="1"/>
        <rFont val="Aptos Narrow"/>
        <charset val="134"/>
        <scheme val="minor"/>
      </rPr>
      <t>2. قوائم الرموز</t>
    </r>
    <r>
      <rPr>
        <sz val="11"/>
        <color theme="1"/>
        <rFont val="Aptos Narrow"/>
        <charset val="134"/>
        <scheme val="minor"/>
      </rPr>
      <t xml:space="preserve">: استخدم قاعدة التسمية </t>
    </r>
    <r>
      <rPr>
        <sz val="10"/>
        <color theme="1"/>
        <rFont val="Arial Unicode MS"/>
        <charset val="134"/>
      </rPr>
      <t xml:space="preserve">CL_XXX_EN_V# </t>
    </r>
    <r>
      <rPr>
        <sz val="11"/>
        <color theme="1"/>
        <rFont val="Aptos Narrow"/>
        <charset val="134"/>
        <scheme val="minor"/>
      </rPr>
      <t xml:space="preserve">لقوائم الرموز، حيث أن </t>
    </r>
    <r>
      <rPr>
        <sz val="10"/>
        <color theme="1"/>
        <rFont val="Arial Unicode MS"/>
        <charset val="134"/>
      </rPr>
      <t>XXX</t>
    </r>
    <r>
      <rPr>
        <sz val="11"/>
        <color theme="1"/>
        <rFont val="Aptos Narrow"/>
        <charset val="134"/>
        <scheme val="minor"/>
      </rPr>
      <t xml:space="preserve"> هو الاسم و </t>
    </r>
    <r>
      <rPr>
        <sz val="10"/>
        <color theme="1"/>
        <rFont val="Arial Unicode MS"/>
        <charset val="134"/>
      </rPr>
      <t>V#</t>
    </r>
    <r>
      <rPr>
        <sz val="11"/>
        <color theme="1"/>
        <rFont val="Aptos Narrow"/>
        <charset val="134"/>
        <scheme val="minor"/>
      </rPr>
      <t xml:space="preserve"> هو الإصدار، وفقًا للتعريفات في قاموس البيانات.</t>
    </r>
  </si>
  <si>
    <r>
      <rPr>
        <b/>
        <sz val="11"/>
        <color theme="1"/>
        <rFont val="Aptos Narrow"/>
        <charset val="134"/>
        <scheme val="minor"/>
      </rPr>
      <t>3. Code List Values</t>
    </r>
    <r>
      <rPr>
        <sz val="11"/>
        <color theme="1"/>
        <rFont val="Aptos Narrow"/>
        <charset val="134"/>
        <scheme val="minor"/>
      </rPr>
      <t>: Ensure the code list values match the definitions in the data dictionary.</t>
    </r>
  </si>
  <si>
    <r>
      <rPr>
        <b/>
        <sz val="11"/>
        <color theme="1"/>
        <rFont val="Aptos Narrow"/>
        <charset val="134"/>
        <scheme val="minor"/>
      </rPr>
      <t>3. قيم قائمة الرموز</t>
    </r>
    <r>
      <rPr>
        <sz val="11"/>
        <color theme="1"/>
        <rFont val="Aptos Narrow"/>
        <charset val="134"/>
        <scheme val="minor"/>
      </rPr>
      <t>: تأكد من أن قيم قائمة الرموز تتوافق مع التعريفات في قاموس البيانات.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</si>
  <si>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Leave empty if the data frequency is yearly.</t>
    </r>
  </si>
  <si>
    <r>
      <rPr>
        <b/>
        <sz val="11"/>
        <color theme="1"/>
        <rFont val="Aptos Narrow"/>
        <charset val="134"/>
        <scheme val="minor"/>
      </rPr>
      <t>4. Time_Period_M</t>
    </r>
    <r>
      <rPr>
        <sz val="11"/>
        <color theme="1"/>
        <rFont val="Aptos Narrow"/>
        <charset val="134"/>
        <scheme val="minor"/>
      </rPr>
      <t>: اتركها فارغة إذا كانت دورية البيانات سنوية.</t>
    </r>
  </si>
  <si>
    <r>
      <rPr>
        <b/>
        <sz val="11"/>
        <color theme="1"/>
        <rFont val="Aptos Narrow"/>
        <charset val="134"/>
        <scheme val="minor"/>
      </rPr>
      <t>5. Time_Period_M Format</t>
    </r>
    <r>
      <rPr>
        <sz val="11"/>
        <color theme="1"/>
        <rFont val="Aptos Narrow"/>
        <charset val="134"/>
        <scheme val="minor"/>
      </rPr>
      <t>: Use one of these formats:</t>
    </r>
  </si>
  <si>
    <r>
      <rPr>
        <b/>
        <sz val="11"/>
        <color theme="1"/>
        <rFont val="Aptos Narrow"/>
        <charset val="134"/>
        <scheme val="minor"/>
      </rPr>
      <t>5. تنسيق Time_Period_M</t>
    </r>
    <r>
      <rPr>
        <sz val="11"/>
        <color theme="1"/>
        <rFont val="Aptos Narrow"/>
        <charset val="134"/>
        <scheme val="minor"/>
      </rPr>
      <t>: استخدم أحد التنسيقات التالية:</t>
    </r>
  </si>
  <si>
    <r>
      <rPr>
        <sz val="11"/>
        <color theme="1"/>
        <rFont val="Aptos Narrow"/>
        <charset val="134"/>
        <scheme val="minor"/>
      </rPr>
      <t xml:space="preserve">Numeric: </t>
    </r>
    <r>
      <rPr>
        <sz val="10"/>
        <color theme="1"/>
        <rFont val="Arial Unicode MS"/>
        <charset val="134"/>
      </rPr>
      <t>(1, 2, 3, ..., 12)</t>
    </r>
    <r>
      <rPr>
        <sz val="11"/>
        <color theme="1"/>
        <rFont val="Aptos Narrow"/>
        <charset val="134"/>
        <scheme val="minor"/>
      </rPr>
      <t xml:space="preserve"> for months.</t>
    </r>
  </si>
  <si>
    <t>رقمي: (1، 2، 3، ...، 12) للأشهر.</t>
  </si>
  <si>
    <r>
      <rPr>
        <sz val="11"/>
        <color theme="1"/>
        <rFont val="Aptos Narrow"/>
        <charset val="134"/>
        <scheme val="minor"/>
      </rPr>
      <t xml:space="preserve">Text: </t>
    </r>
    <r>
      <rPr>
        <sz val="10"/>
        <color theme="1"/>
        <rFont val="Arial Unicode MS"/>
        <charset val="134"/>
      </rPr>
      <t>(Jan, Feb, Mar, ..., Dec)</t>
    </r>
    <r>
      <rPr>
        <sz val="11"/>
        <color theme="1"/>
        <rFont val="Aptos Narrow"/>
        <charset val="134"/>
        <scheme val="minor"/>
      </rPr>
      <t>.</t>
    </r>
  </si>
  <si>
    <t>نصي:(Jan, Feb, Mar, ..., Dec)</t>
  </si>
  <si>
    <r>
      <rPr>
        <b/>
        <sz val="11"/>
        <color theme="1"/>
        <rFont val="Aptos Narrow"/>
        <charset val="134"/>
        <scheme val="minor"/>
      </rPr>
      <t>6. Obs_Value</t>
    </r>
    <r>
      <rPr>
        <sz val="11"/>
        <color theme="1"/>
        <rFont val="Aptos Narrow"/>
        <charset val="134"/>
        <scheme val="minor"/>
      </rPr>
      <t>: It is recommended to use the formula =IF('Source Table'!XX="","",'Source Table'!XX) to handle empty data values correctly.</t>
    </r>
  </si>
  <si>
    <r>
      <rPr>
        <b/>
        <sz val="11"/>
        <color theme="1"/>
        <rFont val="Aptos Narrow"/>
        <charset val="134"/>
        <scheme val="minor"/>
      </rPr>
      <t xml:space="preserve">6. Obs_Value: </t>
    </r>
    <r>
      <rPr>
        <sz val="11"/>
        <color theme="1"/>
        <rFont val="Aptos Narrow"/>
        <charset val="134"/>
        <scheme val="minor"/>
      </rPr>
      <t>يُوصى باستخدام الصيغة =IF('Source Table'!XX="","",'Source Table'!XX) للتعامل بشكل صحيح مع القيم الفارغة في البيانات.</t>
    </r>
  </si>
  <si>
    <t>Step 4: Template Data</t>
  </si>
  <si>
    <t>الخطوة 4: Template Data</t>
  </si>
  <si>
    <r>
      <rPr>
        <sz val="11"/>
        <color theme="1"/>
        <rFont val="Aptos Narrow"/>
        <charset val="134"/>
        <scheme val="minor"/>
      </rPr>
      <t xml:space="preserve">Copy rows 2 and 3 from the </t>
    </r>
    <r>
      <rPr>
        <b/>
        <sz val="11"/>
        <color theme="1"/>
        <rFont val="Aptos Narrow"/>
        <charset val="134"/>
        <scheme val="minor"/>
      </rPr>
      <t>Relational DB</t>
    </r>
    <r>
      <rPr>
        <sz val="11"/>
        <color theme="1"/>
        <rFont val="Aptos Narrow"/>
        <charset val="134"/>
        <scheme val="minor"/>
      </rPr>
      <t xml:space="preserve"> sheet and paste them into rows 4 and 5 of the </t>
    </r>
    <r>
      <rPr>
        <b/>
        <sz val="11"/>
        <color theme="1"/>
        <rFont val="Aptos Narrow"/>
        <charset val="134"/>
        <scheme val="minor"/>
      </rPr>
      <t>Template Data</t>
    </r>
    <r>
      <rPr>
        <sz val="11"/>
        <color theme="1"/>
        <rFont val="Aptos Narrow"/>
        <charset val="134"/>
        <scheme val="minor"/>
      </rPr>
      <t xml:space="preserve"> sheet.</t>
    </r>
  </si>
  <si>
    <t>قم بنسخ الصفوف 2 و 3 من ورقة Relational DB والصقها في الصفوف 4 و 5 من ورقة Template Data.</t>
  </si>
  <si>
    <r>
      <rPr>
        <sz val="11"/>
        <color theme="1"/>
        <rFont val="Aptos Narrow"/>
        <charset val="134"/>
        <scheme val="minor"/>
      </rPr>
      <t xml:space="preserve">The system will update this sheet with data from the previous data upload, which can be used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</si>
  <si>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سيقوم النظام بتحديث هذه الورقة بالبيانات من التحميل السابق للبيانات، والتي يمكن استخدامها في ورقة Source Table.</t>
  </si>
  <si>
    <t>Step 5: Source Table Formatting</t>
  </si>
  <si>
    <t>الخطوة 5: Source Table Formatting</t>
  </si>
  <si>
    <r>
      <rPr>
        <sz val="11"/>
        <color theme="1"/>
        <rFont val="Aptos Narrow"/>
        <charset val="134"/>
        <scheme val="minor"/>
      </rPr>
      <t xml:space="preserve">1. Format individual cells in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 to protect cells that are not dedicated to data entry.</t>
    </r>
  </si>
  <si>
    <t>1. قم بتنسيق الخلايا الفردية في ورقة Source Table لحماية الخلايا التي ليست مخصصة لإدخال البيانات.</t>
  </si>
  <si>
    <t>2. Protect the sheet to prevent any accidental changes to protected cells.</t>
  </si>
  <si>
    <t>2. قم بحماية الورقة لمنع أي تغييرات غير مقصودة على الخلايا المحمية.</t>
  </si>
  <si>
    <t>Step 6: Hide Sheets</t>
  </si>
  <si>
    <t>الخطوة 6: Hide Sheets</t>
  </si>
  <si>
    <r>
      <rPr>
        <sz val="11"/>
        <color theme="1"/>
        <rFont val="Aptos Narrow"/>
        <charset val="134"/>
        <scheme val="minor"/>
      </rPr>
      <t xml:space="preserve">Hide all sheets except for the </t>
    </r>
    <r>
      <rPr>
        <b/>
        <sz val="11"/>
        <color theme="1"/>
        <rFont val="Aptos Narrow"/>
        <charset val="134"/>
        <scheme val="minor"/>
      </rPr>
      <t>Source Table</t>
    </r>
    <r>
      <rPr>
        <sz val="11"/>
        <color theme="1"/>
        <rFont val="Aptos Narrow"/>
        <charset val="134"/>
        <scheme val="minor"/>
      </rPr>
      <t xml:space="preserve"> sheet.</t>
    </r>
  </si>
  <si>
    <t>قم بإخفاء جميع الأوراق باستثناء ورقة Source Table.</t>
  </si>
  <si>
    <t>Step 7: Protect Workbook</t>
  </si>
  <si>
    <t>الخطوة 7: Protect Workbook</t>
  </si>
  <si>
    <t>Protect the entire workbook to prevent unauthorized or accidental changes to the structure of the file.</t>
  </si>
  <si>
    <t>قم بحماية الكتاب بأكمله لمنع التغييرات غير المصرح بها أو غير المقصودة على هيكل الملف.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</si>
</sst>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Aptos Narrow"/>
      <charset val="134"/>
      <scheme val="minor"/>
    </font>
    <font>
      <b/>
      <sz val="13.5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1"/>
      <color theme="0"/>
      <name val="Aptos Narrow"/>
      <charset val="134"/>
      <scheme val="minor"/>
    </font>
    <font>
      <b/>
      <sz val="11"/>
      <color rgb="FF0776AD"/>
      <name val="Aptos Narrow"/>
      <charset val="134"/>
      <scheme val="minor"/>
    </font>
    <font>
      <sz val="11"/>
      <color rgb="FFFFFFFF"/>
      <name val="Aptos Narrow"/>
      <charset val="134"/>
      <scheme val="minor"/>
    </font>
    <font>
      <sz val="11"/>
      <color rgb="FF098BCE"/>
      <name val="Aptos Narrow"/>
      <charset val="134"/>
      <scheme val="minor"/>
    </font>
    <font>
      <sz val="9"/>
      <color rgb="FF000000"/>
      <name val="Times New Roman"/>
      <charset val="134"/>
    </font>
    <font>
      <sz val="9"/>
      <color theme="1"/>
      <name val="Times New Roman"/>
      <charset val="134"/>
    </font>
    <font>
      <b/>
      <sz val="14"/>
      <color theme="0"/>
      <name val="Aptos"/>
      <charset val="134"/>
    </font>
    <font>
      <b/>
      <sz val="14"/>
      <color theme="7" tint="-0.249977111117893"/>
      <name val="Aptos"/>
      <charset val="134"/>
    </font>
    <font>
      <sz val="14"/>
      <color theme="7" tint="-0.249977111117893"/>
      <name val="Aptos"/>
      <charset val="134"/>
    </font>
    <font>
      <sz val="16"/>
      <color rgb="FFFFFFFF"/>
      <name val="Aptos Narrow"/>
      <charset val="134"/>
      <scheme val="minor"/>
    </font>
    <font>
      <sz val="16"/>
      <color rgb="FF0776AD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  <font>
      <sz val="10"/>
      <name val="Arial"/>
      <charset val="134"/>
    </font>
    <font>
      <b/>
      <sz val="14"/>
      <color indexed="12"/>
      <name val="Arial"/>
      <charset val="134"/>
    </font>
    <font>
      <b/>
      <sz val="12"/>
      <color indexed="12"/>
      <name val="Arial"/>
      <charset val="134"/>
    </font>
    <font>
      <b/>
      <sz val="12"/>
      <name val="Arial"/>
      <charset val="178"/>
    </font>
    <font>
      <b/>
      <sz val="11"/>
      <name val="Arial"/>
      <charset val="178"/>
    </font>
    <font>
      <b/>
      <sz val="8"/>
      <name val="Arial"/>
      <charset val="134"/>
    </font>
    <font>
      <b/>
      <sz val="12"/>
      <name val="Arial"/>
      <charset val="134"/>
    </font>
    <font>
      <sz val="10"/>
      <color theme="1"/>
      <name val="Arial Unicode MS"/>
      <charset val="134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776AD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3" tint="0.899929807428205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indexed="43"/>
        <bgColor indexed="64"/>
      </patternFill>
    </fill>
  </fills>
  <borders count="21">
    <border>
      <left/>
      <right/>
      <top/>
      <bottom/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/>
      <top style="thin">
        <color theme="7" tint="-0.499984740745262"/>
      </top>
      <bottom/>
      <diagonal/>
    </border>
    <border>
      <left style="thin">
        <color theme="7" tint="-0.499984740745262"/>
      </left>
      <right/>
      <top style="thin">
        <color theme="7" tint="-0.499984740745262"/>
      </top>
      <bottom/>
      <diagonal/>
    </border>
    <border>
      <left style="thin">
        <color auto="1"/>
      </left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/>
      <right style="thin">
        <color theme="7" tint="-0.499984740745262"/>
      </right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 tint="-0.499984740745262"/>
      </left>
      <right style="thin">
        <color theme="7" tint="-0.499984740745262"/>
      </right>
      <top style="thin">
        <color theme="7" tint="-0.499984740745262"/>
      </top>
      <bottom style="thin">
        <color auto="1"/>
      </bottom>
      <diagonal/>
    </border>
    <border>
      <left/>
      <right style="thin">
        <color theme="7" tint="-0.499984740745262"/>
      </right>
      <top style="thin">
        <color theme="7" tint="-0.499984740745262"/>
      </top>
      <bottom/>
      <diagonal/>
    </border>
    <border>
      <left/>
      <right/>
      <top style="thin">
        <color theme="7" tint="-0.499984740745262"/>
      </top>
      <bottom style="thin">
        <color theme="7" tint="-0.499984740745262"/>
      </bottom>
      <diagonal/>
    </border>
    <border>
      <left style="thin">
        <color theme="7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theme="7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0"/>
      </left>
      <right style="medium">
        <color indexed="60"/>
      </right>
      <top style="medium">
        <color indexed="60"/>
      </top>
      <bottom style="medium">
        <color indexed="60"/>
      </bottom>
      <diagonal/>
    </border>
  </borders>
  <cellStyleXfs count="66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9" borderId="1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21" fillId="0" borderId="1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15" applyNumberFormat="0" applyAlignment="0" applyProtection="0">
      <alignment vertical="center"/>
    </xf>
    <xf numFmtId="0" fontId="23" fillId="11" borderId="16" applyNumberFormat="0" applyAlignment="0" applyProtection="0">
      <alignment vertical="center"/>
    </xf>
    <xf numFmtId="0" fontId="24" fillId="11" borderId="15" applyNumberFormat="0" applyAlignment="0" applyProtection="0">
      <alignment vertical="center"/>
    </xf>
    <xf numFmtId="0" fontId="25" fillId="12" borderId="17" applyNumberFormat="0" applyAlignment="0" applyProtection="0">
      <alignment vertical="center"/>
    </xf>
    <xf numFmtId="0" fontId="26" fillId="0" borderId="18" applyNumberFormat="0" applyFill="0" applyAlignment="0" applyProtection="0">
      <alignment vertical="center"/>
    </xf>
    <xf numFmtId="0" fontId="27" fillId="0" borderId="1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4" fillId="0" borderId="0">
      <alignment horizontal="centerContinuous" vertical="center"/>
    </xf>
    <xf numFmtId="0" fontId="35" fillId="0" borderId="0">
      <alignment horizontal="centerContinuous" vertical="center"/>
    </xf>
    <xf numFmtId="1" fontId="36" fillId="40" borderId="20">
      <alignment horizontal="center" vertical="center"/>
    </xf>
    <xf numFmtId="0" fontId="37" fillId="40" borderId="20">
      <alignment horizontal="center" vertical="center" wrapText="1"/>
    </xf>
    <xf numFmtId="0" fontId="38" fillId="40" borderId="20">
      <alignment horizontal="center" vertical="center" wrapText="1"/>
    </xf>
    <xf numFmtId="0" fontId="33" fillId="0" borderId="0"/>
    <xf numFmtId="0" fontId="33" fillId="0" borderId="0"/>
    <xf numFmtId="0" fontId="0" fillId="0" borderId="0"/>
    <xf numFmtId="0" fontId="0" fillId="0" borderId="0"/>
    <xf numFmtId="0" fontId="33" fillId="0" borderId="0"/>
    <xf numFmtId="0" fontId="0" fillId="0" borderId="0"/>
    <xf numFmtId="9" fontId="0" fillId="0" borderId="0"/>
    <xf numFmtId="9" fontId="0" fillId="0" borderId="0"/>
    <xf numFmtId="0" fontId="39" fillId="0" borderId="0">
      <alignment horizontal="right" vertical="center"/>
    </xf>
    <xf numFmtId="0" fontId="33" fillId="0" borderId="0">
      <alignment horizontal="left" vertical="center"/>
    </xf>
  </cellStyleXfs>
  <cellXfs count="42">
    <xf numFmtId="0" fontId="0" fillId="0" borderId="0" xfId="0"/>
    <xf numFmtId="0" fontId="0" fillId="2" borderId="0" xfId="0" applyFill="1"/>
    <xf numFmtId="0" fontId="0" fillId="3" borderId="0" xfId="0" applyFill="1" applyAlignment="1">
      <alignment vertical="center" wrapText="1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right" vertical="center" wrapText="1" readingOrder="2"/>
    </xf>
    <xf numFmtId="0" fontId="0" fillId="3" borderId="0" xfId="0" applyFill="1"/>
    <xf numFmtId="0" fontId="1" fillId="3" borderId="0" xfId="0" applyFont="1" applyFill="1" applyAlignment="1">
      <alignment vertical="center" wrapText="1"/>
    </xf>
    <xf numFmtId="0" fontId="1" fillId="3" borderId="0" xfId="0" applyFont="1" applyFill="1" applyAlignment="1">
      <alignment horizontal="right" vertical="center" wrapText="1" readingOrder="2"/>
    </xf>
    <xf numFmtId="0" fontId="0" fillId="3" borderId="0" xfId="0" applyFill="1" applyAlignment="1">
      <alignment horizontal="left" vertical="center" wrapText="1"/>
    </xf>
    <xf numFmtId="0" fontId="2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right" vertical="center" wrapText="1" readingOrder="2"/>
    </xf>
    <xf numFmtId="0" fontId="3" fillId="0" borderId="0" xfId="0" applyFont="1"/>
    <xf numFmtId="0" fontId="4" fillId="0" borderId="0" xfId="0" applyFont="1" applyAlignment="1">
      <alignment horizontal="center"/>
    </xf>
    <xf numFmtId="14" fontId="0" fillId="0" borderId="0" xfId="0" applyNumberFormat="1"/>
    <xf numFmtId="0" fontId="5" fillId="4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 readingOrder="2"/>
    </xf>
    <xf numFmtId="0" fontId="0" fillId="0" borderId="0" xfId="0" applyFill="1" applyBorder="1"/>
    <xf numFmtId="3" fontId="7" fillId="0" borderId="0" xfId="0" applyNumberFormat="1" applyFont="1" applyFill="1" applyBorder="1" applyAlignment="1">
      <alignment horizontal="right"/>
    </xf>
    <xf numFmtId="0" fontId="7" fillId="0" borderId="0" xfId="0" applyFont="1" applyFill="1" applyBorder="1" applyAlignment="1">
      <alignment horizontal="right"/>
    </xf>
    <xf numFmtId="0" fontId="0" fillId="0" borderId="0" xfId="0" applyFill="1" applyBorder="1"/>
    <xf numFmtId="0" fontId="8" fillId="0" borderId="0" xfId="0" applyFont="1" applyFill="1" applyBorder="1" applyAlignment="1">
      <alignment horizontal="center"/>
    </xf>
    <xf numFmtId="0" fontId="8" fillId="0" borderId="0" xfId="0" applyFont="1" applyFill="1" applyBorder="1"/>
    <xf numFmtId="0" fontId="9" fillId="7" borderId="1" xfId="0" applyFont="1" applyFill="1" applyBorder="1" applyAlignment="1" applyProtection="1">
      <alignment horizontal="center" vertical="center"/>
    </xf>
    <xf numFmtId="0" fontId="10" fillId="5" borderId="2" xfId="0" applyFont="1" applyFill="1" applyBorder="1" applyAlignment="1" applyProtection="1">
      <alignment horizontal="center" vertical="center"/>
    </xf>
    <xf numFmtId="0" fontId="10" fillId="5" borderId="3" xfId="0" applyFont="1" applyFill="1" applyBorder="1" applyAlignment="1" applyProtection="1">
      <alignment horizontal="center" vertical="center"/>
    </xf>
    <xf numFmtId="0" fontId="10" fillId="5" borderId="4" xfId="0" applyFont="1" applyFill="1" applyBorder="1" applyAlignment="1" applyProtection="1">
      <alignment horizontal="center" vertical="center"/>
    </xf>
    <xf numFmtId="0" fontId="10" fillId="8" borderId="5" xfId="0" applyFont="1" applyFill="1" applyBorder="1" applyAlignment="1" applyProtection="1">
      <alignment horizontal="center" vertical="center" readingOrder="2"/>
    </xf>
    <xf numFmtId="0" fontId="10" fillId="8" borderId="6" xfId="0" applyFont="1" applyFill="1" applyBorder="1" applyAlignment="1" applyProtection="1">
      <alignment horizontal="center" vertical="center" readingOrder="2"/>
    </xf>
    <xf numFmtId="0" fontId="10" fillId="8" borderId="7" xfId="0" applyFont="1" applyFill="1" applyBorder="1" applyAlignment="1" applyProtection="1">
      <alignment horizontal="center" vertical="center" readingOrder="2"/>
    </xf>
    <xf numFmtId="0" fontId="11" fillId="8" borderId="8" xfId="0" applyFont="1" applyFill="1" applyBorder="1" applyAlignment="1" applyProtection="1">
      <alignment horizontal="center" vertical="center" readingOrder="2"/>
    </xf>
    <xf numFmtId="3" fontId="8" fillId="0" borderId="9" xfId="0" applyNumberFormat="1" applyFont="1" applyBorder="1" applyAlignment="1" applyProtection="1">
      <alignment horizontal="center"/>
      <protection locked="0"/>
    </xf>
    <xf numFmtId="0" fontId="11" fillId="8" borderId="10" xfId="0" applyFont="1" applyFill="1" applyBorder="1" applyAlignment="1" applyProtection="1">
      <alignment horizontal="center" vertical="center" readingOrder="2"/>
    </xf>
    <xf numFmtId="0" fontId="11" fillId="8" borderId="11" xfId="0" applyFont="1" applyFill="1" applyBorder="1" applyAlignment="1" applyProtection="1">
      <alignment horizontal="center" vertical="center" readingOrder="2"/>
    </xf>
    <xf numFmtId="0" fontId="10" fillId="8" borderId="8" xfId="0" applyFont="1" applyFill="1" applyBorder="1" applyAlignment="1" applyProtection="1">
      <alignment horizontal="center" vertical="center" readingOrder="2"/>
    </xf>
    <xf numFmtId="0" fontId="10" fillId="8" borderId="9" xfId="0" applyFont="1" applyFill="1" applyBorder="1" applyAlignment="1" applyProtection="1">
      <alignment horizontal="center" vertical="center" readingOrder="2"/>
    </xf>
    <xf numFmtId="0" fontId="10" fillId="8" borderId="11" xfId="0" applyFont="1" applyFill="1" applyBorder="1" applyAlignment="1" applyProtection="1">
      <alignment horizontal="center" vertical="center" readingOrder="2"/>
    </xf>
    <xf numFmtId="0" fontId="0" fillId="0" borderId="9" xfId="0" applyBorder="1"/>
    <xf numFmtId="0" fontId="12" fillId="4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 vertical="center"/>
    </xf>
    <xf numFmtId="0" fontId="13" fillId="6" borderId="0" xfId="0" applyFont="1" applyFill="1" applyAlignment="1">
      <alignment horizontal="center" readingOrder="2"/>
    </xf>
  </cellXfs>
  <cellStyles count="66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‏_x001d_ً'_x000c_ï‏÷_x000c__x001c_" xfId="49"/>
    <cellStyle name="‏_x001d_ً'_x000c_ï‏÷_x000c__x001c_ 2" xfId="50"/>
    <cellStyle name="H1" xfId="51"/>
    <cellStyle name="H2" xfId="52"/>
    <cellStyle name="Had1" xfId="53"/>
    <cellStyle name="Had2" xfId="54"/>
    <cellStyle name="Had3" xfId="55"/>
    <cellStyle name="Normal 2" xfId="56"/>
    <cellStyle name="Normal 3" xfId="57"/>
    <cellStyle name="Normal 4" xfId="58"/>
    <cellStyle name="Normal 4 2" xfId="59"/>
    <cellStyle name="Normal 5" xfId="60"/>
    <cellStyle name="Normal 6" xfId="61"/>
    <cellStyle name="Percent 2" xfId="62"/>
    <cellStyle name="Percent 2 2" xfId="63"/>
    <cellStyle name="T1" xfId="64"/>
    <cellStyle name="T2" xfId="65"/>
  </cellStyles>
  <tableStyles count="0" defaultTableStyle="TableStyleMedium2" defaultPivotStyle="PivotStyleLight16"/>
  <colors>
    <mruColors>
      <color rgb="000776AD"/>
      <color rgb="00BCE7FC"/>
      <color rgb="00098BCE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customXml" Target="../customXml/item3.xml"/><Relationship Id="rId8" Type="http://schemas.openxmlformats.org/officeDocument/2006/relationships/customXml" Target="../customXml/item2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3" Type="http://schemas.openxmlformats.org/officeDocument/2006/relationships/styles" Target="styles.xml"/><Relationship Id="rId12" Type="http://schemas.openxmlformats.org/officeDocument/2006/relationships/sharedStrings" Target="sharedStrings.xml"/><Relationship Id="rId11" Type="http://schemas.openxmlformats.org/officeDocument/2006/relationships/theme" Target="theme/theme1.xml"/><Relationship Id="rId10" Type="http://schemas.openxmlformats.org/officeDocument/2006/relationships/customXml" Target="../customXml/item4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opLeftCell="B1" workbookViewId="0">
      <selection activeCell="I4" sqref="H4:I5"/>
    </sheetView>
  </sheetViews>
  <sheetFormatPr defaultColWidth="9" defaultRowHeight="14.25" outlineLevelRow="7" outlineLevelCol="1"/>
  <cols>
    <col min="1" max="1" width="32.375" customWidth="1"/>
    <col min="2" max="2" width="137.25" customWidth="1"/>
  </cols>
  <sheetData>
    <row r="1" ht="21" customHeight="1" spans="1:2">
      <c r="A1" s="39" t="s">
        <v>0</v>
      </c>
      <c r="B1" s="40" t="s">
        <v>1</v>
      </c>
    </row>
    <row r="2" ht="21" customHeight="1" spans="1:2">
      <c r="A2" s="39" t="s">
        <v>2</v>
      </c>
      <c r="B2" s="41" t="s">
        <v>3</v>
      </c>
    </row>
    <row r="3" ht="21" customHeight="1" spans="1:2">
      <c r="A3" s="39" t="s">
        <v>4</v>
      </c>
      <c r="B3" s="41" t="s">
        <v>5</v>
      </c>
    </row>
    <row r="4" ht="21" customHeight="1" spans="1:2">
      <c r="A4" s="39" t="s">
        <v>6</v>
      </c>
      <c r="B4" s="41" t="s">
        <v>7</v>
      </c>
    </row>
    <row r="5" ht="21" customHeight="1" spans="1:2">
      <c r="A5" s="39" t="s">
        <v>8</v>
      </c>
      <c r="B5" s="41" t="s">
        <v>9</v>
      </c>
    </row>
    <row r="6" ht="21" customHeight="1" spans="1:2">
      <c r="A6" s="39" t="s">
        <v>10</v>
      </c>
      <c r="B6" s="41" t="s">
        <v>11</v>
      </c>
    </row>
    <row r="7" ht="21" customHeight="1" spans="1:2">
      <c r="A7" s="39" t="s">
        <v>12</v>
      </c>
      <c r="B7" s="41" t="s">
        <v>13</v>
      </c>
    </row>
    <row r="8" ht="21" customHeight="1" spans="1:2">
      <c r="A8" s="39" t="s">
        <v>14</v>
      </c>
      <c r="B8" s="41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2"/>
  <sheetViews>
    <sheetView view="pageBreakPreview" zoomScale="90" zoomScaleNormal="100" workbookViewId="0">
      <selection activeCell="B10" sqref="B10"/>
    </sheetView>
  </sheetViews>
  <sheetFormatPr defaultColWidth="16.75" defaultRowHeight="14.25" outlineLevelCol="3"/>
  <cols>
    <col min="2" max="2" width="53.625" customWidth="1"/>
    <col min="3" max="3" width="37.125" customWidth="1"/>
    <col min="4" max="4" width="57.25" customWidth="1"/>
  </cols>
  <sheetData>
    <row r="2" ht="28.15" customHeight="1" spans="2:4">
      <c r="B2" s="24" t="str">
        <f>'Cover Page'!B4</f>
        <v>Arrivals by Means of Transport and Point of Entry</v>
      </c>
      <c r="C2" s="24"/>
      <c r="D2" s="24"/>
    </row>
    <row r="3" ht="28.15" customHeight="1" spans="2:4">
      <c r="B3" s="24" t="str">
        <f>'Cover Page'!B3</f>
        <v>القادمون حسب وسيلة السفر ومركز الدخول</v>
      </c>
      <c r="C3" s="24"/>
      <c r="D3" s="24"/>
    </row>
    <row r="4" ht="28.15" customHeight="1" spans="2:4">
      <c r="B4" s="25" t="s">
        <v>16</v>
      </c>
      <c r="C4" s="26">
        <v>2024</v>
      </c>
      <c r="D4" s="27" t="s">
        <v>17</v>
      </c>
    </row>
    <row r="5" ht="28.15" customHeight="1" spans="2:4">
      <c r="B5" s="28" t="s">
        <v>18</v>
      </c>
      <c r="C5" s="29"/>
      <c r="D5" s="30" t="s">
        <v>19</v>
      </c>
    </row>
    <row r="6" ht="19.9" customHeight="1" spans="2:4">
      <c r="B6" s="31" t="s">
        <v>20</v>
      </c>
      <c r="C6" s="32"/>
      <c r="D6" s="33" t="s">
        <v>21</v>
      </c>
    </row>
    <row r="7" ht="19.9" customHeight="1" spans="2:4">
      <c r="B7" s="31" t="s">
        <v>22</v>
      </c>
      <c r="C7" s="32"/>
      <c r="D7" s="34" t="s">
        <v>23</v>
      </c>
    </row>
    <row r="8" ht="22.15" customHeight="1" spans="2:4">
      <c r="B8" s="31" t="s">
        <v>24</v>
      </c>
      <c r="C8" s="32"/>
      <c r="D8" s="34" t="s">
        <v>25</v>
      </c>
    </row>
    <row r="9" ht="22.15" customHeight="1" spans="2:4">
      <c r="B9" s="35" t="s">
        <v>26</v>
      </c>
      <c r="C9" s="36"/>
      <c r="D9" s="37" t="s">
        <v>27</v>
      </c>
    </row>
    <row r="10" ht="22.15" customHeight="1" spans="2:4">
      <c r="B10" s="31" t="s">
        <v>28</v>
      </c>
      <c r="C10" s="38"/>
      <c r="D10" s="34" t="s">
        <v>29</v>
      </c>
    </row>
    <row r="11" ht="22.15" customHeight="1" spans="2:4">
      <c r="B11" s="31" t="s">
        <v>30</v>
      </c>
      <c r="C11" s="38"/>
      <c r="D11" s="34" t="s">
        <v>31</v>
      </c>
    </row>
    <row r="12" ht="18" spans="2:4">
      <c r="B12" s="31" t="s">
        <v>32</v>
      </c>
      <c r="C12" s="38"/>
      <c r="D12" s="34" t="s">
        <v>33</v>
      </c>
    </row>
    <row r="13" ht="18" spans="2:4">
      <c r="B13" s="31" t="s">
        <v>34</v>
      </c>
      <c r="C13" s="38"/>
      <c r="D13" s="34" t="s">
        <v>35</v>
      </c>
    </row>
    <row r="14" ht="18" spans="2:4">
      <c r="B14" s="31" t="s">
        <v>36</v>
      </c>
      <c r="C14" s="38"/>
      <c r="D14" s="34" t="s">
        <v>37</v>
      </c>
    </row>
    <row r="15" ht="18" spans="2:4">
      <c r="B15" s="31" t="s">
        <v>38</v>
      </c>
      <c r="C15" s="38"/>
      <c r="D15" s="34" t="s">
        <v>39</v>
      </c>
    </row>
    <row r="16" ht="18" spans="2:4">
      <c r="B16" s="31" t="s">
        <v>40</v>
      </c>
      <c r="C16" s="38"/>
      <c r="D16" s="34" t="s">
        <v>41</v>
      </c>
    </row>
    <row r="17" ht="18" spans="2:4">
      <c r="B17" s="31" t="s">
        <v>42</v>
      </c>
      <c r="C17" s="38"/>
      <c r="D17" s="34" t="s">
        <v>43</v>
      </c>
    </row>
    <row r="18" ht="18" spans="2:4">
      <c r="B18" s="31" t="s">
        <v>44</v>
      </c>
      <c r="C18" s="38"/>
      <c r="D18" s="34" t="s">
        <v>45</v>
      </c>
    </row>
    <row r="19" ht="18" spans="2:4">
      <c r="B19" s="31" t="s">
        <v>46</v>
      </c>
      <c r="C19" s="38"/>
      <c r="D19" s="34" t="s">
        <v>47</v>
      </c>
    </row>
    <row r="20" ht="18" spans="2:4">
      <c r="B20" s="31" t="s">
        <v>48</v>
      </c>
      <c r="C20" s="38"/>
      <c r="D20" s="34" t="s">
        <v>49</v>
      </c>
    </row>
    <row r="21" ht="18" spans="2:4">
      <c r="B21" s="31" t="s">
        <v>50</v>
      </c>
      <c r="C21" s="38"/>
      <c r="D21" s="34" t="s">
        <v>51</v>
      </c>
    </row>
    <row r="22" ht="18" spans="2:4">
      <c r="B22" s="31" t="s">
        <v>52</v>
      </c>
      <c r="C22" s="38"/>
      <c r="D22" s="34" t="s">
        <v>53</v>
      </c>
    </row>
  </sheetData>
  <sheetProtection password="DEF8" sheet="1" objects="1" scenarios="1"/>
  <protectedRanges>
    <protectedRange sqref="C6:C8 C10:C22" name="Range1"/>
  </protectedRanges>
  <mergeCells count="2">
    <mergeCell ref="B2:D2"/>
    <mergeCell ref="B3:D3"/>
  </mergeCells>
  <pageMargins left="0.7" right="0.7" top="0.75" bottom="0.75" header="0.3" footer="0.3"/>
  <pageSetup paperSize="1" scale="4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L211"/>
  <sheetViews>
    <sheetView tabSelected="1" zoomScale="70" zoomScaleNormal="70" topLeftCell="A2" workbookViewId="0">
      <selection activeCell="I2" sqref="I2"/>
    </sheetView>
  </sheetViews>
  <sheetFormatPr defaultColWidth="9" defaultRowHeight="14.25"/>
  <cols>
    <col min="1" max="1" width="17.75" customWidth="1"/>
    <col min="2" max="2" width="18.375" customWidth="1"/>
    <col min="3" max="3" width="11.25" customWidth="1"/>
    <col min="4" max="5" width="8" customWidth="1"/>
    <col min="6" max="6" width="36.25" customWidth="1"/>
    <col min="7" max="7" width="36" customWidth="1"/>
    <col min="8" max="9" width="29.625" customWidth="1"/>
    <col min="10" max="10" width="10.375" customWidth="1"/>
    <col min="11" max="11" width="14.375" customWidth="1"/>
    <col min="12" max="12" width="14.625" customWidth="1"/>
  </cols>
  <sheetData>
    <row r="2" s="11" customFormat="1" ht="18" customHeight="1" spans="1:12">
      <c r="A2" s="14" t="s">
        <v>54</v>
      </c>
      <c r="B2" s="14" t="s">
        <v>55</v>
      </c>
      <c r="C2" s="14" t="s">
        <v>56</v>
      </c>
      <c r="D2" s="14" t="s">
        <v>57</v>
      </c>
      <c r="E2" s="14" t="s">
        <v>58</v>
      </c>
      <c r="F2" s="15" t="s">
        <v>59</v>
      </c>
      <c r="G2" s="15" t="s">
        <v>60</v>
      </c>
      <c r="H2" s="16" t="s">
        <v>61</v>
      </c>
      <c r="I2" s="16" t="s">
        <v>62</v>
      </c>
      <c r="J2" s="14" t="s">
        <v>63</v>
      </c>
      <c r="K2" s="14" t="s">
        <v>64</v>
      </c>
      <c r="L2" s="14" t="s">
        <v>65</v>
      </c>
    </row>
    <row r="3" s="11" customFormat="1" ht="18" customHeight="1" spans="1:12">
      <c r="A3" s="14" t="s">
        <v>66</v>
      </c>
      <c r="B3" s="14" t="s">
        <v>67</v>
      </c>
      <c r="C3" s="14" t="s">
        <v>68</v>
      </c>
      <c r="D3" s="14" t="s">
        <v>69</v>
      </c>
      <c r="E3" s="14" t="s">
        <v>70</v>
      </c>
      <c r="F3" s="15" t="str">
        <f>'Source Table'!$D$5</f>
        <v>وسيلة السفر</v>
      </c>
      <c r="G3" s="15" t="str">
        <f>'Source Table'!$B$5</f>
        <v>Means of Transport</v>
      </c>
      <c r="H3" s="17" t="s">
        <v>71</v>
      </c>
      <c r="I3" s="16" t="s">
        <v>72</v>
      </c>
      <c r="J3" s="14" t="s">
        <v>73</v>
      </c>
      <c r="K3" s="14" t="s">
        <v>74</v>
      </c>
      <c r="L3" s="14" t="s">
        <v>75</v>
      </c>
    </row>
    <row r="4" spans="1:11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tr">
        <f>'Source Table'!$D$6</f>
        <v>بر</v>
      </c>
      <c r="G4" t="str">
        <f>'Source Table'!$B$6</f>
        <v>Land</v>
      </c>
      <c r="H4" t="s">
        <v>81</v>
      </c>
      <c r="I4" s="18" t="s">
        <v>81</v>
      </c>
      <c r="J4" s="19">
        <v>4994</v>
      </c>
      <c r="K4">
        <v>2023</v>
      </c>
    </row>
    <row r="5" spans="1:11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tr">
        <f>'Source Table'!$D$7</f>
        <v>بحر</v>
      </c>
      <c r="G5" t="str">
        <f>'Source Table'!$B$7</f>
        <v>Sea</v>
      </c>
      <c r="H5" t="s">
        <v>81</v>
      </c>
      <c r="I5" s="18" t="s">
        <v>81</v>
      </c>
      <c r="J5" s="20">
        <v>226</v>
      </c>
      <c r="K5">
        <v>2023</v>
      </c>
    </row>
    <row r="6" spans="1:11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tr">
        <f>'Source Table'!$D$8</f>
        <v>جو</v>
      </c>
      <c r="G6" t="str">
        <f>'Source Table'!$B$8</f>
        <v>Air</v>
      </c>
      <c r="H6" t="s">
        <v>81</v>
      </c>
      <c r="I6" s="18" t="s">
        <v>81</v>
      </c>
      <c r="J6" s="19">
        <v>4074</v>
      </c>
      <c r="K6">
        <v>2023</v>
      </c>
    </row>
    <row r="7" spans="1:11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81</v>
      </c>
      <c r="H7" t="str">
        <f>'Source Table'!$D$10</f>
        <v>مطار الملكة علياء الدولي</v>
      </c>
      <c r="I7" s="18" t="str">
        <f>'Source Table'!$B$10</f>
        <v>Queen Alia Int.  Airport</v>
      </c>
      <c r="J7" s="19">
        <v>3962</v>
      </c>
      <c r="K7">
        <v>2023</v>
      </c>
    </row>
    <row r="8" spans="1:11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81</v>
      </c>
      <c r="H8" t="str">
        <f>'Source Table'!$D$11</f>
        <v>مطار عمان المدني</v>
      </c>
      <c r="I8" s="18" t="str">
        <f>'Source Table'!$B$11</f>
        <v>Amman Civil Airport</v>
      </c>
      <c r="J8" s="20">
        <v>15</v>
      </c>
      <c r="K8">
        <v>2023</v>
      </c>
    </row>
    <row r="9" spans="1:11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81</v>
      </c>
      <c r="H9" t="str">
        <f>'Source Table'!$D$12</f>
        <v>مطار العقبة</v>
      </c>
      <c r="I9" s="18" t="str">
        <f>'Source Table'!$B$12</f>
        <v>Aqaba Airport</v>
      </c>
      <c r="J9" s="20">
        <v>96</v>
      </c>
      <c r="K9">
        <v>2023</v>
      </c>
    </row>
    <row r="10" spans="1:11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81</v>
      </c>
      <c r="H10" t="str">
        <f>'Source Table'!$D$13</f>
        <v>الرمثا</v>
      </c>
      <c r="I10" s="18" t="str">
        <f>'Source Table'!$B$13</f>
        <v>Ramtha</v>
      </c>
      <c r="J10" s="20">
        <v>0</v>
      </c>
      <c r="K10">
        <v>2023</v>
      </c>
    </row>
    <row r="11" spans="1:11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81</v>
      </c>
      <c r="H11" t="str">
        <f>'Source Table'!$D$14</f>
        <v>العمري</v>
      </c>
      <c r="I11" s="18" t="str">
        <f>'Source Table'!$B$14</f>
        <v>Omari</v>
      </c>
      <c r="J11" s="19">
        <v>1650</v>
      </c>
      <c r="K11">
        <v>2023</v>
      </c>
    </row>
    <row r="12" spans="1:11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81</v>
      </c>
      <c r="H12" t="str">
        <f>'Source Table'!$D$15</f>
        <v>المدورة</v>
      </c>
      <c r="I12" s="18" t="str">
        <f>'Source Table'!$B$15</f>
        <v>Mudawara</v>
      </c>
      <c r="J12" s="20">
        <v>344</v>
      </c>
      <c r="K12">
        <v>2023</v>
      </c>
    </row>
    <row r="13" spans="1:11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81</v>
      </c>
      <c r="H13" t="str">
        <f>'Source Table'!$D$16</f>
        <v>الدرة</v>
      </c>
      <c r="I13" s="18" t="str">
        <f>'Source Table'!$B$16</f>
        <v>Durrah</v>
      </c>
      <c r="J13" s="20">
        <v>631</v>
      </c>
      <c r="K13">
        <v>2023</v>
      </c>
    </row>
    <row r="14" spans="1:11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81</v>
      </c>
      <c r="H14" t="str">
        <f>'Source Table'!$D$17</f>
        <v>ميناء العقبة</v>
      </c>
      <c r="I14" s="18" t="str">
        <f>'Source Table'!$B$17</f>
        <v>Aqaba Port</v>
      </c>
      <c r="J14" s="20">
        <v>226</v>
      </c>
      <c r="K14">
        <v>2023</v>
      </c>
    </row>
    <row r="15" spans="1:11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81</v>
      </c>
      <c r="H15" t="str">
        <f>'Source Table'!$D$18</f>
        <v>معبر وادي الأردن</v>
      </c>
      <c r="I15" s="18" t="str">
        <f>'Source Table'!$B$18</f>
        <v>Jordan Vally</v>
      </c>
      <c r="J15" s="20">
        <v>246</v>
      </c>
      <c r="K15">
        <v>2023</v>
      </c>
    </row>
    <row r="16" spans="1:11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81</v>
      </c>
      <c r="H16" t="str">
        <f>'Source Table'!$D$19</f>
        <v>الكرامة</v>
      </c>
      <c r="I16" s="18" t="str">
        <f>'Source Table'!$B$19</f>
        <v>Alkaramah</v>
      </c>
      <c r="J16" s="20">
        <v>101</v>
      </c>
      <c r="K16">
        <v>2023</v>
      </c>
    </row>
    <row r="17" spans="1:11">
      <c r="A17" t="s">
        <v>76</v>
      </c>
      <c r="B17" t="s">
        <v>77</v>
      </c>
      <c r="C17" t="s">
        <v>78</v>
      </c>
      <c r="D17" t="s">
        <v>79</v>
      </c>
      <c r="E17" t="s">
        <v>80</v>
      </c>
      <c r="F17" t="s">
        <v>81</v>
      </c>
      <c r="G17" t="s">
        <v>81</v>
      </c>
      <c r="H17" t="str">
        <f>'Source Table'!$D$20</f>
        <v>معبر وادي عربة</v>
      </c>
      <c r="I17" s="18" t="str">
        <f>'Source Table'!$B$20</f>
        <v>Wadi Araba Crossing</v>
      </c>
      <c r="J17" s="20">
        <v>221</v>
      </c>
      <c r="K17">
        <v>2023</v>
      </c>
    </row>
    <row r="18" spans="1:11">
      <c r="A18" t="s">
        <v>76</v>
      </c>
      <c r="B18" t="s">
        <v>77</v>
      </c>
      <c r="C18" t="s">
        <v>78</v>
      </c>
      <c r="D18" t="s">
        <v>79</v>
      </c>
      <c r="E18" t="s">
        <v>80</v>
      </c>
      <c r="F18" t="s">
        <v>81</v>
      </c>
      <c r="G18" t="s">
        <v>81</v>
      </c>
      <c r="H18" t="str">
        <f>'Source Table'!$D$21</f>
        <v>الجسور</v>
      </c>
      <c r="I18" s="18" t="str">
        <f>'Source Table'!$B$21</f>
        <v>Bridges</v>
      </c>
      <c r="J18" s="19">
        <v>1190</v>
      </c>
      <c r="K18">
        <v>2023</v>
      </c>
    </row>
    <row r="19" spans="1:11">
      <c r="A19" t="s">
        <v>76</v>
      </c>
      <c r="B19" t="s">
        <v>77</v>
      </c>
      <c r="C19" t="s">
        <v>78</v>
      </c>
      <c r="D19" t="s">
        <v>79</v>
      </c>
      <c r="E19" t="s">
        <v>80</v>
      </c>
      <c r="F19" t="s">
        <v>81</v>
      </c>
      <c r="G19" t="s">
        <v>81</v>
      </c>
      <c r="H19" t="str">
        <f>'Source Table'!$D$22</f>
        <v>جابر</v>
      </c>
      <c r="I19" s="18" t="str">
        <f>'Source Table'!$B$22</f>
        <v>Jaber</v>
      </c>
      <c r="J19" s="20">
        <v>612</v>
      </c>
      <c r="K19">
        <v>2023</v>
      </c>
    </row>
    <row r="20" spans="1:11">
      <c r="A20" t="s">
        <v>76</v>
      </c>
      <c r="B20" t="s">
        <v>77</v>
      </c>
      <c r="C20" t="s">
        <v>78</v>
      </c>
      <c r="D20" t="s">
        <v>79</v>
      </c>
      <c r="E20" t="s">
        <v>80</v>
      </c>
      <c r="F20" t="str">
        <f>'Source Table'!$D$6</f>
        <v>بر</v>
      </c>
      <c r="G20" t="str">
        <f>'Source Table'!$B$6</f>
        <v>Land</v>
      </c>
      <c r="H20" t="s">
        <v>81</v>
      </c>
      <c r="I20" s="18" t="s">
        <v>81</v>
      </c>
      <c r="J20" s="19">
        <v>3867</v>
      </c>
      <c r="K20">
        <v>2022</v>
      </c>
    </row>
    <row r="21" spans="1:11">
      <c r="A21" t="s">
        <v>76</v>
      </c>
      <c r="B21" t="s">
        <v>77</v>
      </c>
      <c r="C21" t="s">
        <v>78</v>
      </c>
      <c r="D21" t="s">
        <v>79</v>
      </c>
      <c r="E21" t="s">
        <v>80</v>
      </c>
      <c r="F21" t="str">
        <f>'Source Table'!$D$7</f>
        <v>بحر</v>
      </c>
      <c r="G21" t="str">
        <f>'Source Table'!$B$7</f>
        <v>Sea</v>
      </c>
      <c r="H21" t="s">
        <v>81</v>
      </c>
      <c r="I21" s="18" t="s">
        <v>81</v>
      </c>
      <c r="J21" s="20">
        <v>171</v>
      </c>
      <c r="K21">
        <v>2022</v>
      </c>
    </row>
    <row r="22" spans="1:11">
      <c r="A22" t="s">
        <v>76</v>
      </c>
      <c r="B22" t="s">
        <v>77</v>
      </c>
      <c r="C22" t="s">
        <v>78</v>
      </c>
      <c r="D22" t="s">
        <v>79</v>
      </c>
      <c r="E22" t="s">
        <v>80</v>
      </c>
      <c r="F22" t="str">
        <f>'Source Table'!$D$8</f>
        <v>جو</v>
      </c>
      <c r="G22" t="str">
        <f>'Source Table'!$B$8</f>
        <v>Air</v>
      </c>
      <c r="H22" t="s">
        <v>81</v>
      </c>
      <c r="I22" s="18" t="s">
        <v>81</v>
      </c>
      <c r="J22" s="19">
        <v>3540</v>
      </c>
      <c r="K22">
        <v>2022</v>
      </c>
    </row>
    <row r="23" spans="1:11">
      <c r="A23" t="s">
        <v>76</v>
      </c>
      <c r="B23" t="s">
        <v>77</v>
      </c>
      <c r="C23" t="s">
        <v>78</v>
      </c>
      <c r="D23" t="s">
        <v>79</v>
      </c>
      <c r="E23" t="s">
        <v>80</v>
      </c>
      <c r="F23" t="s">
        <v>81</v>
      </c>
      <c r="G23" t="s">
        <v>81</v>
      </c>
      <c r="H23" t="str">
        <f>'Source Table'!$D$10</f>
        <v>مطار الملكة علياء الدولي</v>
      </c>
      <c r="I23" s="18" t="str">
        <f>'Source Table'!$B$10</f>
        <v>Queen Alia Int.  Airport</v>
      </c>
      <c r="J23" s="19">
        <v>3442</v>
      </c>
      <c r="K23">
        <v>2022</v>
      </c>
    </row>
    <row r="24" spans="1:11">
      <c r="A24" t="s">
        <v>76</v>
      </c>
      <c r="B24" t="s">
        <v>77</v>
      </c>
      <c r="C24" t="s">
        <v>78</v>
      </c>
      <c r="D24" t="s">
        <v>79</v>
      </c>
      <c r="E24" t="s">
        <v>80</v>
      </c>
      <c r="F24" t="s">
        <v>81</v>
      </c>
      <c r="G24" t="s">
        <v>81</v>
      </c>
      <c r="H24" t="str">
        <f>'Source Table'!$D$11</f>
        <v>مطار عمان المدني</v>
      </c>
      <c r="I24" s="18" t="str">
        <f>'Source Table'!$B$11</f>
        <v>Amman Civil Airport</v>
      </c>
      <c r="J24" s="20">
        <v>11</v>
      </c>
      <c r="K24">
        <v>2022</v>
      </c>
    </row>
    <row r="25" spans="1:11">
      <c r="A25" t="s">
        <v>76</v>
      </c>
      <c r="B25" t="s">
        <v>77</v>
      </c>
      <c r="C25" t="s">
        <v>78</v>
      </c>
      <c r="D25" t="s">
        <v>79</v>
      </c>
      <c r="E25" t="s">
        <v>80</v>
      </c>
      <c r="F25" t="s">
        <v>81</v>
      </c>
      <c r="G25" t="s">
        <v>81</v>
      </c>
      <c r="H25" t="str">
        <f>'Source Table'!$D$12</f>
        <v>مطار العقبة</v>
      </c>
      <c r="I25" s="18" t="str">
        <f>'Source Table'!$B$12</f>
        <v>Aqaba Airport</v>
      </c>
      <c r="J25" s="20">
        <v>86</v>
      </c>
      <c r="K25">
        <v>2022</v>
      </c>
    </row>
    <row r="26" spans="1:11">
      <c r="A26" t="s">
        <v>76</v>
      </c>
      <c r="B26" t="s">
        <v>77</v>
      </c>
      <c r="C26" t="s">
        <v>78</v>
      </c>
      <c r="D26" t="s">
        <v>79</v>
      </c>
      <c r="E26" t="s">
        <v>80</v>
      </c>
      <c r="F26" t="s">
        <v>81</v>
      </c>
      <c r="G26" t="s">
        <v>81</v>
      </c>
      <c r="H26" t="str">
        <f>'Source Table'!$D$13</f>
        <v>الرمثا</v>
      </c>
      <c r="I26" s="18" t="str">
        <f>'Source Table'!$B$13</f>
        <v>Ramtha</v>
      </c>
      <c r="J26" s="20">
        <v>0</v>
      </c>
      <c r="K26">
        <v>2022</v>
      </c>
    </row>
    <row r="27" spans="1:11">
      <c r="A27" t="s">
        <v>76</v>
      </c>
      <c r="B27" t="s">
        <v>77</v>
      </c>
      <c r="C27" t="s">
        <v>78</v>
      </c>
      <c r="D27" t="s">
        <v>79</v>
      </c>
      <c r="E27" t="s">
        <v>80</v>
      </c>
      <c r="F27" t="s">
        <v>81</v>
      </c>
      <c r="G27" t="s">
        <v>81</v>
      </c>
      <c r="H27" t="str">
        <f>'Source Table'!$D$14</f>
        <v>العمري</v>
      </c>
      <c r="I27" s="18" t="str">
        <f>'Source Table'!$B$14</f>
        <v>Omari</v>
      </c>
      <c r="J27" s="19">
        <v>1342</v>
      </c>
      <c r="K27">
        <v>2022</v>
      </c>
    </row>
    <row r="28" spans="1:11">
      <c r="A28" t="s">
        <v>76</v>
      </c>
      <c r="B28" t="s">
        <v>77</v>
      </c>
      <c r="C28" t="s">
        <v>78</v>
      </c>
      <c r="D28" t="s">
        <v>79</v>
      </c>
      <c r="E28" t="s">
        <v>80</v>
      </c>
      <c r="F28" t="s">
        <v>81</v>
      </c>
      <c r="G28" t="s">
        <v>81</v>
      </c>
      <c r="H28" t="str">
        <f>'Source Table'!$D$15</f>
        <v>المدورة</v>
      </c>
      <c r="I28" s="18" t="str">
        <f>'Source Table'!$B$15</f>
        <v>Mudawara</v>
      </c>
      <c r="J28" s="20">
        <v>237</v>
      </c>
      <c r="K28">
        <v>2022</v>
      </c>
    </row>
    <row r="29" spans="1:11">
      <c r="A29" t="s">
        <v>76</v>
      </c>
      <c r="B29" t="s">
        <v>77</v>
      </c>
      <c r="C29" t="s">
        <v>78</v>
      </c>
      <c r="D29" t="s">
        <v>79</v>
      </c>
      <c r="E29" t="s">
        <v>80</v>
      </c>
      <c r="F29" t="s">
        <v>81</v>
      </c>
      <c r="G29" t="s">
        <v>81</v>
      </c>
      <c r="H29" t="str">
        <f>'Source Table'!$D$16</f>
        <v>الدرة</v>
      </c>
      <c r="I29" s="18" t="str">
        <f>'Source Table'!$B$16</f>
        <v>Durrah</v>
      </c>
      <c r="J29" s="20">
        <v>314</v>
      </c>
      <c r="K29">
        <v>2022</v>
      </c>
    </row>
    <row r="30" spans="1:11">
      <c r="A30" t="s">
        <v>76</v>
      </c>
      <c r="B30" t="s">
        <v>77</v>
      </c>
      <c r="C30" t="s">
        <v>78</v>
      </c>
      <c r="D30" t="s">
        <v>79</v>
      </c>
      <c r="E30" t="s">
        <v>80</v>
      </c>
      <c r="F30" t="s">
        <v>81</v>
      </c>
      <c r="G30" t="s">
        <v>81</v>
      </c>
      <c r="H30" t="str">
        <f>'Source Table'!$D$17</f>
        <v>ميناء العقبة</v>
      </c>
      <c r="I30" s="18" t="str">
        <f>'Source Table'!$B$17</f>
        <v>Aqaba Port</v>
      </c>
      <c r="J30" s="20">
        <v>171</v>
      </c>
      <c r="K30">
        <v>2022</v>
      </c>
    </row>
    <row r="31" spans="1:11">
      <c r="A31" t="s">
        <v>76</v>
      </c>
      <c r="B31" t="s">
        <v>77</v>
      </c>
      <c r="C31" t="s">
        <v>78</v>
      </c>
      <c r="D31" t="s">
        <v>79</v>
      </c>
      <c r="E31" t="s">
        <v>80</v>
      </c>
      <c r="F31" t="s">
        <v>81</v>
      </c>
      <c r="G31" t="s">
        <v>81</v>
      </c>
      <c r="H31" t="str">
        <f>'Source Table'!$D$18</f>
        <v>معبر وادي الأردن</v>
      </c>
      <c r="I31" s="18" t="str">
        <f>'Source Table'!$B$18</f>
        <v>Jordan Vally</v>
      </c>
      <c r="J31" s="20">
        <v>190</v>
      </c>
      <c r="K31">
        <v>2022</v>
      </c>
    </row>
    <row r="32" spans="1:11">
      <c r="A32" t="s">
        <v>76</v>
      </c>
      <c r="B32" t="s">
        <v>77</v>
      </c>
      <c r="C32" t="s">
        <v>78</v>
      </c>
      <c r="D32" t="s">
        <v>79</v>
      </c>
      <c r="E32" t="s">
        <v>80</v>
      </c>
      <c r="F32" t="s">
        <v>81</v>
      </c>
      <c r="G32" t="s">
        <v>81</v>
      </c>
      <c r="H32" t="str">
        <f>'Source Table'!$D$19</f>
        <v>الكرامة</v>
      </c>
      <c r="I32" s="18" t="str">
        <f>'Source Table'!$B$19</f>
        <v>Alkaramah</v>
      </c>
      <c r="J32" s="20">
        <v>85</v>
      </c>
      <c r="K32">
        <v>2022</v>
      </c>
    </row>
    <row r="33" spans="1:11">
      <c r="A33" t="s">
        <v>76</v>
      </c>
      <c r="B33" t="s">
        <v>77</v>
      </c>
      <c r="C33" t="s">
        <v>78</v>
      </c>
      <c r="D33" t="s">
        <v>79</v>
      </c>
      <c r="E33" t="s">
        <v>80</v>
      </c>
      <c r="F33" t="s">
        <v>81</v>
      </c>
      <c r="G33" t="s">
        <v>81</v>
      </c>
      <c r="H33" t="str">
        <f>'Source Table'!$D$20</f>
        <v>معبر وادي عربة</v>
      </c>
      <c r="I33" s="18" t="str">
        <f>'Source Table'!$B$20</f>
        <v>Wadi Araba Crossing</v>
      </c>
      <c r="J33" s="20">
        <v>140</v>
      </c>
      <c r="K33">
        <v>2022</v>
      </c>
    </row>
    <row r="34" spans="1:11">
      <c r="A34" t="s">
        <v>76</v>
      </c>
      <c r="B34" t="s">
        <v>77</v>
      </c>
      <c r="C34" t="s">
        <v>78</v>
      </c>
      <c r="D34" t="s">
        <v>79</v>
      </c>
      <c r="E34" t="s">
        <v>80</v>
      </c>
      <c r="F34" t="s">
        <v>81</v>
      </c>
      <c r="G34" t="s">
        <v>81</v>
      </c>
      <c r="H34" t="str">
        <f>'Source Table'!$D$21</f>
        <v>الجسور</v>
      </c>
      <c r="I34" s="18" t="str">
        <f>'Source Table'!$B$21</f>
        <v>Bridges</v>
      </c>
      <c r="J34" s="19">
        <v>1082</v>
      </c>
      <c r="K34">
        <v>2022</v>
      </c>
    </row>
    <row r="35" spans="1:11">
      <c r="A35" t="s">
        <v>76</v>
      </c>
      <c r="B35" t="s">
        <v>77</v>
      </c>
      <c r="C35" t="s">
        <v>78</v>
      </c>
      <c r="D35" t="s">
        <v>79</v>
      </c>
      <c r="E35" t="s">
        <v>80</v>
      </c>
      <c r="F35" t="s">
        <v>81</v>
      </c>
      <c r="G35" t="s">
        <v>81</v>
      </c>
      <c r="H35" t="str">
        <f>'Source Table'!$D$22</f>
        <v>جابر</v>
      </c>
      <c r="I35" s="21" t="str">
        <f>'Source Table'!$B$22</f>
        <v>Jaber</v>
      </c>
      <c r="J35" s="20">
        <v>477</v>
      </c>
      <c r="K35">
        <v>2022</v>
      </c>
    </row>
    <row r="36" spans="1:11">
      <c r="A36" t="s">
        <v>76</v>
      </c>
      <c r="B36" t="s">
        <v>77</v>
      </c>
      <c r="C36" t="s">
        <v>78</v>
      </c>
      <c r="D36" t="s">
        <v>79</v>
      </c>
      <c r="E36" t="s">
        <v>80</v>
      </c>
      <c r="F36" t="str">
        <f>'Source Table'!$D$6</f>
        <v>بر</v>
      </c>
      <c r="G36" t="str">
        <f>'Source Table'!$B$6</f>
        <v>Land</v>
      </c>
      <c r="H36" t="s">
        <v>81</v>
      </c>
      <c r="I36" s="18" t="s">
        <v>81</v>
      </c>
      <c r="J36" s="19">
        <v>2193</v>
      </c>
      <c r="K36">
        <v>2021</v>
      </c>
    </row>
    <row r="37" spans="1:11">
      <c r="A37" t="s">
        <v>76</v>
      </c>
      <c r="B37" t="s">
        <v>77</v>
      </c>
      <c r="C37" t="s">
        <v>78</v>
      </c>
      <c r="D37" t="s">
        <v>79</v>
      </c>
      <c r="E37" t="s">
        <v>80</v>
      </c>
      <c r="F37" t="str">
        <f>'Source Table'!$D$7</f>
        <v>بحر</v>
      </c>
      <c r="G37" t="str">
        <f>'Source Table'!$B$7</f>
        <v>Sea</v>
      </c>
      <c r="H37" t="s">
        <v>81</v>
      </c>
      <c r="I37" s="18" t="s">
        <v>81</v>
      </c>
      <c r="J37" s="20">
        <v>204</v>
      </c>
      <c r="K37">
        <v>2021</v>
      </c>
    </row>
    <row r="38" spans="1:11">
      <c r="A38" t="s">
        <v>76</v>
      </c>
      <c r="B38" t="s">
        <v>77</v>
      </c>
      <c r="C38" t="s">
        <v>78</v>
      </c>
      <c r="D38" t="s">
        <v>79</v>
      </c>
      <c r="E38" t="s">
        <v>80</v>
      </c>
      <c r="F38" t="str">
        <f>'Source Table'!$D$8</f>
        <v>جو</v>
      </c>
      <c r="G38" t="str">
        <f>'Source Table'!$B$8</f>
        <v>Air</v>
      </c>
      <c r="H38" t="s">
        <v>81</v>
      </c>
      <c r="I38" s="18" t="s">
        <v>81</v>
      </c>
      <c r="J38" s="19">
        <v>1391</v>
      </c>
      <c r="K38">
        <v>2021</v>
      </c>
    </row>
    <row r="39" spans="1:11">
      <c r="A39" t="s">
        <v>76</v>
      </c>
      <c r="B39" t="s">
        <v>77</v>
      </c>
      <c r="C39" t="s">
        <v>78</v>
      </c>
      <c r="D39" t="s">
        <v>79</v>
      </c>
      <c r="E39" t="s">
        <v>80</v>
      </c>
      <c r="F39" t="s">
        <v>81</v>
      </c>
      <c r="G39" t="s">
        <v>81</v>
      </c>
      <c r="H39" t="str">
        <f>'Source Table'!$D$10</f>
        <v>مطار الملكة علياء الدولي</v>
      </c>
      <c r="I39" s="18" t="str">
        <f>'Source Table'!$B$10</f>
        <v>Queen Alia Int.  Airport</v>
      </c>
      <c r="J39" s="19">
        <v>2145</v>
      </c>
      <c r="K39">
        <v>2021</v>
      </c>
    </row>
    <row r="40" spans="1:11">
      <c r="A40" t="s">
        <v>76</v>
      </c>
      <c r="B40" t="s">
        <v>77</v>
      </c>
      <c r="C40" t="s">
        <v>78</v>
      </c>
      <c r="D40" t="s">
        <v>79</v>
      </c>
      <c r="E40" t="s">
        <v>80</v>
      </c>
      <c r="F40" t="s">
        <v>81</v>
      </c>
      <c r="G40" t="s">
        <v>81</v>
      </c>
      <c r="H40" t="str">
        <f>'Source Table'!$D$11</f>
        <v>مطار عمان المدني</v>
      </c>
      <c r="I40" s="18" t="str">
        <f>'Source Table'!$B$11</f>
        <v>Amman Civil Airport</v>
      </c>
      <c r="J40" s="20">
        <v>11</v>
      </c>
      <c r="K40">
        <v>2021</v>
      </c>
    </row>
    <row r="41" spans="1:11">
      <c r="A41" t="s">
        <v>76</v>
      </c>
      <c r="B41" t="s">
        <v>77</v>
      </c>
      <c r="C41" t="s">
        <v>78</v>
      </c>
      <c r="D41" t="s">
        <v>79</v>
      </c>
      <c r="E41" t="s">
        <v>80</v>
      </c>
      <c r="F41" t="s">
        <v>81</v>
      </c>
      <c r="G41" t="s">
        <v>81</v>
      </c>
      <c r="H41" t="str">
        <f>'Source Table'!$D$12</f>
        <v>مطار العقبة</v>
      </c>
      <c r="I41" s="18" t="str">
        <f>'Source Table'!$B$12</f>
        <v>Aqaba Airport</v>
      </c>
      <c r="J41" s="20">
        <v>38</v>
      </c>
      <c r="K41">
        <v>2021</v>
      </c>
    </row>
    <row r="42" spans="1:11">
      <c r="A42" t="s">
        <v>76</v>
      </c>
      <c r="B42" t="s">
        <v>77</v>
      </c>
      <c r="C42" t="s">
        <v>78</v>
      </c>
      <c r="D42" t="s">
        <v>79</v>
      </c>
      <c r="E42" t="s">
        <v>80</v>
      </c>
      <c r="F42" t="s">
        <v>81</v>
      </c>
      <c r="G42" t="s">
        <v>81</v>
      </c>
      <c r="H42" t="str">
        <f>'Source Table'!$D$13</f>
        <v>الرمثا</v>
      </c>
      <c r="I42" s="18" t="str">
        <f>'Source Table'!$B$13</f>
        <v>Ramtha</v>
      </c>
      <c r="J42" s="20">
        <v>0</v>
      </c>
      <c r="K42">
        <v>2021</v>
      </c>
    </row>
    <row r="43" spans="1:11">
      <c r="A43" t="s">
        <v>76</v>
      </c>
      <c r="B43" t="s">
        <v>77</v>
      </c>
      <c r="C43" t="s">
        <v>78</v>
      </c>
      <c r="D43" t="s">
        <v>79</v>
      </c>
      <c r="E43" t="s">
        <v>80</v>
      </c>
      <c r="F43" t="s">
        <v>81</v>
      </c>
      <c r="G43" t="s">
        <v>81</v>
      </c>
      <c r="H43" t="str">
        <f>'Source Table'!$D$14</f>
        <v>العمري</v>
      </c>
      <c r="I43" s="18" t="str">
        <f>'Source Table'!$B$14</f>
        <v>Omari</v>
      </c>
      <c r="J43" s="20">
        <v>544</v>
      </c>
      <c r="K43">
        <v>2021</v>
      </c>
    </row>
    <row r="44" spans="1:11">
      <c r="A44" t="s">
        <v>76</v>
      </c>
      <c r="B44" t="s">
        <v>77</v>
      </c>
      <c r="C44" t="s">
        <v>78</v>
      </c>
      <c r="D44" t="s">
        <v>79</v>
      </c>
      <c r="E44" t="s">
        <v>80</v>
      </c>
      <c r="F44" t="s">
        <v>81</v>
      </c>
      <c r="G44" t="s">
        <v>81</v>
      </c>
      <c r="H44" t="str">
        <f>'Source Table'!$D$15</f>
        <v>المدورة</v>
      </c>
      <c r="I44" s="18" t="str">
        <f>'Source Table'!$B$15</f>
        <v>Mudawara</v>
      </c>
      <c r="J44" s="20">
        <v>87</v>
      </c>
      <c r="K44">
        <v>2021</v>
      </c>
    </row>
    <row r="45" spans="1:11">
      <c r="A45" t="s">
        <v>76</v>
      </c>
      <c r="B45" t="s">
        <v>77</v>
      </c>
      <c r="C45" t="s">
        <v>78</v>
      </c>
      <c r="D45" t="s">
        <v>79</v>
      </c>
      <c r="E45" t="s">
        <v>80</v>
      </c>
      <c r="F45" t="s">
        <v>81</v>
      </c>
      <c r="G45" t="s">
        <v>81</v>
      </c>
      <c r="H45" t="str">
        <f>'Source Table'!$D$16</f>
        <v>الدرة</v>
      </c>
      <c r="I45" s="18" t="str">
        <f>'Source Table'!$B$16</f>
        <v>Durrah</v>
      </c>
      <c r="J45" s="20">
        <v>46</v>
      </c>
      <c r="K45">
        <v>2021</v>
      </c>
    </row>
    <row r="46" spans="1:11">
      <c r="A46" t="s">
        <v>76</v>
      </c>
      <c r="B46" t="s">
        <v>77</v>
      </c>
      <c r="C46" t="s">
        <v>78</v>
      </c>
      <c r="D46" t="s">
        <v>79</v>
      </c>
      <c r="E46" t="s">
        <v>80</v>
      </c>
      <c r="F46" t="s">
        <v>81</v>
      </c>
      <c r="G46" t="s">
        <v>81</v>
      </c>
      <c r="H46" t="str">
        <f>'Source Table'!$D$17</f>
        <v>ميناء العقبة</v>
      </c>
      <c r="I46" s="18" t="str">
        <f>'Source Table'!$B$17</f>
        <v>Aqaba Port</v>
      </c>
      <c r="J46" s="20">
        <v>204</v>
      </c>
      <c r="K46">
        <v>2021</v>
      </c>
    </row>
    <row r="47" spans="1:11">
      <c r="A47" t="s">
        <v>76</v>
      </c>
      <c r="B47" t="s">
        <v>77</v>
      </c>
      <c r="C47" t="s">
        <v>78</v>
      </c>
      <c r="D47" t="s">
        <v>79</v>
      </c>
      <c r="E47" t="s">
        <v>80</v>
      </c>
      <c r="F47" t="s">
        <v>81</v>
      </c>
      <c r="G47" t="s">
        <v>81</v>
      </c>
      <c r="H47" t="str">
        <f>'Source Table'!$D$18</f>
        <v>معبر وادي الأردن</v>
      </c>
      <c r="I47" s="18" t="str">
        <f>'Source Table'!$B$18</f>
        <v>Jordan Vally</v>
      </c>
      <c r="J47" s="20">
        <v>65</v>
      </c>
      <c r="K47">
        <v>2021</v>
      </c>
    </row>
    <row r="48" spans="1:11">
      <c r="A48" t="s">
        <v>76</v>
      </c>
      <c r="B48" t="s">
        <v>77</v>
      </c>
      <c r="C48" t="s">
        <v>78</v>
      </c>
      <c r="D48" t="s">
        <v>79</v>
      </c>
      <c r="E48" t="s">
        <v>80</v>
      </c>
      <c r="F48" t="s">
        <v>81</v>
      </c>
      <c r="G48" t="s">
        <v>81</v>
      </c>
      <c r="H48" t="str">
        <f>'Source Table'!$D$19</f>
        <v>الكرامة</v>
      </c>
      <c r="I48" s="18" t="str">
        <f>'Source Table'!$B$19</f>
        <v>Alkaramah</v>
      </c>
      <c r="J48" s="20">
        <v>18</v>
      </c>
      <c r="K48">
        <v>2021</v>
      </c>
    </row>
    <row r="49" spans="1:11">
      <c r="A49" t="s">
        <v>76</v>
      </c>
      <c r="B49" t="s">
        <v>77</v>
      </c>
      <c r="C49" t="s">
        <v>78</v>
      </c>
      <c r="D49" t="s">
        <v>79</v>
      </c>
      <c r="E49" t="s">
        <v>80</v>
      </c>
      <c r="F49" t="s">
        <v>81</v>
      </c>
      <c r="G49" t="s">
        <v>81</v>
      </c>
      <c r="H49" t="str">
        <f>'Source Table'!$D$20</f>
        <v>معبر وادي عربة</v>
      </c>
      <c r="I49" s="18" t="str">
        <f>'Source Table'!$B$20</f>
        <v>Wadi Araba Crossing</v>
      </c>
      <c r="J49" s="20">
        <v>22</v>
      </c>
      <c r="K49">
        <v>2021</v>
      </c>
    </row>
    <row r="50" spans="1:11">
      <c r="A50" t="s">
        <v>76</v>
      </c>
      <c r="B50" t="s">
        <v>77</v>
      </c>
      <c r="C50" t="s">
        <v>78</v>
      </c>
      <c r="D50" t="s">
        <v>79</v>
      </c>
      <c r="E50" t="s">
        <v>80</v>
      </c>
      <c r="F50" t="s">
        <v>81</v>
      </c>
      <c r="G50" t="s">
        <v>81</v>
      </c>
      <c r="H50" t="str">
        <f>'Source Table'!$D$21</f>
        <v>الجسور</v>
      </c>
      <c r="I50" s="18" t="str">
        <f>'Source Table'!$B$21</f>
        <v>Bridges</v>
      </c>
      <c r="J50" s="20">
        <v>467</v>
      </c>
      <c r="K50">
        <v>2021</v>
      </c>
    </row>
    <row r="51" spans="1:11">
      <c r="A51" t="s">
        <v>76</v>
      </c>
      <c r="B51" t="s">
        <v>77</v>
      </c>
      <c r="C51" t="s">
        <v>78</v>
      </c>
      <c r="D51" t="s">
        <v>79</v>
      </c>
      <c r="E51" t="s">
        <v>80</v>
      </c>
      <c r="F51" t="s">
        <v>81</v>
      </c>
      <c r="G51" t="s">
        <v>81</v>
      </c>
      <c r="H51" t="str">
        <f>'Source Table'!$D$22</f>
        <v>جابر</v>
      </c>
      <c r="I51" s="21" t="str">
        <f>'Source Table'!$B$22</f>
        <v>Jaber</v>
      </c>
      <c r="J51" s="20">
        <v>141</v>
      </c>
      <c r="K51">
        <v>2021</v>
      </c>
    </row>
    <row r="52" spans="1:11">
      <c r="A52" t="s">
        <v>76</v>
      </c>
      <c r="B52" t="s">
        <v>77</v>
      </c>
      <c r="C52" t="s">
        <v>78</v>
      </c>
      <c r="D52" t="s">
        <v>79</v>
      </c>
      <c r="E52" t="s">
        <v>80</v>
      </c>
      <c r="F52" t="str">
        <f>'Source Table'!$D$6</f>
        <v>بر</v>
      </c>
      <c r="G52" t="str">
        <f>'Source Table'!$B$6</f>
        <v>Land</v>
      </c>
      <c r="H52" t="s">
        <v>81</v>
      </c>
      <c r="I52" s="18" t="s">
        <v>81</v>
      </c>
      <c r="J52" s="20">
        <v>964</v>
      </c>
      <c r="K52">
        <v>2020</v>
      </c>
    </row>
    <row r="53" spans="1:11">
      <c r="A53" t="s">
        <v>76</v>
      </c>
      <c r="B53" t="s">
        <v>77</v>
      </c>
      <c r="C53" t="s">
        <v>78</v>
      </c>
      <c r="D53" t="s">
        <v>79</v>
      </c>
      <c r="E53" t="s">
        <v>80</v>
      </c>
      <c r="F53" t="str">
        <f>'Source Table'!$D$7</f>
        <v>بحر</v>
      </c>
      <c r="G53" t="str">
        <f>'Source Table'!$B$7</f>
        <v>Sea</v>
      </c>
      <c r="H53" t="s">
        <v>81</v>
      </c>
      <c r="I53" s="18" t="s">
        <v>81</v>
      </c>
      <c r="J53" s="20">
        <v>33</v>
      </c>
      <c r="K53">
        <v>2020</v>
      </c>
    </row>
    <row r="54" spans="1:11">
      <c r="A54" t="s">
        <v>76</v>
      </c>
      <c r="B54" t="s">
        <v>77</v>
      </c>
      <c r="C54" t="s">
        <v>78</v>
      </c>
      <c r="D54" t="s">
        <v>79</v>
      </c>
      <c r="E54" t="s">
        <v>80</v>
      </c>
      <c r="F54" t="str">
        <f>'Source Table'!$D$8</f>
        <v>جو</v>
      </c>
      <c r="G54" t="str">
        <f>'Source Table'!$B$8</f>
        <v>Air</v>
      </c>
      <c r="H54" t="s">
        <v>81</v>
      </c>
      <c r="I54" s="18" t="s">
        <v>81</v>
      </c>
      <c r="J54" s="20">
        <v>932</v>
      </c>
      <c r="K54">
        <v>2020</v>
      </c>
    </row>
    <row r="55" spans="1:11">
      <c r="A55" t="s">
        <v>76</v>
      </c>
      <c r="B55" t="s">
        <v>77</v>
      </c>
      <c r="C55" t="s">
        <v>78</v>
      </c>
      <c r="D55" t="s">
        <v>79</v>
      </c>
      <c r="E55" t="s">
        <v>80</v>
      </c>
      <c r="F55" t="s">
        <v>81</v>
      </c>
      <c r="G55" t="s">
        <v>81</v>
      </c>
      <c r="H55" t="str">
        <f>'Source Table'!$D$10</f>
        <v>مطار الملكة علياء الدولي</v>
      </c>
      <c r="I55" s="18" t="str">
        <f>'Source Table'!$B$10</f>
        <v>Queen Alia Int.  Airport</v>
      </c>
      <c r="J55" s="20">
        <v>418</v>
      </c>
      <c r="K55">
        <v>2020</v>
      </c>
    </row>
    <row r="56" spans="1:11">
      <c r="A56" t="s">
        <v>76</v>
      </c>
      <c r="B56" t="s">
        <v>77</v>
      </c>
      <c r="C56" t="s">
        <v>78</v>
      </c>
      <c r="D56" t="s">
        <v>79</v>
      </c>
      <c r="E56" t="s">
        <v>80</v>
      </c>
      <c r="F56" t="s">
        <v>81</v>
      </c>
      <c r="G56" t="s">
        <v>81</v>
      </c>
      <c r="H56" t="str">
        <f>'Source Table'!$D$11</f>
        <v>مطار عمان المدني</v>
      </c>
      <c r="I56" s="18" t="str">
        <f>'Source Table'!$B$11</f>
        <v>Amman Civil Airport</v>
      </c>
      <c r="J56" s="20">
        <v>462</v>
      </c>
      <c r="K56">
        <v>2020</v>
      </c>
    </row>
    <row r="57" spans="1:11">
      <c r="A57" t="s">
        <v>76</v>
      </c>
      <c r="B57" t="s">
        <v>77</v>
      </c>
      <c r="C57" t="s">
        <v>78</v>
      </c>
      <c r="D57" t="s">
        <v>79</v>
      </c>
      <c r="E57" t="s">
        <v>80</v>
      </c>
      <c r="F57" t="s">
        <v>81</v>
      </c>
      <c r="G57" t="s">
        <v>81</v>
      </c>
      <c r="H57" t="str">
        <f>'Source Table'!$D$12</f>
        <v>مطار العقبة</v>
      </c>
      <c r="I57" s="18" t="str">
        <f>'Source Table'!$B$12</f>
        <v>Aqaba Airport</v>
      </c>
      <c r="J57" s="20">
        <v>52</v>
      </c>
      <c r="K57">
        <v>2020</v>
      </c>
    </row>
    <row r="58" spans="1:11">
      <c r="A58" t="s">
        <v>76</v>
      </c>
      <c r="B58" t="s">
        <v>77</v>
      </c>
      <c r="C58" t="s">
        <v>78</v>
      </c>
      <c r="D58" t="s">
        <v>79</v>
      </c>
      <c r="E58" t="s">
        <v>80</v>
      </c>
      <c r="F58" t="s">
        <v>81</v>
      </c>
      <c r="G58" t="s">
        <v>81</v>
      </c>
      <c r="H58" t="str">
        <f>'Source Table'!$D$13</f>
        <v>الرمثا</v>
      </c>
      <c r="I58" s="18" t="str">
        <f>'Source Table'!$B$13</f>
        <v>Ramtha</v>
      </c>
      <c r="J58" s="20">
        <v>0</v>
      </c>
      <c r="K58">
        <v>2020</v>
      </c>
    </row>
    <row r="59" spans="1:11">
      <c r="A59" t="s">
        <v>76</v>
      </c>
      <c r="B59" t="s">
        <v>77</v>
      </c>
      <c r="C59" t="s">
        <v>78</v>
      </c>
      <c r="D59" t="s">
        <v>79</v>
      </c>
      <c r="E59" t="s">
        <v>80</v>
      </c>
      <c r="F59" t="s">
        <v>81</v>
      </c>
      <c r="G59" t="s">
        <v>81</v>
      </c>
      <c r="H59" t="str">
        <f>'Source Table'!$D$14</f>
        <v>العمري</v>
      </c>
      <c r="I59" s="18" t="str">
        <f>'Source Table'!$B$14</f>
        <v>Omari</v>
      </c>
      <c r="J59" s="20">
        <v>342</v>
      </c>
      <c r="K59">
        <v>2020</v>
      </c>
    </row>
    <row r="60" spans="1:11">
      <c r="A60" t="s">
        <v>76</v>
      </c>
      <c r="B60" t="s">
        <v>77</v>
      </c>
      <c r="C60" t="s">
        <v>78</v>
      </c>
      <c r="D60" t="s">
        <v>79</v>
      </c>
      <c r="E60" t="s">
        <v>80</v>
      </c>
      <c r="F60" t="s">
        <v>81</v>
      </c>
      <c r="G60" t="s">
        <v>81</v>
      </c>
      <c r="H60" t="str">
        <f>'Source Table'!$D$15</f>
        <v>المدورة</v>
      </c>
      <c r="I60" s="18" t="str">
        <f>'Source Table'!$B$15</f>
        <v>Mudawara</v>
      </c>
      <c r="J60" s="20">
        <v>87</v>
      </c>
      <c r="K60">
        <v>2020</v>
      </c>
    </row>
    <row r="61" spans="1:11">
      <c r="A61" t="s">
        <v>76</v>
      </c>
      <c r="B61" t="s">
        <v>77</v>
      </c>
      <c r="C61" t="s">
        <v>78</v>
      </c>
      <c r="D61" t="s">
        <v>79</v>
      </c>
      <c r="E61" t="s">
        <v>80</v>
      </c>
      <c r="F61" t="s">
        <v>81</v>
      </c>
      <c r="G61" t="s">
        <v>81</v>
      </c>
      <c r="H61" t="str">
        <f>'Source Table'!$D$16</f>
        <v>الدرة</v>
      </c>
      <c r="I61" s="18" t="str">
        <f>'Source Table'!$B$16</f>
        <v>Durrah</v>
      </c>
      <c r="J61" s="20">
        <v>38</v>
      </c>
      <c r="K61">
        <v>2020</v>
      </c>
    </row>
    <row r="62" spans="1:11">
      <c r="A62" t="s">
        <v>76</v>
      </c>
      <c r="B62" t="s">
        <v>77</v>
      </c>
      <c r="C62" t="s">
        <v>78</v>
      </c>
      <c r="D62" t="s">
        <v>79</v>
      </c>
      <c r="E62" t="s">
        <v>80</v>
      </c>
      <c r="F62" t="s">
        <v>81</v>
      </c>
      <c r="G62" t="s">
        <v>81</v>
      </c>
      <c r="H62" t="str">
        <f>'Source Table'!$D$17</f>
        <v>ميناء العقبة</v>
      </c>
      <c r="I62" s="18" t="str">
        <f>'Source Table'!$B$17</f>
        <v>Aqaba Port</v>
      </c>
      <c r="J62" s="20">
        <v>33</v>
      </c>
      <c r="K62">
        <v>2020</v>
      </c>
    </row>
    <row r="63" spans="1:11">
      <c r="A63" t="s">
        <v>76</v>
      </c>
      <c r="B63" t="s">
        <v>77</v>
      </c>
      <c r="C63" t="s">
        <v>78</v>
      </c>
      <c r="D63" t="s">
        <v>79</v>
      </c>
      <c r="E63" t="s">
        <v>80</v>
      </c>
      <c r="F63" t="s">
        <v>81</v>
      </c>
      <c r="G63" t="s">
        <v>81</v>
      </c>
      <c r="H63" t="str">
        <f>'Source Table'!$D$18</f>
        <v>معبر وادي الأردن</v>
      </c>
      <c r="I63" s="18" t="str">
        <f>'Source Table'!$B$18</f>
        <v>Jordan Vally</v>
      </c>
      <c r="J63" s="20">
        <v>69</v>
      </c>
      <c r="K63">
        <v>2020</v>
      </c>
    </row>
    <row r="64" spans="1:11">
      <c r="A64" t="s">
        <v>76</v>
      </c>
      <c r="B64" t="s">
        <v>77</v>
      </c>
      <c r="C64" t="s">
        <v>78</v>
      </c>
      <c r="D64" t="s">
        <v>79</v>
      </c>
      <c r="E64" t="s">
        <v>80</v>
      </c>
      <c r="F64" t="s">
        <v>81</v>
      </c>
      <c r="G64" t="s">
        <v>81</v>
      </c>
      <c r="H64" t="str">
        <f>'Source Table'!$D$19</f>
        <v>الكرامة</v>
      </c>
      <c r="I64" s="18" t="str">
        <f>'Source Table'!$B$19</f>
        <v>Alkaramah</v>
      </c>
      <c r="J64" s="20">
        <v>29</v>
      </c>
      <c r="K64">
        <v>2020</v>
      </c>
    </row>
    <row r="65" spans="1:11">
      <c r="A65" t="s">
        <v>76</v>
      </c>
      <c r="B65" t="s">
        <v>77</v>
      </c>
      <c r="C65" t="s">
        <v>78</v>
      </c>
      <c r="D65" t="s">
        <v>79</v>
      </c>
      <c r="E65" t="s">
        <v>80</v>
      </c>
      <c r="F65" t="s">
        <v>81</v>
      </c>
      <c r="G65" t="s">
        <v>81</v>
      </c>
      <c r="H65" t="str">
        <f>'Source Table'!$D$20</f>
        <v>معبر وادي عربة</v>
      </c>
      <c r="I65" s="18" t="str">
        <f>'Source Table'!$B$20</f>
        <v>Wadi Araba Crossing</v>
      </c>
      <c r="J65" s="20">
        <v>28</v>
      </c>
      <c r="K65">
        <v>2020</v>
      </c>
    </row>
    <row r="66" spans="1:11">
      <c r="A66" t="s">
        <v>76</v>
      </c>
      <c r="B66" t="s">
        <v>77</v>
      </c>
      <c r="C66" t="s">
        <v>78</v>
      </c>
      <c r="D66" t="s">
        <v>79</v>
      </c>
      <c r="E66" t="s">
        <v>80</v>
      </c>
      <c r="F66" t="s">
        <v>81</v>
      </c>
      <c r="G66" t="s">
        <v>81</v>
      </c>
      <c r="H66" t="str">
        <f>'Source Table'!$D$21</f>
        <v>الجسور</v>
      </c>
      <c r="I66" s="18" t="str">
        <f>'Source Table'!$B$21</f>
        <v>Bridges</v>
      </c>
      <c r="J66" s="20">
        <v>266</v>
      </c>
      <c r="K66">
        <v>2020</v>
      </c>
    </row>
    <row r="67" spans="1:11">
      <c r="A67" t="s">
        <v>76</v>
      </c>
      <c r="B67" t="s">
        <v>77</v>
      </c>
      <c r="C67" t="s">
        <v>78</v>
      </c>
      <c r="D67" t="s">
        <v>79</v>
      </c>
      <c r="E67" t="s">
        <v>80</v>
      </c>
      <c r="F67" t="s">
        <v>81</v>
      </c>
      <c r="G67" t="s">
        <v>81</v>
      </c>
      <c r="H67" t="str">
        <f>'Source Table'!$D$22</f>
        <v>جابر</v>
      </c>
      <c r="I67" s="21" t="str">
        <f>'Source Table'!$B$22</f>
        <v>Jaber</v>
      </c>
      <c r="J67" s="20">
        <v>105</v>
      </c>
      <c r="K67">
        <v>2020</v>
      </c>
    </row>
    <row r="68" spans="1:11">
      <c r="A68" t="s">
        <v>76</v>
      </c>
      <c r="B68" t="s">
        <v>77</v>
      </c>
      <c r="C68" t="s">
        <v>78</v>
      </c>
      <c r="D68" t="s">
        <v>79</v>
      </c>
      <c r="E68" t="s">
        <v>80</v>
      </c>
      <c r="F68" t="str">
        <f>'Source Table'!$D$6</f>
        <v>بر</v>
      </c>
      <c r="G68" t="str">
        <f>'Source Table'!$B$6</f>
        <v>Land</v>
      </c>
      <c r="H68" t="s">
        <v>81</v>
      </c>
      <c r="I68" s="18" t="s">
        <v>81</v>
      </c>
      <c r="J68" s="19">
        <v>4251</v>
      </c>
      <c r="K68">
        <v>2019</v>
      </c>
    </row>
    <row r="69" spans="1:11">
      <c r="A69" t="s">
        <v>76</v>
      </c>
      <c r="B69" t="s">
        <v>77</v>
      </c>
      <c r="C69" t="s">
        <v>78</v>
      </c>
      <c r="D69" t="s">
        <v>79</v>
      </c>
      <c r="E69" t="s">
        <v>80</v>
      </c>
      <c r="F69" t="str">
        <f>'Source Table'!$D$7</f>
        <v>بحر</v>
      </c>
      <c r="G69" t="str">
        <f>'Source Table'!$B$7</f>
        <v>Sea</v>
      </c>
      <c r="H69" t="s">
        <v>81</v>
      </c>
      <c r="I69" s="18" t="s">
        <v>81</v>
      </c>
      <c r="J69" s="20">
        <v>253</v>
      </c>
      <c r="K69">
        <v>2019</v>
      </c>
    </row>
    <row r="70" spans="1:11">
      <c r="A70" t="s">
        <v>76</v>
      </c>
      <c r="B70" t="s">
        <v>77</v>
      </c>
      <c r="C70" t="s">
        <v>78</v>
      </c>
      <c r="D70" t="s">
        <v>79</v>
      </c>
      <c r="E70" t="s">
        <v>80</v>
      </c>
      <c r="F70" t="str">
        <f>'Source Table'!$D$8</f>
        <v>جو</v>
      </c>
      <c r="G70" t="str">
        <f>'Source Table'!$B$8</f>
        <v>Air</v>
      </c>
      <c r="H70" t="s">
        <v>81</v>
      </c>
      <c r="I70" s="18" t="s">
        <v>81</v>
      </c>
      <c r="J70" s="19">
        <v>3931</v>
      </c>
      <c r="K70">
        <v>2019</v>
      </c>
    </row>
    <row r="71" spans="1:11">
      <c r="A71" t="s">
        <v>76</v>
      </c>
      <c r="B71" t="s">
        <v>77</v>
      </c>
      <c r="C71" t="s">
        <v>78</v>
      </c>
      <c r="D71" t="s">
        <v>79</v>
      </c>
      <c r="E71" t="s">
        <v>80</v>
      </c>
      <c r="F71" t="s">
        <v>81</v>
      </c>
      <c r="G71" t="s">
        <v>81</v>
      </c>
      <c r="H71" t="str">
        <f>'Source Table'!$D$10</f>
        <v>مطار الملكة علياء الدولي</v>
      </c>
      <c r="I71" s="18" t="str">
        <f>'Source Table'!$B$10</f>
        <v>Queen Alia Int.  Airport</v>
      </c>
      <c r="J71" s="19">
        <v>3797</v>
      </c>
      <c r="K71">
        <v>2019</v>
      </c>
    </row>
    <row r="72" spans="1:11">
      <c r="A72" t="s">
        <v>76</v>
      </c>
      <c r="B72" t="s">
        <v>77</v>
      </c>
      <c r="C72" t="s">
        <v>78</v>
      </c>
      <c r="D72" t="s">
        <v>79</v>
      </c>
      <c r="E72" t="s">
        <v>80</v>
      </c>
      <c r="F72" t="s">
        <v>81</v>
      </c>
      <c r="G72" t="s">
        <v>81</v>
      </c>
      <c r="H72" t="str">
        <f>'Source Table'!$D$11</f>
        <v>مطار عمان المدني</v>
      </c>
      <c r="I72" s="18" t="str">
        <f>'Source Table'!$B$11</f>
        <v>Amman Civil Airport</v>
      </c>
      <c r="J72" s="20">
        <v>14</v>
      </c>
      <c r="K72">
        <v>2019</v>
      </c>
    </row>
    <row r="73" spans="1:11">
      <c r="A73" t="s">
        <v>76</v>
      </c>
      <c r="B73" t="s">
        <v>77</v>
      </c>
      <c r="C73" t="s">
        <v>78</v>
      </c>
      <c r="D73" t="s">
        <v>79</v>
      </c>
      <c r="E73" t="s">
        <v>80</v>
      </c>
      <c r="F73" t="s">
        <v>81</v>
      </c>
      <c r="G73" t="s">
        <v>81</v>
      </c>
      <c r="H73" t="str">
        <f>'Source Table'!$D$12</f>
        <v>مطار العقبة</v>
      </c>
      <c r="I73" s="18" t="str">
        <f>'Source Table'!$B$12</f>
        <v>Aqaba Airport</v>
      </c>
      <c r="J73" s="20">
        <v>120</v>
      </c>
      <c r="K73">
        <v>2019</v>
      </c>
    </row>
    <row r="74" spans="1:11">
      <c r="A74" t="s">
        <v>76</v>
      </c>
      <c r="B74" t="s">
        <v>77</v>
      </c>
      <c r="C74" t="s">
        <v>78</v>
      </c>
      <c r="D74" t="s">
        <v>79</v>
      </c>
      <c r="E74" t="s">
        <v>80</v>
      </c>
      <c r="F74" t="s">
        <v>81</v>
      </c>
      <c r="G74" t="s">
        <v>81</v>
      </c>
      <c r="H74" t="str">
        <f>'Source Table'!$D$13</f>
        <v>الرمثا</v>
      </c>
      <c r="I74" s="18" t="str">
        <f>'Source Table'!$B$13</f>
        <v>Ramtha</v>
      </c>
      <c r="J74" s="20">
        <v>311</v>
      </c>
      <c r="K74">
        <v>2019</v>
      </c>
    </row>
    <row r="75" spans="1:11">
      <c r="A75" t="s">
        <v>76</v>
      </c>
      <c r="B75" t="s">
        <v>77</v>
      </c>
      <c r="C75" t="s">
        <v>78</v>
      </c>
      <c r="D75" t="s">
        <v>79</v>
      </c>
      <c r="E75" t="s">
        <v>80</v>
      </c>
      <c r="F75" t="s">
        <v>81</v>
      </c>
      <c r="G75" t="s">
        <v>81</v>
      </c>
      <c r="H75" t="str">
        <f>'Source Table'!$D$14</f>
        <v>العمري</v>
      </c>
      <c r="I75" s="18" t="str">
        <f>'Source Table'!$B$14</f>
        <v>Omari</v>
      </c>
      <c r="J75" s="19">
        <v>1231</v>
      </c>
      <c r="K75">
        <v>2019</v>
      </c>
    </row>
    <row r="76" spans="1:11">
      <c r="A76" t="s">
        <v>76</v>
      </c>
      <c r="B76" t="s">
        <v>77</v>
      </c>
      <c r="C76" t="s">
        <v>78</v>
      </c>
      <c r="D76" t="s">
        <v>79</v>
      </c>
      <c r="E76" t="s">
        <v>80</v>
      </c>
      <c r="F76" t="s">
        <v>81</v>
      </c>
      <c r="G76" t="s">
        <v>81</v>
      </c>
      <c r="H76" t="str">
        <f>'Source Table'!$D$15</f>
        <v>المدورة</v>
      </c>
      <c r="I76" s="18" t="str">
        <f>'Source Table'!$B$15</f>
        <v>Mudawara</v>
      </c>
      <c r="J76" s="20">
        <v>360</v>
      </c>
      <c r="K76">
        <v>2019</v>
      </c>
    </row>
    <row r="77" spans="1:11">
      <c r="A77" t="s">
        <v>76</v>
      </c>
      <c r="B77" t="s">
        <v>77</v>
      </c>
      <c r="C77" t="s">
        <v>78</v>
      </c>
      <c r="D77" t="s">
        <v>79</v>
      </c>
      <c r="E77" t="s">
        <v>80</v>
      </c>
      <c r="F77" t="s">
        <v>81</v>
      </c>
      <c r="G77" t="s">
        <v>81</v>
      </c>
      <c r="H77" t="str">
        <f>'Source Table'!$D$16</f>
        <v>الدرة</v>
      </c>
      <c r="I77" s="18" t="str">
        <f>'Source Table'!$B$16</f>
        <v>Durrah</v>
      </c>
      <c r="J77" s="20">
        <v>161</v>
      </c>
      <c r="K77">
        <v>2019</v>
      </c>
    </row>
    <row r="78" spans="1:11">
      <c r="A78" t="s">
        <v>76</v>
      </c>
      <c r="B78" t="s">
        <v>77</v>
      </c>
      <c r="C78" t="s">
        <v>78</v>
      </c>
      <c r="D78" t="s">
        <v>79</v>
      </c>
      <c r="E78" t="s">
        <v>80</v>
      </c>
      <c r="F78" t="s">
        <v>81</v>
      </c>
      <c r="G78" t="s">
        <v>81</v>
      </c>
      <c r="H78" t="str">
        <f>'Source Table'!$D$17</f>
        <v>ميناء العقبة</v>
      </c>
      <c r="I78" s="18" t="str">
        <f>'Source Table'!$B$17</f>
        <v>Aqaba Port</v>
      </c>
      <c r="J78" s="20">
        <v>253</v>
      </c>
      <c r="K78">
        <v>2019</v>
      </c>
    </row>
    <row r="79" spans="1:11">
      <c r="A79" t="s">
        <v>76</v>
      </c>
      <c r="B79" t="s">
        <v>77</v>
      </c>
      <c r="C79" t="s">
        <v>78</v>
      </c>
      <c r="D79" t="s">
        <v>79</v>
      </c>
      <c r="E79" t="s">
        <v>80</v>
      </c>
      <c r="F79" t="s">
        <v>81</v>
      </c>
      <c r="G79" t="s">
        <v>81</v>
      </c>
      <c r="H79" t="str">
        <f>'Source Table'!$D$18</f>
        <v>معبر وادي الأردن</v>
      </c>
      <c r="I79" s="18" t="str">
        <f>'Source Table'!$B$18</f>
        <v>Jordan Vally</v>
      </c>
      <c r="J79" s="20">
        <v>0</v>
      </c>
      <c r="K79">
        <v>2019</v>
      </c>
    </row>
    <row r="80" spans="1:11">
      <c r="A80" t="s">
        <v>76</v>
      </c>
      <c r="B80" t="s">
        <v>77</v>
      </c>
      <c r="C80" t="s">
        <v>78</v>
      </c>
      <c r="D80" t="s">
        <v>79</v>
      </c>
      <c r="E80" t="s">
        <v>80</v>
      </c>
      <c r="F80" t="s">
        <v>81</v>
      </c>
      <c r="G80" t="s">
        <v>81</v>
      </c>
      <c r="H80" t="str">
        <f>'Source Table'!$D$19</f>
        <v>الكرامة</v>
      </c>
      <c r="I80" s="18" t="str">
        <f>'Source Table'!$B$19</f>
        <v>Alkaramah</v>
      </c>
      <c r="J80" s="20">
        <v>103</v>
      </c>
      <c r="K80">
        <v>2019</v>
      </c>
    </row>
    <row r="81" spans="1:11">
      <c r="A81" t="s">
        <v>76</v>
      </c>
      <c r="B81" t="s">
        <v>77</v>
      </c>
      <c r="C81" t="s">
        <v>78</v>
      </c>
      <c r="D81" t="s">
        <v>79</v>
      </c>
      <c r="E81" t="s">
        <v>80</v>
      </c>
      <c r="F81" t="s">
        <v>81</v>
      </c>
      <c r="G81" t="s">
        <v>81</v>
      </c>
      <c r="H81" t="str">
        <f>'Source Table'!$D$20</f>
        <v>معبر وادي عربة</v>
      </c>
      <c r="I81" s="18" t="str">
        <f>'Source Table'!$B$20</f>
        <v>Wadi Araba Crossing</v>
      </c>
      <c r="J81" s="20">
        <v>216</v>
      </c>
      <c r="K81">
        <v>2019</v>
      </c>
    </row>
    <row r="82" spans="1:11">
      <c r="A82" t="s">
        <v>76</v>
      </c>
      <c r="B82" t="s">
        <v>77</v>
      </c>
      <c r="C82" t="s">
        <v>78</v>
      </c>
      <c r="D82" t="s">
        <v>79</v>
      </c>
      <c r="E82" t="s">
        <v>80</v>
      </c>
      <c r="F82" t="s">
        <v>81</v>
      </c>
      <c r="G82" t="s">
        <v>81</v>
      </c>
      <c r="H82" t="str">
        <f>'Source Table'!$D$21</f>
        <v>الجسور</v>
      </c>
      <c r="I82" s="18" t="str">
        <f>'Source Table'!$B$21</f>
        <v>Bridges</v>
      </c>
      <c r="J82" s="19">
        <v>1278</v>
      </c>
      <c r="K82">
        <v>2019</v>
      </c>
    </row>
    <row r="83" spans="1:11">
      <c r="A83" t="s">
        <v>76</v>
      </c>
      <c r="B83" t="s">
        <v>77</v>
      </c>
      <c r="C83" t="s">
        <v>78</v>
      </c>
      <c r="D83" t="s">
        <v>79</v>
      </c>
      <c r="E83" t="s">
        <v>80</v>
      </c>
      <c r="F83" t="s">
        <v>81</v>
      </c>
      <c r="G83" t="s">
        <v>81</v>
      </c>
      <c r="H83" t="str">
        <f>'Source Table'!$D$22</f>
        <v>جابر</v>
      </c>
      <c r="I83" s="21" t="str">
        <f>'Source Table'!$B$22</f>
        <v>Jaber</v>
      </c>
      <c r="J83" s="20">
        <v>591</v>
      </c>
      <c r="K83">
        <v>2019</v>
      </c>
    </row>
    <row r="84" spans="1:11">
      <c r="A84" t="s">
        <v>76</v>
      </c>
      <c r="B84" t="s">
        <v>77</v>
      </c>
      <c r="C84" t="s">
        <v>78</v>
      </c>
      <c r="D84" t="s">
        <v>79</v>
      </c>
      <c r="E84" t="s">
        <v>80</v>
      </c>
      <c r="F84" t="str">
        <f>'Source Table'!$D$6</f>
        <v>بر</v>
      </c>
      <c r="G84" t="str">
        <f>'Source Table'!$B$6</f>
        <v>Land</v>
      </c>
      <c r="H84" t="s">
        <v>81</v>
      </c>
      <c r="I84" s="18" t="s">
        <v>81</v>
      </c>
      <c r="J84" s="22">
        <v>3521</v>
      </c>
      <c r="K84">
        <v>2018</v>
      </c>
    </row>
    <row r="85" spans="1:11">
      <c r="A85" t="s">
        <v>76</v>
      </c>
      <c r="B85" t="s">
        <v>77</v>
      </c>
      <c r="C85" t="s">
        <v>78</v>
      </c>
      <c r="D85" t="s">
        <v>79</v>
      </c>
      <c r="E85" t="s">
        <v>80</v>
      </c>
      <c r="F85" t="str">
        <f>'Source Table'!$D$7</f>
        <v>بحر</v>
      </c>
      <c r="G85" t="str">
        <f>'Source Table'!$B$7</f>
        <v>Sea</v>
      </c>
      <c r="H85" t="s">
        <v>81</v>
      </c>
      <c r="I85" s="18" t="s">
        <v>81</v>
      </c>
      <c r="J85" s="22">
        <v>256</v>
      </c>
      <c r="K85">
        <v>2018</v>
      </c>
    </row>
    <row r="86" spans="1:11">
      <c r="A86" t="s">
        <v>76</v>
      </c>
      <c r="B86" t="s">
        <v>77</v>
      </c>
      <c r="C86" t="s">
        <v>78</v>
      </c>
      <c r="D86" t="s">
        <v>79</v>
      </c>
      <c r="E86" t="s">
        <v>80</v>
      </c>
      <c r="F86" t="str">
        <f>'Source Table'!$D$8</f>
        <v>جو</v>
      </c>
      <c r="G86" t="str">
        <f>'Source Table'!$B$8</f>
        <v>Air</v>
      </c>
      <c r="H86" t="s">
        <v>81</v>
      </c>
      <c r="I86" s="18" t="s">
        <v>81</v>
      </c>
      <c r="J86" s="22">
        <v>3681</v>
      </c>
      <c r="K86">
        <v>2018</v>
      </c>
    </row>
    <row r="87" spans="1:11">
      <c r="A87" t="s">
        <v>76</v>
      </c>
      <c r="B87" t="s">
        <v>77</v>
      </c>
      <c r="C87" t="s">
        <v>78</v>
      </c>
      <c r="D87" t="s">
        <v>79</v>
      </c>
      <c r="E87" t="s">
        <v>80</v>
      </c>
      <c r="F87" t="s">
        <v>81</v>
      </c>
      <c r="G87" t="s">
        <v>81</v>
      </c>
      <c r="H87" t="str">
        <f>'Source Table'!$D$10</f>
        <v>مطار الملكة علياء الدولي</v>
      </c>
      <c r="I87" s="18" t="str">
        <f>'Source Table'!$B$10</f>
        <v>Queen Alia Int.  Airport</v>
      </c>
      <c r="J87" s="22">
        <v>3582</v>
      </c>
      <c r="K87">
        <v>2018</v>
      </c>
    </row>
    <row r="88" spans="1:11">
      <c r="A88" t="s">
        <v>76</v>
      </c>
      <c r="B88" t="s">
        <v>77</v>
      </c>
      <c r="C88" t="s">
        <v>78</v>
      </c>
      <c r="D88" t="s">
        <v>79</v>
      </c>
      <c r="E88" t="s">
        <v>80</v>
      </c>
      <c r="F88" t="s">
        <v>81</v>
      </c>
      <c r="G88" t="s">
        <v>81</v>
      </c>
      <c r="H88" t="str">
        <f>'Source Table'!$D$11</f>
        <v>مطار عمان المدني</v>
      </c>
      <c r="I88" s="18" t="str">
        <f>'Source Table'!$B$11</f>
        <v>Amman Civil Airport</v>
      </c>
      <c r="J88" s="22">
        <v>16</v>
      </c>
      <c r="K88">
        <v>2018</v>
      </c>
    </row>
    <row r="89" spans="1:11">
      <c r="A89" t="s">
        <v>76</v>
      </c>
      <c r="B89" t="s">
        <v>77</v>
      </c>
      <c r="C89" t="s">
        <v>78</v>
      </c>
      <c r="D89" t="s">
        <v>79</v>
      </c>
      <c r="E89" t="s">
        <v>80</v>
      </c>
      <c r="F89" t="s">
        <v>81</v>
      </c>
      <c r="G89" t="s">
        <v>81</v>
      </c>
      <c r="H89" t="str">
        <f>'Source Table'!$D$12</f>
        <v>مطار العقبة</v>
      </c>
      <c r="I89" s="18" t="str">
        <f>'Source Table'!$B$12</f>
        <v>Aqaba Airport</v>
      </c>
      <c r="J89" s="22">
        <v>83</v>
      </c>
      <c r="K89">
        <v>2018</v>
      </c>
    </row>
    <row r="90" spans="1:11">
      <c r="A90" t="s">
        <v>76</v>
      </c>
      <c r="B90" t="s">
        <v>77</v>
      </c>
      <c r="C90" t="s">
        <v>78</v>
      </c>
      <c r="D90" t="s">
        <v>79</v>
      </c>
      <c r="E90" t="s">
        <v>80</v>
      </c>
      <c r="F90" t="s">
        <v>81</v>
      </c>
      <c r="G90" t="s">
        <v>81</v>
      </c>
      <c r="H90" t="str">
        <f>'Source Table'!$D$13</f>
        <v>الرمثا</v>
      </c>
      <c r="I90" s="18" t="str">
        <f>'Source Table'!$B$13</f>
        <v>Ramtha</v>
      </c>
      <c r="J90" s="22">
        <v>1</v>
      </c>
      <c r="K90">
        <v>2018</v>
      </c>
    </row>
    <row r="91" spans="1:11">
      <c r="A91" t="s">
        <v>76</v>
      </c>
      <c r="B91" t="s">
        <v>77</v>
      </c>
      <c r="C91" t="s">
        <v>78</v>
      </c>
      <c r="D91" t="s">
        <v>79</v>
      </c>
      <c r="E91" t="s">
        <v>80</v>
      </c>
      <c r="F91" t="s">
        <v>81</v>
      </c>
      <c r="G91" t="s">
        <v>81</v>
      </c>
      <c r="H91" t="str">
        <f>'Source Table'!$D$14</f>
        <v>العمري</v>
      </c>
      <c r="I91" s="18" t="str">
        <f>'Source Table'!$B$14</f>
        <v>Omari</v>
      </c>
      <c r="J91" s="22">
        <v>1153</v>
      </c>
      <c r="K91">
        <v>2018</v>
      </c>
    </row>
    <row r="92" spans="1:11">
      <c r="A92" t="s">
        <v>76</v>
      </c>
      <c r="B92" t="s">
        <v>77</v>
      </c>
      <c r="C92" t="s">
        <v>78</v>
      </c>
      <c r="D92" t="s">
        <v>79</v>
      </c>
      <c r="E92" t="s">
        <v>80</v>
      </c>
      <c r="F92" t="s">
        <v>81</v>
      </c>
      <c r="G92" t="s">
        <v>81</v>
      </c>
      <c r="H92" t="str">
        <f>'Source Table'!$D$15</f>
        <v>المدورة</v>
      </c>
      <c r="I92" s="18" t="str">
        <f>'Source Table'!$B$15</f>
        <v>Mudawara</v>
      </c>
      <c r="J92" s="22">
        <v>388</v>
      </c>
      <c r="K92">
        <v>2018</v>
      </c>
    </row>
    <row r="93" spans="1:11">
      <c r="A93" t="s">
        <v>76</v>
      </c>
      <c r="B93" t="s">
        <v>77</v>
      </c>
      <c r="C93" t="s">
        <v>78</v>
      </c>
      <c r="D93" t="s">
        <v>79</v>
      </c>
      <c r="E93" t="s">
        <v>80</v>
      </c>
      <c r="F93" t="s">
        <v>81</v>
      </c>
      <c r="G93" t="s">
        <v>81</v>
      </c>
      <c r="H93" t="str">
        <f>'Source Table'!$D$16</f>
        <v>الدرة</v>
      </c>
      <c r="I93" s="18" t="str">
        <f>'Source Table'!$B$16</f>
        <v>Durrah</v>
      </c>
      <c r="J93" s="22">
        <v>158</v>
      </c>
      <c r="K93">
        <v>2018</v>
      </c>
    </row>
    <row r="94" spans="1:11">
      <c r="A94" t="s">
        <v>76</v>
      </c>
      <c r="B94" t="s">
        <v>77</v>
      </c>
      <c r="C94" t="s">
        <v>78</v>
      </c>
      <c r="D94" t="s">
        <v>79</v>
      </c>
      <c r="E94" t="s">
        <v>80</v>
      </c>
      <c r="F94" t="s">
        <v>81</v>
      </c>
      <c r="G94" t="s">
        <v>81</v>
      </c>
      <c r="H94" t="str">
        <f>'Source Table'!$D$17</f>
        <v>ميناء العقبة</v>
      </c>
      <c r="I94" s="18" t="str">
        <f>'Source Table'!$B$17</f>
        <v>Aqaba Port</v>
      </c>
      <c r="J94" s="22">
        <v>256</v>
      </c>
      <c r="K94">
        <v>2018</v>
      </c>
    </row>
    <row r="95" spans="1:11">
      <c r="A95" t="s">
        <v>76</v>
      </c>
      <c r="B95" t="s">
        <v>77</v>
      </c>
      <c r="C95" t="s">
        <v>78</v>
      </c>
      <c r="D95" t="s">
        <v>79</v>
      </c>
      <c r="E95" t="s">
        <v>80</v>
      </c>
      <c r="F95" t="s">
        <v>81</v>
      </c>
      <c r="G95" t="s">
        <v>81</v>
      </c>
      <c r="H95" t="str">
        <f>'Source Table'!$D$18</f>
        <v>معبر وادي الأردن</v>
      </c>
      <c r="I95" s="18" t="str">
        <f>'Source Table'!$B$18</f>
        <v>Jordan Vally</v>
      </c>
      <c r="J95" s="22">
        <v>265</v>
      </c>
      <c r="K95">
        <v>2018</v>
      </c>
    </row>
    <row r="96" spans="1:11">
      <c r="A96" t="s">
        <v>76</v>
      </c>
      <c r="B96" t="s">
        <v>77</v>
      </c>
      <c r="C96" t="s">
        <v>78</v>
      </c>
      <c r="D96" t="s">
        <v>79</v>
      </c>
      <c r="E96" t="s">
        <v>80</v>
      </c>
      <c r="F96" t="s">
        <v>81</v>
      </c>
      <c r="G96" t="s">
        <v>81</v>
      </c>
      <c r="H96" t="str">
        <f>'Source Table'!$D$19</f>
        <v>الكرامة</v>
      </c>
      <c r="I96" s="18" t="str">
        <f>'Source Table'!$B$19</f>
        <v>Alkaramah</v>
      </c>
      <c r="J96" s="22">
        <v>56</v>
      </c>
      <c r="K96">
        <v>2018</v>
      </c>
    </row>
    <row r="97" spans="1:11">
      <c r="A97" t="s">
        <v>76</v>
      </c>
      <c r="B97" t="s">
        <v>77</v>
      </c>
      <c r="C97" t="s">
        <v>78</v>
      </c>
      <c r="D97" t="s">
        <v>79</v>
      </c>
      <c r="E97" t="s">
        <v>80</v>
      </c>
      <c r="F97" t="s">
        <v>81</v>
      </c>
      <c r="G97" t="s">
        <v>81</v>
      </c>
      <c r="H97" t="str">
        <f>'Source Table'!$D$20</f>
        <v>معبر وادي عربة</v>
      </c>
      <c r="I97" s="18" t="str">
        <f>'Source Table'!$B$20</f>
        <v>Wadi Araba Crossing</v>
      </c>
      <c r="J97" s="22">
        <v>166</v>
      </c>
      <c r="K97">
        <v>2018</v>
      </c>
    </row>
    <row r="98" spans="1:11">
      <c r="A98" t="s">
        <v>76</v>
      </c>
      <c r="B98" t="s">
        <v>77</v>
      </c>
      <c r="C98" t="s">
        <v>78</v>
      </c>
      <c r="D98" t="s">
        <v>79</v>
      </c>
      <c r="E98" t="s">
        <v>80</v>
      </c>
      <c r="F98" t="s">
        <v>81</v>
      </c>
      <c r="G98" t="s">
        <v>81</v>
      </c>
      <c r="H98" t="str">
        <f>'Source Table'!$D$21</f>
        <v>الجسور</v>
      </c>
      <c r="I98" s="18" t="str">
        <f>'Source Table'!$B$21</f>
        <v>Bridges</v>
      </c>
      <c r="J98" s="22">
        <v>1230</v>
      </c>
      <c r="K98">
        <v>2018</v>
      </c>
    </row>
    <row r="99" spans="1:11">
      <c r="A99" t="s">
        <v>76</v>
      </c>
      <c r="B99" t="s">
        <v>77</v>
      </c>
      <c r="C99" t="s">
        <v>78</v>
      </c>
      <c r="D99" t="s">
        <v>79</v>
      </c>
      <c r="E99" t="s">
        <v>80</v>
      </c>
      <c r="F99" t="s">
        <v>81</v>
      </c>
      <c r="G99" t="s">
        <v>81</v>
      </c>
      <c r="H99" t="str">
        <f>'Source Table'!$D$22</f>
        <v>جابر</v>
      </c>
      <c r="I99" s="21" t="str">
        <f>'Source Table'!$B$22</f>
        <v>Jaber</v>
      </c>
      <c r="J99" s="22">
        <v>104</v>
      </c>
      <c r="K99">
        <v>2018</v>
      </c>
    </row>
    <row r="100" spans="1:11">
      <c r="A100" t="s">
        <v>76</v>
      </c>
      <c r="B100" t="s">
        <v>77</v>
      </c>
      <c r="C100" t="s">
        <v>78</v>
      </c>
      <c r="D100" t="s">
        <v>79</v>
      </c>
      <c r="E100" t="s">
        <v>80</v>
      </c>
      <c r="F100" t="str">
        <f>'Source Table'!$D$6</f>
        <v>بر</v>
      </c>
      <c r="G100" t="str">
        <f>'Source Table'!$B$6</f>
        <v>Land</v>
      </c>
      <c r="H100" t="s">
        <v>81</v>
      </c>
      <c r="I100" s="18" t="s">
        <v>81</v>
      </c>
      <c r="J100" s="22">
        <v>3282</v>
      </c>
      <c r="K100">
        <v>2017</v>
      </c>
    </row>
    <row r="101" spans="1:11">
      <c r="A101" t="s">
        <v>76</v>
      </c>
      <c r="B101" t="s">
        <v>77</v>
      </c>
      <c r="C101" t="s">
        <v>78</v>
      </c>
      <c r="D101" t="s">
        <v>79</v>
      </c>
      <c r="E101" t="s">
        <v>80</v>
      </c>
      <c r="F101" t="str">
        <f>'Source Table'!$D$7</f>
        <v>بحر</v>
      </c>
      <c r="G101" t="str">
        <f>'Source Table'!$B$7</f>
        <v>Sea</v>
      </c>
      <c r="H101" t="s">
        <v>81</v>
      </c>
      <c r="I101" s="18" t="s">
        <v>81</v>
      </c>
      <c r="J101" s="22">
        <v>228</v>
      </c>
      <c r="K101">
        <v>2017</v>
      </c>
    </row>
    <row r="102" spans="1:11">
      <c r="A102" t="s">
        <v>76</v>
      </c>
      <c r="B102" t="s">
        <v>77</v>
      </c>
      <c r="C102" t="s">
        <v>78</v>
      </c>
      <c r="D102" t="s">
        <v>79</v>
      </c>
      <c r="E102" t="s">
        <v>80</v>
      </c>
      <c r="F102" t="str">
        <f>'Source Table'!$D$8</f>
        <v>جو</v>
      </c>
      <c r="G102" t="str">
        <f>'Source Table'!$B$8</f>
        <v>Air</v>
      </c>
      <c r="H102" t="s">
        <v>81</v>
      </c>
      <c r="I102" s="18" t="s">
        <v>81</v>
      </c>
      <c r="J102" s="22">
        <v>3363</v>
      </c>
      <c r="K102">
        <v>2017</v>
      </c>
    </row>
    <row r="103" spans="1:11">
      <c r="A103" t="s">
        <v>76</v>
      </c>
      <c r="B103" t="s">
        <v>77</v>
      </c>
      <c r="C103" t="s">
        <v>78</v>
      </c>
      <c r="D103" t="s">
        <v>79</v>
      </c>
      <c r="E103" t="s">
        <v>80</v>
      </c>
      <c r="F103" t="s">
        <v>81</v>
      </c>
      <c r="G103" t="s">
        <v>81</v>
      </c>
      <c r="H103" t="str">
        <f>'Source Table'!$D$10</f>
        <v>مطار الملكة علياء الدولي</v>
      </c>
      <c r="I103" s="18" t="str">
        <f>'Source Table'!$B$10</f>
        <v>Queen Alia Int.  Airport</v>
      </c>
      <c r="J103" s="22">
        <v>3279</v>
      </c>
      <c r="K103">
        <v>2017</v>
      </c>
    </row>
    <row r="104" spans="1:11">
      <c r="A104" t="s">
        <v>76</v>
      </c>
      <c r="B104" t="s">
        <v>77</v>
      </c>
      <c r="C104" t="s">
        <v>78</v>
      </c>
      <c r="D104" t="s">
        <v>79</v>
      </c>
      <c r="E104" t="s">
        <v>80</v>
      </c>
      <c r="F104" t="s">
        <v>81</v>
      </c>
      <c r="G104" t="s">
        <v>81</v>
      </c>
      <c r="H104" t="str">
        <f>'Source Table'!$D$11</f>
        <v>مطار عمان المدني</v>
      </c>
      <c r="I104" s="18" t="str">
        <f>'Source Table'!$B$11</f>
        <v>Amman Civil Airport</v>
      </c>
      <c r="J104" s="22">
        <v>22</v>
      </c>
      <c r="K104">
        <v>2017</v>
      </c>
    </row>
    <row r="105" spans="1:11">
      <c r="A105" t="s">
        <v>76</v>
      </c>
      <c r="B105" t="s">
        <v>77</v>
      </c>
      <c r="C105" t="s">
        <v>78</v>
      </c>
      <c r="D105" t="s">
        <v>79</v>
      </c>
      <c r="E105" t="s">
        <v>80</v>
      </c>
      <c r="F105" t="s">
        <v>81</v>
      </c>
      <c r="G105" t="s">
        <v>81</v>
      </c>
      <c r="H105" t="str">
        <f>'Source Table'!$D$12</f>
        <v>مطار العقبة</v>
      </c>
      <c r="I105" s="18" t="str">
        <f>'Source Table'!$B$12</f>
        <v>Aqaba Airport</v>
      </c>
      <c r="J105" s="22">
        <v>62</v>
      </c>
      <c r="K105">
        <v>2017</v>
      </c>
    </row>
    <row r="106" spans="1:11">
      <c r="A106" t="s">
        <v>76</v>
      </c>
      <c r="B106" t="s">
        <v>77</v>
      </c>
      <c r="C106" t="s">
        <v>78</v>
      </c>
      <c r="D106" t="s">
        <v>79</v>
      </c>
      <c r="E106" t="s">
        <v>80</v>
      </c>
      <c r="F106" t="s">
        <v>81</v>
      </c>
      <c r="G106" t="s">
        <v>81</v>
      </c>
      <c r="H106" t="str">
        <f>'Source Table'!$D$13</f>
        <v>الرمثا</v>
      </c>
      <c r="I106" s="18" t="str">
        <f>'Source Table'!$B$13</f>
        <v>Ramtha</v>
      </c>
      <c r="J106" s="22">
        <v>1</v>
      </c>
      <c r="K106">
        <v>2017</v>
      </c>
    </row>
    <row r="107" spans="1:11">
      <c r="A107" t="s">
        <v>76</v>
      </c>
      <c r="B107" t="s">
        <v>77</v>
      </c>
      <c r="C107" t="s">
        <v>78</v>
      </c>
      <c r="D107" t="s">
        <v>79</v>
      </c>
      <c r="E107" t="s">
        <v>80</v>
      </c>
      <c r="F107" t="s">
        <v>81</v>
      </c>
      <c r="G107" t="s">
        <v>81</v>
      </c>
      <c r="H107" t="str">
        <f>'Source Table'!$D$14</f>
        <v>العمري</v>
      </c>
      <c r="I107" s="18" t="str">
        <f>'Source Table'!$B$14</f>
        <v>Omari</v>
      </c>
      <c r="J107" s="22">
        <v>1038</v>
      </c>
      <c r="K107">
        <v>2017</v>
      </c>
    </row>
    <row r="108" spans="1:11">
      <c r="A108" t="s">
        <v>76</v>
      </c>
      <c r="B108" t="s">
        <v>77</v>
      </c>
      <c r="C108" t="s">
        <v>78</v>
      </c>
      <c r="D108" t="s">
        <v>79</v>
      </c>
      <c r="E108" t="s">
        <v>80</v>
      </c>
      <c r="F108" t="s">
        <v>81</v>
      </c>
      <c r="G108" t="s">
        <v>81</v>
      </c>
      <c r="H108" t="str">
        <f>'Source Table'!$D$15</f>
        <v>المدورة</v>
      </c>
      <c r="I108" s="18" t="str">
        <f>'Source Table'!$B$15</f>
        <v>Mudawara</v>
      </c>
      <c r="J108" s="22">
        <v>546</v>
      </c>
      <c r="K108">
        <v>2017</v>
      </c>
    </row>
    <row r="109" spans="1:11">
      <c r="A109" t="s">
        <v>76</v>
      </c>
      <c r="B109" t="s">
        <v>77</v>
      </c>
      <c r="C109" t="s">
        <v>78</v>
      </c>
      <c r="D109" t="s">
        <v>79</v>
      </c>
      <c r="E109" t="s">
        <v>80</v>
      </c>
      <c r="F109" t="s">
        <v>81</v>
      </c>
      <c r="G109" t="s">
        <v>81</v>
      </c>
      <c r="H109" t="str">
        <f>'Source Table'!$D$16</f>
        <v>الدرة</v>
      </c>
      <c r="I109" s="18" t="str">
        <f>'Source Table'!$B$16</f>
        <v>Durrah</v>
      </c>
      <c r="J109" s="22">
        <v>155</v>
      </c>
      <c r="K109">
        <v>2017</v>
      </c>
    </row>
    <row r="110" spans="1:11">
      <c r="A110" t="s">
        <v>76</v>
      </c>
      <c r="B110" t="s">
        <v>77</v>
      </c>
      <c r="C110" t="s">
        <v>78</v>
      </c>
      <c r="D110" t="s">
        <v>79</v>
      </c>
      <c r="E110" t="s">
        <v>80</v>
      </c>
      <c r="F110" t="s">
        <v>81</v>
      </c>
      <c r="G110" t="s">
        <v>81</v>
      </c>
      <c r="H110" t="str">
        <f>'Source Table'!$D$17</f>
        <v>ميناء العقبة</v>
      </c>
      <c r="I110" s="18" t="str">
        <f>'Source Table'!$B$17</f>
        <v>Aqaba Port</v>
      </c>
      <c r="J110" s="22">
        <v>228</v>
      </c>
      <c r="K110">
        <v>2017</v>
      </c>
    </row>
    <row r="111" spans="1:11">
      <c r="A111" t="s">
        <v>76</v>
      </c>
      <c r="B111" t="s">
        <v>77</v>
      </c>
      <c r="C111" t="s">
        <v>78</v>
      </c>
      <c r="D111" t="s">
        <v>79</v>
      </c>
      <c r="E111" t="s">
        <v>80</v>
      </c>
      <c r="F111" t="s">
        <v>81</v>
      </c>
      <c r="G111" t="s">
        <v>81</v>
      </c>
      <c r="H111" t="str">
        <f>'Source Table'!$D$18</f>
        <v>معبر وادي الأردن</v>
      </c>
      <c r="I111" s="18" t="str">
        <f>'Source Table'!$B$18</f>
        <v>Jordan Vally</v>
      </c>
      <c r="J111" s="22">
        <v>242</v>
      </c>
      <c r="K111">
        <v>2017</v>
      </c>
    </row>
    <row r="112" spans="1:11">
      <c r="A112" t="s">
        <v>76</v>
      </c>
      <c r="B112" t="s">
        <v>77</v>
      </c>
      <c r="C112" t="s">
        <v>78</v>
      </c>
      <c r="D112" t="s">
        <v>79</v>
      </c>
      <c r="E112" t="s">
        <v>80</v>
      </c>
      <c r="F112" t="s">
        <v>81</v>
      </c>
      <c r="G112" t="s">
        <v>81</v>
      </c>
      <c r="H112" t="str">
        <f>'Source Table'!$D$19</f>
        <v>الكرامة</v>
      </c>
      <c r="I112" s="18" t="str">
        <f>'Source Table'!$B$19</f>
        <v>Alkaramah</v>
      </c>
      <c r="J112" s="22">
        <v>9</v>
      </c>
      <c r="K112">
        <v>2017</v>
      </c>
    </row>
    <row r="113" spans="1:11">
      <c r="A113" t="s">
        <v>76</v>
      </c>
      <c r="B113" t="s">
        <v>77</v>
      </c>
      <c r="C113" t="s">
        <v>78</v>
      </c>
      <c r="D113" t="s">
        <v>79</v>
      </c>
      <c r="E113" t="s">
        <v>80</v>
      </c>
      <c r="F113" t="s">
        <v>81</v>
      </c>
      <c r="G113" t="s">
        <v>81</v>
      </c>
      <c r="H113" t="str">
        <f>'Source Table'!$D$20</f>
        <v>معبر وادي عربة</v>
      </c>
      <c r="I113" s="18" t="str">
        <f>'Source Table'!$B$20</f>
        <v>Wadi Araba Crossing</v>
      </c>
      <c r="J113" s="22">
        <v>117</v>
      </c>
      <c r="K113">
        <v>2017</v>
      </c>
    </row>
    <row r="114" spans="1:11">
      <c r="A114" t="s">
        <v>76</v>
      </c>
      <c r="B114" t="s">
        <v>77</v>
      </c>
      <c r="C114" t="s">
        <v>78</v>
      </c>
      <c r="D114" t="s">
        <v>79</v>
      </c>
      <c r="E114" t="s">
        <v>80</v>
      </c>
      <c r="F114" t="s">
        <v>81</v>
      </c>
      <c r="G114" t="s">
        <v>81</v>
      </c>
      <c r="H114" t="str">
        <f>'Source Table'!$D$21</f>
        <v>الجسور</v>
      </c>
      <c r="I114" s="18" t="str">
        <f>'Source Table'!$B$21</f>
        <v>Bridges</v>
      </c>
      <c r="J114" s="22">
        <v>1174</v>
      </c>
      <c r="K114">
        <v>2017</v>
      </c>
    </row>
    <row r="115" spans="1:11">
      <c r="A115" t="s">
        <v>76</v>
      </c>
      <c r="B115" t="s">
        <v>77</v>
      </c>
      <c r="C115" t="s">
        <v>78</v>
      </c>
      <c r="D115" t="s">
        <v>79</v>
      </c>
      <c r="E115" t="s">
        <v>80</v>
      </c>
      <c r="F115" t="s">
        <v>81</v>
      </c>
      <c r="G115" t="s">
        <v>81</v>
      </c>
      <c r="H115" t="str">
        <f>'Source Table'!$D$22</f>
        <v>جابر</v>
      </c>
      <c r="I115" s="21" t="str">
        <f>'Source Table'!$B$22</f>
        <v>Jaber</v>
      </c>
      <c r="J115" s="22">
        <v>1</v>
      </c>
      <c r="K115">
        <v>2017</v>
      </c>
    </row>
    <row r="116" spans="1:11">
      <c r="A116" t="s">
        <v>76</v>
      </c>
      <c r="B116" t="s">
        <v>77</v>
      </c>
      <c r="C116" t="s">
        <v>78</v>
      </c>
      <c r="D116" t="s">
        <v>79</v>
      </c>
      <c r="E116" t="s">
        <v>80</v>
      </c>
      <c r="F116" t="str">
        <f>'Source Table'!$D$6</f>
        <v>بر</v>
      </c>
      <c r="G116" t="str">
        <f>'Source Table'!$B$6</f>
        <v>Land</v>
      </c>
      <c r="H116" t="s">
        <v>81</v>
      </c>
      <c r="I116" s="18" t="s">
        <v>81</v>
      </c>
      <c r="J116" s="23">
        <v>2972</v>
      </c>
      <c r="K116">
        <v>2016</v>
      </c>
    </row>
    <row r="117" spans="1:11">
      <c r="A117" t="s">
        <v>76</v>
      </c>
      <c r="B117" t="s">
        <v>77</v>
      </c>
      <c r="C117" t="s">
        <v>78</v>
      </c>
      <c r="D117" t="s">
        <v>79</v>
      </c>
      <c r="E117" t="s">
        <v>80</v>
      </c>
      <c r="F117" t="str">
        <f>'Source Table'!$D$7</f>
        <v>بحر</v>
      </c>
      <c r="G117" t="str">
        <f>'Source Table'!$B$7</f>
        <v>Sea</v>
      </c>
      <c r="H117" t="s">
        <v>81</v>
      </c>
      <c r="I117" s="18" t="s">
        <v>81</v>
      </c>
      <c r="J117" s="23">
        <v>237</v>
      </c>
      <c r="K117">
        <v>2016</v>
      </c>
    </row>
    <row r="118" spans="1:11">
      <c r="A118" t="s">
        <v>76</v>
      </c>
      <c r="B118" t="s">
        <v>77</v>
      </c>
      <c r="C118" t="s">
        <v>78</v>
      </c>
      <c r="D118" t="s">
        <v>79</v>
      </c>
      <c r="E118" t="s">
        <v>80</v>
      </c>
      <c r="F118" t="str">
        <f>'Source Table'!$D$8</f>
        <v>جو</v>
      </c>
      <c r="G118" t="str">
        <f>'Source Table'!$B$8</f>
        <v>Air</v>
      </c>
      <c r="H118" t="s">
        <v>81</v>
      </c>
      <c r="I118" s="18" t="s">
        <v>81</v>
      </c>
      <c r="J118" s="23">
        <v>3214</v>
      </c>
      <c r="K118">
        <v>2016</v>
      </c>
    </row>
    <row r="119" spans="1:11">
      <c r="A119" t="s">
        <v>76</v>
      </c>
      <c r="B119" t="s">
        <v>77</v>
      </c>
      <c r="C119" t="s">
        <v>78</v>
      </c>
      <c r="D119" t="s">
        <v>79</v>
      </c>
      <c r="E119" t="s">
        <v>80</v>
      </c>
      <c r="F119" t="s">
        <v>81</v>
      </c>
      <c r="G119" t="s">
        <v>81</v>
      </c>
      <c r="H119" t="str">
        <f>'Source Table'!$D$10</f>
        <v>مطار الملكة علياء الدولي</v>
      </c>
      <c r="I119" s="18" t="str">
        <f>'Source Table'!$B$10</f>
        <v>Queen Alia Int.  Airport</v>
      </c>
      <c r="J119" s="23">
        <v>3135</v>
      </c>
      <c r="K119">
        <v>2016</v>
      </c>
    </row>
    <row r="120" spans="1:11">
      <c r="A120" t="s">
        <v>76</v>
      </c>
      <c r="B120" t="s">
        <v>77</v>
      </c>
      <c r="C120" t="s">
        <v>78</v>
      </c>
      <c r="D120" t="s">
        <v>79</v>
      </c>
      <c r="E120" t="s">
        <v>80</v>
      </c>
      <c r="F120" t="s">
        <v>81</v>
      </c>
      <c r="G120" t="s">
        <v>81</v>
      </c>
      <c r="H120" t="str">
        <f>'Source Table'!$D$11</f>
        <v>مطار عمان المدني</v>
      </c>
      <c r="I120" s="18" t="str">
        <f>'Source Table'!$B$11</f>
        <v>Amman Civil Airport</v>
      </c>
      <c r="J120" s="23">
        <v>30</v>
      </c>
      <c r="K120">
        <v>2016</v>
      </c>
    </row>
    <row r="121" spans="1:11">
      <c r="A121" t="s">
        <v>76</v>
      </c>
      <c r="B121" t="s">
        <v>77</v>
      </c>
      <c r="C121" t="s">
        <v>78</v>
      </c>
      <c r="D121" t="s">
        <v>79</v>
      </c>
      <c r="E121" t="s">
        <v>80</v>
      </c>
      <c r="F121" t="s">
        <v>81</v>
      </c>
      <c r="G121" t="s">
        <v>81</v>
      </c>
      <c r="H121" t="str">
        <f>'Source Table'!$D$12</f>
        <v>مطار العقبة</v>
      </c>
      <c r="I121" s="18" t="str">
        <f>'Source Table'!$B$12</f>
        <v>Aqaba Airport</v>
      </c>
      <c r="J121" s="23">
        <v>50</v>
      </c>
      <c r="K121">
        <v>2016</v>
      </c>
    </row>
    <row r="122" spans="1:11">
      <c r="A122" t="s">
        <v>76</v>
      </c>
      <c r="B122" t="s">
        <v>77</v>
      </c>
      <c r="C122" t="s">
        <v>78</v>
      </c>
      <c r="D122" t="s">
        <v>79</v>
      </c>
      <c r="E122" t="s">
        <v>80</v>
      </c>
      <c r="F122" t="s">
        <v>81</v>
      </c>
      <c r="G122" t="s">
        <v>81</v>
      </c>
      <c r="H122" t="str">
        <f>'Source Table'!$D$13</f>
        <v>الرمثا</v>
      </c>
      <c r="I122" s="18" t="str">
        <f>'Source Table'!$B$13</f>
        <v>Ramtha</v>
      </c>
      <c r="J122" s="23">
        <v>1</v>
      </c>
      <c r="K122">
        <v>2016</v>
      </c>
    </row>
    <row r="123" spans="1:11">
      <c r="A123" t="s">
        <v>76</v>
      </c>
      <c r="B123" t="s">
        <v>77</v>
      </c>
      <c r="C123" t="s">
        <v>78</v>
      </c>
      <c r="D123" t="s">
        <v>79</v>
      </c>
      <c r="E123" t="s">
        <v>80</v>
      </c>
      <c r="F123" t="s">
        <v>81</v>
      </c>
      <c r="G123" t="s">
        <v>81</v>
      </c>
      <c r="H123" t="str">
        <f>'Source Table'!$D$14</f>
        <v>العمري</v>
      </c>
      <c r="I123" s="18" t="str">
        <f>'Source Table'!$B$14</f>
        <v>Omari</v>
      </c>
      <c r="J123" s="23">
        <v>998</v>
      </c>
      <c r="K123">
        <v>2016</v>
      </c>
    </row>
    <row r="124" spans="1:11">
      <c r="A124" t="s">
        <v>76</v>
      </c>
      <c r="B124" t="s">
        <v>77</v>
      </c>
      <c r="C124" t="s">
        <v>78</v>
      </c>
      <c r="D124" t="s">
        <v>79</v>
      </c>
      <c r="E124" t="s">
        <v>80</v>
      </c>
      <c r="F124" t="s">
        <v>81</v>
      </c>
      <c r="G124" t="s">
        <v>81</v>
      </c>
      <c r="H124" t="str">
        <f>'Source Table'!$D$15</f>
        <v>المدورة</v>
      </c>
      <c r="I124" s="18" t="str">
        <f>'Source Table'!$B$15</f>
        <v>Mudawara</v>
      </c>
      <c r="J124" s="23">
        <v>533</v>
      </c>
      <c r="K124">
        <v>2016</v>
      </c>
    </row>
    <row r="125" spans="1:11">
      <c r="A125" t="s">
        <v>76</v>
      </c>
      <c r="B125" t="s">
        <v>77</v>
      </c>
      <c r="C125" t="s">
        <v>78</v>
      </c>
      <c r="D125" t="s">
        <v>79</v>
      </c>
      <c r="E125" t="s">
        <v>80</v>
      </c>
      <c r="F125" t="s">
        <v>81</v>
      </c>
      <c r="G125" t="s">
        <v>81</v>
      </c>
      <c r="H125" t="str">
        <f>'Source Table'!$D$16</f>
        <v>الدرة</v>
      </c>
      <c r="I125" s="18" t="str">
        <f>'Source Table'!$B$16</f>
        <v>Durrah</v>
      </c>
      <c r="J125" s="23">
        <v>165</v>
      </c>
      <c r="K125">
        <v>2016</v>
      </c>
    </row>
    <row r="126" spans="1:11">
      <c r="A126" t="s">
        <v>76</v>
      </c>
      <c r="B126" t="s">
        <v>77</v>
      </c>
      <c r="C126" t="s">
        <v>78</v>
      </c>
      <c r="D126" t="s">
        <v>79</v>
      </c>
      <c r="E126" t="s">
        <v>80</v>
      </c>
      <c r="F126" t="s">
        <v>81</v>
      </c>
      <c r="G126" t="s">
        <v>81</v>
      </c>
      <c r="H126" t="str">
        <f>'Source Table'!$D$17</f>
        <v>ميناء العقبة</v>
      </c>
      <c r="I126" s="18" t="str">
        <f>'Source Table'!$B$17</f>
        <v>Aqaba Port</v>
      </c>
      <c r="J126" s="23">
        <v>237</v>
      </c>
      <c r="K126">
        <v>2016</v>
      </c>
    </row>
    <row r="127" spans="1:11">
      <c r="A127" t="s">
        <v>76</v>
      </c>
      <c r="B127" t="s">
        <v>77</v>
      </c>
      <c r="C127" t="s">
        <v>78</v>
      </c>
      <c r="D127" t="s">
        <v>79</v>
      </c>
      <c r="E127" t="s">
        <v>80</v>
      </c>
      <c r="F127" t="s">
        <v>81</v>
      </c>
      <c r="G127" t="s">
        <v>81</v>
      </c>
      <c r="H127" t="str">
        <f>'Source Table'!$D$18</f>
        <v>معبر وادي الأردن</v>
      </c>
      <c r="I127" s="18" t="str">
        <f>'Source Table'!$B$18</f>
        <v>Jordan Vally</v>
      </c>
      <c r="J127" s="23">
        <v>213</v>
      </c>
      <c r="K127">
        <v>2016</v>
      </c>
    </row>
    <row r="128" spans="1:11">
      <c r="A128" t="s">
        <v>76</v>
      </c>
      <c r="B128" t="s">
        <v>77</v>
      </c>
      <c r="C128" t="s">
        <v>78</v>
      </c>
      <c r="D128" t="s">
        <v>79</v>
      </c>
      <c r="E128" t="s">
        <v>80</v>
      </c>
      <c r="F128" t="s">
        <v>81</v>
      </c>
      <c r="G128" t="s">
        <v>81</v>
      </c>
      <c r="H128" t="str">
        <f>'Source Table'!$D$19</f>
        <v>الكرامة</v>
      </c>
      <c r="I128" s="18" t="str">
        <f>'Source Table'!$B$19</f>
        <v>Alkaramah</v>
      </c>
      <c r="J128" s="23">
        <v>1</v>
      </c>
      <c r="K128">
        <v>2016</v>
      </c>
    </row>
    <row r="129" spans="1:11">
      <c r="A129" t="s">
        <v>76</v>
      </c>
      <c r="B129" t="s">
        <v>77</v>
      </c>
      <c r="C129" t="s">
        <v>78</v>
      </c>
      <c r="D129" t="s">
        <v>79</v>
      </c>
      <c r="E129" t="s">
        <v>80</v>
      </c>
      <c r="F129" t="s">
        <v>81</v>
      </c>
      <c r="G129" t="s">
        <v>81</v>
      </c>
      <c r="H129" t="str">
        <f>'Source Table'!$D$20</f>
        <v>معبر وادي عربة</v>
      </c>
      <c r="I129" s="18" t="str">
        <f>'Source Table'!$B$20</f>
        <v>Wadi Araba Crossing</v>
      </c>
      <c r="J129" s="23">
        <v>87</v>
      </c>
      <c r="K129">
        <v>2016</v>
      </c>
    </row>
    <row r="130" spans="1:11">
      <c r="A130" t="s">
        <v>76</v>
      </c>
      <c r="B130" t="s">
        <v>77</v>
      </c>
      <c r="C130" t="s">
        <v>78</v>
      </c>
      <c r="D130" t="s">
        <v>79</v>
      </c>
      <c r="E130" t="s">
        <v>80</v>
      </c>
      <c r="F130" t="s">
        <v>81</v>
      </c>
      <c r="G130" t="s">
        <v>81</v>
      </c>
      <c r="H130" t="str">
        <f>'Source Table'!$D$21</f>
        <v>الجسور</v>
      </c>
      <c r="I130" s="18" t="str">
        <f>'Source Table'!$B$21</f>
        <v>Bridges</v>
      </c>
      <c r="J130" s="23">
        <v>975</v>
      </c>
      <c r="K130">
        <v>2016</v>
      </c>
    </row>
    <row r="131" spans="1:11">
      <c r="A131" t="s">
        <v>76</v>
      </c>
      <c r="B131" t="s">
        <v>77</v>
      </c>
      <c r="C131" t="s">
        <v>78</v>
      </c>
      <c r="D131" t="s">
        <v>79</v>
      </c>
      <c r="E131" t="s">
        <v>80</v>
      </c>
      <c r="F131" t="s">
        <v>81</v>
      </c>
      <c r="G131" t="s">
        <v>81</v>
      </c>
      <c r="H131" t="str">
        <f>'Source Table'!$D$22</f>
        <v>جابر</v>
      </c>
      <c r="I131" s="21" t="str">
        <f>'Source Table'!$B$22</f>
        <v>Jaber</v>
      </c>
      <c r="J131" s="23">
        <v>0</v>
      </c>
      <c r="K131">
        <v>2016</v>
      </c>
    </row>
    <row r="132" spans="1:11">
      <c r="A132" t="s">
        <v>76</v>
      </c>
      <c r="B132" t="s">
        <v>77</v>
      </c>
      <c r="C132" t="s">
        <v>78</v>
      </c>
      <c r="D132" t="s">
        <v>79</v>
      </c>
      <c r="E132" t="s">
        <v>80</v>
      </c>
      <c r="F132" t="str">
        <f>'Source Table'!$D$6</f>
        <v>بر</v>
      </c>
      <c r="G132" t="str">
        <f>'Source Table'!$B$6</f>
        <v>Land</v>
      </c>
      <c r="H132" t="s">
        <v>81</v>
      </c>
      <c r="I132" s="18" t="s">
        <v>81</v>
      </c>
      <c r="J132" s="23">
        <v>3205</v>
      </c>
      <c r="K132">
        <v>2015</v>
      </c>
    </row>
    <row r="133" spans="1:11">
      <c r="A133" t="s">
        <v>76</v>
      </c>
      <c r="B133" t="s">
        <v>77</v>
      </c>
      <c r="C133" t="s">
        <v>78</v>
      </c>
      <c r="D133" t="s">
        <v>79</v>
      </c>
      <c r="E133" t="s">
        <v>80</v>
      </c>
      <c r="F133" t="str">
        <f>'Source Table'!$D$7</f>
        <v>بحر</v>
      </c>
      <c r="G133" t="str">
        <f>'Source Table'!$B$7</f>
        <v>Sea</v>
      </c>
      <c r="H133" t="s">
        <v>81</v>
      </c>
      <c r="I133" s="18" t="s">
        <v>81</v>
      </c>
      <c r="J133" s="23">
        <v>283</v>
      </c>
      <c r="K133">
        <v>2015</v>
      </c>
    </row>
    <row r="134" spans="1:11">
      <c r="A134" t="s">
        <v>76</v>
      </c>
      <c r="B134" t="s">
        <v>77</v>
      </c>
      <c r="C134" t="s">
        <v>78</v>
      </c>
      <c r="D134" t="s">
        <v>79</v>
      </c>
      <c r="E134" t="s">
        <v>80</v>
      </c>
      <c r="F134" t="str">
        <f>'Source Table'!$D$8</f>
        <v>جو</v>
      </c>
      <c r="G134" t="str">
        <f>'Source Table'!$B$8</f>
        <v>Air</v>
      </c>
      <c r="H134" t="s">
        <v>81</v>
      </c>
      <c r="I134" s="18" t="s">
        <v>81</v>
      </c>
      <c r="J134" s="23">
        <v>2989</v>
      </c>
      <c r="K134">
        <v>2015</v>
      </c>
    </row>
    <row r="135" spans="1:11">
      <c r="A135" t="s">
        <v>76</v>
      </c>
      <c r="B135" t="s">
        <v>77</v>
      </c>
      <c r="C135" t="s">
        <v>78</v>
      </c>
      <c r="D135" t="s">
        <v>79</v>
      </c>
      <c r="E135" t="s">
        <v>80</v>
      </c>
      <c r="F135" t="s">
        <v>81</v>
      </c>
      <c r="G135" t="s">
        <v>81</v>
      </c>
      <c r="H135" t="str">
        <f>'Source Table'!$D$10</f>
        <v>مطار الملكة علياء الدولي</v>
      </c>
      <c r="I135" s="18" t="str">
        <f>'Source Table'!$B$10</f>
        <v>Queen Alia Int.  Airport</v>
      </c>
      <c r="J135" s="23">
        <v>2926</v>
      </c>
      <c r="K135">
        <v>2015</v>
      </c>
    </row>
    <row r="136" spans="1:11">
      <c r="A136" t="s">
        <v>76</v>
      </c>
      <c r="B136" t="s">
        <v>77</v>
      </c>
      <c r="C136" t="s">
        <v>78</v>
      </c>
      <c r="D136" t="s">
        <v>79</v>
      </c>
      <c r="E136" t="s">
        <v>80</v>
      </c>
      <c r="F136" t="s">
        <v>81</v>
      </c>
      <c r="G136" t="s">
        <v>81</v>
      </c>
      <c r="H136" t="str">
        <f>'Source Table'!$D$11</f>
        <v>مطار عمان المدني</v>
      </c>
      <c r="I136" s="18" t="str">
        <f>'Source Table'!$B$11</f>
        <v>Amman Civil Airport</v>
      </c>
      <c r="J136" s="23">
        <v>29</v>
      </c>
      <c r="K136">
        <v>2015</v>
      </c>
    </row>
    <row r="137" spans="1:11">
      <c r="A137" t="s">
        <v>76</v>
      </c>
      <c r="B137" t="s">
        <v>77</v>
      </c>
      <c r="C137" t="s">
        <v>78</v>
      </c>
      <c r="D137" t="s">
        <v>79</v>
      </c>
      <c r="E137" t="s">
        <v>80</v>
      </c>
      <c r="F137" t="s">
        <v>81</v>
      </c>
      <c r="G137" t="s">
        <v>81</v>
      </c>
      <c r="H137" t="str">
        <f>'Source Table'!$D$12</f>
        <v>مطار العقبة</v>
      </c>
      <c r="I137" s="18" t="str">
        <f>'Source Table'!$B$12</f>
        <v>Aqaba Airport</v>
      </c>
      <c r="J137" s="23">
        <v>34</v>
      </c>
      <c r="K137">
        <v>2015</v>
      </c>
    </row>
    <row r="138" spans="1:11">
      <c r="A138" t="s">
        <v>76</v>
      </c>
      <c r="B138" t="s">
        <v>77</v>
      </c>
      <c r="C138" t="s">
        <v>78</v>
      </c>
      <c r="D138" t="s">
        <v>79</v>
      </c>
      <c r="E138" t="s">
        <v>80</v>
      </c>
      <c r="F138" t="s">
        <v>81</v>
      </c>
      <c r="G138" t="s">
        <v>81</v>
      </c>
      <c r="H138" t="str">
        <f>'Source Table'!$D$13</f>
        <v>الرمثا</v>
      </c>
      <c r="I138" s="18" t="str">
        <f>'Source Table'!$B$13</f>
        <v>Ramtha</v>
      </c>
      <c r="J138" s="23">
        <v>1</v>
      </c>
      <c r="K138">
        <v>2015</v>
      </c>
    </row>
    <row r="139" spans="1:11">
      <c r="A139" t="s">
        <v>76</v>
      </c>
      <c r="B139" t="s">
        <v>77</v>
      </c>
      <c r="C139" t="s">
        <v>78</v>
      </c>
      <c r="D139" t="s">
        <v>79</v>
      </c>
      <c r="E139" t="s">
        <v>80</v>
      </c>
      <c r="F139" t="s">
        <v>81</v>
      </c>
      <c r="G139" t="s">
        <v>81</v>
      </c>
      <c r="H139" t="str">
        <f>'Source Table'!$D$14</f>
        <v>العمري</v>
      </c>
      <c r="I139" s="18" t="str">
        <f>'Source Table'!$B$14</f>
        <v>Omari</v>
      </c>
      <c r="J139" s="23">
        <v>1050</v>
      </c>
      <c r="K139">
        <v>2015</v>
      </c>
    </row>
    <row r="140" spans="1:11">
      <c r="A140" t="s">
        <v>76</v>
      </c>
      <c r="B140" t="s">
        <v>77</v>
      </c>
      <c r="C140" t="s">
        <v>78</v>
      </c>
      <c r="D140" t="s">
        <v>79</v>
      </c>
      <c r="E140" t="s">
        <v>80</v>
      </c>
      <c r="F140" t="s">
        <v>81</v>
      </c>
      <c r="G140" t="s">
        <v>81</v>
      </c>
      <c r="H140" t="str">
        <f>'Source Table'!$D$15</f>
        <v>المدورة</v>
      </c>
      <c r="I140" s="18" t="str">
        <f>'Source Table'!$B$15</f>
        <v>Mudawara</v>
      </c>
      <c r="J140" s="23">
        <v>611</v>
      </c>
      <c r="K140">
        <v>2015</v>
      </c>
    </row>
    <row r="141" spans="1:11">
      <c r="A141" t="s">
        <v>76</v>
      </c>
      <c r="B141" t="s">
        <v>77</v>
      </c>
      <c r="C141" t="s">
        <v>78</v>
      </c>
      <c r="D141" t="s">
        <v>79</v>
      </c>
      <c r="E141" t="s">
        <v>80</v>
      </c>
      <c r="F141" t="s">
        <v>81</v>
      </c>
      <c r="G141" t="s">
        <v>81</v>
      </c>
      <c r="H141" t="str">
        <f>'Source Table'!$D$16</f>
        <v>الدرة</v>
      </c>
      <c r="I141" s="18" t="str">
        <f>'Source Table'!$B$16</f>
        <v>Durrah</v>
      </c>
      <c r="J141" s="23">
        <v>238</v>
      </c>
      <c r="K141">
        <v>2015</v>
      </c>
    </row>
    <row r="142" spans="1:11">
      <c r="A142" t="s">
        <v>76</v>
      </c>
      <c r="B142" t="s">
        <v>77</v>
      </c>
      <c r="C142" t="s">
        <v>78</v>
      </c>
      <c r="D142" t="s">
        <v>79</v>
      </c>
      <c r="E142" t="s">
        <v>80</v>
      </c>
      <c r="F142" t="s">
        <v>81</v>
      </c>
      <c r="G142" t="s">
        <v>81</v>
      </c>
      <c r="H142" t="str">
        <f>'Source Table'!$D$17</f>
        <v>ميناء العقبة</v>
      </c>
      <c r="I142" s="18" t="str">
        <f>'Source Table'!$B$17</f>
        <v>Aqaba Port</v>
      </c>
      <c r="J142" s="23">
        <v>283</v>
      </c>
      <c r="K142">
        <v>2015</v>
      </c>
    </row>
    <row r="143" spans="1:11">
      <c r="A143" t="s">
        <v>76</v>
      </c>
      <c r="B143" t="s">
        <v>77</v>
      </c>
      <c r="C143" t="s">
        <v>78</v>
      </c>
      <c r="D143" t="s">
        <v>79</v>
      </c>
      <c r="E143" t="s">
        <v>80</v>
      </c>
      <c r="F143" t="s">
        <v>81</v>
      </c>
      <c r="G143" t="s">
        <v>81</v>
      </c>
      <c r="H143" t="str">
        <f>'Source Table'!$D$18</f>
        <v>معبر وادي الأردن</v>
      </c>
      <c r="I143" s="18" t="str">
        <f>'Source Table'!$B$18</f>
        <v>Jordan Vally</v>
      </c>
      <c r="J143" s="23">
        <v>204</v>
      </c>
      <c r="K143">
        <v>2015</v>
      </c>
    </row>
    <row r="144" spans="1:11">
      <c r="A144" t="s">
        <v>76</v>
      </c>
      <c r="B144" t="s">
        <v>77</v>
      </c>
      <c r="C144" t="s">
        <v>78</v>
      </c>
      <c r="D144" t="s">
        <v>79</v>
      </c>
      <c r="E144" t="s">
        <v>80</v>
      </c>
      <c r="F144" t="s">
        <v>81</v>
      </c>
      <c r="G144" t="s">
        <v>81</v>
      </c>
      <c r="H144" t="str">
        <f>'Source Table'!$D$19</f>
        <v>الكرامة</v>
      </c>
      <c r="I144" s="18" t="str">
        <f>'Source Table'!$B$19</f>
        <v>Alkaramah</v>
      </c>
      <c r="J144" s="23">
        <v>45</v>
      </c>
      <c r="K144">
        <v>2015</v>
      </c>
    </row>
    <row r="145" spans="1:11">
      <c r="A145" t="s">
        <v>76</v>
      </c>
      <c r="B145" t="s">
        <v>77</v>
      </c>
      <c r="C145" t="s">
        <v>78</v>
      </c>
      <c r="D145" t="s">
        <v>79</v>
      </c>
      <c r="E145" t="s">
        <v>80</v>
      </c>
      <c r="F145" t="s">
        <v>81</v>
      </c>
      <c r="G145" t="s">
        <v>81</v>
      </c>
      <c r="H145" t="str">
        <f>'Source Table'!$D$20</f>
        <v>معبر وادي عربة</v>
      </c>
      <c r="I145" s="18" t="str">
        <f>'Source Table'!$B$20</f>
        <v>Wadi Araba Crossing</v>
      </c>
      <c r="J145" s="23">
        <v>111</v>
      </c>
      <c r="K145">
        <v>2015</v>
      </c>
    </row>
    <row r="146" spans="1:11">
      <c r="A146" t="s">
        <v>76</v>
      </c>
      <c r="B146" t="s">
        <v>77</v>
      </c>
      <c r="C146" t="s">
        <v>78</v>
      </c>
      <c r="D146" t="s">
        <v>79</v>
      </c>
      <c r="E146" t="s">
        <v>80</v>
      </c>
      <c r="F146" t="s">
        <v>81</v>
      </c>
      <c r="G146" t="s">
        <v>81</v>
      </c>
      <c r="H146" t="str">
        <f>'Source Table'!$D$21</f>
        <v>الجسور</v>
      </c>
      <c r="I146" s="18" t="str">
        <f>'Source Table'!$B$21</f>
        <v>Bridges</v>
      </c>
      <c r="J146" s="23">
        <v>913</v>
      </c>
      <c r="K146">
        <v>2015</v>
      </c>
    </row>
    <row r="147" spans="1:11">
      <c r="A147" t="s">
        <v>76</v>
      </c>
      <c r="B147" t="s">
        <v>77</v>
      </c>
      <c r="C147" t="s">
        <v>78</v>
      </c>
      <c r="D147" t="s">
        <v>79</v>
      </c>
      <c r="E147" t="s">
        <v>80</v>
      </c>
      <c r="F147" t="s">
        <v>81</v>
      </c>
      <c r="G147" t="s">
        <v>81</v>
      </c>
      <c r="H147" t="str">
        <f>'Source Table'!$D$22</f>
        <v>جابر</v>
      </c>
      <c r="I147" s="21" t="str">
        <f>'Source Table'!$B$22</f>
        <v>Jaber</v>
      </c>
      <c r="J147" s="23">
        <v>32</v>
      </c>
      <c r="K147">
        <v>2015</v>
      </c>
    </row>
    <row r="148" spans="1:11">
      <c r="A148" t="s">
        <v>76</v>
      </c>
      <c r="B148" t="s">
        <v>77</v>
      </c>
      <c r="C148" t="s">
        <v>78</v>
      </c>
      <c r="D148" t="s">
        <v>79</v>
      </c>
      <c r="E148" t="s">
        <v>80</v>
      </c>
      <c r="F148" t="str">
        <f>'Source Table'!$D$6</f>
        <v>بر</v>
      </c>
      <c r="G148" t="str">
        <f>'Source Table'!$B$6</f>
        <v>Land</v>
      </c>
      <c r="H148" t="s">
        <v>81</v>
      </c>
      <c r="I148" s="18" t="s">
        <v>81</v>
      </c>
      <c r="J148" s="23">
        <v>3768</v>
      </c>
      <c r="K148">
        <v>2014</v>
      </c>
    </row>
    <row r="149" spans="1:11">
      <c r="A149" t="s">
        <v>76</v>
      </c>
      <c r="B149" t="s">
        <v>77</v>
      </c>
      <c r="C149" t="s">
        <v>78</v>
      </c>
      <c r="D149" t="s">
        <v>79</v>
      </c>
      <c r="E149" t="s">
        <v>80</v>
      </c>
      <c r="F149" t="str">
        <f>'Source Table'!$D$7</f>
        <v>بحر</v>
      </c>
      <c r="G149" t="str">
        <f>'Source Table'!$B$7</f>
        <v>Sea</v>
      </c>
      <c r="H149" t="s">
        <v>81</v>
      </c>
      <c r="I149" s="18" t="s">
        <v>81</v>
      </c>
      <c r="J149" s="23">
        <v>291</v>
      </c>
      <c r="K149">
        <v>2014</v>
      </c>
    </row>
    <row r="150" spans="1:11">
      <c r="A150" t="s">
        <v>76</v>
      </c>
      <c r="B150" t="s">
        <v>77</v>
      </c>
      <c r="C150" t="s">
        <v>78</v>
      </c>
      <c r="D150" t="s">
        <v>79</v>
      </c>
      <c r="E150" t="s">
        <v>80</v>
      </c>
      <c r="F150" t="str">
        <f>'Source Table'!$D$8</f>
        <v>جو</v>
      </c>
      <c r="G150" t="str">
        <f>'Source Table'!$B$8</f>
        <v>Air</v>
      </c>
      <c r="H150" t="s">
        <v>81</v>
      </c>
      <c r="I150" s="18" t="s">
        <v>81</v>
      </c>
      <c r="J150" s="23">
        <v>2973</v>
      </c>
      <c r="K150">
        <v>2014</v>
      </c>
    </row>
    <row r="151" spans="1:11">
      <c r="A151" t="s">
        <v>76</v>
      </c>
      <c r="B151" t="s">
        <v>77</v>
      </c>
      <c r="C151" t="s">
        <v>78</v>
      </c>
      <c r="D151" t="s">
        <v>79</v>
      </c>
      <c r="E151" t="s">
        <v>80</v>
      </c>
      <c r="F151" t="s">
        <v>81</v>
      </c>
      <c r="G151" t="s">
        <v>81</v>
      </c>
      <c r="H151" t="str">
        <f>'Source Table'!$D$10</f>
        <v>مطار الملكة علياء الدولي</v>
      </c>
      <c r="I151" s="18" t="str">
        <f>'Source Table'!$B$10</f>
        <v>Queen Alia Int.  Airport</v>
      </c>
      <c r="J151" s="23">
        <v>2885</v>
      </c>
      <c r="K151">
        <v>2014</v>
      </c>
    </row>
    <row r="152" spans="1:11">
      <c r="A152" t="s">
        <v>76</v>
      </c>
      <c r="B152" t="s">
        <v>77</v>
      </c>
      <c r="C152" t="s">
        <v>78</v>
      </c>
      <c r="D152" t="s">
        <v>79</v>
      </c>
      <c r="E152" t="s">
        <v>80</v>
      </c>
      <c r="F152" t="s">
        <v>81</v>
      </c>
      <c r="G152" t="s">
        <v>81</v>
      </c>
      <c r="H152" t="str">
        <f>'Source Table'!$D$11</f>
        <v>مطار عمان المدني</v>
      </c>
      <c r="I152" s="18" t="str">
        <f>'Source Table'!$B$11</f>
        <v>Amman Civil Airport</v>
      </c>
      <c r="J152" s="23">
        <v>38</v>
      </c>
      <c r="K152">
        <v>2014</v>
      </c>
    </row>
    <row r="153" spans="1:11">
      <c r="A153" t="s">
        <v>76</v>
      </c>
      <c r="B153" t="s">
        <v>77</v>
      </c>
      <c r="C153" t="s">
        <v>78</v>
      </c>
      <c r="D153" t="s">
        <v>79</v>
      </c>
      <c r="E153" t="s">
        <v>80</v>
      </c>
      <c r="F153" t="s">
        <v>81</v>
      </c>
      <c r="G153" t="s">
        <v>81</v>
      </c>
      <c r="H153" t="str">
        <f>'Source Table'!$D$12</f>
        <v>مطار العقبة</v>
      </c>
      <c r="I153" s="18" t="str">
        <f>'Source Table'!$B$12</f>
        <v>Aqaba Airport</v>
      </c>
      <c r="J153" s="23">
        <v>50</v>
      </c>
      <c r="K153">
        <v>2014</v>
      </c>
    </row>
    <row r="154" spans="1:11">
      <c r="A154" t="s">
        <v>76</v>
      </c>
      <c r="B154" t="s">
        <v>77</v>
      </c>
      <c r="C154" t="s">
        <v>78</v>
      </c>
      <c r="D154" t="s">
        <v>79</v>
      </c>
      <c r="E154" t="s">
        <v>80</v>
      </c>
      <c r="F154" t="s">
        <v>81</v>
      </c>
      <c r="G154" t="s">
        <v>81</v>
      </c>
      <c r="H154" t="str">
        <f>'Source Table'!$D$13</f>
        <v>الرمثا</v>
      </c>
      <c r="I154" s="18" t="str">
        <f>'Source Table'!$B$13</f>
        <v>Ramtha</v>
      </c>
      <c r="J154" s="23">
        <v>0</v>
      </c>
      <c r="K154">
        <v>2014</v>
      </c>
    </row>
    <row r="155" spans="1:11">
      <c r="A155" t="s">
        <v>76</v>
      </c>
      <c r="B155" t="s">
        <v>77</v>
      </c>
      <c r="C155" t="s">
        <v>78</v>
      </c>
      <c r="D155" t="s">
        <v>79</v>
      </c>
      <c r="E155" t="s">
        <v>80</v>
      </c>
      <c r="F155" t="s">
        <v>81</v>
      </c>
      <c r="G155" t="s">
        <v>81</v>
      </c>
      <c r="H155" t="str">
        <f>'Source Table'!$D$14</f>
        <v>العمري</v>
      </c>
      <c r="I155" s="18" t="str">
        <f>'Source Table'!$B$14</f>
        <v>Omari</v>
      </c>
      <c r="J155" s="23">
        <v>1282</v>
      </c>
      <c r="K155">
        <v>2014</v>
      </c>
    </row>
    <row r="156" spans="1:11">
      <c r="A156" t="s">
        <v>76</v>
      </c>
      <c r="B156" t="s">
        <v>77</v>
      </c>
      <c r="C156" t="s">
        <v>78</v>
      </c>
      <c r="D156" t="s">
        <v>79</v>
      </c>
      <c r="E156" t="s">
        <v>80</v>
      </c>
      <c r="F156" t="s">
        <v>81</v>
      </c>
      <c r="G156" t="s">
        <v>81</v>
      </c>
      <c r="H156" t="str">
        <f>'Source Table'!$D$15</f>
        <v>المدورة</v>
      </c>
      <c r="I156" s="18" t="str">
        <f>'Source Table'!$B$15</f>
        <v>Mudawara</v>
      </c>
      <c r="J156" s="23">
        <v>547</v>
      </c>
      <c r="K156">
        <v>2014</v>
      </c>
    </row>
    <row r="157" spans="1:11">
      <c r="A157" t="s">
        <v>76</v>
      </c>
      <c r="B157" t="s">
        <v>77</v>
      </c>
      <c r="C157" t="s">
        <v>78</v>
      </c>
      <c r="D157" t="s">
        <v>79</v>
      </c>
      <c r="E157" t="s">
        <v>80</v>
      </c>
      <c r="F157" t="s">
        <v>81</v>
      </c>
      <c r="G157" t="s">
        <v>81</v>
      </c>
      <c r="H157" t="str">
        <f>'Source Table'!$D$16</f>
        <v>الدرة</v>
      </c>
      <c r="I157" s="18" t="str">
        <f>'Source Table'!$B$16</f>
        <v>Durrah</v>
      </c>
      <c r="J157" s="23">
        <v>337</v>
      </c>
      <c r="K157">
        <v>2014</v>
      </c>
    </row>
    <row r="158" spans="1:11">
      <c r="A158" t="s">
        <v>76</v>
      </c>
      <c r="B158" t="s">
        <v>77</v>
      </c>
      <c r="C158" t="s">
        <v>78</v>
      </c>
      <c r="D158" t="s">
        <v>79</v>
      </c>
      <c r="E158" t="s">
        <v>80</v>
      </c>
      <c r="F158" t="s">
        <v>81</v>
      </c>
      <c r="G158" t="s">
        <v>81</v>
      </c>
      <c r="H158" t="str">
        <f>'Source Table'!$D$17</f>
        <v>ميناء العقبة</v>
      </c>
      <c r="I158" s="18" t="str">
        <f>'Source Table'!$B$17</f>
        <v>Aqaba Port</v>
      </c>
      <c r="J158" s="23">
        <v>291</v>
      </c>
      <c r="K158">
        <v>2014</v>
      </c>
    </row>
    <row r="159" spans="1:11">
      <c r="A159" t="s">
        <v>76</v>
      </c>
      <c r="B159" t="s">
        <v>77</v>
      </c>
      <c r="C159" t="s">
        <v>78</v>
      </c>
      <c r="D159" t="s">
        <v>79</v>
      </c>
      <c r="E159" t="s">
        <v>80</v>
      </c>
      <c r="F159" t="s">
        <v>81</v>
      </c>
      <c r="G159" t="s">
        <v>81</v>
      </c>
      <c r="H159" t="str">
        <f>'Source Table'!$D$18</f>
        <v>معبر وادي الأردن</v>
      </c>
      <c r="I159" s="18" t="str">
        <f>'Source Table'!$B$18</f>
        <v>Jordan Vally</v>
      </c>
      <c r="J159" s="23">
        <v>230</v>
      </c>
      <c r="K159">
        <v>2014</v>
      </c>
    </row>
    <row r="160" spans="1:11">
      <c r="A160" t="s">
        <v>76</v>
      </c>
      <c r="B160" t="s">
        <v>77</v>
      </c>
      <c r="C160" t="s">
        <v>78</v>
      </c>
      <c r="D160" t="s">
        <v>79</v>
      </c>
      <c r="E160" t="s">
        <v>80</v>
      </c>
      <c r="F160" t="s">
        <v>81</v>
      </c>
      <c r="G160" t="s">
        <v>81</v>
      </c>
      <c r="H160" t="str">
        <f>'Source Table'!$D$19</f>
        <v>الكرامة</v>
      </c>
      <c r="I160" s="18" t="str">
        <f>'Source Table'!$B$19</f>
        <v>Alkaramah</v>
      </c>
      <c r="J160" s="23">
        <v>178</v>
      </c>
      <c r="K160">
        <v>2014</v>
      </c>
    </row>
    <row r="161" spans="1:11">
      <c r="A161" t="s">
        <v>76</v>
      </c>
      <c r="B161" t="s">
        <v>77</v>
      </c>
      <c r="C161" t="s">
        <v>78</v>
      </c>
      <c r="D161" t="s">
        <v>79</v>
      </c>
      <c r="E161" t="s">
        <v>80</v>
      </c>
      <c r="F161" t="s">
        <v>81</v>
      </c>
      <c r="G161" t="s">
        <v>81</v>
      </c>
      <c r="H161" t="str">
        <f>'Source Table'!$D$20</f>
        <v>معبر وادي عربة</v>
      </c>
      <c r="I161" s="18" t="str">
        <f>'Source Table'!$B$20</f>
        <v>Wadi Araba Crossing</v>
      </c>
      <c r="J161" s="23">
        <v>140</v>
      </c>
      <c r="K161">
        <v>2014</v>
      </c>
    </row>
    <row r="162" spans="1:11">
      <c r="A162" t="s">
        <v>76</v>
      </c>
      <c r="B162" t="s">
        <v>77</v>
      </c>
      <c r="C162" t="s">
        <v>78</v>
      </c>
      <c r="D162" t="s">
        <v>79</v>
      </c>
      <c r="E162" t="s">
        <v>80</v>
      </c>
      <c r="F162" t="s">
        <v>81</v>
      </c>
      <c r="G162" t="s">
        <v>81</v>
      </c>
      <c r="H162" t="str">
        <f>'Source Table'!$D$21</f>
        <v>الجسور</v>
      </c>
      <c r="I162" s="18" t="str">
        <f>'Source Table'!$B$21</f>
        <v>Bridges</v>
      </c>
      <c r="J162" s="23">
        <v>866</v>
      </c>
      <c r="K162">
        <v>2014</v>
      </c>
    </row>
    <row r="163" spans="1:11">
      <c r="A163" t="s">
        <v>76</v>
      </c>
      <c r="B163" t="s">
        <v>77</v>
      </c>
      <c r="C163" t="s">
        <v>78</v>
      </c>
      <c r="D163" t="s">
        <v>79</v>
      </c>
      <c r="E163" t="s">
        <v>80</v>
      </c>
      <c r="F163" t="s">
        <v>81</v>
      </c>
      <c r="G163" t="s">
        <v>81</v>
      </c>
      <c r="H163" t="str">
        <f>'Source Table'!$D$22</f>
        <v>جابر</v>
      </c>
      <c r="I163" s="21" t="str">
        <f>'Source Table'!$B$22</f>
        <v>Jaber</v>
      </c>
      <c r="J163" s="23">
        <v>188</v>
      </c>
      <c r="K163">
        <v>2014</v>
      </c>
    </row>
    <row r="164" spans="1:11">
      <c r="A164" t="s">
        <v>76</v>
      </c>
      <c r="B164" t="s">
        <v>77</v>
      </c>
      <c r="C164" t="s">
        <v>78</v>
      </c>
      <c r="D164" t="s">
        <v>79</v>
      </c>
      <c r="E164" t="s">
        <v>80</v>
      </c>
      <c r="F164" t="str">
        <f>'Source Table'!$D$6</f>
        <v>بر</v>
      </c>
      <c r="G164" t="str">
        <f>'Source Table'!$B$6</f>
        <v>Land</v>
      </c>
      <c r="H164" t="s">
        <v>81</v>
      </c>
      <c r="I164" s="18" t="s">
        <v>81</v>
      </c>
      <c r="J164" s="23">
        <v>3957</v>
      </c>
      <c r="K164">
        <v>2013</v>
      </c>
    </row>
    <row r="165" spans="1:11">
      <c r="A165" t="s">
        <v>76</v>
      </c>
      <c r="B165" t="s">
        <v>77</v>
      </c>
      <c r="C165" t="s">
        <v>78</v>
      </c>
      <c r="D165" t="s">
        <v>79</v>
      </c>
      <c r="E165" t="s">
        <v>80</v>
      </c>
      <c r="F165" t="str">
        <f>'Source Table'!$D$7</f>
        <v>بحر</v>
      </c>
      <c r="G165" t="str">
        <f>'Source Table'!$B$7</f>
        <v>Sea</v>
      </c>
      <c r="H165" t="s">
        <v>81</v>
      </c>
      <c r="I165" s="18" t="s">
        <v>81</v>
      </c>
      <c r="J165" s="23">
        <v>281</v>
      </c>
      <c r="K165">
        <v>2013</v>
      </c>
    </row>
    <row r="166" spans="1:11">
      <c r="A166" t="s">
        <v>76</v>
      </c>
      <c r="B166" t="s">
        <v>77</v>
      </c>
      <c r="C166" t="s">
        <v>78</v>
      </c>
      <c r="D166" t="s">
        <v>79</v>
      </c>
      <c r="E166" t="s">
        <v>80</v>
      </c>
      <c r="F166" t="str">
        <f>'Source Table'!$D$8</f>
        <v>جو</v>
      </c>
      <c r="G166" t="str">
        <f>'Source Table'!$B$8</f>
        <v>Air</v>
      </c>
      <c r="H166" t="s">
        <v>81</v>
      </c>
      <c r="I166" s="18" t="s">
        <v>81</v>
      </c>
      <c r="J166" s="23">
        <v>2794</v>
      </c>
      <c r="K166">
        <v>2013</v>
      </c>
    </row>
    <row r="167" spans="1:11">
      <c r="A167" t="s">
        <v>76</v>
      </c>
      <c r="B167" t="s">
        <v>77</v>
      </c>
      <c r="C167" t="s">
        <v>78</v>
      </c>
      <c r="D167" t="s">
        <v>79</v>
      </c>
      <c r="E167" t="s">
        <v>80</v>
      </c>
      <c r="F167" t="s">
        <v>81</v>
      </c>
      <c r="G167" t="s">
        <v>81</v>
      </c>
      <c r="H167" t="str">
        <f>'Source Table'!$D$10</f>
        <v>مطار الملكة علياء الدولي</v>
      </c>
      <c r="I167" s="18" t="str">
        <f>'Source Table'!$B$10</f>
        <v>Queen Alia Int.  Airport</v>
      </c>
      <c r="J167" s="23">
        <v>2638</v>
      </c>
      <c r="K167">
        <v>2013</v>
      </c>
    </row>
    <row r="168" spans="1:11">
      <c r="A168" t="s">
        <v>76</v>
      </c>
      <c r="B168" t="s">
        <v>77</v>
      </c>
      <c r="C168" t="s">
        <v>78</v>
      </c>
      <c r="D168" t="s">
        <v>79</v>
      </c>
      <c r="E168" t="s">
        <v>80</v>
      </c>
      <c r="F168" t="s">
        <v>81</v>
      </c>
      <c r="G168" t="s">
        <v>81</v>
      </c>
      <c r="H168" t="str">
        <f>'Source Table'!$D$11</f>
        <v>مطار عمان المدني</v>
      </c>
      <c r="I168" s="18" t="str">
        <f>'Source Table'!$B$11</f>
        <v>Amman Civil Airport</v>
      </c>
      <c r="J168" s="23">
        <v>100</v>
      </c>
      <c r="K168">
        <v>2013</v>
      </c>
    </row>
    <row r="169" spans="1:11">
      <c r="A169" t="s">
        <v>76</v>
      </c>
      <c r="B169" t="s">
        <v>77</v>
      </c>
      <c r="C169" t="s">
        <v>78</v>
      </c>
      <c r="D169" t="s">
        <v>79</v>
      </c>
      <c r="E169" t="s">
        <v>80</v>
      </c>
      <c r="F169" t="s">
        <v>81</v>
      </c>
      <c r="G169" t="s">
        <v>81</v>
      </c>
      <c r="H169" t="str">
        <f>'Source Table'!$D$12</f>
        <v>مطار العقبة</v>
      </c>
      <c r="I169" s="18" t="str">
        <f>'Source Table'!$B$12</f>
        <v>Aqaba Airport</v>
      </c>
      <c r="J169" s="23">
        <v>56</v>
      </c>
      <c r="K169">
        <v>2013</v>
      </c>
    </row>
    <row r="170" spans="1:11">
      <c r="A170" t="s">
        <v>76</v>
      </c>
      <c r="B170" t="s">
        <v>77</v>
      </c>
      <c r="C170" t="s">
        <v>78</v>
      </c>
      <c r="D170" t="s">
        <v>79</v>
      </c>
      <c r="E170" t="s">
        <v>80</v>
      </c>
      <c r="F170" t="s">
        <v>81</v>
      </c>
      <c r="G170" t="s">
        <v>81</v>
      </c>
      <c r="H170" t="str">
        <f>'Source Table'!$D$13</f>
        <v>الرمثا</v>
      </c>
      <c r="I170" s="18" t="str">
        <f>'Source Table'!$B$13</f>
        <v>Ramtha</v>
      </c>
      <c r="J170" s="23">
        <v>11</v>
      </c>
      <c r="K170">
        <v>2013</v>
      </c>
    </row>
    <row r="171" spans="1:11">
      <c r="A171" t="s">
        <v>76</v>
      </c>
      <c r="B171" t="s">
        <v>77</v>
      </c>
      <c r="C171" t="s">
        <v>78</v>
      </c>
      <c r="D171" t="s">
        <v>79</v>
      </c>
      <c r="E171" t="s">
        <v>80</v>
      </c>
      <c r="F171" t="s">
        <v>81</v>
      </c>
      <c r="G171" t="s">
        <v>81</v>
      </c>
      <c r="H171" t="str">
        <f>'Source Table'!$D$14</f>
        <v>العمري</v>
      </c>
      <c r="I171" s="18" t="str">
        <f>'Source Table'!$B$14</f>
        <v>Omari</v>
      </c>
      <c r="J171" s="23">
        <v>1331</v>
      </c>
      <c r="K171">
        <v>2013</v>
      </c>
    </row>
    <row r="172" spans="1:11">
      <c r="A172" t="s">
        <v>76</v>
      </c>
      <c r="B172" t="s">
        <v>77</v>
      </c>
      <c r="C172" t="s">
        <v>78</v>
      </c>
      <c r="D172" t="s">
        <v>79</v>
      </c>
      <c r="E172" t="s">
        <v>80</v>
      </c>
      <c r="F172" t="s">
        <v>81</v>
      </c>
      <c r="G172" t="s">
        <v>81</v>
      </c>
      <c r="H172" t="str">
        <f>'Source Table'!$D$15</f>
        <v>المدورة</v>
      </c>
      <c r="I172" s="18" t="str">
        <f>'Source Table'!$B$15</f>
        <v>Mudawara</v>
      </c>
      <c r="J172" s="23">
        <v>509</v>
      </c>
      <c r="K172">
        <v>2013</v>
      </c>
    </row>
    <row r="173" spans="1:11">
      <c r="A173" t="s">
        <v>76</v>
      </c>
      <c r="B173" t="s">
        <v>77</v>
      </c>
      <c r="C173" t="s">
        <v>78</v>
      </c>
      <c r="D173" t="s">
        <v>79</v>
      </c>
      <c r="E173" t="s">
        <v>80</v>
      </c>
      <c r="F173" t="s">
        <v>81</v>
      </c>
      <c r="G173" t="s">
        <v>81</v>
      </c>
      <c r="H173" t="str">
        <f>'Source Table'!$D$16</f>
        <v>الدرة</v>
      </c>
      <c r="I173" s="18" t="str">
        <f>'Source Table'!$B$16</f>
        <v>Durrah</v>
      </c>
      <c r="J173" s="23">
        <v>325</v>
      </c>
      <c r="K173">
        <v>2013</v>
      </c>
    </row>
    <row r="174" spans="1:11">
      <c r="A174" t="s">
        <v>76</v>
      </c>
      <c r="B174" t="s">
        <v>77</v>
      </c>
      <c r="C174" t="s">
        <v>78</v>
      </c>
      <c r="D174" t="s">
        <v>79</v>
      </c>
      <c r="E174" t="s">
        <v>80</v>
      </c>
      <c r="F174" t="s">
        <v>81</v>
      </c>
      <c r="G174" t="s">
        <v>81</v>
      </c>
      <c r="H174" t="str">
        <f>'Source Table'!$D$17</f>
        <v>ميناء العقبة</v>
      </c>
      <c r="I174" s="18" t="str">
        <f>'Source Table'!$B$17</f>
        <v>Aqaba Port</v>
      </c>
      <c r="J174" s="23">
        <v>281</v>
      </c>
      <c r="K174">
        <v>2013</v>
      </c>
    </row>
    <row r="175" spans="1:11">
      <c r="A175" t="s">
        <v>76</v>
      </c>
      <c r="B175" t="s">
        <v>77</v>
      </c>
      <c r="C175" t="s">
        <v>78</v>
      </c>
      <c r="D175" t="s">
        <v>79</v>
      </c>
      <c r="E175" t="s">
        <v>80</v>
      </c>
      <c r="F175" t="s">
        <v>81</v>
      </c>
      <c r="G175" t="s">
        <v>81</v>
      </c>
      <c r="H175" t="str">
        <f>'Source Table'!$D$18</f>
        <v>معبر وادي الأردن</v>
      </c>
      <c r="I175" s="18" t="str">
        <f>'Source Table'!$B$18</f>
        <v>Jordan Vally</v>
      </c>
      <c r="J175" s="23">
        <v>248</v>
      </c>
      <c r="K175">
        <v>2013</v>
      </c>
    </row>
    <row r="176" spans="1:11">
      <c r="A176" t="s">
        <v>76</v>
      </c>
      <c r="B176" t="s">
        <v>77</v>
      </c>
      <c r="C176" t="s">
        <v>78</v>
      </c>
      <c r="D176" t="s">
        <v>79</v>
      </c>
      <c r="E176" t="s">
        <v>80</v>
      </c>
      <c r="F176" t="s">
        <v>81</v>
      </c>
      <c r="G176" t="s">
        <v>81</v>
      </c>
      <c r="H176" t="str">
        <f>'Source Table'!$D$19</f>
        <v>الكرامة</v>
      </c>
      <c r="I176" s="18" t="str">
        <f>'Source Table'!$B$19</f>
        <v>Alkaramah</v>
      </c>
      <c r="J176" s="23">
        <v>366</v>
      </c>
      <c r="K176">
        <v>2013</v>
      </c>
    </row>
    <row r="177" spans="1:11">
      <c r="A177" t="s">
        <v>76</v>
      </c>
      <c r="B177" t="s">
        <v>77</v>
      </c>
      <c r="C177" t="s">
        <v>78</v>
      </c>
      <c r="D177" t="s">
        <v>79</v>
      </c>
      <c r="E177" t="s">
        <v>80</v>
      </c>
      <c r="F177" t="s">
        <v>81</v>
      </c>
      <c r="G177" t="s">
        <v>81</v>
      </c>
      <c r="H177" t="str">
        <f>'Source Table'!$D$20</f>
        <v>معبر وادي عربة</v>
      </c>
      <c r="I177" s="18" t="str">
        <f>'Source Table'!$B$20</f>
        <v>Wadi Araba Crossing</v>
      </c>
      <c r="J177" s="23">
        <v>151</v>
      </c>
      <c r="K177">
        <v>2013</v>
      </c>
    </row>
    <row r="178" spans="1:11">
      <c r="A178" t="s">
        <v>76</v>
      </c>
      <c r="B178" t="s">
        <v>77</v>
      </c>
      <c r="C178" t="s">
        <v>78</v>
      </c>
      <c r="D178" t="s">
        <v>79</v>
      </c>
      <c r="E178" t="s">
        <v>80</v>
      </c>
      <c r="F178" t="s">
        <v>81</v>
      </c>
      <c r="G178" t="s">
        <v>81</v>
      </c>
      <c r="H178" t="str">
        <f>'Source Table'!$D$21</f>
        <v>الجسور</v>
      </c>
      <c r="I178" s="18" t="str">
        <f>'Source Table'!$B$21</f>
        <v>Bridges</v>
      </c>
      <c r="J178" s="23">
        <v>723</v>
      </c>
      <c r="K178">
        <v>2013</v>
      </c>
    </row>
    <row r="179" spans="1:11">
      <c r="A179" t="s">
        <v>76</v>
      </c>
      <c r="B179" t="s">
        <v>77</v>
      </c>
      <c r="C179" t="s">
        <v>78</v>
      </c>
      <c r="D179" t="s">
        <v>79</v>
      </c>
      <c r="E179" t="s">
        <v>80</v>
      </c>
      <c r="F179" t="s">
        <v>81</v>
      </c>
      <c r="G179" t="s">
        <v>81</v>
      </c>
      <c r="H179" t="str">
        <f>'Source Table'!$D$22</f>
        <v>جابر</v>
      </c>
      <c r="I179" s="21" t="str">
        <f>'Source Table'!$B$22</f>
        <v>Jaber</v>
      </c>
      <c r="J179" s="23">
        <v>293</v>
      </c>
      <c r="K179">
        <v>2013</v>
      </c>
    </row>
    <row r="180" spans="1:11">
      <c r="A180" t="s">
        <v>76</v>
      </c>
      <c r="B180" t="s">
        <v>77</v>
      </c>
      <c r="C180" t="s">
        <v>78</v>
      </c>
      <c r="D180" t="s">
        <v>79</v>
      </c>
      <c r="E180" t="s">
        <v>80</v>
      </c>
      <c r="F180" t="str">
        <f>'Source Table'!$D$6</f>
        <v>بر</v>
      </c>
      <c r="G180" t="str">
        <f>'Source Table'!$B$6</f>
        <v>Land</v>
      </c>
      <c r="H180" t="s">
        <v>81</v>
      </c>
      <c r="I180" s="18" t="s">
        <v>81</v>
      </c>
      <c r="J180" s="23">
        <v>5215</v>
      </c>
      <c r="K180">
        <v>2012</v>
      </c>
    </row>
    <row r="181" spans="1:11">
      <c r="A181" t="s">
        <v>76</v>
      </c>
      <c r="B181" t="s">
        <v>77</v>
      </c>
      <c r="C181" t="s">
        <v>78</v>
      </c>
      <c r="D181" t="s">
        <v>79</v>
      </c>
      <c r="E181" t="s">
        <v>80</v>
      </c>
      <c r="F181" t="str">
        <f>'Source Table'!$D$7</f>
        <v>بحر</v>
      </c>
      <c r="G181" t="str">
        <f>'Source Table'!$B$7</f>
        <v>Sea</v>
      </c>
      <c r="H181" t="s">
        <v>81</v>
      </c>
      <c r="I181" s="18" t="s">
        <v>81</v>
      </c>
      <c r="J181" s="23">
        <v>363</v>
      </c>
      <c r="K181">
        <v>2012</v>
      </c>
    </row>
    <row r="182" spans="1:11">
      <c r="A182" t="s">
        <v>76</v>
      </c>
      <c r="B182" t="s">
        <v>77</v>
      </c>
      <c r="C182" t="s">
        <v>78</v>
      </c>
      <c r="D182" t="s">
        <v>79</v>
      </c>
      <c r="E182" t="s">
        <v>80</v>
      </c>
      <c r="F182" t="str">
        <f>'Source Table'!$D$8</f>
        <v>جو</v>
      </c>
      <c r="G182" t="str">
        <f>'Source Table'!$B$8</f>
        <v>Air</v>
      </c>
      <c r="H182" t="s">
        <v>81</v>
      </c>
      <c r="I182" s="18" t="s">
        <v>81</v>
      </c>
      <c r="J182" s="23">
        <v>2656</v>
      </c>
      <c r="K182">
        <v>2012</v>
      </c>
    </row>
    <row r="183" spans="1:11">
      <c r="A183" t="s">
        <v>76</v>
      </c>
      <c r="B183" t="s">
        <v>77</v>
      </c>
      <c r="C183" t="s">
        <v>78</v>
      </c>
      <c r="D183" t="s">
        <v>79</v>
      </c>
      <c r="E183" t="s">
        <v>80</v>
      </c>
      <c r="F183" t="s">
        <v>81</v>
      </c>
      <c r="G183" t="s">
        <v>81</v>
      </c>
      <c r="H183" t="str">
        <f>'Source Table'!$D$10</f>
        <v>مطار الملكة علياء الدولي</v>
      </c>
      <c r="I183" s="18" t="str">
        <f>'Source Table'!$B$10</f>
        <v>Queen Alia Int.  Airport</v>
      </c>
      <c r="J183" s="23">
        <v>2459</v>
      </c>
      <c r="K183">
        <v>2012</v>
      </c>
    </row>
    <row r="184" spans="1:11">
      <c r="A184" t="s">
        <v>76</v>
      </c>
      <c r="B184" t="s">
        <v>77</v>
      </c>
      <c r="C184" t="s">
        <v>78</v>
      </c>
      <c r="D184" t="s">
        <v>79</v>
      </c>
      <c r="E184" t="s">
        <v>80</v>
      </c>
      <c r="F184" t="s">
        <v>81</v>
      </c>
      <c r="G184" t="s">
        <v>81</v>
      </c>
      <c r="H184" t="str">
        <f>'Source Table'!$D$11</f>
        <v>مطار عمان المدني</v>
      </c>
      <c r="I184" s="18" t="str">
        <f>'Source Table'!$B$11</f>
        <v>Amman Civil Airport</v>
      </c>
      <c r="J184" s="23">
        <v>134</v>
      </c>
      <c r="K184">
        <v>2012</v>
      </c>
    </row>
    <row r="185" spans="1:11">
      <c r="A185" t="s">
        <v>76</v>
      </c>
      <c r="B185" t="s">
        <v>77</v>
      </c>
      <c r="C185" t="s">
        <v>78</v>
      </c>
      <c r="D185" t="s">
        <v>79</v>
      </c>
      <c r="E185" t="s">
        <v>80</v>
      </c>
      <c r="F185" t="s">
        <v>81</v>
      </c>
      <c r="G185" t="s">
        <v>81</v>
      </c>
      <c r="H185" t="str">
        <f>'Source Table'!$D$12</f>
        <v>مطار العقبة</v>
      </c>
      <c r="I185" s="18" t="str">
        <f>'Source Table'!$B$12</f>
        <v>Aqaba Airport</v>
      </c>
      <c r="J185" s="23">
        <v>62</v>
      </c>
      <c r="K185">
        <v>2012</v>
      </c>
    </row>
    <row r="186" spans="1:11">
      <c r="A186" t="s">
        <v>76</v>
      </c>
      <c r="B186" t="s">
        <v>77</v>
      </c>
      <c r="C186" t="s">
        <v>78</v>
      </c>
      <c r="D186" t="s">
        <v>79</v>
      </c>
      <c r="E186" t="s">
        <v>80</v>
      </c>
      <c r="F186" t="s">
        <v>81</v>
      </c>
      <c r="G186" t="s">
        <v>81</v>
      </c>
      <c r="H186" t="str">
        <f>'Source Table'!$D$13</f>
        <v>الرمثا</v>
      </c>
      <c r="I186" s="18" t="str">
        <f>'Source Table'!$B$13</f>
        <v>Ramtha</v>
      </c>
      <c r="J186" s="23">
        <v>201</v>
      </c>
      <c r="K186">
        <v>2012</v>
      </c>
    </row>
    <row r="187" spans="1:11">
      <c r="A187" t="s">
        <v>76</v>
      </c>
      <c r="B187" t="s">
        <v>77</v>
      </c>
      <c r="C187" t="s">
        <v>78</v>
      </c>
      <c r="D187" t="s">
        <v>79</v>
      </c>
      <c r="E187" t="s">
        <v>80</v>
      </c>
      <c r="F187" t="s">
        <v>81</v>
      </c>
      <c r="G187" t="s">
        <v>81</v>
      </c>
      <c r="H187" t="str">
        <f>'Source Table'!$D$14</f>
        <v>العمري</v>
      </c>
      <c r="I187" s="18" t="str">
        <f>'Source Table'!$B$14</f>
        <v>Omari</v>
      </c>
      <c r="J187" s="23">
        <v>1463</v>
      </c>
      <c r="K187">
        <v>2012</v>
      </c>
    </row>
    <row r="188" spans="1:11">
      <c r="A188" t="s">
        <v>76</v>
      </c>
      <c r="B188" t="s">
        <v>77</v>
      </c>
      <c r="C188" t="s">
        <v>78</v>
      </c>
      <c r="D188" t="s">
        <v>79</v>
      </c>
      <c r="E188" t="s">
        <v>80</v>
      </c>
      <c r="F188" t="s">
        <v>81</v>
      </c>
      <c r="G188" t="s">
        <v>81</v>
      </c>
      <c r="H188" t="str">
        <f>'Source Table'!$D$15</f>
        <v>المدورة</v>
      </c>
      <c r="I188" s="18" t="str">
        <f>'Source Table'!$B$15</f>
        <v>Mudawara</v>
      </c>
      <c r="J188" s="23">
        <v>665</v>
      </c>
      <c r="K188">
        <v>2012</v>
      </c>
    </row>
    <row r="189" spans="1:11">
      <c r="A189" t="s">
        <v>76</v>
      </c>
      <c r="B189" t="s">
        <v>77</v>
      </c>
      <c r="C189" t="s">
        <v>78</v>
      </c>
      <c r="D189" t="s">
        <v>79</v>
      </c>
      <c r="E189" t="s">
        <v>80</v>
      </c>
      <c r="F189" t="s">
        <v>81</v>
      </c>
      <c r="G189" t="s">
        <v>81</v>
      </c>
      <c r="H189" t="str">
        <f>'Source Table'!$D$16</f>
        <v>الدرة</v>
      </c>
      <c r="I189" s="18" t="str">
        <f>'Source Table'!$B$16</f>
        <v>Durrah</v>
      </c>
      <c r="J189" s="23">
        <v>353</v>
      </c>
      <c r="K189">
        <v>2012</v>
      </c>
    </row>
    <row r="190" spans="1:11">
      <c r="A190" t="s">
        <v>76</v>
      </c>
      <c r="B190" t="s">
        <v>77</v>
      </c>
      <c r="C190" t="s">
        <v>78</v>
      </c>
      <c r="D190" t="s">
        <v>79</v>
      </c>
      <c r="E190" t="s">
        <v>80</v>
      </c>
      <c r="F190" t="s">
        <v>81</v>
      </c>
      <c r="G190" t="s">
        <v>81</v>
      </c>
      <c r="H190" t="str">
        <f>'Source Table'!$D$17</f>
        <v>ميناء العقبة</v>
      </c>
      <c r="I190" s="18" t="str">
        <f>'Source Table'!$B$17</f>
        <v>Aqaba Port</v>
      </c>
      <c r="J190" s="23">
        <v>363</v>
      </c>
      <c r="K190">
        <v>2012</v>
      </c>
    </row>
    <row r="191" spans="1:11">
      <c r="A191" t="s">
        <v>76</v>
      </c>
      <c r="B191" t="s">
        <v>77</v>
      </c>
      <c r="C191" t="s">
        <v>78</v>
      </c>
      <c r="D191" t="s">
        <v>79</v>
      </c>
      <c r="E191" t="s">
        <v>80</v>
      </c>
      <c r="F191" t="s">
        <v>81</v>
      </c>
      <c r="G191" t="s">
        <v>81</v>
      </c>
      <c r="H191" t="str">
        <f>'Source Table'!$D$18</f>
        <v>معبر وادي الأردن</v>
      </c>
      <c r="I191" s="18" t="str">
        <f>'Source Table'!$B$18</f>
        <v>Jordan Vally</v>
      </c>
      <c r="J191" s="23">
        <v>254</v>
      </c>
      <c r="K191">
        <v>2012</v>
      </c>
    </row>
    <row r="192" spans="1:11">
      <c r="A192" t="s">
        <v>76</v>
      </c>
      <c r="B192" t="s">
        <v>77</v>
      </c>
      <c r="C192" t="s">
        <v>78</v>
      </c>
      <c r="D192" t="s">
        <v>79</v>
      </c>
      <c r="E192" t="s">
        <v>80</v>
      </c>
      <c r="F192" t="s">
        <v>81</v>
      </c>
      <c r="G192" t="s">
        <v>81</v>
      </c>
      <c r="H192" t="str">
        <f>'Source Table'!$D$19</f>
        <v>الكرامة</v>
      </c>
      <c r="I192" s="18" t="str">
        <f>'Source Table'!$B$19</f>
        <v>Alkaramah</v>
      </c>
      <c r="J192" s="23">
        <v>451</v>
      </c>
      <c r="K192">
        <v>2012</v>
      </c>
    </row>
    <row r="193" spans="1:11">
      <c r="A193" t="s">
        <v>76</v>
      </c>
      <c r="B193" t="s">
        <v>77</v>
      </c>
      <c r="C193" t="s">
        <v>78</v>
      </c>
      <c r="D193" t="s">
        <v>79</v>
      </c>
      <c r="E193" t="s">
        <v>80</v>
      </c>
      <c r="F193" t="s">
        <v>81</v>
      </c>
      <c r="G193" t="s">
        <v>81</v>
      </c>
      <c r="H193" t="str">
        <f>'Source Table'!$D$20</f>
        <v>معبر وادي عربة</v>
      </c>
      <c r="I193" s="18" t="str">
        <f>'Source Table'!$B$20</f>
        <v>Wadi Araba Crossing</v>
      </c>
      <c r="J193" s="23">
        <v>155</v>
      </c>
      <c r="K193">
        <v>2012</v>
      </c>
    </row>
    <row r="194" spans="1:11">
      <c r="A194" t="s">
        <v>76</v>
      </c>
      <c r="B194" t="s">
        <v>77</v>
      </c>
      <c r="C194" t="s">
        <v>78</v>
      </c>
      <c r="D194" t="s">
        <v>79</v>
      </c>
      <c r="E194" t="s">
        <v>80</v>
      </c>
      <c r="F194" t="s">
        <v>81</v>
      </c>
      <c r="G194" t="s">
        <v>81</v>
      </c>
      <c r="H194" t="str">
        <f>'Source Table'!$D$21</f>
        <v>الجسور</v>
      </c>
      <c r="I194" s="18" t="str">
        <f>'Source Table'!$B$21</f>
        <v>Bridges</v>
      </c>
      <c r="J194" s="23">
        <v>753</v>
      </c>
      <c r="K194">
        <v>2012</v>
      </c>
    </row>
    <row r="195" spans="1:11">
      <c r="A195" t="s">
        <v>76</v>
      </c>
      <c r="B195" t="s">
        <v>77</v>
      </c>
      <c r="C195" t="s">
        <v>78</v>
      </c>
      <c r="D195" t="s">
        <v>79</v>
      </c>
      <c r="E195" t="s">
        <v>80</v>
      </c>
      <c r="F195" t="s">
        <v>81</v>
      </c>
      <c r="G195" t="s">
        <v>81</v>
      </c>
      <c r="H195" t="str">
        <f>'Source Table'!$D$22</f>
        <v>جابر</v>
      </c>
      <c r="I195" s="21" t="str">
        <f>'Source Table'!$B$22</f>
        <v>Jaber</v>
      </c>
      <c r="J195" s="23">
        <v>920</v>
      </c>
      <c r="K195">
        <v>2012</v>
      </c>
    </row>
    <row r="196" spans="1:11">
      <c r="A196" t="s">
        <v>76</v>
      </c>
      <c r="B196" t="s">
        <v>77</v>
      </c>
      <c r="C196" t="s">
        <v>78</v>
      </c>
      <c r="D196" t="s">
        <v>79</v>
      </c>
      <c r="E196" t="s">
        <v>80</v>
      </c>
      <c r="F196" t="str">
        <f>'Source Table'!$D$6</f>
        <v>بر</v>
      </c>
      <c r="G196" t="str">
        <f>'Source Table'!$B$6</f>
        <v>Land</v>
      </c>
      <c r="H196" t="s">
        <v>81</v>
      </c>
      <c r="I196" s="18" t="s">
        <v>81</v>
      </c>
      <c r="J196" s="23">
        <v>6115</v>
      </c>
      <c r="K196">
        <v>2011</v>
      </c>
    </row>
    <row r="197" spans="1:11">
      <c r="A197" t="s">
        <v>76</v>
      </c>
      <c r="B197" t="s">
        <v>77</v>
      </c>
      <c r="C197" t="s">
        <v>78</v>
      </c>
      <c r="D197" t="s">
        <v>79</v>
      </c>
      <c r="E197" t="s">
        <v>80</v>
      </c>
      <c r="F197" t="str">
        <f>'Source Table'!$D$7</f>
        <v>بحر</v>
      </c>
      <c r="G197" t="str">
        <f>'Source Table'!$B$7</f>
        <v>Sea</v>
      </c>
      <c r="H197" t="s">
        <v>81</v>
      </c>
      <c r="I197" s="18" t="s">
        <v>81</v>
      </c>
      <c r="J197" s="23">
        <v>364</v>
      </c>
      <c r="K197">
        <v>2011</v>
      </c>
    </row>
    <row r="198" spans="1:11">
      <c r="A198" t="s">
        <v>76</v>
      </c>
      <c r="B198" t="s">
        <v>77</v>
      </c>
      <c r="C198" t="s">
        <v>78</v>
      </c>
      <c r="D198" t="s">
        <v>79</v>
      </c>
      <c r="E198" t="s">
        <v>80</v>
      </c>
      <c r="F198" t="str">
        <f>'Source Table'!$D$8</f>
        <v>جو</v>
      </c>
      <c r="G198" t="str">
        <f>'Source Table'!$B$8</f>
        <v>Air</v>
      </c>
      <c r="H198" t="s">
        <v>81</v>
      </c>
      <c r="I198" s="18" t="s">
        <v>81</v>
      </c>
      <c r="J198" s="23">
        <v>2408</v>
      </c>
      <c r="K198">
        <v>2011</v>
      </c>
    </row>
    <row r="199" spans="1:11">
      <c r="A199" t="s">
        <v>76</v>
      </c>
      <c r="B199" t="s">
        <v>77</v>
      </c>
      <c r="C199" t="s">
        <v>78</v>
      </c>
      <c r="D199" t="s">
        <v>79</v>
      </c>
      <c r="E199" t="s">
        <v>80</v>
      </c>
      <c r="F199" t="s">
        <v>81</v>
      </c>
      <c r="G199" t="s">
        <v>81</v>
      </c>
      <c r="H199" t="str">
        <f>'Source Table'!$D$10</f>
        <v>مطار الملكة علياء الدولي</v>
      </c>
      <c r="I199" s="18" t="str">
        <f>'Source Table'!$B$10</f>
        <v>Queen Alia Int.  Airport</v>
      </c>
      <c r="J199" s="23">
        <v>2106</v>
      </c>
      <c r="K199">
        <v>2011</v>
      </c>
    </row>
    <row r="200" spans="1:11">
      <c r="A200" t="s">
        <v>76</v>
      </c>
      <c r="B200" t="s">
        <v>77</v>
      </c>
      <c r="C200" t="s">
        <v>78</v>
      </c>
      <c r="D200" t="s">
        <v>79</v>
      </c>
      <c r="E200" t="s">
        <v>80</v>
      </c>
      <c r="F200" t="s">
        <v>81</v>
      </c>
      <c r="G200" t="s">
        <v>81</v>
      </c>
      <c r="H200" t="str">
        <f>'Source Table'!$D$11</f>
        <v>مطار عمان المدني</v>
      </c>
      <c r="I200" s="18" t="str">
        <f>'Source Table'!$B$11</f>
        <v>Amman Civil Airport</v>
      </c>
      <c r="J200" s="23">
        <v>147</v>
      </c>
      <c r="K200">
        <v>2011</v>
      </c>
    </row>
    <row r="201" spans="1:11">
      <c r="A201" t="s">
        <v>76</v>
      </c>
      <c r="B201" t="s">
        <v>77</v>
      </c>
      <c r="C201" t="s">
        <v>78</v>
      </c>
      <c r="D201" t="s">
        <v>79</v>
      </c>
      <c r="E201" t="s">
        <v>80</v>
      </c>
      <c r="F201" t="s">
        <v>81</v>
      </c>
      <c r="G201" t="s">
        <v>81</v>
      </c>
      <c r="H201" t="str">
        <f>'Source Table'!$D$12</f>
        <v>مطار العقبة</v>
      </c>
      <c r="I201" s="18" t="str">
        <f>'Source Table'!$B$12</f>
        <v>Aqaba Airport</v>
      </c>
      <c r="J201" s="23">
        <v>154</v>
      </c>
      <c r="K201">
        <v>2011</v>
      </c>
    </row>
    <row r="202" spans="1:11">
      <c r="A202" t="s">
        <v>76</v>
      </c>
      <c r="B202" t="s">
        <v>77</v>
      </c>
      <c r="C202" t="s">
        <v>78</v>
      </c>
      <c r="D202" t="s">
        <v>79</v>
      </c>
      <c r="E202" t="s">
        <v>80</v>
      </c>
      <c r="F202" t="s">
        <v>81</v>
      </c>
      <c r="G202" t="s">
        <v>81</v>
      </c>
      <c r="H202" t="str">
        <f>'Source Table'!$D$13</f>
        <v>الرمثا</v>
      </c>
      <c r="I202" s="18" t="str">
        <f>'Source Table'!$B$13</f>
        <v>Ramtha</v>
      </c>
      <c r="J202" s="23">
        <v>319</v>
      </c>
      <c r="K202">
        <v>2011</v>
      </c>
    </row>
    <row r="203" spans="1:11">
      <c r="A203" t="s">
        <v>76</v>
      </c>
      <c r="B203" t="s">
        <v>77</v>
      </c>
      <c r="C203" t="s">
        <v>78</v>
      </c>
      <c r="D203" t="s">
        <v>79</v>
      </c>
      <c r="E203" t="s">
        <v>80</v>
      </c>
      <c r="F203" t="s">
        <v>81</v>
      </c>
      <c r="G203" t="s">
        <v>81</v>
      </c>
      <c r="H203" t="str">
        <f>'Source Table'!$D$14</f>
        <v>العمري</v>
      </c>
      <c r="I203" s="18" t="str">
        <f>'Source Table'!$B$14</f>
        <v>Omari</v>
      </c>
      <c r="J203" s="23">
        <v>1502</v>
      </c>
      <c r="K203">
        <v>2011</v>
      </c>
    </row>
    <row r="204" spans="1:11">
      <c r="A204" t="s">
        <v>76</v>
      </c>
      <c r="B204" t="s">
        <v>77</v>
      </c>
      <c r="C204" t="s">
        <v>78</v>
      </c>
      <c r="D204" t="s">
        <v>79</v>
      </c>
      <c r="E204" t="s">
        <v>80</v>
      </c>
      <c r="F204" t="s">
        <v>81</v>
      </c>
      <c r="G204" t="s">
        <v>81</v>
      </c>
      <c r="H204" t="str">
        <f>'Source Table'!$D$15</f>
        <v>المدورة</v>
      </c>
      <c r="I204" s="18" t="str">
        <f>'Source Table'!$B$15</f>
        <v>Mudawara</v>
      </c>
      <c r="J204" s="23">
        <v>750</v>
      </c>
      <c r="K204">
        <v>2011</v>
      </c>
    </row>
    <row r="205" spans="1:11">
      <c r="A205" t="s">
        <v>76</v>
      </c>
      <c r="B205" t="s">
        <v>77</v>
      </c>
      <c r="C205" t="s">
        <v>78</v>
      </c>
      <c r="D205" t="s">
        <v>79</v>
      </c>
      <c r="E205" t="s">
        <v>80</v>
      </c>
      <c r="F205" t="s">
        <v>81</v>
      </c>
      <c r="G205" t="s">
        <v>81</v>
      </c>
      <c r="H205" t="str">
        <f>'Source Table'!$D$16</f>
        <v>الدرة</v>
      </c>
      <c r="I205" s="18" t="str">
        <f>'Source Table'!$B$16</f>
        <v>Durrah</v>
      </c>
      <c r="J205" s="23">
        <v>377</v>
      </c>
      <c r="K205">
        <v>2011</v>
      </c>
    </row>
    <row r="206" spans="1:11">
      <c r="A206" t="s">
        <v>76</v>
      </c>
      <c r="B206" t="s">
        <v>77</v>
      </c>
      <c r="C206" t="s">
        <v>78</v>
      </c>
      <c r="D206" t="s">
        <v>79</v>
      </c>
      <c r="E206" t="s">
        <v>80</v>
      </c>
      <c r="F206" t="s">
        <v>81</v>
      </c>
      <c r="G206" t="s">
        <v>81</v>
      </c>
      <c r="H206" t="str">
        <f>'Source Table'!$D$17</f>
        <v>ميناء العقبة</v>
      </c>
      <c r="I206" s="18" t="str">
        <f>'Source Table'!$B$17</f>
        <v>Aqaba Port</v>
      </c>
      <c r="J206" s="23">
        <v>364</v>
      </c>
      <c r="K206">
        <v>2011</v>
      </c>
    </row>
    <row r="207" spans="1:11">
      <c r="A207" t="s">
        <v>76</v>
      </c>
      <c r="B207" t="s">
        <v>77</v>
      </c>
      <c r="C207" t="s">
        <v>78</v>
      </c>
      <c r="D207" t="s">
        <v>79</v>
      </c>
      <c r="E207" t="s">
        <v>80</v>
      </c>
      <c r="F207" t="s">
        <v>81</v>
      </c>
      <c r="G207" t="s">
        <v>81</v>
      </c>
      <c r="H207" t="str">
        <f>'Source Table'!$D$18</f>
        <v>معبر وادي الأردن</v>
      </c>
      <c r="I207" s="18" t="str">
        <f>'Source Table'!$B$18</f>
        <v>Jordan Vally</v>
      </c>
      <c r="J207" s="23">
        <v>265</v>
      </c>
      <c r="K207">
        <v>2011</v>
      </c>
    </row>
    <row r="208" spans="1:11">
      <c r="A208" t="s">
        <v>76</v>
      </c>
      <c r="B208" t="s">
        <v>77</v>
      </c>
      <c r="C208" t="s">
        <v>78</v>
      </c>
      <c r="D208" t="s">
        <v>79</v>
      </c>
      <c r="E208" t="s">
        <v>80</v>
      </c>
      <c r="F208" t="s">
        <v>81</v>
      </c>
      <c r="G208" t="s">
        <v>81</v>
      </c>
      <c r="H208" t="str">
        <f>'Source Table'!$D$19</f>
        <v>الكرامة</v>
      </c>
      <c r="I208" s="18" t="str">
        <f>'Source Table'!$B$19</f>
        <v>Alkaramah</v>
      </c>
      <c r="J208" s="23">
        <v>370</v>
      </c>
      <c r="K208">
        <v>2011</v>
      </c>
    </row>
    <row r="209" spans="1:11">
      <c r="A209" t="s">
        <v>76</v>
      </c>
      <c r="B209" t="s">
        <v>77</v>
      </c>
      <c r="C209" t="s">
        <v>78</v>
      </c>
      <c r="D209" t="s">
        <v>79</v>
      </c>
      <c r="E209" t="s">
        <v>80</v>
      </c>
      <c r="F209" t="s">
        <v>81</v>
      </c>
      <c r="G209" t="s">
        <v>81</v>
      </c>
      <c r="H209" t="str">
        <f>'Source Table'!$D$20</f>
        <v>معبر وادي عربة</v>
      </c>
      <c r="I209" s="18" t="str">
        <f>'Source Table'!$B$20</f>
        <v>Wadi Araba Crossing</v>
      </c>
      <c r="J209" s="23">
        <v>215</v>
      </c>
      <c r="K209">
        <v>2011</v>
      </c>
    </row>
    <row r="210" spans="1:11">
      <c r="A210" t="s">
        <v>76</v>
      </c>
      <c r="B210" t="s">
        <v>77</v>
      </c>
      <c r="C210" t="s">
        <v>78</v>
      </c>
      <c r="D210" t="s">
        <v>79</v>
      </c>
      <c r="E210" t="s">
        <v>80</v>
      </c>
      <c r="F210" t="s">
        <v>81</v>
      </c>
      <c r="G210" t="s">
        <v>81</v>
      </c>
      <c r="H210" t="str">
        <f>'Source Table'!$D$21</f>
        <v>الجسور</v>
      </c>
      <c r="I210" s="18" t="str">
        <f>'Source Table'!$B$21</f>
        <v>Bridges</v>
      </c>
      <c r="J210" s="23">
        <v>746</v>
      </c>
      <c r="K210">
        <v>2011</v>
      </c>
    </row>
    <row r="211" spans="1:11">
      <c r="A211" t="s">
        <v>76</v>
      </c>
      <c r="B211" t="s">
        <v>77</v>
      </c>
      <c r="C211" t="s">
        <v>78</v>
      </c>
      <c r="D211" t="s">
        <v>79</v>
      </c>
      <c r="E211" t="s">
        <v>80</v>
      </c>
      <c r="F211" t="s">
        <v>81</v>
      </c>
      <c r="G211" t="s">
        <v>81</v>
      </c>
      <c r="H211" t="str">
        <f>'Source Table'!$D$22</f>
        <v>جابر</v>
      </c>
      <c r="I211" s="21" t="str">
        <f>'Source Table'!$B$22</f>
        <v>Jaber</v>
      </c>
      <c r="J211" s="23">
        <v>1572</v>
      </c>
      <c r="K211">
        <v>2011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5"/>
  <sheetViews>
    <sheetView zoomScale="70" zoomScaleNormal="70" topLeftCell="C1" workbookViewId="0">
      <selection activeCell="I4" sqref="H4:I5"/>
    </sheetView>
  </sheetViews>
  <sheetFormatPr defaultColWidth="9" defaultRowHeight="14.25" outlineLevelRow="4"/>
  <cols>
    <col min="1" max="14" width="24.375" customWidth="1"/>
    <col min="15" max="16" width="15" customWidth="1"/>
    <col min="17" max="17" width="8.75" customWidth="1"/>
    <col min="18" max="18" width="11.375" customWidth="1"/>
    <col min="19" max="19" width="12" customWidth="1"/>
    <col min="20" max="20" width="9.875" customWidth="1"/>
    <col min="21" max="21" width="7.375" customWidth="1"/>
  </cols>
  <sheetData>
    <row r="1" ht="15" spans="1:2">
      <c r="A1" s="12" t="s">
        <v>82</v>
      </c>
      <c r="B1" s="13">
        <f>DATE(B2,B3,1)</f>
        <v>44927</v>
      </c>
    </row>
    <row r="2" ht="15" spans="1:4">
      <c r="A2" s="12" t="s">
        <v>16</v>
      </c>
      <c r="B2">
        <v>2023</v>
      </c>
      <c r="D2" s="13"/>
    </row>
    <row r="3" ht="15" spans="1:2">
      <c r="A3" s="12" t="s">
        <v>83</v>
      </c>
      <c r="B3">
        <v>1</v>
      </c>
    </row>
    <row r="4" s="11" customFormat="1" ht="18" customHeight="1" spans="1:12">
      <c r="A4" s="14" t="s">
        <v>54</v>
      </c>
      <c r="B4" s="14" t="s">
        <v>55</v>
      </c>
      <c r="C4" s="14" t="s">
        <v>56</v>
      </c>
      <c r="D4" s="14" t="s">
        <v>57</v>
      </c>
      <c r="E4" s="14" t="s">
        <v>58</v>
      </c>
      <c r="F4" s="15" t="s">
        <v>59</v>
      </c>
      <c r="G4" s="15" t="s">
        <v>60</v>
      </c>
      <c r="H4" s="16" t="s">
        <v>61</v>
      </c>
      <c r="I4" s="16" t="s">
        <v>62</v>
      </c>
      <c r="J4" s="14" t="s">
        <v>63</v>
      </c>
      <c r="K4" s="14" t="s">
        <v>64</v>
      </c>
      <c r="L4" s="14" t="s">
        <v>65</v>
      </c>
    </row>
    <row r="5" s="11" customFormat="1" ht="18" customHeight="1" spans="1:12">
      <c r="A5" s="14" t="s">
        <v>66</v>
      </c>
      <c r="B5" s="14" t="s">
        <v>67</v>
      </c>
      <c r="C5" s="14" t="s">
        <v>68</v>
      </c>
      <c r="D5" s="14" t="s">
        <v>69</v>
      </c>
      <c r="E5" s="14" t="s">
        <v>70</v>
      </c>
      <c r="F5" s="15" t="str">
        <f>'Source Table'!$D$5</f>
        <v>وسيلة السفر</v>
      </c>
      <c r="G5" s="15" t="str">
        <f>'Source Table'!$B$5</f>
        <v>Means of Transport</v>
      </c>
      <c r="H5" s="17" t="s">
        <v>71</v>
      </c>
      <c r="I5" s="16" t="s">
        <v>72</v>
      </c>
      <c r="J5" s="14" t="s">
        <v>73</v>
      </c>
      <c r="K5" s="14" t="s">
        <v>74</v>
      </c>
      <c r="L5" s="14" t="s">
        <v>75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C38"/>
  <sheetViews>
    <sheetView topLeftCell="A18" workbookViewId="0">
      <selection activeCell="A37" sqref="A37"/>
    </sheetView>
  </sheetViews>
  <sheetFormatPr defaultColWidth="8.875" defaultRowHeight="14.25" outlineLevelCol="2"/>
  <cols>
    <col min="1" max="1" width="90" style="2" customWidth="1"/>
    <col min="2" max="2" width="2.625" style="3" customWidth="1"/>
    <col min="3" max="3" width="87.25" style="4" customWidth="1"/>
    <col min="4" max="16384" width="8.875" style="5"/>
  </cols>
  <sheetData>
    <row r="2" ht="17.25" spans="1:3">
      <c r="A2" s="6" t="s">
        <v>84</v>
      </c>
      <c r="C2" s="7" t="s">
        <v>85</v>
      </c>
    </row>
    <row r="3" spans="1:1">
      <c r="A3" s="8"/>
    </row>
    <row r="4" ht="28.5" spans="1:3">
      <c r="A4" s="8" t="s">
        <v>86</v>
      </c>
      <c r="C4" s="4" t="s">
        <v>87</v>
      </c>
    </row>
    <row r="6" ht="17.25" spans="1:3">
      <c r="A6" s="6" t="s">
        <v>88</v>
      </c>
      <c r="C6" s="7" t="s">
        <v>89</v>
      </c>
    </row>
    <row r="7" spans="1:1">
      <c r="A7" s="8"/>
    </row>
    <row r="8" ht="30" spans="1:3">
      <c r="A8" s="9" t="s">
        <v>90</v>
      </c>
      <c r="C8" s="4" t="s">
        <v>91</v>
      </c>
    </row>
    <row r="10" ht="17.25" spans="1:3">
      <c r="A10" s="6" t="s">
        <v>92</v>
      </c>
      <c r="C10" s="7" t="s">
        <v>93</v>
      </c>
    </row>
    <row r="11" spans="1:1">
      <c r="A11" s="8"/>
    </row>
    <row r="12" spans="1:3">
      <c r="A12" s="8" t="s">
        <v>94</v>
      </c>
      <c r="C12" s="4" t="s">
        <v>95</v>
      </c>
    </row>
    <row r="13" ht="15" spans="1:3">
      <c r="A13" s="9" t="s">
        <v>96</v>
      </c>
      <c r="C13" s="10" t="s">
        <v>97</v>
      </c>
    </row>
    <row r="14" ht="29.25" spans="1:3">
      <c r="A14" s="9" t="s">
        <v>98</v>
      </c>
      <c r="C14" s="10" t="s">
        <v>99</v>
      </c>
    </row>
    <row r="15" ht="15" spans="1:3">
      <c r="A15" s="9" t="s">
        <v>100</v>
      </c>
      <c r="C15" s="10" t="s">
        <v>101</v>
      </c>
    </row>
    <row r="16" ht="15" spans="1:3">
      <c r="A16" s="9" t="s">
        <v>102</v>
      </c>
      <c r="C16" s="10" t="s">
        <v>103</v>
      </c>
    </row>
    <row r="17" ht="15" spans="1:3">
      <c r="A17" s="9" t="s">
        <v>104</v>
      </c>
      <c r="C17" s="10" t="s">
        <v>105</v>
      </c>
    </row>
    <row r="18" spans="1:3">
      <c r="A18" s="8" t="s">
        <v>106</v>
      </c>
      <c r="C18" s="4" t="s">
        <v>107</v>
      </c>
    </row>
    <row r="19" spans="1:3">
      <c r="A19" s="8" t="s">
        <v>108</v>
      </c>
      <c r="C19" s="4" t="s">
        <v>109</v>
      </c>
    </row>
    <row r="20" ht="29.25" spans="1:3">
      <c r="A20" s="9" t="s">
        <v>110</v>
      </c>
      <c r="C20" s="10" t="s">
        <v>111</v>
      </c>
    </row>
    <row r="22" ht="17.25" spans="1:3">
      <c r="A22" s="6" t="s">
        <v>112</v>
      </c>
      <c r="C22" s="7" t="s">
        <v>113</v>
      </c>
    </row>
    <row r="23" spans="1:1">
      <c r="A23" s="8"/>
    </row>
    <row r="24" ht="29.25" spans="1:3">
      <c r="A24" s="8" t="s">
        <v>114</v>
      </c>
      <c r="C24" s="4" t="s">
        <v>115</v>
      </c>
    </row>
    <row r="25" ht="30" spans="1:3">
      <c r="A25" s="8" t="s">
        <v>116</v>
      </c>
      <c r="C25" s="4" t="s">
        <v>117</v>
      </c>
    </row>
    <row r="27" ht="17.25" spans="1:3">
      <c r="A27" s="6" t="s">
        <v>118</v>
      </c>
      <c r="C27" s="7" t="s">
        <v>119</v>
      </c>
    </row>
    <row r="28" spans="1:1">
      <c r="A28" s="8"/>
    </row>
    <row r="29" ht="15" spans="1:3">
      <c r="A29" s="8" t="s">
        <v>120</v>
      </c>
      <c r="C29" s="4" t="s">
        <v>121</v>
      </c>
    </row>
    <row r="30" spans="1:3">
      <c r="A30" s="8" t="s">
        <v>122</v>
      </c>
      <c r="C30" s="4" t="s">
        <v>123</v>
      </c>
    </row>
    <row r="32" ht="17.25" spans="1:3">
      <c r="A32" s="6" t="s">
        <v>124</v>
      </c>
      <c r="C32" s="7" t="s">
        <v>125</v>
      </c>
    </row>
    <row r="33" spans="1:1">
      <c r="A33" s="8"/>
    </row>
    <row r="34" ht="15" spans="1:3">
      <c r="A34" s="9" t="s">
        <v>126</v>
      </c>
      <c r="C34" s="4" t="s">
        <v>127</v>
      </c>
    </row>
    <row r="36" ht="17.25" spans="1:3">
      <c r="A36" s="6" t="s">
        <v>128</v>
      </c>
      <c r="C36" s="7" t="s">
        <v>129</v>
      </c>
    </row>
    <row r="37" spans="1:1">
      <c r="A37" s="8"/>
    </row>
    <row r="38" spans="1:3">
      <c r="A38" s="8" t="s">
        <v>130</v>
      </c>
      <c r="C38" s="4" t="s">
        <v>131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A1" sqref="A1:I16"/>
    </sheetView>
  </sheetViews>
  <sheetFormatPr defaultColWidth="9" defaultRowHeight="14.25"/>
  <sheetData>
    <row r="1" spans="1:9">
      <c r="A1" t="s">
        <v>76</v>
      </c>
      <c r="B1" t="s">
        <v>77</v>
      </c>
      <c r="C1" t="s">
        <v>78</v>
      </c>
      <c r="D1" t="s">
        <v>79</v>
      </c>
      <c r="E1" t="s">
        <v>80</v>
      </c>
      <c r="F1" t="str">
        <f>'Source Table'!$D$6</f>
        <v>بر</v>
      </c>
      <c r="G1" t="str">
        <f>'Source Table'!$B$6</f>
        <v>Land</v>
      </c>
      <c r="H1" t="s">
        <v>81</v>
      </c>
      <c r="I1" t="s">
        <v>81</v>
      </c>
    </row>
    <row r="2" spans="1:9">
      <c r="A2" t="s">
        <v>76</v>
      </c>
      <c r="B2" t="s">
        <v>77</v>
      </c>
      <c r="C2" t="s">
        <v>78</v>
      </c>
      <c r="D2" t="s">
        <v>79</v>
      </c>
      <c r="E2" t="s">
        <v>80</v>
      </c>
      <c r="F2" t="str">
        <f>'Source Table'!$D$7</f>
        <v>بحر</v>
      </c>
      <c r="G2" t="str">
        <f>'Source Table'!$B$7</f>
        <v>Sea</v>
      </c>
      <c r="H2" t="s">
        <v>81</v>
      </c>
      <c r="I2" t="s">
        <v>81</v>
      </c>
    </row>
    <row r="3" spans="1:9">
      <c r="A3" t="s">
        <v>76</v>
      </c>
      <c r="B3" t="s">
        <v>77</v>
      </c>
      <c r="C3" t="s">
        <v>78</v>
      </c>
      <c r="D3" t="s">
        <v>79</v>
      </c>
      <c r="E3" t="s">
        <v>80</v>
      </c>
      <c r="F3" t="str">
        <f>'Source Table'!$D$8</f>
        <v>جو</v>
      </c>
      <c r="G3" t="str">
        <f>'Source Table'!$B$8</f>
        <v>Air</v>
      </c>
      <c r="H3" t="s">
        <v>81</v>
      </c>
      <c r="I3" t="s">
        <v>81</v>
      </c>
    </row>
    <row r="4" spans="1:9">
      <c r="A4" t="s">
        <v>76</v>
      </c>
      <c r="B4" t="s">
        <v>77</v>
      </c>
      <c r="C4" t="s">
        <v>78</v>
      </c>
      <c r="D4" t="s">
        <v>79</v>
      </c>
      <c r="E4" t="s">
        <v>80</v>
      </c>
      <c r="F4" t="s">
        <v>81</v>
      </c>
      <c r="G4" t="s">
        <v>81</v>
      </c>
      <c r="H4" t="str">
        <f>'Source Table'!$D$10</f>
        <v>مطار الملكة علياء الدولي</v>
      </c>
      <c r="I4" t="str">
        <f>'Source Table'!$B$10</f>
        <v>Queen Alia Int.  Airport</v>
      </c>
    </row>
    <row r="5" spans="1:9">
      <c r="A5" t="s">
        <v>76</v>
      </c>
      <c r="B5" t="s">
        <v>77</v>
      </c>
      <c r="C5" t="s">
        <v>78</v>
      </c>
      <c r="D5" t="s">
        <v>79</v>
      </c>
      <c r="E5" t="s">
        <v>80</v>
      </c>
      <c r="F5" t="s">
        <v>81</v>
      </c>
      <c r="G5" t="s">
        <v>81</v>
      </c>
      <c r="H5" t="str">
        <f>'Source Table'!$D$11</f>
        <v>مطار عمان المدني</v>
      </c>
      <c r="I5" t="str">
        <f>'Source Table'!$B$11</f>
        <v>Amman Civil Airport</v>
      </c>
    </row>
    <row r="6" spans="1:9">
      <c r="A6" t="s">
        <v>76</v>
      </c>
      <c r="B6" t="s">
        <v>77</v>
      </c>
      <c r="C6" t="s">
        <v>78</v>
      </c>
      <c r="D6" t="s">
        <v>79</v>
      </c>
      <c r="E6" t="s">
        <v>80</v>
      </c>
      <c r="F6" t="s">
        <v>81</v>
      </c>
      <c r="G6" t="s">
        <v>81</v>
      </c>
      <c r="H6" t="str">
        <f>'Source Table'!$D$12</f>
        <v>مطار العقبة</v>
      </c>
      <c r="I6" t="str">
        <f>'Source Table'!$B$12</f>
        <v>Aqaba Airport</v>
      </c>
    </row>
    <row r="7" spans="1:9">
      <c r="A7" t="s">
        <v>76</v>
      </c>
      <c r="B7" t="s">
        <v>77</v>
      </c>
      <c r="C7" t="s">
        <v>78</v>
      </c>
      <c r="D7" t="s">
        <v>79</v>
      </c>
      <c r="E7" t="s">
        <v>80</v>
      </c>
      <c r="F7" t="s">
        <v>81</v>
      </c>
      <c r="G7" t="s">
        <v>81</v>
      </c>
      <c r="H7" t="str">
        <f>'Source Table'!$D$13</f>
        <v>الرمثا</v>
      </c>
      <c r="I7" t="str">
        <f>'Source Table'!$B$13</f>
        <v>Ramtha</v>
      </c>
    </row>
    <row r="8" spans="1:9">
      <c r="A8" t="s">
        <v>76</v>
      </c>
      <c r="B8" t="s">
        <v>77</v>
      </c>
      <c r="C8" t="s">
        <v>78</v>
      </c>
      <c r="D8" t="s">
        <v>79</v>
      </c>
      <c r="E8" t="s">
        <v>80</v>
      </c>
      <c r="F8" t="s">
        <v>81</v>
      </c>
      <c r="G8" t="s">
        <v>81</v>
      </c>
      <c r="H8" t="str">
        <f>'Source Table'!$D$14</f>
        <v>العمري</v>
      </c>
      <c r="I8" t="str">
        <f>'Source Table'!$B$14</f>
        <v>Omari</v>
      </c>
    </row>
    <row r="9" spans="1:9">
      <c r="A9" t="s">
        <v>76</v>
      </c>
      <c r="B9" t="s">
        <v>77</v>
      </c>
      <c r="C9" t="s">
        <v>78</v>
      </c>
      <c r="D9" t="s">
        <v>79</v>
      </c>
      <c r="E9" t="s">
        <v>80</v>
      </c>
      <c r="F9" t="s">
        <v>81</v>
      </c>
      <c r="G9" t="s">
        <v>81</v>
      </c>
      <c r="H9" t="str">
        <f>'Source Table'!$D$15</f>
        <v>المدورة</v>
      </c>
      <c r="I9" t="str">
        <f>'Source Table'!$B$15</f>
        <v>Mudawara</v>
      </c>
    </row>
    <row r="10" spans="1:9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81</v>
      </c>
      <c r="G10" t="s">
        <v>81</v>
      </c>
      <c r="H10" t="str">
        <f>'Source Table'!$D$16</f>
        <v>الدرة</v>
      </c>
      <c r="I10" t="str">
        <f>'Source Table'!$B$16</f>
        <v>Durrah</v>
      </c>
    </row>
    <row r="11" spans="1:9">
      <c r="A11" t="s">
        <v>76</v>
      </c>
      <c r="B11" t="s">
        <v>77</v>
      </c>
      <c r="C11" t="s">
        <v>78</v>
      </c>
      <c r="D11" t="s">
        <v>79</v>
      </c>
      <c r="E11" t="s">
        <v>80</v>
      </c>
      <c r="F11" t="s">
        <v>81</v>
      </c>
      <c r="G11" t="s">
        <v>81</v>
      </c>
      <c r="H11" t="str">
        <f>'Source Table'!$D$17</f>
        <v>ميناء العقبة</v>
      </c>
      <c r="I11" t="str">
        <f>'Source Table'!$B$17</f>
        <v>Aqaba Port</v>
      </c>
    </row>
    <row r="12" spans="1:9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81</v>
      </c>
      <c r="H12" t="str">
        <f>'Source Table'!$D$18</f>
        <v>معبر وادي الأردن</v>
      </c>
      <c r="I12" t="str">
        <f>'Source Table'!$B$18</f>
        <v>Jordan Vally</v>
      </c>
    </row>
    <row r="13" spans="1:9">
      <c r="A13" t="s">
        <v>76</v>
      </c>
      <c r="B13" t="s">
        <v>77</v>
      </c>
      <c r="C13" t="s">
        <v>78</v>
      </c>
      <c r="D13" t="s">
        <v>79</v>
      </c>
      <c r="E13" t="s">
        <v>80</v>
      </c>
      <c r="F13" t="s">
        <v>81</v>
      </c>
      <c r="G13" t="s">
        <v>81</v>
      </c>
      <c r="H13" t="str">
        <f>'Source Table'!$D$19</f>
        <v>الكرامة</v>
      </c>
      <c r="I13" t="str">
        <f>'Source Table'!$B$19</f>
        <v>Alkaramah</v>
      </c>
    </row>
    <row r="14" spans="1:9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81</v>
      </c>
      <c r="G14" t="s">
        <v>81</v>
      </c>
      <c r="H14" t="str">
        <f>'Source Table'!$D$20</f>
        <v>معبر وادي عربة</v>
      </c>
      <c r="I14" t="str">
        <f>'Source Table'!$B$20</f>
        <v>Wadi Araba Crossing</v>
      </c>
    </row>
    <row r="15" spans="1:9">
      <c r="A15" t="s">
        <v>76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81</v>
      </c>
      <c r="H15" t="str">
        <f>'Source Table'!$D$21</f>
        <v>الجسور</v>
      </c>
      <c r="I15" t="str">
        <f>'Source Table'!$B$21</f>
        <v>Bridges</v>
      </c>
    </row>
    <row r="16" spans="1:9">
      <c r="A16" t="s">
        <v>76</v>
      </c>
      <c r="B16" t="s">
        <v>77</v>
      </c>
      <c r="C16" t="s">
        <v>78</v>
      </c>
      <c r="D16" t="s">
        <v>79</v>
      </c>
      <c r="E16" t="s">
        <v>80</v>
      </c>
      <c r="F16" t="s">
        <v>81</v>
      </c>
      <c r="G16" t="s">
        <v>81</v>
      </c>
      <c r="H16" t="str">
        <f>'Source Table'!$D$22</f>
        <v>جابر</v>
      </c>
      <c r="I16" s="1" t="str">
        <f>'Source Table'!$B$22</f>
        <v>Jaber</v>
      </c>
    </row>
  </sheetData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>
    <arrUserId title="Range1" rangeCreator="" othersAccessPermission="edit"/>
  </rangeList>
  <rangeList sheetStid="8" master="" otherUserPermission="visible"/>
  <rangeList sheetStid="4" master="" otherUserPermission="visible"/>
  <rangeList sheetStid="6" master="" otherUserPermission="visible"/>
  <rangeList sheetStid="9" master="" otherUserPermission="visible"/>
</allowEditUser>
</file>

<file path=customXml/item2.xml>��
</file>

<file path=customXml/item3.xml>��
</file>

<file path=customXml/item4.xml>��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376B0781-3F54-40BC-A068-7F5A2310ECAB}">
  <ds:schemaRefs/>
</ds:datastoreItem>
</file>

<file path=customXml/itemProps3.xml><?xml version="1.0" encoding="utf-8"?>
<ds:datastoreItem xmlns:ds="http://schemas.openxmlformats.org/officeDocument/2006/customXml" ds:itemID="{59F09CCB-DBCA-4583-8595-6CE63AF333C7}">
  <ds:schemaRefs/>
</ds:datastoreItem>
</file>

<file path=customXml/itemProps4.xml><?xml version="1.0" encoding="utf-8"?>
<ds:datastoreItem xmlns:ds="http://schemas.openxmlformats.org/officeDocument/2006/customXml" ds:itemID="{CEFB3727-0098-41DB-9DEB-08A099D40A76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Cover Page</vt:lpstr>
      <vt:lpstr>Source Table</vt:lpstr>
      <vt:lpstr>Relational DB</vt:lpstr>
      <vt:lpstr>Template Data</vt:lpstr>
      <vt:lpstr>Help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Omar Mihyar</dc:creator>
  <cp:lastModifiedBy>USER11</cp:lastModifiedBy>
  <dcterms:created xsi:type="dcterms:W3CDTF">2024-08-13T06:49:00Z</dcterms:created>
  <dcterms:modified xsi:type="dcterms:W3CDTF">2025-02-17T06:11:44Z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0x010100D459D8868F97254F9E5095DCA93C6B5E</vt:lpwstr>
  </property>
  <property fmtid="{D5CDD505-2E9C-101B-9397-08002B2CF9AE}" pid="3" name="MediaServiceImageTags">
    <vt:lpwstr/>
  </property>
  <property fmtid="{D5CDD505-2E9C-101B-9397-08002B2CF9AE}" pid="4" name="ICV">
    <vt:lpwstr>03F4B292C24D4111A863A83A6DD9F693_13</vt:lpwstr>
  </property>
  <property fmtid="{D5CDD505-2E9C-101B-9397-08002B2CF9AE}" pid="5" name="KSOProductBuildVer">
    <vt:lpwstr>1033-12.2.0.19805</vt:lpwstr>
  </property>
</Properties>
</file>